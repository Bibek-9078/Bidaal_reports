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adi\Downloads\"/>
    </mc:Choice>
  </mc:AlternateContent>
  <xr:revisionPtr revIDLastSave="0" documentId="13_ncr:1_{B934C19D-7736-493F-8786-86911ACBD2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" sheetId="1" r:id="rId1"/>
    <sheet name="Analysis" sheetId="2" r:id="rId2"/>
    <sheet name="final report sheet" sheetId="3" r:id="rId3"/>
  </sheets>
  <definedNames>
    <definedName name="cameras">OFFSET(Analysis!$C$61, 0, 0, MAX(1, COUNTA(Analysis!$C$61:$C$81)), 1)</definedName>
    <definedName name="counts">OFFSET(Analysis!$D$61, 0, 0, MAX(1, COUNTA(Analysis!$C$61:$C$81)), 1)</definedName>
    <definedName name="COUNTVIO">OFFSET(Analysis!$D$3, 0, 0, MAX(1, COUNTA(Analysis!$D$3:$D$31)), 1)</definedName>
    <definedName name="DailyAvg">OFFSET(Analysis!$H$50, 0, 0, MAX(1, COUNTA(Analysis!$H$50:$H$55)), 1)</definedName>
    <definedName name="Evening">OFFSET(Analysis!$F$40, 0, 0, MAX(1, COUNTA(Analysis!$F$40:$F$45)), 1)</definedName>
    <definedName name="LessSevere">OFFSET(Analysis!$E$50, 0, 0, MAX(1, COUNTA(Analysis!$E$50:$E$55)), 1)</definedName>
    <definedName name="MoreSevere">OFFSET(Analysis!$F$50, 0, 0, MAX(1, COUNTA(Analysis!$F$50:$F$55)), 1)</definedName>
    <definedName name="Morning">OFFSET(Analysis!$E$40, 0, 0, MAX(1, COUNTA(Analysis!$E$40:$E$45)), 1)</definedName>
    <definedName name="Night">OFFSET(Analysis!$G$40, 0, 0, MAX(1, COUNTA(Analysis!$G$40:$G$45)), 1)</definedName>
    <definedName name="Rejected">OFFSET(Analysis!$G$61, 0, 0, MAX(1, COUNTA(Analysis!$G$61:$G$81)), 1)</definedName>
    <definedName name="Resolved">OFFSET(Analysis!$E$61, 0, 0, MAX(1, COUNTA(Analysis!$E$61:$E$81)), 1)</definedName>
    <definedName name="Unresolved">OFFSET(Analysis!$F$61, 0, 0, MAX(1, COUNTA(Analysis!$F$61:$F$81)), 1)</definedName>
    <definedName name="VIO">OFFSET(Analysis!$C$3, 0, 0, MAX(1, COUNTA(Analysis!$C$3:$C$31)), 1)</definedName>
    <definedName name="violations">OFFSET(Analysis!$P$3, 0, 0, MAX(1, COUNTA(Analysis!$P$3:$P$83)), 1)</definedName>
    <definedName name="week">OFFSET(Analysis!$D$40, 0, 0, MAX(1, COUNTA(Analysis!$D$40:$D$45)), 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3" l="1"/>
  <c r="B94" i="3"/>
  <c r="C87" i="2" l="1" a="1"/>
  <c r="C87" i="2" s="1"/>
  <c r="L6" i="3" l="1" a="1"/>
  <c r="L6" i="3" s="1"/>
  <c r="C3" i="2" a="1"/>
  <c r="M154" i="3"/>
  <c r="M122" i="3"/>
  <c r="M91" i="3"/>
  <c r="M60" i="3"/>
  <c r="M29" i="3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L3" i="1"/>
  <c r="M3" i="1" s="1" a="1"/>
  <c r="M3" i="1" s="1"/>
  <c r="L4" i="1"/>
  <c r="L5" i="1"/>
  <c r="M5" i="1" s="1" a="1"/>
  <c r="M5" i="1" s="1"/>
  <c r="L6" i="1"/>
  <c r="L7" i="1"/>
  <c r="M7" i="1" s="1" a="1"/>
  <c r="M7" i="1" s="1"/>
  <c r="L8" i="1"/>
  <c r="L9" i="1"/>
  <c r="L10" i="1"/>
  <c r="M10" i="1" s="1" a="1"/>
  <c r="M10" i="1" s="1"/>
  <c r="L11" i="1"/>
  <c r="M11" i="1" s="1" a="1"/>
  <c r="M11" i="1" s="1"/>
  <c r="L12" i="1"/>
  <c r="M12" i="1" s="1" a="1"/>
  <c r="M12" i="1" s="1"/>
  <c r="L13" i="1"/>
  <c r="M13" i="1" s="1" a="1"/>
  <c r="M13" i="1" s="1"/>
  <c r="L14" i="1"/>
  <c r="M14" i="1" s="1" a="1"/>
  <c r="M14" i="1" s="1"/>
  <c r="L15" i="1"/>
  <c r="M15" i="1" s="1" a="1"/>
  <c r="M15" i="1" s="1"/>
  <c r="L16" i="1"/>
  <c r="M16" i="1" s="1" a="1"/>
  <c r="M16" i="1" s="1"/>
  <c r="L17" i="1"/>
  <c r="M17" i="1" s="1" a="1"/>
  <c r="M17" i="1" s="1"/>
  <c r="L18" i="1"/>
  <c r="M18" i="1" s="1" a="1"/>
  <c r="M18" i="1" s="1"/>
  <c r="L19" i="1"/>
  <c r="M19" i="1" s="1" a="1"/>
  <c r="M19" i="1" s="1"/>
  <c r="L20" i="1"/>
  <c r="M20" i="1" s="1" a="1"/>
  <c r="M20" i="1" s="1"/>
  <c r="L21" i="1"/>
  <c r="M21" i="1" s="1" a="1"/>
  <c r="M21" i="1" s="1"/>
  <c r="L22" i="1"/>
  <c r="M22" i="1" s="1" a="1"/>
  <c r="M22" i="1" s="1"/>
  <c r="L23" i="1"/>
  <c r="M23" i="1" s="1" a="1"/>
  <c r="M23" i="1" s="1"/>
  <c r="L24" i="1"/>
  <c r="M24" i="1" s="1" a="1"/>
  <c r="M24" i="1" s="1"/>
  <c r="L25" i="1"/>
  <c r="M25" i="1" s="1" a="1"/>
  <c r="M25" i="1" s="1"/>
  <c r="L26" i="1"/>
  <c r="M26" i="1" s="1" a="1"/>
  <c r="M26" i="1" s="1"/>
  <c r="L27" i="1"/>
  <c r="M27" i="1" s="1" a="1"/>
  <c r="M27" i="1" s="1"/>
  <c r="L28" i="1"/>
  <c r="M28" i="1" s="1" a="1"/>
  <c r="M28" i="1" s="1"/>
  <c r="L29" i="1"/>
  <c r="M29" i="1" s="1" a="1"/>
  <c r="M29" i="1" s="1"/>
  <c r="L30" i="1"/>
  <c r="M30" i="1" s="1" a="1"/>
  <c r="M30" i="1" s="1"/>
  <c r="L31" i="1"/>
  <c r="M31" i="1" s="1" a="1"/>
  <c r="M31" i="1" s="1"/>
  <c r="L32" i="1"/>
  <c r="M32" i="1" s="1" a="1"/>
  <c r="M32" i="1" s="1"/>
  <c r="L33" i="1"/>
  <c r="M33" i="1" s="1" a="1"/>
  <c r="M33" i="1" s="1"/>
  <c r="L34" i="1"/>
  <c r="M34" i="1" s="1" a="1"/>
  <c r="M34" i="1" s="1"/>
  <c r="L35" i="1"/>
  <c r="M35" i="1" s="1" a="1"/>
  <c r="M35" i="1" s="1"/>
  <c r="L36" i="1"/>
  <c r="M36" i="1" s="1" a="1"/>
  <c r="M36" i="1" s="1"/>
  <c r="L37" i="1"/>
  <c r="M37" i="1" s="1" a="1"/>
  <c r="M37" i="1" s="1"/>
  <c r="L38" i="1"/>
  <c r="M38" i="1" s="1" a="1"/>
  <c r="M38" i="1" s="1"/>
  <c r="L39" i="1"/>
  <c r="M39" i="1" s="1" a="1"/>
  <c r="M39" i="1" s="1"/>
  <c r="L40" i="1"/>
  <c r="M40" i="1" s="1" a="1"/>
  <c r="M40" i="1" s="1"/>
  <c r="L41" i="1"/>
  <c r="M41" i="1" s="1" a="1"/>
  <c r="M41" i="1" s="1"/>
  <c r="L42" i="1"/>
  <c r="M42" i="1" s="1" a="1"/>
  <c r="M42" i="1" s="1"/>
  <c r="L43" i="1"/>
  <c r="M43" i="1" s="1" a="1"/>
  <c r="M43" i="1" s="1"/>
  <c r="L44" i="1"/>
  <c r="M44" i="1" s="1" a="1"/>
  <c r="M44" i="1" s="1"/>
  <c r="L45" i="1"/>
  <c r="M45" i="1" s="1" a="1"/>
  <c r="M45" i="1" s="1"/>
  <c r="L46" i="1"/>
  <c r="M46" i="1" s="1" a="1"/>
  <c r="M46" i="1" s="1"/>
  <c r="L47" i="1"/>
  <c r="M47" i="1" s="1" a="1"/>
  <c r="M47" i="1" s="1"/>
  <c r="L48" i="1"/>
  <c r="M48" i="1" s="1" a="1"/>
  <c r="M48" i="1" s="1"/>
  <c r="L49" i="1"/>
  <c r="M49" i="1" s="1" a="1"/>
  <c r="M49" i="1" s="1"/>
  <c r="L50" i="1"/>
  <c r="M50" i="1" s="1" a="1"/>
  <c r="M50" i="1" s="1"/>
  <c r="L51" i="1"/>
  <c r="M51" i="1" s="1" a="1"/>
  <c r="M51" i="1" s="1"/>
  <c r="L52" i="1"/>
  <c r="M52" i="1" s="1" a="1"/>
  <c r="M52" i="1" s="1"/>
  <c r="L53" i="1"/>
  <c r="M53" i="1" s="1" a="1"/>
  <c r="M53" i="1" s="1"/>
  <c r="L54" i="1"/>
  <c r="M54" i="1" s="1" a="1"/>
  <c r="M54" i="1" s="1"/>
  <c r="L55" i="1"/>
  <c r="M55" i="1" s="1" a="1"/>
  <c r="M55" i="1" s="1"/>
  <c r="L56" i="1"/>
  <c r="M56" i="1" s="1" a="1"/>
  <c r="M56" i="1" s="1"/>
  <c r="L57" i="1"/>
  <c r="M57" i="1" s="1" a="1"/>
  <c r="M57" i="1" s="1"/>
  <c r="L58" i="1"/>
  <c r="M58" i="1" s="1" a="1"/>
  <c r="M58" i="1" s="1"/>
  <c r="L59" i="1"/>
  <c r="M59" i="1" s="1" a="1"/>
  <c r="M59" i="1" s="1"/>
  <c r="L60" i="1"/>
  <c r="M60" i="1" s="1" a="1"/>
  <c r="M60" i="1" s="1"/>
  <c r="L61" i="1"/>
  <c r="M61" i="1" s="1" a="1"/>
  <c r="M61" i="1" s="1"/>
  <c r="L62" i="1"/>
  <c r="M62" i="1" s="1" a="1"/>
  <c r="M62" i="1" s="1"/>
  <c r="L63" i="1"/>
  <c r="M63" i="1" s="1" a="1"/>
  <c r="M63" i="1" s="1"/>
  <c r="L64" i="1"/>
  <c r="M64" i="1" s="1" a="1"/>
  <c r="M64" i="1" s="1"/>
  <c r="L65" i="1"/>
  <c r="M65" i="1" s="1" a="1"/>
  <c r="M65" i="1" s="1"/>
  <c r="L66" i="1"/>
  <c r="M66" i="1" s="1" a="1"/>
  <c r="M66" i="1" s="1"/>
  <c r="L67" i="1"/>
  <c r="M67" i="1" s="1" a="1"/>
  <c r="M67" i="1" s="1"/>
  <c r="L68" i="1"/>
  <c r="M68" i="1" s="1" a="1"/>
  <c r="M68" i="1" s="1"/>
  <c r="L69" i="1"/>
  <c r="M69" i="1" s="1" a="1"/>
  <c r="M69" i="1" s="1"/>
  <c r="L70" i="1"/>
  <c r="M70" i="1" s="1" a="1"/>
  <c r="M70" i="1" s="1"/>
  <c r="L71" i="1"/>
  <c r="M71" i="1" s="1" a="1"/>
  <c r="M71" i="1" s="1"/>
  <c r="L72" i="1"/>
  <c r="M72" i="1" s="1" a="1"/>
  <c r="M72" i="1" s="1"/>
  <c r="L73" i="1"/>
  <c r="M73" i="1" s="1" a="1"/>
  <c r="M73" i="1" s="1"/>
  <c r="L74" i="1"/>
  <c r="M74" i="1" s="1" a="1"/>
  <c r="M74" i="1" s="1"/>
  <c r="L75" i="1"/>
  <c r="M75" i="1" s="1" a="1"/>
  <c r="M75" i="1" s="1"/>
  <c r="L76" i="1"/>
  <c r="M76" i="1" s="1" a="1"/>
  <c r="M76" i="1" s="1"/>
  <c r="L77" i="1"/>
  <c r="M77" i="1" s="1" a="1"/>
  <c r="M77" i="1" s="1"/>
  <c r="L78" i="1"/>
  <c r="M78" i="1" s="1" a="1"/>
  <c r="M78" i="1" s="1"/>
  <c r="L79" i="1"/>
  <c r="M79" i="1" s="1" a="1"/>
  <c r="M79" i="1" s="1"/>
  <c r="L80" i="1"/>
  <c r="M80" i="1" s="1" a="1"/>
  <c r="M80" i="1" s="1"/>
  <c r="L81" i="1"/>
  <c r="M81" i="1" s="1" a="1"/>
  <c r="M81" i="1" s="1"/>
  <c r="L82" i="1"/>
  <c r="M82" i="1" s="1" a="1"/>
  <c r="M82" i="1" s="1"/>
  <c r="L83" i="1"/>
  <c r="M83" i="1" s="1" a="1"/>
  <c r="M83" i="1" s="1"/>
  <c r="L84" i="1"/>
  <c r="M84" i="1" s="1" a="1"/>
  <c r="M84" i="1" s="1"/>
  <c r="L85" i="1"/>
  <c r="M85" i="1" s="1" a="1"/>
  <c r="M85" i="1" s="1"/>
  <c r="L86" i="1"/>
  <c r="M86" i="1" s="1" a="1"/>
  <c r="M86" i="1" s="1"/>
  <c r="L87" i="1"/>
  <c r="M87" i="1" s="1" a="1"/>
  <c r="M87" i="1" s="1"/>
  <c r="L88" i="1"/>
  <c r="M88" i="1" s="1" a="1"/>
  <c r="M88" i="1" s="1"/>
  <c r="L89" i="1"/>
  <c r="M89" i="1" s="1" a="1"/>
  <c r="M89" i="1" s="1"/>
  <c r="L90" i="1"/>
  <c r="M90" i="1" s="1" a="1"/>
  <c r="M90" i="1" s="1"/>
  <c r="L91" i="1"/>
  <c r="M91" i="1" s="1" a="1"/>
  <c r="M91" i="1" s="1"/>
  <c r="L92" i="1"/>
  <c r="M92" i="1" s="1" a="1"/>
  <c r="M92" i="1" s="1"/>
  <c r="L93" i="1"/>
  <c r="M93" i="1" s="1" a="1"/>
  <c r="M93" i="1" s="1"/>
  <c r="L94" i="1"/>
  <c r="M94" i="1" s="1" a="1"/>
  <c r="M94" i="1" s="1"/>
  <c r="L95" i="1"/>
  <c r="M95" i="1" s="1" a="1"/>
  <c r="M95" i="1" s="1"/>
  <c r="L96" i="1"/>
  <c r="M96" i="1" s="1" a="1"/>
  <c r="M96" i="1" s="1"/>
  <c r="L97" i="1"/>
  <c r="M97" i="1" s="1" a="1"/>
  <c r="M97" i="1" s="1"/>
  <c r="L98" i="1"/>
  <c r="M98" i="1" s="1" a="1"/>
  <c r="M98" i="1" s="1"/>
  <c r="L99" i="1"/>
  <c r="M99" i="1" s="1" a="1"/>
  <c r="M99" i="1" s="1"/>
  <c r="L100" i="1"/>
  <c r="M100" i="1" s="1" a="1"/>
  <c r="M100" i="1" s="1"/>
  <c r="L101" i="1"/>
  <c r="M101" i="1" s="1" a="1"/>
  <c r="M101" i="1" s="1"/>
  <c r="L102" i="1"/>
  <c r="M102" i="1" s="1" a="1"/>
  <c r="M102" i="1" s="1"/>
  <c r="L103" i="1"/>
  <c r="M103" i="1" s="1" a="1"/>
  <c r="M103" i="1" s="1"/>
  <c r="L104" i="1"/>
  <c r="M104" i="1" s="1" a="1"/>
  <c r="M104" i="1" s="1"/>
  <c r="L105" i="1"/>
  <c r="M105" i="1" s="1" a="1"/>
  <c r="M105" i="1" s="1"/>
  <c r="L106" i="1"/>
  <c r="M106" i="1" s="1" a="1"/>
  <c r="M106" i="1" s="1"/>
  <c r="L107" i="1"/>
  <c r="M107" i="1" s="1" a="1"/>
  <c r="M107" i="1" s="1"/>
  <c r="L108" i="1"/>
  <c r="M108" i="1" s="1" a="1"/>
  <c r="M108" i="1" s="1"/>
  <c r="L109" i="1"/>
  <c r="M109" i="1" s="1" a="1"/>
  <c r="M109" i="1" s="1"/>
  <c r="L110" i="1"/>
  <c r="M110" i="1" s="1" a="1"/>
  <c r="M110" i="1" s="1"/>
  <c r="L111" i="1"/>
  <c r="M111" i="1" s="1" a="1"/>
  <c r="M111" i="1" s="1"/>
  <c r="L112" i="1"/>
  <c r="M112" i="1" s="1" a="1"/>
  <c r="M112" i="1" s="1"/>
  <c r="L113" i="1"/>
  <c r="M113" i="1" s="1" a="1"/>
  <c r="M113" i="1" s="1"/>
  <c r="L114" i="1"/>
  <c r="M114" i="1" s="1" a="1"/>
  <c r="M114" i="1" s="1"/>
  <c r="L115" i="1"/>
  <c r="M115" i="1" s="1" a="1"/>
  <c r="M115" i="1" s="1"/>
  <c r="L116" i="1"/>
  <c r="M116" i="1" s="1" a="1"/>
  <c r="M116" i="1" s="1"/>
  <c r="L117" i="1"/>
  <c r="M117" i="1" s="1" a="1"/>
  <c r="M117" i="1" s="1"/>
  <c r="L118" i="1"/>
  <c r="M118" i="1" s="1" a="1"/>
  <c r="M118" i="1" s="1"/>
  <c r="L119" i="1"/>
  <c r="M119" i="1" s="1" a="1"/>
  <c r="M119" i="1" s="1"/>
  <c r="L120" i="1"/>
  <c r="M120" i="1" s="1" a="1"/>
  <c r="M120" i="1" s="1"/>
  <c r="L121" i="1"/>
  <c r="M121" i="1" s="1" a="1"/>
  <c r="M121" i="1" s="1"/>
  <c r="L122" i="1"/>
  <c r="M122" i="1" s="1" a="1"/>
  <c r="M122" i="1" s="1"/>
  <c r="L123" i="1"/>
  <c r="M123" i="1" s="1" a="1"/>
  <c r="M123" i="1" s="1"/>
  <c r="L124" i="1"/>
  <c r="M124" i="1" s="1" a="1"/>
  <c r="M124" i="1" s="1"/>
  <c r="L125" i="1"/>
  <c r="M125" i="1" s="1" a="1"/>
  <c r="M125" i="1" s="1"/>
  <c r="L126" i="1"/>
  <c r="M126" i="1" s="1" a="1"/>
  <c r="M126" i="1" s="1"/>
  <c r="L127" i="1"/>
  <c r="M127" i="1" s="1" a="1"/>
  <c r="M127" i="1" s="1"/>
  <c r="L128" i="1"/>
  <c r="M128" i="1" s="1" a="1"/>
  <c r="M128" i="1" s="1"/>
  <c r="L129" i="1"/>
  <c r="M129" i="1" s="1" a="1"/>
  <c r="M129" i="1" s="1"/>
  <c r="L130" i="1"/>
  <c r="M130" i="1" s="1" a="1"/>
  <c r="M130" i="1" s="1"/>
  <c r="L131" i="1"/>
  <c r="M131" i="1" s="1" a="1"/>
  <c r="M131" i="1" s="1"/>
  <c r="L132" i="1"/>
  <c r="M132" i="1" s="1" a="1"/>
  <c r="M132" i="1" s="1"/>
  <c r="L133" i="1"/>
  <c r="M133" i="1" s="1" a="1"/>
  <c r="M133" i="1" s="1"/>
  <c r="L134" i="1"/>
  <c r="M134" i="1" s="1" a="1"/>
  <c r="M134" i="1" s="1"/>
  <c r="L135" i="1"/>
  <c r="M135" i="1" s="1" a="1"/>
  <c r="M135" i="1" s="1"/>
  <c r="L136" i="1"/>
  <c r="M136" i="1" s="1" a="1"/>
  <c r="M136" i="1" s="1"/>
  <c r="L137" i="1"/>
  <c r="M137" i="1" s="1" a="1"/>
  <c r="M137" i="1" s="1"/>
  <c r="L138" i="1"/>
  <c r="M138" i="1" s="1" a="1"/>
  <c r="M138" i="1" s="1"/>
  <c r="L139" i="1"/>
  <c r="M139" i="1" s="1" a="1"/>
  <c r="M139" i="1" s="1"/>
  <c r="L140" i="1"/>
  <c r="M140" i="1" s="1" a="1"/>
  <c r="M140" i="1" s="1"/>
  <c r="L141" i="1"/>
  <c r="M141" i="1" s="1" a="1"/>
  <c r="M141" i="1" s="1"/>
  <c r="L142" i="1"/>
  <c r="M142" i="1" s="1" a="1"/>
  <c r="M142" i="1" s="1"/>
  <c r="L143" i="1"/>
  <c r="M143" i="1" s="1" a="1"/>
  <c r="M143" i="1" s="1"/>
  <c r="L144" i="1"/>
  <c r="M144" i="1" s="1" a="1"/>
  <c r="M144" i="1" s="1"/>
  <c r="L145" i="1"/>
  <c r="M145" i="1" s="1" a="1"/>
  <c r="M145" i="1" s="1"/>
  <c r="L146" i="1"/>
  <c r="M146" i="1" s="1" a="1"/>
  <c r="M146" i="1" s="1"/>
  <c r="L147" i="1"/>
  <c r="M147" i="1" s="1" a="1"/>
  <c r="M147" i="1" s="1"/>
  <c r="L148" i="1"/>
  <c r="M148" i="1" s="1" a="1"/>
  <c r="M148" i="1" s="1"/>
  <c r="L149" i="1"/>
  <c r="M149" i="1" s="1" a="1"/>
  <c r="M149" i="1" s="1"/>
  <c r="L150" i="1"/>
  <c r="M150" i="1" s="1" a="1"/>
  <c r="M150" i="1" s="1"/>
  <c r="L151" i="1"/>
  <c r="M151" i="1" s="1" a="1"/>
  <c r="M151" i="1" s="1"/>
  <c r="L152" i="1"/>
  <c r="M152" i="1" s="1" a="1"/>
  <c r="M152" i="1" s="1"/>
  <c r="L153" i="1"/>
  <c r="M153" i="1" s="1" a="1"/>
  <c r="M153" i="1" s="1"/>
  <c r="L154" i="1"/>
  <c r="M154" i="1" s="1" a="1"/>
  <c r="M154" i="1" s="1"/>
  <c r="L155" i="1"/>
  <c r="M155" i="1" s="1" a="1"/>
  <c r="M155" i="1" s="1"/>
  <c r="L156" i="1"/>
  <c r="M156" i="1" s="1" a="1"/>
  <c r="M156" i="1" s="1"/>
  <c r="L157" i="1"/>
  <c r="M157" i="1" s="1" a="1"/>
  <c r="M157" i="1" s="1"/>
  <c r="L158" i="1"/>
  <c r="M158" i="1" s="1" a="1"/>
  <c r="M158" i="1" s="1"/>
  <c r="L159" i="1"/>
  <c r="M159" i="1" s="1" a="1"/>
  <c r="M159" i="1" s="1"/>
  <c r="L160" i="1"/>
  <c r="M160" i="1" s="1" a="1"/>
  <c r="M160" i="1" s="1"/>
  <c r="L161" i="1"/>
  <c r="M161" i="1" s="1" a="1"/>
  <c r="M161" i="1" s="1"/>
  <c r="L162" i="1"/>
  <c r="M162" i="1" s="1" a="1"/>
  <c r="M162" i="1" s="1"/>
  <c r="L163" i="1"/>
  <c r="M163" i="1" s="1" a="1"/>
  <c r="M163" i="1" s="1"/>
  <c r="L164" i="1"/>
  <c r="M164" i="1" s="1" a="1"/>
  <c r="M164" i="1" s="1"/>
  <c r="L165" i="1"/>
  <c r="M165" i="1" s="1" a="1"/>
  <c r="M165" i="1" s="1"/>
  <c r="L166" i="1"/>
  <c r="M166" i="1" s="1" a="1"/>
  <c r="M166" i="1" s="1"/>
  <c r="L167" i="1"/>
  <c r="M167" i="1" s="1" a="1"/>
  <c r="M167" i="1" s="1"/>
  <c r="L168" i="1"/>
  <c r="M168" i="1" s="1" a="1"/>
  <c r="M168" i="1" s="1"/>
  <c r="L169" i="1"/>
  <c r="M169" i="1" s="1" a="1"/>
  <c r="M169" i="1" s="1"/>
  <c r="L170" i="1"/>
  <c r="M170" i="1" s="1" a="1"/>
  <c r="M170" i="1" s="1"/>
  <c r="L171" i="1"/>
  <c r="M171" i="1" s="1" a="1"/>
  <c r="M171" i="1" s="1"/>
  <c r="L172" i="1"/>
  <c r="M172" i="1" s="1" a="1"/>
  <c r="M172" i="1" s="1"/>
  <c r="L173" i="1"/>
  <c r="M173" i="1" s="1" a="1"/>
  <c r="M173" i="1" s="1"/>
  <c r="L174" i="1"/>
  <c r="M174" i="1" s="1" a="1"/>
  <c r="M174" i="1" s="1"/>
  <c r="L175" i="1"/>
  <c r="M175" i="1" s="1" a="1"/>
  <c r="M175" i="1" s="1"/>
  <c r="L176" i="1"/>
  <c r="M176" i="1" s="1" a="1"/>
  <c r="M176" i="1" s="1"/>
  <c r="L177" i="1"/>
  <c r="M177" i="1" s="1" a="1"/>
  <c r="M177" i="1" s="1"/>
  <c r="L178" i="1"/>
  <c r="M178" i="1" s="1" a="1"/>
  <c r="M178" i="1" s="1"/>
  <c r="L179" i="1"/>
  <c r="M179" i="1" s="1" a="1"/>
  <c r="M179" i="1" s="1"/>
  <c r="L180" i="1"/>
  <c r="M180" i="1" s="1" a="1"/>
  <c r="M180" i="1" s="1"/>
  <c r="L181" i="1"/>
  <c r="M181" i="1" s="1" a="1"/>
  <c r="M181" i="1" s="1"/>
  <c r="L182" i="1"/>
  <c r="M182" i="1" s="1" a="1"/>
  <c r="M182" i="1" s="1"/>
  <c r="L183" i="1"/>
  <c r="M183" i="1" s="1" a="1"/>
  <c r="M183" i="1" s="1"/>
  <c r="L184" i="1"/>
  <c r="M184" i="1" s="1" a="1"/>
  <c r="M184" i="1" s="1"/>
  <c r="L185" i="1"/>
  <c r="M185" i="1" s="1" a="1"/>
  <c r="M185" i="1" s="1"/>
  <c r="L186" i="1"/>
  <c r="M186" i="1" s="1" a="1"/>
  <c r="M186" i="1" s="1"/>
  <c r="L187" i="1"/>
  <c r="M187" i="1" s="1" a="1"/>
  <c r="M187" i="1" s="1"/>
  <c r="L188" i="1"/>
  <c r="M188" i="1" s="1" a="1"/>
  <c r="M188" i="1" s="1"/>
  <c r="L189" i="1"/>
  <c r="M189" i="1" s="1" a="1"/>
  <c r="M189" i="1" s="1"/>
  <c r="L190" i="1"/>
  <c r="M190" i="1" s="1" a="1"/>
  <c r="M190" i="1" s="1"/>
  <c r="L191" i="1"/>
  <c r="M191" i="1" s="1" a="1"/>
  <c r="M191" i="1" s="1"/>
  <c r="L192" i="1"/>
  <c r="M192" i="1" s="1" a="1"/>
  <c r="M192" i="1" s="1"/>
  <c r="L193" i="1"/>
  <c r="M193" i="1" s="1" a="1"/>
  <c r="M193" i="1" s="1"/>
  <c r="L194" i="1"/>
  <c r="M194" i="1" s="1" a="1"/>
  <c r="M194" i="1" s="1"/>
  <c r="L195" i="1"/>
  <c r="M195" i="1" s="1" a="1"/>
  <c r="M195" i="1" s="1"/>
  <c r="L196" i="1"/>
  <c r="M196" i="1" s="1" a="1"/>
  <c r="M196" i="1" s="1"/>
  <c r="L197" i="1"/>
  <c r="M197" i="1" s="1" a="1"/>
  <c r="M197" i="1" s="1"/>
  <c r="L198" i="1"/>
  <c r="M198" i="1" s="1" a="1"/>
  <c r="M198" i="1" s="1"/>
  <c r="L199" i="1"/>
  <c r="M199" i="1" s="1" a="1"/>
  <c r="M199" i="1" s="1"/>
  <c r="L200" i="1"/>
  <c r="M200" i="1" s="1" a="1"/>
  <c r="M200" i="1" s="1"/>
  <c r="L201" i="1"/>
  <c r="M201" i="1" s="1" a="1"/>
  <c r="M201" i="1" s="1"/>
  <c r="L202" i="1"/>
  <c r="M202" i="1" s="1" a="1"/>
  <c r="M202" i="1" s="1"/>
  <c r="L203" i="1"/>
  <c r="M203" i="1" s="1" a="1"/>
  <c r="M203" i="1" s="1"/>
  <c r="L204" i="1"/>
  <c r="M204" i="1" s="1" a="1"/>
  <c r="M204" i="1" s="1"/>
  <c r="L205" i="1"/>
  <c r="M205" i="1" s="1" a="1"/>
  <c r="M205" i="1" s="1"/>
  <c r="L206" i="1"/>
  <c r="M206" i="1" s="1" a="1"/>
  <c r="M206" i="1" s="1"/>
  <c r="L207" i="1"/>
  <c r="M207" i="1" s="1" a="1"/>
  <c r="M207" i="1" s="1"/>
  <c r="L208" i="1"/>
  <c r="M208" i="1" s="1" a="1"/>
  <c r="M208" i="1" s="1"/>
  <c r="L209" i="1"/>
  <c r="M209" i="1" s="1" a="1"/>
  <c r="M209" i="1" s="1"/>
  <c r="L210" i="1"/>
  <c r="M210" i="1" s="1" a="1"/>
  <c r="M210" i="1" s="1"/>
  <c r="L211" i="1"/>
  <c r="M211" i="1" s="1" a="1"/>
  <c r="M211" i="1" s="1"/>
  <c r="L212" i="1"/>
  <c r="M212" i="1" s="1" a="1"/>
  <c r="M212" i="1" s="1"/>
  <c r="L213" i="1"/>
  <c r="M213" i="1" s="1" a="1"/>
  <c r="M213" i="1" s="1"/>
  <c r="L214" i="1"/>
  <c r="M214" i="1" s="1" a="1"/>
  <c r="M214" i="1" s="1"/>
  <c r="L215" i="1"/>
  <c r="M215" i="1" s="1" a="1"/>
  <c r="M215" i="1" s="1"/>
  <c r="L216" i="1"/>
  <c r="M216" i="1" s="1" a="1"/>
  <c r="M216" i="1" s="1"/>
  <c r="L217" i="1"/>
  <c r="M217" i="1" s="1" a="1"/>
  <c r="M217" i="1" s="1"/>
  <c r="L218" i="1"/>
  <c r="M218" i="1" s="1" a="1"/>
  <c r="M218" i="1" s="1"/>
  <c r="L219" i="1"/>
  <c r="M219" i="1" s="1" a="1"/>
  <c r="M219" i="1" s="1"/>
  <c r="L220" i="1"/>
  <c r="M220" i="1" s="1" a="1"/>
  <c r="M220" i="1" s="1"/>
  <c r="L221" i="1"/>
  <c r="M221" i="1" s="1" a="1"/>
  <c r="M221" i="1" s="1"/>
  <c r="L222" i="1"/>
  <c r="M222" i="1" s="1" a="1"/>
  <c r="M222" i="1" s="1"/>
  <c r="L223" i="1"/>
  <c r="M223" i="1" s="1" a="1"/>
  <c r="M223" i="1" s="1"/>
  <c r="L224" i="1"/>
  <c r="M224" i="1" s="1" a="1"/>
  <c r="M224" i="1" s="1"/>
  <c r="L225" i="1"/>
  <c r="M225" i="1" s="1" a="1"/>
  <c r="M225" i="1" s="1"/>
  <c r="L226" i="1"/>
  <c r="M226" i="1" s="1" a="1"/>
  <c r="M226" i="1" s="1"/>
  <c r="L227" i="1"/>
  <c r="M227" i="1" s="1" a="1"/>
  <c r="M227" i="1" s="1"/>
  <c r="L228" i="1"/>
  <c r="M228" i="1" s="1" a="1"/>
  <c r="M228" i="1" s="1"/>
  <c r="L229" i="1"/>
  <c r="M229" i="1" s="1" a="1"/>
  <c r="M229" i="1" s="1"/>
  <c r="L230" i="1"/>
  <c r="M230" i="1" s="1" a="1"/>
  <c r="M230" i="1" s="1"/>
  <c r="L231" i="1"/>
  <c r="M231" i="1" s="1" a="1"/>
  <c r="M231" i="1" s="1"/>
  <c r="L232" i="1"/>
  <c r="M232" i="1" s="1" a="1"/>
  <c r="M232" i="1" s="1"/>
  <c r="L233" i="1"/>
  <c r="M233" i="1" s="1" a="1"/>
  <c r="M233" i="1" s="1"/>
  <c r="L234" i="1"/>
  <c r="M234" i="1" s="1" a="1"/>
  <c r="M234" i="1" s="1"/>
  <c r="L235" i="1"/>
  <c r="M235" i="1" s="1" a="1"/>
  <c r="M235" i="1" s="1"/>
  <c r="L236" i="1"/>
  <c r="M236" i="1" s="1" a="1"/>
  <c r="M236" i="1" s="1"/>
  <c r="L237" i="1"/>
  <c r="M237" i="1" s="1" a="1"/>
  <c r="M237" i="1" s="1"/>
  <c r="L238" i="1"/>
  <c r="M238" i="1" s="1" a="1"/>
  <c r="M238" i="1" s="1"/>
  <c r="L239" i="1"/>
  <c r="M239" i="1" s="1" a="1"/>
  <c r="M239" i="1" s="1"/>
  <c r="L240" i="1"/>
  <c r="M240" i="1" s="1" a="1"/>
  <c r="M240" i="1" s="1"/>
  <c r="L241" i="1"/>
  <c r="M241" i="1" s="1" a="1"/>
  <c r="M241" i="1" s="1"/>
  <c r="L242" i="1"/>
  <c r="M242" i="1" s="1" a="1"/>
  <c r="M242" i="1" s="1"/>
  <c r="L243" i="1"/>
  <c r="M243" i="1" s="1" a="1"/>
  <c r="M243" i="1" s="1"/>
  <c r="L244" i="1"/>
  <c r="M244" i="1" s="1" a="1"/>
  <c r="M244" i="1" s="1"/>
  <c r="L245" i="1"/>
  <c r="M245" i="1" s="1" a="1"/>
  <c r="M245" i="1" s="1"/>
  <c r="L246" i="1"/>
  <c r="M246" i="1" s="1" a="1"/>
  <c r="M246" i="1" s="1"/>
  <c r="L247" i="1"/>
  <c r="M247" i="1" s="1" a="1"/>
  <c r="M247" i="1" s="1"/>
  <c r="L248" i="1"/>
  <c r="M248" i="1" s="1" a="1"/>
  <c r="M248" i="1" s="1"/>
  <c r="L249" i="1"/>
  <c r="M249" i="1" s="1" a="1"/>
  <c r="M249" i="1" s="1"/>
  <c r="L250" i="1"/>
  <c r="M250" i="1" s="1" a="1"/>
  <c r="M250" i="1" s="1"/>
  <c r="L251" i="1"/>
  <c r="M251" i="1" s="1" a="1"/>
  <c r="M251" i="1" s="1"/>
  <c r="L252" i="1"/>
  <c r="M252" i="1" s="1" a="1"/>
  <c r="M252" i="1" s="1"/>
  <c r="L253" i="1"/>
  <c r="M253" i="1" s="1" a="1"/>
  <c r="M253" i="1" s="1"/>
  <c r="L254" i="1"/>
  <c r="M254" i="1" s="1" a="1"/>
  <c r="M254" i="1" s="1"/>
  <c r="L255" i="1"/>
  <c r="M255" i="1" s="1" a="1"/>
  <c r="M255" i="1" s="1"/>
  <c r="L256" i="1"/>
  <c r="M256" i="1" s="1" a="1"/>
  <c r="M256" i="1" s="1"/>
  <c r="L257" i="1"/>
  <c r="M257" i="1" s="1" a="1"/>
  <c r="M257" i="1" s="1"/>
  <c r="L258" i="1"/>
  <c r="M258" i="1" s="1" a="1"/>
  <c r="M258" i="1" s="1"/>
  <c r="L259" i="1"/>
  <c r="M259" i="1" s="1" a="1"/>
  <c r="M259" i="1" s="1"/>
  <c r="L260" i="1"/>
  <c r="M260" i="1" s="1" a="1"/>
  <c r="M260" i="1" s="1"/>
  <c r="L261" i="1"/>
  <c r="M261" i="1" s="1" a="1"/>
  <c r="M261" i="1" s="1"/>
  <c r="L262" i="1"/>
  <c r="M262" i="1" s="1" a="1"/>
  <c r="M262" i="1" s="1"/>
  <c r="L263" i="1"/>
  <c r="M263" i="1" s="1" a="1"/>
  <c r="M263" i="1" s="1"/>
  <c r="L264" i="1"/>
  <c r="M264" i="1" s="1" a="1"/>
  <c r="M264" i="1" s="1"/>
  <c r="L265" i="1"/>
  <c r="M265" i="1" s="1" a="1"/>
  <c r="M265" i="1" s="1"/>
  <c r="L266" i="1"/>
  <c r="M266" i="1" s="1" a="1"/>
  <c r="M266" i="1" s="1"/>
  <c r="L267" i="1"/>
  <c r="M267" i="1" s="1" a="1"/>
  <c r="M267" i="1" s="1"/>
  <c r="L268" i="1"/>
  <c r="M268" i="1" s="1" a="1"/>
  <c r="M268" i="1" s="1"/>
  <c r="L269" i="1"/>
  <c r="M269" i="1" s="1" a="1"/>
  <c r="M269" i="1" s="1"/>
  <c r="L270" i="1"/>
  <c r="M270" i="1" s="1" a="1"/>
  <c r="M270" i="1" s="1"/>
  <c r="L271" i="1"/>
  <c r="M271" i="1" s="1" a="1"/>
  <c r="M271" i="1" s="1"/>
  <c r="L272" i="1"/>
  <c r="M272" i="1" s="1" a="1"/>
  <c r="M272" i="1" s="1"/>
  <c r="L273" i="1"/>
  <c r="M273" i="1" s="1" a="1"/>
  <c r="M273" i="1" s="1"/>
  <c r="L274" i="1"/>
  <c r="M274" i="1" s="1" a="1"/>
  <c r="M274" i="1" s="1"/>
  <c r="L275" i="1"/>
  <c r="M275" i="1" s="1" a="1"/>
  <c r="M275" i="1" s="1"/>
  <c r="L276" i="1"/>
  <c r="M276" i="1" s="1" a="1"/>
  <c r="M276" i="1" s="1"/>
  <c r="L277" i="1"/>
  <c r="M277" i="1" s="1" a="1"/>
  <c r="M277" i="1" s="1"/>
  <c r="L278" i="1"/>
  <c r="M278" i="1" s="1" a="1"/>
  <c r="M278" i="1" s="1"/>
  <c r="L279" i="1"/>
  <c r="M279" i="1" s="1" a="1"/>
  <c r="M279" i="1" s="1"/>
  <c r="L280" i="1"/>
  <c r="M280" i="1" s="1" a="1"/>
  <c r="M280" i="1" s="1"/>
  <c r="L281" i="1"/>
  <c r="M281" i="1" s="1" a="1"/>
  <c r="M281" i="1" s="1"/>
  <c r="L282" i="1"/>
  <c r="M282" i="1" s="1" a="1"/>
  <c r="M282" i="1" s="1"/>
  <c r="L283" i="1"/>
  <c r="M283" i="1" s="1" a="1"/>
  <c r="M283" i="1" s="1"/>
  <c r="L284" i="1"/>
  <c r="M284" i="1" s="1" a="1"/>
  <c r="M284" i="1" s="1"/>
  <c r="L285" i="1"/>
  <c r="M285" i="1" s="1" a="1"/>
  <c r="M285" i="1" s="1"/>
  <c r="L286" i="1"/>
  <c r="M286" i="1" s="1" a="1"/>
  <c r="M286" i="1" s="1"/>
  <c r="L287" i="1"/>
  <c r="M287" i="1" s="1" a="1"/>
  <c r="M287" i="1" s="1"/>
  <c r="L288" i="1"/>
  <c r="M288" i="1" s="1" a="1"/>
  <c r="M288" i="1" s="1"/>
  <c r="L289" i="1"/>
  <c r="M289" i="1" s="1" a="1"/>
  <c r="M289" i="1" s="1"/>
  <c r="L290" i="1"/>
  <c r="M290" i="1" s="1" a="1"/>
  <c r="M290" i="1" s="1"/>
  <c r="L291" i="1"/>
  <c r="M291" i="1" s="1" a="1"/>
  <c r="M291" i="1" s="1"/>
  <c r="L292" i="1"/>
  <c r="M292" i="1" s="1" a="1"/>
  <c r="M292" i="1" s="1"/>
  <c r="L293" i="1"/>
  <c r="M293" i="1" s="1" a="1"/>
  <c r="M293" i="1" s="1"/>
  <c r="L294" i="1"/>
  <c r="M294" i="1" s="1" a="1"/>
  <c r="M294" i="1" s="1"/>
  <c r="L295" i="1"/>
  <c r="M295" i="1" s="1" a="1"/>
  <c r="M295" i="1" s="1"/>
  <c r="L296" i="1"/>
  <c r="M296" i="1" s="1" a="1"/>
  <c r="M296" i="1" s="1"/>
  <c r="L297" i="1"/>
  <c r="M297" i="1" s="1" a="1"/>
  <c r="M297" i="1" s="1"/>
  <c r="L298" i="1"/>
  <c r="M298" i="1" s="1" a="1"/>
  <c r="M298" i="1" s="1"/>
  <c r="L299" i="1"/>
  <c r="M299" i="1" s="1" a="1"/>
  <c r="M299" i="1" s="1"/>
  <c r="L300" i="1"/>
  <c r="M300" i="1" s="1" a="1"/>
  <c r="M300" i="1" s="1"/>
  <c r="L301" i="1"/>
  <c r="M301" i="1" s="1" a="1"/>
  <c r="M301" i="1" s="1"/>
  <c r="L302" i="1"/>
  <c r="M302" i="1" s="1" a="1"/>
  <c r="M302" i="1" s="1"/>
  <c r="L303" i="1"/>
  <c r="M303" i="1" s="1" a="1"/>
  <c r="M303" i="1" s="1"/>
  <c r="L304" i="1"/>
  <c r="M304" i="1" s="1" a="1"/>
  <c r="M304" i="1" s="1"/>
  <c r="L305" i="1"/>
  <c r="M305" i="1" s="1" a="1"/>
  <c r="M305" i="1" s="1"/>
  <c r="L306" i="1"/>
  <c r="M306" i="1" s="1" a="1"/>
  <c r="M306" i="1" s="1"/>
  <c r="L307" i="1"/>
  <c r="M307" i="1" s="1" a="1"/>
  <c r="M307" i="1" s="1"/>
  <c r="L308" i="1"/>
  <c r="M308" i="1" s="1" a="1"/>
  <c r="M308" i="1" s="1"/>
  <c r="L309" i="1"/>
  <c r="M309" i="1" s="1" a="1"/>
  <c r="M309" i="1" s="1"/>
  <c r="L310" i="1"/>
  <c r="M310" i="1" s="1" a="1"/>
  <c r="M310" i="1" s="1"/>
  <c r="L311" i="1"/>
  <c r="M311" i="1" s="1" a="1"/>
  <c r="M311" i="1" s="1"/>
  <c r="L312" i="1"/>
  <c r="M312" i="1" s="1" a="1"/>
  <c r="M312" i="1" s="1"/>
  <c r="L313" i="1"/>
  <c r="M313" i="1" s="1" a="1"/>
  <c r="M313" i="1" s="1"/>
  <c r="L314" i="1"/>
  <c r="M314" i="1" s="1" a="1"/>
  <c r="M314" i="1" s="1"/>
  <c r="L315" i="1"/>
  <c r="M315" i="1" s="1" a="1"/>
  <c r="M315" i="1" s="1"/>
  <c r="L316" i="1"/>
  <c r="M316" i="1" s="1" a="1"/>
  <c r="M316" i="1" s="1"/>
  <c r="L317" i="1"/>
  <c r="M317" i="1" s="1" a="1"/>
  <c r="M317" i="1" s="1"/>
  <c r="L318" i="1"/>
  <c r="M318" i="1" s="1" a="1"/>
  <c r="M318" i="1" s="1"/>
  <c r="L319" i="1"/>
  <c r="M319" i="1" s="1" a="1"/>
  <c r="M319" i="1" s="1"/>
  <c r="L320" i="1"/>
  <c r="M320" i="1" s="1" a="1"/>
  <c r="M320" i="1" s="1"/>
  <c r="L321" i="1"/>
  <c r="M321" i="1" s="1" a="1"/>
  <c r="M321" i="1" s="1"/>
  <c r="L322" i="1"/>
  <c r="M322" i="1" s="1" a="1"/>
  <c r="M322" i="1" s="1"/>
  <c r="L323" i="1"/>
  <c r="M323" i="1" s="1" a="1"/>
  <c r="M323" i="1" s="1"/>
  <c r="L324" i="1"/>
  <c r="M324" i="1" s="1" a="1"/>
  <c r="M324" i="1" s="1"/>
  <c r="L325" i="1"/>
  <c r="M325" i="1" s="1" a="1"/>
  <c r="M325" i="1" s="1"/>
  <c r="L326" i="1"/>
  <c r="M326" i="1" s="1" a="1"/>
  <c r="M326" i="1" s="1"/>
  <c r="L327" i="1"/>
  <c r="M327" i="1" s="1" a="1"/>
  <c r="M327" i="1" s="1"/>
  <c r="L328" i="1"/>
  <c r="M328" i="1" s="1" a="1"/>
  <c r="M328" i="1" s="1"/>
  <c r="L329" i="1"/>
  <c r="M329" i="1" s="1" a="1"/>
  <c r="M329" i="1" s="1"/>
  <c r="L330" i="1"/>
  <c r="M330" i="1" s="1" a="1"/>
  <c r="M330" i="1" s="1"/>
  <c r="L331" i="1"/>
  <c r="M331" i="1" s="1" a="1"/>
  <c r="M331" i="1" s="1"/>
  <c r="L332" i="1"/>
  <c r="M332" i="1" s="1" a="1"/>
  <c r="M332" i="1" s="1"/>
  <c r="L333" i="1"/>
  <c r="M333" i="1" s="1" a="1"/>
  <c r="M333" i="1" s="1"/>
  <c r="L334" i="1"/>
  <c r="M334" i="1" s="1" a="1"/>
  <c r="M334" i="1" s="1"/>
  <c r="L335" i="1"/>
  <c r="M335" i="1" s="1" a="1"/>
  <c r="M335" i="1" s="1"/>
  <c r="L336" i="1"/>
  <c r="M336" i="1" s="1" a="1"/>
  <c r="M336" i="1" s="1"/>
  <c r="L337" i="1"/>
  <c r="M337" i="1" s="1" a="1"/>
  <c r="M337" i="1" s="1"/>
  <c r="L338" i="1"/>
  <c r="M338" i="1" s="1" a="1"/>
  <c r="M338" i="1" s="1"/>
  <c r="L339" i="1"/>
  <c r="M339" i="1" s="1" a="1"/>
  <c r="M339" i="1" s="1"/>
  <c r="L340" i="1"/>
  <c r="M340" i="1" s="1" a="1"/>
  <c r="M340" i="1" s="1"/>
  <c r="L341" i="1"/>
  <c r="M341" i="1" s="1" a="1"/>
  <c r="M341" i="1" s="1"/>
  <c r="L342" i="1"/>
  <c r="M342" i="1" s="1" a="1"/>
  <c r="M342" i="1" s="1"/>
  <c r="L343" i="1"/>
  <c r="M343" i="1" s="1" a="1"/>
  <c r="M343" i="1" s="1"/>
  <c r="L344" i="1"/>
  <c r="M344" i="1" s="1" a="1"/>
  <c r="M344" i="1" s="1"/>
  <c r="L345" i="1"/>
  <c r="M345" i="1" s="1" a="1"/>
  <c r="M345" i="1" s="1"/>
  <c r="L346" i="1"/>
  <c r="M346" i="1" s="1" a="1"/>
  <c r="M346" i="1" s="1"/>
  <c r="L347" i="1"/>
  <c r="M347" i="1" s="1" a="1"/>
  <c r="M347" i="1" s="1"/>
  <c r="L348" i="1"/>
  <c r="M348" i="1" s="1" a="1"/>
  <c r="M348" i="1" s="1"/>
  <c r="L349" i="1"/>
  <c r="M349" i="1" s="1" a="1"/>
  <c r="M349" i="1" s="1"/>
  <c r="L350" i="1"/>
  <c r="M350" i="1" s="1" a="1"/>
  <c r="M350" i="1" s="1"/>
  <c r="L351" i="1"/>
  <c r="M351" i="1" s="1" a="1"/>
  <c r="M351" i="1" s="1"/>
  <c r="L352" i="1"/>
  <c r="M352" i="1" s="1" a="1"/>
  <c r="M352" i="1" s="1"/>
  <c r="L353" i="1"/>
  <c r="M353" i="1" s="1" a="1"/>
  <c r="M353" i="1" s="1"/>
  <c r="L354" i="1"/>
  <c r="M354" i="1" s="1" a="1"/>
  <c r="M354" i="1" s="1"/>
  <c r="L355" i="1"/>
  <c r="M355" i="1" s="1" a="1"/>
  <c r="M355" i="1" s="1"/>
  <c r="L356" i="1"/>
  <c r="M356" i="1" s="1" a="1"/>
  <c r="M356" i="1" s="1"/>
  <c r="L357" i="1"/>
  <c r="M357" i="1" s="1" a="1"/>
  <c r="M357" i="1" s="1"/>
  <c r="L358" i="1"/>
  <c r="M358" i="1" s="1" a="1"/>
  <c r="M358" i="1" s="1"/>
  <c r="L359" i="1"/>
  <c r="M359" i="1" s="1" a="1"/>
  <c r="M359" i="1" s="1"/>
  <c r="L360" i="1"/>
  <c r="M360" i="1" s="1" a="1"/>
  <c r="M360" i="1" s="1"/>
  <c r="L361" i="1"/>
  <c r="M361" i="1" s="1" a="1"/>
  <c r="M361" i="1" s="1"/>
  <c r="L362" i="1"/>
  <c r="M362" i="1" s="1" a="1"/>
  <c r="M362" i="1" s="1"/>
  <c r="L363" i="1"/>
  <c r="M363" i="1" s="1" a="1"/>
  <c r="M363" i="1" s="1"/>
  <c r="L364" i="1"/>
  <c r="M364" i="1" s="1" a="1"/>
  <c r="M364" i="1" s="1"/>
  <c r="L365" i="1"/>
  <c r="M365" i="1" s="1" a="1"/>
  <c r="M365" i="1" s="1"/>
  <c r="L366" i="1"/>
  <c r="M366" i="1" s="1" a="1"/>
  <c r="M366" i="1" s="1"/>
  <c r="L367" i="1"/>
  <c r="M367" i="1" s="1" a="1"/>
  <c r="M367" i="1" s="1"/>
  <c r="L368" i="1"/>
  <c r="M368" i="1" s="1" a="1"/>
  <c r="M368" i="1" s="1"/>
  <c r="L369" i="1"/>
  <c r="M369" i="1" s="1" a="1"/>
  <c r="M369" i="1" s="1"/>
  <c r="L370" i="1"/>
  <c r="M370" i="1" s="1" a="1"/>
  <c r="M370" i="1" s="1"/>
  <c r="L371" i="1"/>
  <c r="M371" i="1" s="1" a="1"/>
  <c r="M371" i="1" s="1"/>
  <c r="L372" i="1"/>
  <c r="M372" i="1" s="1" a="1"/>
  <c r="M372" i="1" s="1"/>
  <c r="L373" i="1"/>
  <c r="M373" i="1" s="1" a="1"/>
  <c r="M373" i="1" s="1"/>
  <c r="L374" i="1"/>
  <c r="M374" i="1" s="1" a="1"/>
  <c r="M374" i="1" s="1"/>
  <c r="L375" i="1"/>
  <c r="M375" i="1" s="1" a="1"/>
  <c r="M375" i="1" s="1"/>
  <c r="L376" i="1"/>
  <c r="M376" i="1" s="1" a="1"/>
  <c r="M376" i="1" s="1"/>
  <c r="L377" i="1"/>
  <c r="M377" i="1" s="1" a="1"/>
  <c r="M377" i="1" s="1"/>
  <c r="L378" i="1"/>
  <c r="M378" i="1" s="1" a="1"/>
  <c r="M378" i="1" s="1"/>
  <c r="L379" i="1"/>
  <c r="M379" i="1" s="1" a="1"/>
  <c r="M379" i="1" s="1"/>
  <c r="L380" i="1"/>
  <c r="M380" i="1" s="1" a="1"/>
  <c r="M380" i="1" s="1"/>
  <c r="L381" i="1"/>
  <c r="M381" i="1" s="1" a="1"/>
  <c r="M381" i="1" s="1"/>
  <c r="L382" i="1"/>
  <c r="M382" i="1" s="1" a="1"/>
  <c r="M382" i="1" s="1"/>
  <c r="L383" i="1"/>
  <c r="M383" i="1" s="1" a="1"/>
  <c r="M383" i="1" s="1"/>
  <c r="L384" i="1"/>
  <c r="M384" i="1" s="1" a="1"/>
  <c r="M384" i="1" s="1"/>
  <c r="L385" i="1"/>
  <c r="M385" i="1" s="1" a="1"/>
  <c r="M385" i="1" s="1"/>
  <c r="L386" i="1"/>
  <c r="M386" i="1" s="1" a="1"/>
  <c r="M386" i="1" s="1"/>
  <c r="L387" i="1"/>
  <c r="M387" i="1" s="1" a="1"/>
  <c r="M387" i="1" s="1"/>
  <c r="L388" i="1"/>
  <c r="M388" i="1" s="1" a="1"/>
  <c r="M388" i="1" s="1"/>
  <c r="L389" i="1"/>
  <c r="M389" i="1" s="1" a="1"/>
  <c r="M389" i="1" s="1"/>
  <c r="L390" i="1"/>
  <c r="M390" i="1" s="1" a="1"/>
  <c r="M390" i="1" s="1"/>
  <c r="L391" i="1"/>
  <c r="M391" i="1" s="1" a="1"/>
  <c r="M391" i="1" s="1"/>
  <c r="L392" i="1"/>
  <c r="M392" i="1" s="1" a="1"/>
  <c r="M392" i="1" s="1"/>
  <c r="L393" i="1"/>
  <c r="M393" i="1" s="1" a="1"/>
  <c r="M393" i="1" s="1"/>
  <c r="L394" i="1"/>
  <c r="M394" i="1" s="1" a="1"/>
  <c r="M394" i="1" s="1"/>
  <c r="L395" i="1"/>
  <c r="M395" i="1" s="1" a="1"/>
  <c r="M395" i="1" s="1"/>
  <c r="L396" i="1"/>
  <c r="M396" i="1" s="1" a="1"/>
  <c r="M396" i="1" s="1"/>
  <c r="L397" i="1"/>
  <c r="M397" i="1" s="1" a="1"/>
  <c r="M397" i="1" s="1"/>
  <c r="L398" i="1"/>
  <c r="M398" i="1" s="1" a="1"/>
  <c r="M398" i="1" s="1"/>
  <c r="L399" i="1"/>
  <c r="M399" i="1" s="1" a="1"/>
  <c r="M399" i="1" s="1"/>
  <c r="L400" i="1"/>
  <c r="M400" i="1" s="1" a="1"/>
  <c r="M400" i="1" s="1"/>
  <c r="L401" i="1"/>
  <c r="M401" i="1" s="1" a="1"/>
  <c r="M401" i="1" s="1"/>
  <c r="L402" i="1"/>
  <c r="M402" i="1" s="1" a="1"/>
  <c r="M402" i="1" s="1"/>
  <c r="L403" i="1"/>
  <c r="M403" i="1" s="1" a="1"/>
  <c r="M403" i="1" s="1"/>
  <c r="L404" i="1"/>
  <c r="M404" i="1" s="1" a="1"/>
  <c r="M404" i="1" s="1"/>
  <c r="L405" i="1"/>
  <c r="M405" i="1" s="1" a="1"/>
  <c r="M405" i="1" s="1"/>
  <c r="L406" i="1"/>
  <c r="M406" i="1" s="1" a="1"/>
  <c r="M406" i="1" s="1"/>
  <c r="L407" i="1"/>
  <c r="M407" i="1" s="1" a="1"/>
  <c r="M407" i="1" s="1"/>
  <c r="L408" i="1"/>
  <c r="M408" i="1" s="1" a="1"/>
  <c r="M408" i="1" s="1"/>
  <c r="L409" i="1"/>
  <c r="M409" i="1" s="1" a="1"/>
  <c r="M409" i="1" s="1"/>
  <c r="L410" i="1"/>
  <c r="M410" i="1" s="1" a="1"/>
  <c r="M410" i="1" s="1"/>
  <c r="L411" i="1"/>
  <c r="M411" i="1" s="1" a="1"/>
  <c r="M411" i="1" s="1"/>
  <c r="L412" i="1"/>
  <c r="M412" i="1" s="1" a="1"/>
  <c r="M412" i="1" s="1"/>
  <c r="L413" i="1"/>
  <c r="M413" i="1" s="1" a="1"/>
  <c r="M413" i="1" s="1"/>
  <c r="L414" i="1"/>
  <c r="M414" i="1" s="1" a="1"/>
  <c r="M414" i="1" s="1"/>
  <c r="L415" i="1"/>
  <c r="M415" i="1" s="1" a="1"/>
  <c r="M415" i="1" s="1"/>
  <c r="L416" i="1"/>
  <c r="M416" i="1" s="1" a="1"/>
  <c r="M416" i="1" s="1"/>
  <c r="L417" i="1"/>
  <c r="M417" i="1" s="1" a="1"/>
  <c r="M417" i="1" s="1"/>
  <c r="L418" i="1"/>
  <c r="M418" i="1" s="1" a="1"/>
  <c r="M418" i="1" s="1"/>
  <c r="L419" i="1"/>
  <c r="M419" i="1" s="1" a="1"/>
  <c r="M419" i="1" s="1"/>
  <c r="L420" i="1"/>
  <c r="M420" i="1" s="1" a="1"/>
  <c r="M420" i="1" s="1"/>
  <c r="L421" i="1"/>
  <c r="M421" i="1" s="1" a="1"/>
  <c r="M421" i="1" s="1"/>
  <c r="L422" i="1"/>
  <c r="M422" i="1" s="1" a="1"/>
  <c r="M422" i="1" s="1"/>
  <c r="L423" i="1"/>
  <c r="M423" i="1" s="1" a="1"/>
  <c r="M423" i="1" s="1"/>
  <c r="L424" i="1"/>
  <c r="M424" i="1" s="1" a="1"/>
  <c r="M424" i="1" s="1"/>
  <c r="L425" i="1"/>
  <c r="M425" i="1" s="1" a="1"/>
  <c r="M425" i="1" s="1"/>
  <c r="L426" i="1"/>
  <c r="M426" i="1" s="1" a="1"/>
  <c r="M426" i="1" s="1"/>
  <c r="L427" i="1"/>
  <c r="M427" i="1" s="1" a="1"/>
  <c r="M427" i="1" s="1"/>
  <c r="L428" i="1"/>
  <c r="M428" i="1" s="1" a="1"/>
  <c r="M428" i="1" s="1"/>
  <c r="L429" i="1"/>
  <c r="M429" i="1" s="1" a="1"/>
  <c r="M429" i="1" s="1"/>
  <c r="L430" i="1"/>
  <c r="M430" i="1" s="1" a="1"/>
  <c r="M430" i="1" s="1"/>
  <c r="L431" i="1"/>
  <c r="M431" i="1" s="1" a="1"/>
  <c r="M431" i="1" s="1"/>
  <c r="L432" i="1"/>
  <c r="M432" i="1" s="1" a="1"/>
  <c r="M432" i="1" s="1"/>
  <c r="L433" i="1"/>
  <c r="M433" i="1" s="1" a="1"/>
  <c r="M433" i="1" s="1"/>
  <c r="L434" i="1"/>
  <c r="M434" i="1" s="1" a="1"/>
  <c r="M434" i="1" s="1"/>
  <c r="L435" i="1"/>
  <c r="M435" i="1" s="1" a="1"/>
  <c r="M435" i="1" s="1"/>
  <c r="L436" i="1"/>
  <c r="M436" i="1" s="1" a="1"/>
  <c r="M436" i="1" s="1"/>
  <c r="L437" i="1"/>
  <c r="M437" i="1" s="1" a="1"/>
  <c r="M437" i="1" s="1"/>
  <c r="L438" i="1"/>
  <c r="M438" i="1" s="1" a="1"/>
  <c r="M438" i="1" s="1"/>
  <c r="L439" i="1"/>
  <c r="M439" i="1" s="1" a="1"/>
  <c r="M439" i="1" s="1"/>
  <c r="L440" i="1"/>
  <c r="M440" i="1" s="1" a="1"/>
  <c r="M440" i="1" s="1"/>
  <c r="L441" i="1"/>
  <c r="M441" i="1" s="1" a="1"/>
  <c r="M441" i="1" s="1"/>
  <c r="L442" i="1"/>
  <c r="M442" i="1" s="1" a="1"/>
  <c r="M442" i="1" s="1"/>
  <c r="L443" i="1"/>
  <c r="M443" i="1" s="1" a="1"/>
  <c r="M443" i="1" s="1"/>
  <c r="L444" i="1"/>
  <c r="M444" i="1" s="1" a="1"/>
  <c r="M444" i="1" s="1"/>
  <c r="L445" i="1"/>
  <c r="M445" i="1" s="1" a="1"/>
  <c r="M445" i="1" s="1"/>
  <c r="L446" i="1"/>
  <c r="M446" i="1" s="1" a="1"/>
  <c r="M446" i="1" s="1"/>
  <c r="L447" i="1"/>
  <c r="M447" i="1" s="1" a="1"/>
  <c r="M447" i="1" s="1"/>
  <c r="L448" i="1"/>
  <c r="M448" i="1" s="1" a="1"/>
  <c r="M448" i="1" s="1"/>
  <c r="L449" i="1"/>
  <c r="M449" i="1" s="1" a="1"/>
  <c r="M449" i="1" s="1"/>
  <c r="L450" i="1"/>
  <c r="M450" i="1" s="1" a="1"/>
  <c r="M450" i="1" s="1"/>
  <c r="L451" i="1"/>
  <c r="M451" i="1" s="1" a="1"/>
  <c r="M451" i="1" s="1"/>
  <c r="L452" i="1"/>
  <c r="M452" i="1" s="1" a="1"/>
  <c r="M452" i="1" s="1"/>
  <c r="L453" i="1"/>
  <c r="M453" i="1" s="1" a="1"/>
  <c r="M453" i="1" s="1"/>
  <c r="L454" i="1"/>
  <c r="M454" i="1" s="1" a="1"/>
  <c r="M454" i="1" s="1"/>
  <c r="L455" i="1"/>
  <c r="M455" i="1" s="1" a="1"/>
  <c r="M455" i="1" s="1"/>
  <c r="L456" i="1"/>
  <c r="M456" i="1" s="1" a="1"/>
  <c r="M456" i="1" s="1"/>
  <c r="L457" i="1"/>
  <c r="M457" i="1" s="1" a="1"/>
  <c r="M457" i="1" s="1"/>
  <c r="L458" i="1"/>
  <c r="M458" i="1" s="1" a="1"/>
  <c r="M458" i="1" s="1"/>
  <c r="L459" i="1"/>
  <c r="M459" i="1" s="1" a="1"/>
  <c r="M459" i="1" s="1"/>
  <c r="L460" i="1"/>
  <c r="M460" i="1" s="1" a="1"/>
  <c r="M460" i="1" s="1"/>
  <c r="L461" i="1"/>
  <c r="M461" i="1" s="1" a="1"/>
  <c r="M461" i="1" s="1"/>
  <c r="L462" i="1"/>
  <c r="M462" i="1" s="1" a="1"/>
  <c r="M462" i="1" s="1"/>
  <c r="L463" i="1"/>
  <c r="M463" i="1" s="1" a="1"/>
  <c r="M463" i="1" s="1"/>
  <c r="L464" i="1"/>
  <c r="M464" i="1" s="1" a="1"/>
  <c r="M464" i="1" s="1"/>
  <c r="L465" i="1"/>
  <c r="M465" i="1" s="1" a="1"/>
  <c r="M465" i="1" s="1"/>
  <c r="L466" i="1"/>
  <c r="M466" i="1" s="1" a="1"/>
  <c r="M466" i="1" s="1"/>
  <c r="L467" i="1"/>
  <c r="M467" i="1" s="1" a="1"/>
  <c r="M467" i="1" s="1"/>
  <c r="L468" i="1"/>
  <c r="M468" i="1" s="1" a="1"/>
  <c r="M468" i="1" s="1"/>
  <c r="L469" i="1"/>
  <c r="M469" i="1" s="1" a="1"/>
  <c r="M469" i="1" s="1"/>
  <c r="L470" i="1"/>
  <c r="M470" i="1" s="1" a="1"/>
  <c r="M470" i="1" s="1"/>
  <c r="L471" i="1"/>
  <c r="M471" i="1" s="1" a="1"/>
  <c r="M471" i="1" s="1"/>
  <c r="L472" i="1"/>
  <c r="M472" i="1" s="1" a="1"/>
  <c r="M472" i="1" s="1"/>
  <c r="L473" i="1"/>
  <c r="M473" i="1" s="1" a="1"/>
  <c r="M473" i="1" s="1"/>
  <c r="L474" i="1"/>
  <c r="M474" i="1" s="1" a="1"/>
  <c r="M474" i="1" s="1"/>
  <c r="L475" i="1"/>
  <c r="M475" i="1" s="1" a="1"/>
  <c r="M475" i="1" s="1"/>
  <c r="L476" i="1"/>
  <c r="M476" i="1" s="1" a="1"/>
  <c r="M476" i="1" s="1"/>
  <c r="L477" i="1"/>
  <c r="M477" i="1" s="1" a="1"/>
  <c r="M477" i="1" s="1"/>
  <c r="L478" i="1"/>
  <c r="M478" i="1" s="1" a="1"/>
  <c r="M478" i="1" s="1"/>
  <c r="L479" i="1"/>
  <c r="M479" i="1" s="1" a="1"/>
  <c r="M479" i="1" s="1"/>
  <c r="L480" i="1"/>
  <c r="M480" i="1" s="1" a="1"/>
  <c r="M480" i="1" s="1"/>
  <c r="L481" i="1"/>
  <c r="M481" i="1" s="1" a="1"/>
  <c r="M481" i="1" s="1"/>
  <c r="L482" i="1"/>
  <c r="M482" i="1" s="1" a="1"/>
  <c r="M482" i="1" s="1"/>
  <c r="L483" i="1"/>
  <c r="M483" i="1" s="1" a="1"/>
  <c r="M483" i="1" s="1"/>
  <c r="L484" i="1"/>
  <c r="M484" i="1" s="1" a="1"/>
  <c r="M484" i="1" s="1"/>
  <c r="L485" i="1"/>
  <c r="M485" i="1" s="1" a="1"/>
  <c r="M485" i="1" s="1"/>
  <c r="L486" i="1"/>
  <c r="M486" i="1" s="1" a="1"/>
  <c r="M486" i="1" s="1"/>
  <c r="L487" i="1"/>
  <c r="M487" i="1" s="1" a="1"/>
  <c r="M487" i="1" s="1"/>
  <c r="L488" i="1"/>
  <c r="M488" i="1" s="1" a="1"/>
  <c r="M488" i="1" s="1"/>
  <c r="L489" i="1"/>
  <c r="M489" i="1" s="1" a="1"/>
  <c r="M489" i="1" s="1"/>
  <c r="L490" i="1"/>
  <c r="M490" i="1" s="1" a="1"/>
  <c r="M490" i="1" s="1"/>
  <c r="L491" i="1"/>
  <c r="M491" i="1" s="1" a="1"/>
  <c r="M491" i="1" s="1"/>
  <c r="L492" i="1"/>
  <c r="M492" i="1" s="1" a="1"/>
  <c r="M492" i="1" s="1"/>
  <c r="L493" i="1"/>
  <c r="M493" i="1" s="1" a="1"/>
  <c r="M493" i="1" s="1"/>
  <c r="L494" i="1"/>
  <c r="M494" i="1" s="1" a="1"/>
  <c r="M494" i="1" s="1"/>
  <c r="L495" i="1"/>
  <c r="M495" i="1" s="1" a="1"/>
  <c r="M495" i="1" s="1"/>
  <c r="L496" i="1"/>
  <c r="M496" i="1" s="1" a="1"/>
  <c r="M496" i="1" s="1"/>
  <c r="L497" i="1"/>
  <c r="M497" i="1" s="1" a="1"/>
  <c r="M497" i="1" s="1"/>
  <c r="L498" i="1"/>
  <c r="M498" i="1" s="1" a="1"/>
  <c r="M498" i="1" s="1"/>
  <c r="L499" i="1"/>
  <c r="M499" i="1" s="1" a="1"/>
  <c r="M499" i="1" s="1"/>
  <c r="L500" i="1"/>
  <c r="M500" i="1" s="1" a="1"/>
  <c r="M500" i="1" s="1"/>
  <c r="L501" i="1"/>
  <c r="M501" i="1" s="1" a="1"/>
  <c r="M501" i="1" s="1"/>
  <c r="L502" i="1"/>
  <c r="M502" i="1" s="1" a="1"/>
  <c r="M502" i="1" s="1"/>
  <c r="L503" i="1"/>
  <c r="M503" i="1" s="1" a="1"/>
  <c r="M503" i="1" s="1"/>
  <c r="L504" i="1"/>
  <c r="M504" i="1" s="1" a="1"/>
  <c r="M504" i="1" s="1"/>
  <c r="L505" i="1"/>
  <c r="M505" i="1" s="1" a="1"/>
  <c r="M505" i="1" s="1"/>
  <c r="L506" i="1"/>
  <c r="M506" i="1" s="1" a="1"/>
  <c r="M506" i="1" s="1"/>
  <c r="L507" i="1"/>
  <c r="M507" i="1" s="1" a="1"/>
  <c r="M507" i="1" s="1"/>
  <c r="L508" i="1"/>
  <c r="M508" i="1" s="1" a="1"/>
  <c r="M508" i="1" s="1"/>
  <c r="L509" i="1"/>
  <c r="M509" i="1" s="1" a="1"/>
  <c r="M509" i="1" s="1"/>
  <c r="L510" i="1"/>
  <c r="M510" i="1" s="1" a="1"/>
  <c r="M510" i="1" s="1"/>
  <c r="L511" i="1"/>
  <c r="M511" i="1" s="1" a="1"/>
  <c r="M511" i="1" s="1"/>
  <c r="L512" i="1"/>
  <c r="M512" i="1" s="1" a="1"/>
  <c r="M512" i="1" s="1"/>
  <c r="L513" i="1"/>
  <c r="M513" i="1" s="1" a="1"/>
  <c r="M513" i="1" s="1"/>
  <c r="L514" i="1"/>
  <c r="M514" i="1" s="1" a="1"/>
  <c r="M514" i="1" s="1"/>
  <c r="L515" i="1"/>
  <c r="M515" i="1" s="1" a="1"/>
  <c r="M515" i="1" s="1"/>
  <c r="L516" i="1"/>
  <c r="M516" i="1" s="1" a="1"/>
  <c r="M516" i="1" s="1"/>
  <c r="L517" i="1"/>
  <c r="M517" i="1" s="1" a="1"/>
  <c r="M517" i="1" s="1"/>
  <c r="L518" i="1"/>
  <c r="M518" i="1" s="1" a="1"/>
  <c r="M518" i="1" s="1"/>
  <c r="L519" i="1"/>
  <c r="M519" i="1" s="1" a="1"/>
  <c r="M519" i="1" s="1"/>
  <c r="L520" i="1"/>
  <c r="M520" i="1" s="1" a="1"/>
  <c r="M520" i="1" s="1"/>
  <c r="L521" i="1"/>
  <c r="M521" i="1" s="1" a="1"/>
  <c r="M521" i="1" s="1"/>
  <c r="L522" i="1"/>
  <c r="M522" i="1" s="1" a="1"/>
  <c r="M522" i="1" s="1"/>
  <c r="L523" i="1"/>
  <c r="M523" i="1" s="1" a="1"/>
  <c r="M523" i="1" s="1"/>
  <c r="L524" i="1"/>
  <c r="M524" i="1" s="1" a="1"/>
  <c r="M524" i="1" s="1"/>
  <c r="L525" i="1"/>
  <c r="M525" i="1" s="1" a="1"/>
  <c r="M525" i="1" s="1"/>
  <c r="L526" i="1"/>
  <c r="M526" i="1" s="1" a="1"/>
  <c r="M526" i="1" s="1"/>
  <c r="L527" i="1"/>
  <c r="M527" i="1" s="1" a="1"/>
  <c r="M527" i="1" s="1"/>
  <c r="L528" i="1"/>
  <c r="M528" i="1" s="1" a="1"/>
  <c r="M528" i="1" s="1"/>
  <c r="L529" i="1"/>
  <c r="M529" i="1" s="1" a="1"/>
  <c r="M529" i="1" s="1"/>
  <c r="L530" i="1"/>
  <c r="M530" i="1" s="1" a="1"/>
  <c r="M530" i="1" s="1"/>
  <c r="L531" i="1"/>
  <c r="M531" i="1" s="1" a="1"/>
  <c r="M531" i="1" s="1"/>
  <c r="L532" i="1"/>
  <c r="M532" i="1" s="1" a="1"/>
  <c r="M532" i="1" s="1"/>
  <c r="L533" i="1"/>
  <c r="M533" i="1" s="1" a="1"/>
  <c r="M533" i="1" s="1"/>
  <c r="L534" i="1"/>
  <c r="M534" i="1" s="1" a="1"/>
  <c r="M534" i="1" s="1"/>
  <c r="L535" i="1"/>
  <c r="M535" i="1" s="1" a="1"/>
  <c r="M535" i="1" s="1"/>
  <c r="L536" i="1"/>
  <c r="M536" i="1" s="1" a="1"/>
  <c r="M536" i="1" s="1"/>
  <c r="L537" i="1"/>
  <c r="M537" i="1" s="1" a="1"/>
  <c r="M537" i="1" s="1"/>
  <c r="L538" i="1"/>
  <c r="M538" i="1" s="1" a="1"/>
  <c r="M538" i="1" s="1"/>
  <c r="L539" i="1"/>
  <c r="M539" i="1" s="1" a="1"/>
  <c r="M539" i="1" s="1"/>
  <c r="L540" i="1"/>
  <c r="M540" i="1" s="1" a="1"/>
  <c r="M540" i="1" s="1"/>
  <c r="L541" i="1"/>
  <c r="M541" i="1" s="1" a="1"/>
  <c r="M541" i="1" s="1"/>
  <c r="L542" i="1"/>
  <c r="M542" i="1" s="1" a="1"/>
  <c r="M542" i="1" s="1"/>
  <c r="L543" i="1"/>
  <c r="M543" i="1" s="1" a="1"/>
  <c r="M543" i="1" s="1"/>
  <c r="L544" i="1"/>
  <c r="M544" i="1" s="1" a="1"/>
  <c r="M544" i="1" s="1"/>
  <c r="L545" i="1"/>
  <c r="M545" i="1" s="1" a="1"/>
  <c r="M545" i="1" s="1"/>
  <c r="L546" i="1"/>
  <c r="M546" i="1" s="1" a="1"/>
  <c r="M546" i="1" s="1"/>
  <c r="L547" i="1"/>
  <c r="M547" i="1" s="1" a="1"/>
  <c r="M547" i="1" s="1"/>
  <c r="L548" i="1"/>
  <c r="M548" i="1" s="1" a="1"/>
  <c r="M548" i="1" s="1"/>
  <c r="L549" i="1"/>
  <c r="M549" i="1" s="1" a="1"/>
  <c r="M549" i="1" s="1"/>
  <c r="L550" i="1"/>
  <c r="M550" i="1" s="1" a="1"/>
  <c r="M550" i="1" s="1"/>
  <c r="L551" i="1"/>
  <c r="M551" i="1" s="1" a="1"/>
  <c r="M551" i="1" s="1"/>
  <c r="L552" i="1"/>
  <c r="M552" i="1" s="1" a="1"/>
  <c r="M552" i="1" s="1"/>
  <c r="L553" i="1"/>
  <c r="M553" i="1" s="1" a="1"/>
  <c r="M553" i="1" s="1"/>
  <c r="L554" i="1"/>
  <c r="M554" i="1" s="1" a="1"/>
  <c r="M554" i="1" s="1"/>
  <c r="L555" i="1"/>
  <c r="M555" i="1" s="1" a="1"/>
  <c r="M555" i="1" s="1"/>
  <c r="L556" i="1"/>
  <c r="M556" i="1" s="1" a="1"/>
  <c r="M556" i="1" s="1"/>
  <c r="L557" i="1"/>
  <c r="M557" i="1" s="1" a="1"/>
  <c r="M557" i="1" s="1"/>
  <c r="L558" i="1"/>
  <c r="M558" i="1" s="1" a="1"/>
  <c r="M558" i="1" s="1"/>
  <c r="L559" i="1"/>
  <c r="M559" i="1" s="1" a="1"/>
  <c r="M559" i="1" s="1"/>
  <c r="L560" i="1"/>
  <c r="M560" i="1" s="1" a="1"/>
  <c r="M560" i="1" s="1"/>
  <c r="L561" i="1"/>
  <c r="M561" i="1" s="1" a="1"/>
  <c r="M561" i="1" s="1"/>
  <c r="L562" i="1"/>
  <c r="M562" i="1" s="1" a="1"/>
  <c r="M562" i="1" s="1"/>
  <c r="L563" i="1"/>
  <c r="M563" i="1" s="1" a="1"/>
  <c r="M563" i="1" s="1"/>
  <c r="L564" i="1"/>
  <c r="M564" i="1" s="1" a="1"/>
  <c r="M564" i="1" s="1"/>
  <c r="L565" i="1"/>
  <c r="M565" i="1" s="1" a="1"/>
  <c r="M565" i="1" s="1"/>
  <c r="L566" i="1"/>
  <c r="M566" i="1" s="1" a="1"/>
  <c r="M566" i="1" s="1"/>
  <c r="L567" i="1"/>
  <c r="M567" i="1" s="1" a="1"/>
  <c r="M567" i="1" s="1"/>
  <c r="L568" i="1"/>
  <c r="M568" i="1" s="1" a="1"/>
  <c r="M568" i="1" s="1"/>
  <c r="L569" i="1"/>
  <c r="M569" i="1" s="1" a="1"/>
  <c r="M569" i="1" s="1"/>
  <c r="L570" i="1"/>
  <c r="M570" i="1" s="1" a="1"/>
  <c r="M570" i="1" s="1"/>
  <c r="L571" i="1"/>
  <c r="M571" i="1" s="1" a="1"/>
  <c r="M571" i="1" s="1"/>
  <c r="L572" i="1"/>
  <c r="M572" i="1" s="1" a="1"/>
  <c r="M572" i="1" s="1"/>
  <c r="L573" i="1"/>
  <c r="M573" i="1" s="1" a="1"/>
  <c r="M573" i="1" s="1"/>
  <c r="L574" i="1"/>
  <c r="M574" i="1" s="1" a="1"/>
  <c r="M574" i="1" s="1"/>
  <c r="L575" i="1"/>
  <c r="M575" i="1" s="1" a="1"/>
  <c r="M575" i="1" s="1"/>
  <c r="L576" i="1"/>
  <c r="M576" i="1" s="1" a="1"/>
  <c r="M576" i="1" s="1"/>
  <c r="L577" i="1"/>
  <c r="M577" i="1" s="1" a="1"/>
  <c r="M577" i="1" s="1"/>
  <c r="L578" i="1"/>
  <c r="M578" i="1" s="1" a="1"/>
  <c r="M578" i="1" s="1"/>
  <c r="L579" i="1"/>
  <c r="M579" i="1" s="1" a="1"/>
  <c r="M579" i="1" s="1"/>
  <c r="L580" i="1"/>
  <c r="M580" i="1" s="1" a="1"/>
  <c r="M580" i="1" s="1"/>
  <c r="L581" i="1"/>
  <c r="M581" i="1" s="1" a="1"/>
  <c r="M581" i="1" s="1"/>
  <c r="L582" i="1"/>
  <c r="M582" i="1" s="1" a="1"/>
  <c r="M582" i="1" s="1"/>
  <c r="L583" i="1"/>
  <c r="M583" i="1" s="1" a="1"/>
  <c r="M583" i="1" s="1"/>
  <c r="L584" i="1"/>
  <c r="M584" i="1" s="1" a="1"/>
  <c r="M584" i="1" s="1"/>
  <c r="L585" i="1"/>
  <c r="M585" i="1" s="1" a="1"/>
  <c r="M585" i="1" s="1"/>
  <c r="L586" i="1"/>
  <c r="M586" i="1" s="1" a="1"/>
  <c r="M586" i="1" s="1"/>
  <c r="L587" i="1"/>
  <c r="M587" i="1" s="1" a="1"/>
  <c r="M587" i="1" s="1"/>
  <c r="L588" i="1"/>
  <c r="M588" i="1" s="1" a="1"/>
  <c r="M588" i="1" s="1"/>
  <c r="L589" i="1"/>
  <c r="M589" i="1" s="1" a="1"/>
  <c r="M589" i="1" s="1"/>
  <c r="L590" i="1"/>
  <c r="M590" i="1" s="1" a="1"/>
  <c r="M590" i="1" s="1"/>
  <c r="L591" i="1"/>
  <c r="M591" i="1" s="1" a="1"/>
  <c r="M591" i="1" s="1"/>
  <c r="L592" i="1"/>
  <c r="M592" i="1" s="1" a="1"/>
  <c r="M592" i="1" s="1"/>
  <c r="L593" i="1"/>
  <c r="M593" i="1" s="1" a="1"/>
  <c r="M593" i="1" s="1"/>
  <c r="L594" i="1"/>
  <c r="M594" i="1" s="1" a="1"/>
  <c r="M594" i="1" s="1"/>
  <c r="L595" i="1"/>
  <c r="M595" i="1" s="1" a="1"/>
  <c r="M595" i="1" s="1"/>
  <c r="L596" i="1"/>
  <c r="M596" i="1" s="1" a="1"/>
  <c r="M596" i="1" s="1"/>
  <c r="L597" i="1"/>
  <c r="M597" i="1" s="1" a="1"/>
  <c r="M597" i="1" s="1"/>
  <c r="L598" i="1"/>
  <c r="M598" i="1" s="1" a="1"/>
  <c r="M598" i="1" s="1"/>
  <c r="L599" i="1"/>
  <c r="M599" i="1" s="1" a="1"/>
  <c r="M599" i="1" s="1"/>
  <c r="L600" i="1"/>
  <c r="M600" i="1" s="1" a="1"/>
  <c r="M600" i="1" s="1"/>
  <c r="L601" i="1"/>
  <c r="M601" i="1" s="1" a="1"/>
  <c r="M601" i="1" s="1"/>
  <c r="L602" i="1"/>
  <c r="M602" i="1" s="1" a="1"/>
  <c r="M602" i="1" s="1"/>
  <c r="L603" i="1"/>
  <c r="M603" i="1" s="1" a="1"/>
  <c r="M603" i="1" s="1"/>
  <c r="L604" i="1"/>
  <c r="M604" i="1" s="1" a="1"/>
  <c r="M604" i="1" s="1"/>
  <c r="L605" i="1"/>
  <c r="M605" i="1" s="1" a="1"/>
  <c r="M605" i="1" s="1"/>
  <c r="L606" i="1"/>
  <c r="M606" i="1" s="1" a="1"/>
  <c r="M606" i="1" s="1"/>
  <c r="L607" i="1"/>
  <c r="M607" i="1" s="1" a="1"/>
  <c r="M607" i="1" s="1"/>
  <c r="L608" i="1"/>
  <c r="M608" i="1" s="1" a="1"/>
  <c r="M608" i="1" s="1"/>
  <c r="L609" i="1"/>
  <c r="M609" i="1" s="1" a="1"/>
  <c r="M609" i="1" s="1"/>
  <c r="L610" i="1"/>
  <c r="M610" i="1" s="1" a="1"/>
  <c r="M610" i="1" s="1"/>
  <c r="L611" i="1"/>
  <c r="M611" i="1" s="1" a="1"/>
  <c r="M611" i="1" s="1"/>
  <c r="L612" i="1"/>
  <c r="M612" i="1" s="1" a="1"/>
  <c r="M612" i="1" s="1"/>
  <c r="L613" i="1"/>
  <c r="M613" i="1" s="1" a="1"/>
  <c r="M613" i="1" s="1"/>
  <c r="L614" i="1"/>
  <c r="M614" i="1" s="1" a="1"/>
  <c r="M614" i="1" s="1"/>
  <c r="L615" i="1"/>
  <c r="M615" i="1" s="1" a="1"/>
  <c r="M615" i="1" s="1"/>
  <c r="L616" i="1"/>
  <c r="M616" i="1" s="1" a="1"/>
  <c r="M616" i="1" s="1"/>
  <c r="L617" i="1"/>
  <c r="M617" i="1" s="1" a="1"/>
  <c r="M617" i="1" s="1"/>
  <c r="L618" i="1"/>
  <c r="M618" i="1" s="1" a="1"/>
  <c r="M618" i="1" s="1"/>
  <c r="L619" i="1"/>
  <c r="M619" i="1" s="1" a="1"/>
  <c r="M619" i="1" s="1"/>
  <c r="L620" i="1"/>
  <c r="M620" i="1" s="1" a="1"/>
  <c r="M620" i="1" s="1"/>
  <c r="L621" i="1"/>
  <c r="M621" i="1" s="1" a="1"/>
  <c r="M621" i="1" s="1"/>
  <c r="L622" i="1"/>
  <c r="M622" i="1" s="1" a="1"/>
  <c r="M622" i="1" s="1"/>
  <c r="L623" i="1"/>
  <c r="M623" i="1" s="1" a="1"/>
  <c r="M623" i="1" s="1"/>
  <c r="L624" i="1"/>
  <c r="M624" i="1" s="1" a="1"/>
  <c r="M624" i="1" s="1"/>
  <c r="L625" i="1"/>
  <c r="M625" i="1" s="1" a="1"/>
  <c r="M625" i="1" s="1"/>
  <c r="L626" i="1"/>
  <c r="M626" i="1" s="1" a="1"/>
  <c r="M626" i="1" s="1"/>
  <c r="L627" i="1"/>
  <c r="M627" i="1" s="1" a="1"/>
  <c r="M627" i="1" s="1"/>
  <c r="L628" i="1"/>
  <c r="M628" i="1" s="1" a="1"/>
  <c r="M628" i="1" s="1"/>
  <c r="L629" i="1"/>
  <c r="M629" i="1" s="1" a="1"/>
  <c r="M629" i="1" s="1"/>
  <c r="L630" i="1"/>
  <c r="M630" i="1" s="1" a="1"/>
  <c r="M630" i="1" s="1"/>
  <c r="L631" i="1"/>
  <c r="M631" i="1" s="1" a="1"/>
  <c r="M631" i="1" s="1"/>
  <c r="L632" i="1"/>
  <c r="M632" i="1" s="1" a="1"/>
  <c r="M632" i="1" s="1"/>
  <c r="L633" i="1"/>
  <c r="M633" i="1" s="1" a="1"/>
  <c r="M633" i="1" s="1"/>
  <c r="L634" i="1"/>
  <c r="M634" i="1" s="1" a="1"/>
  <c r="M634" i="1" s="1"/>
  <c r="L635" i="1"/>
  <c r="M635" i="1" s="1" a="1"/>
  <c r="M635" i="1" s="1"/>
  <c r="L636" i="1"/>
  <c r="M636" i="1" s="1" a="1"/>
  <c r="M636" i="1" s="1"/>
  <c r="L637" i="1"/>
  <c r="M637" i="1" s="1" a="1"/>
  <c r="M637" i="1" s="1"/>
  <c r="L638" i="1"/>
  <c r="M638" i="1" s="1" a="1"/>
  <c r="M638" i="1" s="1"/>
  <c r="L639" i="1"/>
  <c r="M639" i="1" s="1" a="1"/>
  <c r="M639" i="1" s="1"/>
  <c r="L640" i="1"/>
  <c r="M640" i="1" s="1" a="1"/>
  <c r="M640" i="1" s="1"/>
  <c r="L641" i="1"/>
  <c r="M641" i="1" s="1" a="1"/>
  <c r="M641" i="1" s="1"/>
  <c r="L642" i="1"/>
  <c r="M642" i="1" s="1" a="1"/>
  <c r="M642" i="1" s="1"/>
  <c r="L643" i="1"/>
  <c r="M643" i="1" s="1" a="1"/>
  <c r="M643" i="1" s="1"/>
  <c r="L644" i="1"/>
  <c r="M644" i="1" s="1" a="1"/>
  <c r="M644" i="1" s="1"/>
  <c r="L645" i="1"/>
  <c r="M645" i="1" s="1" a="1"/>
  <c r="M645" i="1" s="1"/>
  <c r="L646" i="1"/>
  <c r="M646" i="1" s="1" a="1"/>
  <c r="M646" i="1" s="1"/>
  <c r="L647" i="1"/>
  <c r="M647" i="1" s="1" a="1"/>
  <c r="M647" i="1" s="1"/>
  <c r="L648" i="1"/>
  <c r="M648" i="1" s="1" a="1"/>
  <c r="M648" i="1" s="1"/>
  <c r="L649" i="1"/>
  <c r="M649" i="1" s="1" a="1"/>
  <c r="M649" i="1" s="1"/>
  <c r="L650" i="1"/>
  <c r="M650" i="1" s="1" a="1"/>
  <c r="M650" i="1" s="1"/>
  <c r="L651" i="1"/>
  <c r="M651" i="1" s="1" a="1"/>
  <c r="M651" i="1" s="1"/>
  <c r="L652" i="1"/>
  <c r="M652" i="1" s="1" a="1"/>
  <c r="M652" i="1" s="1"/>
  <c r="L653" i="1"/>
  <c r="M653" i="1" s="1" a="1"/>
  <c r="M653" i="1" s="1"/>
  <c r="L654" i="1"/>
  <c r="M654" i="1" s="1" a="1"/>
  <c r="M654" i="1" s="1"/>
  <c r="L655" i="1"/>
  <c r="M655" i="1" s="1" a="1"/>
  <c r="M655" i="1" s="1"/>
  <c r="L656" i="1"/>
  <c r="M656" i="1" s="1" a="1"/>
  <c r="M656" i="1" s="1"/>
  <c r="L657" i="1"/>
  <c r="M657" i="1" s="1" a="1"/>
  <c r="M657" i="1" s="1"/>
  <c r="L658" i="1"/>
  <c r="M658" i="1" s="1" a="1"/>
  <c r="M658" i="1" s="1"/>
  <c r="L659" i="1"/>
  <c r="M659" i="1" s="1" a="1"/>
  <c r="M659" i="1" s="1"/>
  <c r="L660" i="1"/>
  <c r="M660" i="1" s="1" a="1"/>
  <c r="M660" i="1" s="1"/>
  <c r="L661" i="1"/>
  <c r="M661" i="1" s="1" a="1"/>
  <c r="M661" i="1" s="1"/>
  <c r="L662" i="1"/>
  <c r="M662" i="1" s="1" a="1"/>
  <c r="M662" i="1" s="1"/>
  <c r="L663" i="1"/>
  <c r="M663" i="1" s="1" a="1"/>
  <c r="M663" i="1" s="1"/>
  <c r="L664" i="1"/>
  <c r="M664" i="1" s="1" a="1"/>
  <c r="M664" i="1" s="1"/>
  <c r="L665" i="1"/>
  <c r="M665" i="1" s="1" a="1"/>
  <c r="M665" i="1" s="1"/>
  <c r="L666" i="1"/>
  <c r="M666" i="1" s="1" a="1"/>
  <c r="M666" i="1" s="1"/>
  <c r="L667" i="1"/>
  <c r="M667" i="1" s="1" a="1"/>
  <c r="M667" i="1" s="1"/>
  <c r="L668" i="1"/>
  <c r="M668" i="1" s="1" a="1"/>
  <c r="M668" i="1" s="1"/>
  <c r="L669" i="1"/>
  <c r="M669" i="1" s="1" a="1"/>
  <c r="M669" i="1" s="1"/>
  <c r="L670" i="1"/>
  <c r="M670" i="1" s="1" a="1"/>
  <c r="M670" i="1" s="1"/>
  <c r="L671" i="1"/>
  <c r="M671" i="1" s="1" a="1"/>
  <c r="M671" i="1" s="1"/>
  <c r="L672" i="1"/>
  <c r="M672" i="1" s="1" a="1"/>
  <c r="M672" i="1" s="1"/>
  <c r="L673" i="1"/>
  <c r="M673" i="1" s="1" a="1"/>
  <c r="M673" i="1" s="1"/>
  <c r="L674" i="1"/>
  <c r="M674" i="1" s="1" a="1"/>
  <c r="M674" i="1" s="1"/>
  <c r="L675" i="1"/>
  <c r="M675" i="1" s="1" a="1"/>
  <c r="M675" i="1" s="1"/>
  <c r="L676" i="1"/>
  <c r="M676" i="1" s="1" a="1"/>
  <c r="M676" i="1" s="1"/>
  <c r="L677" i="1"/>
  <c r="M677" i="1" s="1" a="1"/>
  <c r="M677" i="1" s="1"/>
  <c r="L678" i="1"/>
  <c r="M678" i="1" s="1" a="1"/>
  <c r="M678" i="1" s="1"/>
  <c r="L679" i="1"/>
  <c r="M679" i="1" s="1" a="1"/>
  <c r="M679" i="1" s="1"/>
  <c r="L680" i="1"/>
  <c r="M680" i="1" s="1" a="1"/>
  <c r="M680" i="1" s="1"/>
  <c r="L681" i="1"/>
  <c r="M681" i="1" s="1" a="1"/>
  <c r="M681" i="1" s="1"/>
  <c r="L682" i="1"/>
  <c r="M682" i="1" s="1" a="1"/>
  <c r="M682" i="1" s="1"/>
  <c r="L683" i="1"/>
  <c r="M683" i="1" s="1" a="1"/>
  <c r="M683" i="1" s="1"/>
  <c r="L684" i="1"/>
  <c r="M684" i="1" s="1" a="1"/>
  <c r="M684" i="1" s="1"/>
  <c r="L685" i="1"/>
  <c r="M685" i="1" s="1" a="1"/>
  <c r="M685" i="1" s="1"/>
  <c r="L686" i="1"/>
  <c r="M686" i="1" s="1" a="1"/>
  <c r="M686" i="1" s="1"/>
  <c r="L687" i="1"/>
  <c r="M687" i="1" s="1" a="1"/>
  <c r="M687" i="1" s="1"/>
  <c r="L688" i="1"/>
  <c r="M688" i="1" s="1" a="1"/>
  <c r="M688" i="1" s="1"/>
  <c r="L689" i="1"/>
  <c r="M689" i="1" s="1" a="1"/>
  <c r="M689" i="1" s="1"/>
  <c r="L690" i="1"/>
  <c r="M690" i="1" s="1" a="1"/>
  <c r="M690" i="1" s="1"/>
  <c r="L691" i="1"/>
  <c r="M691" i="1" s="1" a="1"/>
  <c r="M691" i="1" s="1"/>
  <c r="L692" i="1"/>
  <c r="M692" i="1" s="1" a="1"/>
  <c r="M692" i="1" s="1"/>
  <c r="L693" i="1"/>
  <c r="M693" i="1" s="1" a="1"/>
  <c r="M693" i="1" s="1"/>
  <c r="L694" i="1"/>
  <c r="M694" i="1" s="1" a="1"/>
  <c r="M694" i="1" s="1"/>
  <c r="L695" i="1"/>
  <c r="M695" i="1" s="1" a="1"/>
  <c r="M695" i="1" s="1"/>
  <c r="L696" i="1"/>
  <c r="M696" i="1" s="1" a="1"/>
  <c r="M696" i="1" s="1"/>
  <c r="L697" i="1"/>
  <c r="M697" i="1" s="1" a="1"/>
  <c r="M697" i="1" s="1"/>
  <c r="L698" i="1"/>
  <c r="M698" i="1" s="1" a="1"/>
  <c r="M698" i="1" s="1"/>
  <c r="L699" i="1"/>
  <c r="M699" i="1" s="1" a="1"/>
  <c r="M699" i="1" s="1"/>
  <c r="L700" i="1"/>
  <c r="M700" i="1" s="1" a="1"/>
  <c r="M700" i="1" s="1"/>
  <c r="L701" i="1"/>
  <c r="M701" i="1" s="1" a="1"/>
  <c r="M701" i="1" s="1"/>
  <c r="L702" i="1"/>
  <c r="M702" i="1" s="1" a="1"/>
  <c r="M702" i="1" s="1"/>
  <c r="L703" i="1"/>
  <c r="M703" i="1" s="1" a="1"/>
  <c r="M703" i="1" s="1"/>
  <c r="L704" i="1"/>
  <c r="M704" i="1" s="1" a="1"/>
  <c r="M704" i="1" s="1"/>
  <c r="L705" i="1"/>
  <c r="M705" i="1" s="1" a="1"/>
  <c r="M705" i="1" s="1"/>
  <c r="L706" i="1"/>
  <c r="M706" i="1" s="1" a="1"/>
  <c r="M706" i="1" s="1"/>
  <c r="L707" i="1"/>
  <c r="M707" i="1" s="1" a="1"/>
  <c r="M707" i="1" s="1"/>
  <c r="L708" i="1"/>
  <c r="M708" i="1" s="1" a="1"/>
  <c r="M708" i="1" s="1"/>
  <c r="L709" i="1"/>
  <c r="M709" i="1" s="1" a="1"/>
  <c r="M709" i="1" s="1"/>
  <c r="L710" i="1"/>
  <c r="M710" i="1" s="1" a="1"/>
  <c r="M710" i="1" s="1"/>
  <c r="L711" i="1"/>
  <c r="M711" i="1" s="1" a="1"/>
  <c r="M711" i="1" s="1"/>
  <c r="L712" i="1"/>
  <c r="M712" i="1" s="1" a="1"/>
  <c r="M712" i="1" s="1"/>
  <c r="L713" i="1"/>
  <c r="M713" i="1" s="1" a="1"/>
  <c r="M713" i="1" s="1"/>
  <c r="L714" i="1"/>
  <c r="M714" i="1" s="1" a="1"/>
  <c r="M714" i="1" s="1"/>
  <c r="L715" i="1"/>
  <c r="M715" i="1" s="1" a="1"/>
  <c r="M715" i="1" s="1"/>
  <c r="L716" i="1"/>
  <c r="M716" i="1" s="1" a="1"/>
  <c r="M716" i="1" s="1"/>
  <c r="L717" i="1"/>
  <c r="M717" i="1" s="1" a="1"/>
  <c r="M717" i="1" s="1"/>
  <c r="L718" i="1"/>
  <c r="M718" i="1" s="1" a="1"/>
  <c r="M718" i="1" s="1"/>
  <c r="L719" i="1"/>
  <c r="M719" i="1" s="1" a="1"/>
  <c r="M719" i="1" s="1"/>
  <c r="L720" i="1"/>
  <c r="M720" i="1" s="1" a="1"/>
  <c r="M720" i="1" s="1"/>
  <c r="L721" i="1"/>
  <c r="M721" i="1" s="1" a="1"/>
  <c r="M721" i="1" s="1"/>
  <c r="L722" i="1"/>
  <c r="M722" i="1" s="1" a="1"/>
  <c r="M722" i="1" s="1"/>
  <c r="L723" i="1"/>
  <c r="M723" i="1" s="1" a="1"/>
  <c r="M723" i="1" s="1"/>
  <c r="L724" i="1"/>
  <c r="M724" i="1" s="1" a="1"/>
  <c r="M724" i="1" s="1"/>
  <c r="L725" i="1"/>
  <c r="M725" i="1" s="1" a="1"/>
  <c r="M725" i="1" s="1"/>
  <c r="L726" i="1"/>
  <c r="M726" i="1" s="1" a="1"/>
  <c r="M726" i="1" s="1"/>
  <c r="L727" i="1"/>
  <c r="M727" i="1" s="1" a="1"/>
  <c r="M727" i="1" s="1"/>
  <c r="L728" i="1"/>
  <c r="M728" i="1" s="1" a="1"/>
  <c r="M728" i="1" s="1"/>
  <c r="L729" i="1"/>
  <c r="M729" i="1" s="1" a="1"/>
  <c r="M729" i="1" s="1"/>
  <c r="L730" i="1"/>
  <c r="M730" i="1" s="1" a="1"/>
  <c r="M730" i="1" s="1"/>
  <c r="L731" i="1"/>
  <c r="M731" i="1" s="1" a="1"/>
  <c r="M731" i="1" s="1"/>
  <c r="L732" i="1"/>
  <c r="M732" i="1" s="1" a="1"/>
  <c r="M732" i="1" s="1"/>
  <c r="L733" i="1"/>
  <c r="M733" i="1" s="1" a="1"/>
  <c r="M733" i="1" s="1"/>
  <c r="L734" i="1"/>
  <c r="M734" i="1" s="1" a="1"/>
  <c r="M734" i="1" s="1"/>
  <c r="L735" i="1"/>
  <c r="M735" i="1" s="1" a="1"/>
  <c r="M735" i="1" s="1"/>
  <c r="L736" i="1"/>
  <c r="M736" i="1" s="1" a="1"/>
  <c r="M736" i="1" s="1"/>
  <c r="L737" i="1"/>
  <c r="M737" i="1" s="1" a="1"/>
  <c r="M737" i="1" s="1"/>
  <c r="L738" i="1"/>
  <c r="M738" i="1" s="1" a="1"/>
  <c r="M738" i="1" s="1"/>
  <c r="L739" i="1"/>
  <c r="M739" i="1" s="1" a="1"/>
  <c r="M739" i="1" s="1"/>
  <c r="L740" i="1"/>
  <c r="M740" i="1" s="1" a="1"/>
  <c r="M740" i="1" s="1"/>
  <c r="L741" i="1"/>
  <c r="M741" i="1" s="1" a="1"/>
  <c r="M741" i="1" s="1"/>
  <c r="L742" i="1"/>
  <c r="M742" i="1" s="1" a="1"/>
  <c r="M742" i="1" s="1"/>
  <c r="L743" i="1"/>
  <c r="M743" i="1" s="1" a="1"/>
  <c r="M743" i="1" s="1"/>
  <c r="L744" i="1"/>
  <c r="M744" i="1" s="1" a="1"/>
  <c r="M744" i="1" s="1"/>
  <c r="L745" i="1"/>
  <c r="M745" i="1" s="1" a="1"/>
  <c r="M745" i="1" s="1"/>
  <c r="L746" i="1"/>
  <c r="M746" i="1" s="1" a="1"/>
  <c r="M746" i="1" s="1"/>
  <c r="L747" i="1"/>
  <c r="M747" i="1" s="1" a="1"/>
  <c r="M747" i="1" s="1"/>
  <c r="L748" i="1"/>
  <c r="M748" i="1" s="1" a="1"/>
  <c r="M748" i="1" s="1"/>
  <c r="L749" i="1"/>
  <c r="M749" i="1" s="1" a="1"/>
  <c r="M749" i="1" s="1"/>
  <c r="L750" i="1"/>
  <c r="M750" i="1" s="1" a="1"/>
  <c r="M750" i="1" s="1"/>
  <c r="L751" i="1"/>
  <c r="M751" i="1" s="1" a="1"/>
  <c r="M751" i="1" s="1"/>
  <c r="L752" i="1"/>
  <c r="M752" i="1" s="1" a="1"/>
  <c r="M752" i="1" s="1"/>
  <c r="L753" i="1"/>
  <c r="M753" i="1" s="1" a="1"/>
  <c r="M753" i="1" s="1"/>
  <c r="L754" i="1"/>
  <c r="M754" i="1" s="1" a="1"/>
  <c r="M754" i="1" s="1"/>
  <c r="L755" i="1"/>
  <c r="M755" i="1" s="1" a="1"/>
  <c r="M755" i="1" s="1"/>
  <c r="L756" i="1"/>
  <c r="M756" i="1" s="1" a="1"/>
  <c r="M756" i="1" s="1"/>
  <c r="L757" i="1"/>
  <c r="M757" i="1" s="1" a="1"/>
  <c r="M757" i="1" s="1"/>
  <c r="L758" i="1"/>
  <c r="M758" i="1" s="1" a="1"/>
  <c r="M758" i="1" s="1"/>
  <c r="L759" i="1"/>
  <c r="M759" i="1" s="1" a="1"/>
  <c r="M759" i="1" s="1"/>
  <c r="L760" i="1"/>
  <c r="M760" i="1" s="1" a="1"/>
  <c r="M760" i="1" s="1"/>
  <c r="L761" i="1"/>
  <c r="M761" i="1" s="1" a="1"/>
  <c r="M761" i="1" s="1"/>
  <c r="L762" i="1"/>
  <c r="M762" i="1" s="1" a="1"/>
  <c r="M762" i="1" s="1"/>
  <c r="L763" i="1"/>
  <c r="M763" i="1" s="1" a="1"/>
  <c r="M763" i="1" s="1"/>
  <c r="L764" i="1"/>
  <c r="M764" i="1" s="1" a="1"/>
  <c r="M764" i="1" s="1"/>
  <c r="L765" i="1"/>
  <c r="M765" i="1" s="1" a="1"/>
  <c r="M765" i="1" s="1"/>
  <c r="L766" i="1"/>
  <c r="M766" i="1" s="1" a="1"/>
  <c r="M766" i="1" s="1"/>
  <c r="L767" i="1"/>
  <c r="M767" i="1" s="1" a="1"/>
  <c r="M767" i="1" s="1"/>
  <c r="L768" i="1"/>
  <c r="M768" i="1" s="1" a="1"/>
  <c r="M768" i="1" s="1"/>
  <c r="L769" i="1"/>
  <c r="M769" i="1" s="1" a="1"/>
  <c r="M769" i="1" s="1"/>
  <c r="L770" i="1"/>
  <c r="M770" i="1" s="1" a="1"/>
  <c r="M770" i="1" s="1"/>
  <c r="L771" i="1"/>
  <c r="M771" i="1" s="1" a="1"/>
  <c r="M771" i="1" s="1"/>
  <c r="L772" i="1"/>
  <c r="M772" i="1" s="1" a="1"/>
  <c r="M772" i="1" s="1"/>
  <c r="L773" i="1"/>
  <c r="M773" i="1" s="1" a="1"/>
  <c r="M773" i="1" s="1"/>
  <c r="L774" i="1"/>
  <c r="M774" i="1" s="1" a="1"/>
  <c r="M774" i="1" s="1"/>
  <c r="L775" i="1"/>
  <c r="M775" i="1" s="1" a="1"/>
  <c r="M775" i="1" s="1"/>
  <c r="L776" i="1"/>
  <c r="M776" i="1" s="1" a="1"/>
  <c r="M776" i="1" s="1"/>
  <c r="L777" i="1"/>
  <c r="M777" i="1" s="1" a="1"/>
  <c r="M777" i="1" s="1"/>
  <c r="L778" i="1"/>
  <c r="M778" i="1" s="1" a="1"/>
  <c r="M778" i="1" s="1"/>
  <c r="L779" i="1"/>
  <c r="M779" i="1" s="1" a="1"/>
  <c r="M779" i="1" s="1"/>
  <c r="L780" i="1"/>
  <c r="M780" i="1" s="1" a="1"/>
  <c r="M780" i="1" s="1"/>
  <c r="L781" i="1"/>
  <c r="M781" i="1" s="1" a="1"/>
  <c r="M781" i="1" s="1"/>
  <c r="L782" i="1"/>
  <c r="M782" i="1" s="1" a="1"/>
  <c r="M782" i="1" s="1"/>
  <c r="L783" i="1"/>
  <c r="M783" i="1" s="1" a="1"/>
  <c r="M783" i="1" s="1"/>
  <c r="L784" i="1"/>
  <c r="M784" i="1" s="1" a="1"/>
  <c r="M784" i="1" s="1"/>
  <c r="L785" i="1"/>
  <c r="M785" i="1" s="1" a="1"/>
  <c r="M785" i="1" s="1"/>
  <c r="L786" i="1"/>
  <c r="M786" i="1" s="1" a="1"/>
  <c r="M786" i="1" s="1"/>
  <c r="L787" i="1"/>
  <c r="M787" i="1" s="1" a="1"/>
  <c r="M787" i="1" s="1"/>
  <c r="L788" i="1"/>
  <c r="M788" i="1" s="1" a="1"/>
  <c r="M788" i="1" s="1"/>
  <c r="L789" i="1"/>
  <c r="M789" i="1" s="1" a="1"/>
  <c r="M789" i="1" s="1"/>
  <c r="L790" i="1"/>
  <c r="M790" i="1" s="1" a="1"/>
  <c r="M790" i="1" s="1"/>
  <c r="L791" i="1"/>
  <c r="M791" i="1" s="1" a="1"/>
  <c r="M791" i="1" s="1"/>
  <c r="L792" i="1"/>
  <c r="M792" i="1" s="1" a="1"/>
  <c r="M792" i="1" s="1"/>
  <c r="L793" i="1"/>
  <c r="M793" i="1" s="1" a="1"/>
  <c r="M793" i="1" s="1"/>
  <c r="L794" i="1"/>
  <c r="M794" i="1" s="1" a="1"/>
  <c r="M794" i="1" s="1"/>
  <c r="L795" i="1"/>
  <c r="M795" i="1" s="1" a="1"/>
  <c r="M795" i="1" s="1"/>
  <c r="L796" i="1"/>
  <c r="M796" i="1" s="1" a="1"/>
  <c r="M796" i="1" s="1"/>
  <c r="L797" i="1"/>
  <c r="M797" i="1" s="1" a="1"/>
  <c r="M797" i="1" s="1"/>
  <c r="L798" i="1"/>
  <c r="M798" i="1" s="1" a="1"/>
  <c r="M798" i="1" s="1"/>
  <c r="L799" i="1"/>
  <c r="M799" i="1" s="1" a="1"/>
  <c r="M799" i="1" s="1"/>
  <c r="L800" i="1"/>
  <c r="M800" i="1" s="1" a="1"/>
  <c r="M800" i="1" s="1"/>
  <c r="L801" i="1"/>
  <c r="M801" i="1" s="1" a="1"/>
  <c r="M801" i="1" s="1"/>
  <c r="L802" i="1"/>
  <c r="M802" i="1" s="1" a="1"/>
  <c r="M802" i="1" s="1"/>
  <c r="L803" i="1"/>
  <c r="M803" i="1" s="1" a="1"/>
  <c r="M803" i="1" s="1"/>
  <c r="L804" i="1"/>
  <c r="M804" i="1" s="1" a="1"/>
  <c r="M804" i="1" s="1"/>
  <c r="L805" i="1"/>
  <c r="M805" i="1" s="1" a="1"/>
  <c r="M805" i="1" s="1"/>
  <c r="L806" i="1"/>
  <c r="M806" i="1" s="1" a="1"/>
  <c r="M806" i="1" s="1"/>
  <c r="L807" i="1"/>
  <c r="M807" i="1" s="1" a="1"/>
  <c r="M807" i="1" s="1"/>
  <c r="L808" i="1"/>
  <c r="M808" i="1" s="1" a="1"/>
  <c r="M808" i="1" s="1"/>
  <c r="L809" i="1"/>
  <c r="M809" i="1" s="1" a="1"/>
  <c r="M809" i="1" s="1"/>
  <c r="L810" i="1"/>
  <c r="M810" i="1" s="1" a="1"/>
  <c r="M810" i="1" s="1"/>
  <c r="L811" i="1"/>
  <c r="M811" i="1" s="1" a="1"/>
  <c r="M811" i="1" s="1"/>
  <c r="L812" i="1"/>
  <c r="M812" i="1" s="1" a="1"/>
  <c r="M812" i="1" s="1"/>
  <c r="L813" i="1"/>
  <c r="M813" i="1" s="1" a="1"/>
  <c r="M813" i="1" s="1"/>
  <c r="L814" i="1"/>
  <c r="M814" i="1" s="1" a="1"/>
  <c r="M814" i="1" s="1"/>
  <c r="L815" i="1"/>
  <c r="M815" i="1" s="1" a="1"/>
  <c r="M815" i="1" s="1"/>
  <c r="L816" i="1"/>
  <c r="M816" i="1" s="1" a="1"/>
  <c r="M816" i="1" s="1"/>
  <c r="L817" i="1"/>
  <c r="M817" i="1" s="1" a="1"/>
  <c r="M817" i="1" s="1"/>
  <c r="L818" i="1"/>
  <c r="M818" i="1" s="1" a="1"/>
  <c r="M818" i="1" s="1"/>
  <c r="L819" i="1"/>
  <c r="M819" i="1" s="1" a="1"/>
  <c r="M819" i="1" s="1"/>
  <c r="L820" i="1"/>
  <c r="M820" i="1" s="1" a="1"/>
  <c r="M820" i="1" s="1"/>
  <c r="L821" i="1"/>
  <c r="M821" i="1" s="1" a="1"/>
  <c r="M821" i="1" s="1"/>
  <c r="L822" i="1"/>
  <c r="M822" i="1" s="1" a="1"/>
  <c r="M822" i="1" s="1"/>
  <c r="L823" i="1"/>
  <c r="M823" i="1" s="1" a="1"/>
  <c r="M823" i="1" s="1"/>
  <c r="L824" i="1"/>
  <c r="M824" i="1" s="1" a="1"/>
  <c r="M824" i="1" s="1"/>
  <c r="L825" i="1"/>
  <c r="M825" i="1" s="1" a="1"/>
  <c r="M825" i="1" s="1"/>
  <c r="L826" i="1"/>
  <c r="M826" i="1" s="1" a="1"/>
  <c r="M826" i="1" s="1"/>
  <c r="L827" i="1"/>
  <c r="M827" i="1" s="1" a="1"/>
  <c r="M827" i="1" s="1"/>
  <c r="L828" i="1"/>
  <c r="M828" i="1" s="1" a="1"/>
  <c r="M828" i="1" s="1"/>
  <c r="L829" i="1"/>
  <c r="M829" i="1" s="1" a="1"/>
  <c r="M829" i="1" s="1"/>
  <c r="L830" i="1"/>
  <c r="M830" i="1" s="1" a="1"/>
  <c r="M830" i="1" s="1"/>
  <c r="L831" i="1"/>
  <c r="M831" i="1" s="1" a="1"/>
  <c r="M831" i="1" s="1"/>
  <c r="L832" i="1"/>
  <c r="M832" i="1" s="1" a="1"/>
  <c r="M832" i="1" s="1"/>
  <c r="L833" i="1"/>
  <c r="M833" i="1" s="1" a="1"/>
  <c r="M833" i="1" s="1"/>
  <c r="L834" i="1"/>
  <c r="M834" i="1" s="1" a="1"/>
  <c r="M834" i="1" s="1"/>
  <c r="L835" i="1"/>
  <c r="M835" i="1" s="1" a="1"/>
  <c r="M835" i="1" s="1"/>
  <c r="L836" i="1"/>
  <c r="M836" i="1" s="1" a="1"/>
  <c r="M836" i="1" s="1"/>
  <c r="L837" i="1"/>
  <c r="M837" i="1" s="1" a="1"/>
  <c r="M837" i="1" s="1"/>
  <c r="L838" i="1"/>
  <c r="M838" i="1" s="1" a="1"/>
  <c r="M838" i="1" s="1"/>
  <c r="L839" i="1"/>
  <c r="M839" i="1" s="1" a="1"/>
  <c r="M839" i="1" s="1"/>
  <c r="L840" i="1"/>
  <c r="M840" i="1" s="1" a="1"/>
  <c r="M840" i="1" s="1"/>
  <c r="L841" i="1"/>
  <c r="M841" i="1" s="1" a="1"/>
  <c r="M841" i="1" s="1"/>
  <c r="L842" i="1"/>
  <c r="M842" i="1" s="1" a="1"/>
  <c r="M842" i="1" s="1"/>
  <c r="L843" i="1"/>
  <c r="M843" i="1" s="1" a="1"/>
  <c r="M843" i="1" s="1"/>
  <c r="L844" i="1"/>
  <c r="M844" i="1" s="1" a="1"/>
  <c r="M844" i="1" s="1"/>
  <c r="L845" i="1"/>
  <c r="M845" i="1" s="1" a="1"/>
  <c r="M845" i="1" s="1"/>
  <c r="L846" i="1"/>
  <c r="M846" i="1" s="1" a="1"/>
  <c r="M846" i="1" s="1"/>
  <c r="L847" i="1"/>
  <c r="M847" i="1" s="1" a="1"/>
  <c r="M847" i="1" s="1"/>
  <c r="L848" i="1"/>
  <c r="M848" i="1" s="1" a="1"/>
  <c r="M848" i="1" s="1"/>
  <c r="L849" i="1"/>
  <c r="M849" i="1" s="1" a="1"/>
  <c r="M849" i="1" s="1"/>
  <c r="L850" i="1"/>
  <c r="M850" i="1" s="1" a="1"/>
  <c r="M850" i="1" s="1"/>
  <c r="L851" i="1"/>
  <c r="M851" i="1" s="1" a="1"/>
  <c r="M851" i="1" s="1"/>
  <c r="L852" i="1"/>
  <c r="M852" i="1" s="1" a="1"/>
  <c r="M852" i="1" s="1"/>
  <c r="L853" i="1"/>
  <c r="M853" i="1" s="1" a="1"/>
  <c r="M853" i="1" s="1"/>
  <c r="L854" i="1"/>
  <c r="M854" i="1" s="1" a="1"/>
  <c r="M854" i="1" s="1"/>
  <c r="L855" i="1"/>
  <c r="M855" i="1" s="1" a="1"/>
  <c r="M855" i="1" s="1"/>
  <c r="L856" i="1"/>
  <c r="M856" i="1" s="1" a="1"/>
  <c r="M856" i="1" s="1"/>
  <c r="L857" i="1"/>
  <c r="M857" i="1" s="1" a="1"/>
  <c r="M857" i="1" s="1"/>
  <c r="L858" i="1"/>
  <c r="M858" i="1" s="1" a="1"/>
  <c r="M858" i="1" s="1"/>
  <c r="L859" i="1"/>
  <c r="M859" i="1" s="1" a="1"/>
  <c r="M859" i="1" s="1"/>
  <c r="L860" i="1"/>
  <c r="M860" i="1" s="1" a="1"/>
  <c r="M860" i="1" s="1"/>
  <c r="L861" i="1"/>
  <c r="M861" i="1" s="1" a="1"/>
  <c r="M861" i="1" s="1"/>
  <c r="L862" i="1"/>
  <c r="M862" i="1" s="1" a="1"/>
  <c r="M862" i="1" s="1"/>
  <c r="L863" i="1"/>
  <c r="M863" i="1" s="1" a="1"/>
  <c r="M863" i="1" s="1"/>
  <c r="L864" i="1"/>
  <c r="M864" i="1" s="1" a="1"/>
  <c r="M864" i="1" s="1"/>
  <c r="L865" i="1"/>
  <c r="M865" i="1" s="1" a="1"/>
  <c r="M865" i="1" s="1"/>
  <c r="L866" i="1"/>
  <c r="M866" i="1" s="1" a="1"/>
  <c r="M866" i="1" s="1"/>
  <c r="L867" i="1"/>
  <c r="M867" i="1" s="1" a="1"/>
  <c r="M867" i="1" s="1"/>
  <c r="L868" i="1"/>
  <c r="M868" i="1" s="1" a="1"/>
  <c r="M868" i="1" s="1"/>
  <c r="L869" i="1"/>
  <c r="M869" i="1" s="1" a="1"/>
  <c r="M869" i="1" s="1"/>
  <c r="L870" i="1"/>
  <c r="M870" i="1" s="1" a="1"/>
  <c r="M870" i="1" s="1"/>
  <c r="L871" i="1"/>
  <c r="M871" i="1" s="1" a="1"/>
  <c r="M871" i="1" s="1"/>
  <c r="L872" i="1"/>
  <c r="M872" i="1" s="1" a="1"/>
  <c r="M872" i="1" s="1"/>
  <c r="L873" i="1"/>
  <c r="M873" i="1" s="1" a="1"/>
  <c r="M873" i="1" s="1"/>
  <c r="L874" i="1"/>
  <c r="M874" i="1" s="1" a="1"/>
  <c r="M874" i="1" s="1"/>
  <c r="L875" i="1"/>
  <c r="M875" i="1" s="1" a="1"/>
  <c r="M875" i="1" s="1"/>
  <c r="L876" i="1"/>
  <c r="M876" i="1" s="1" a="1"/>
  <c r="M876" i="1" s="1"/>
  <c r="L877" i="1"/>
  <c r="M877" i="1" s="1" a="1"/>
  <c r="M877" i="1" s="1"/>
  <c r="L878" i="1"/>
  <c r="M878" i="1" s="1" a="1"/>
  <c r="M878" i="1" s="1"/>
  <c r="L879" i="1"/>
  <c r="M879" i="1" s="1" a="1"/>
  <c r="M879" i="1" s="1"/>
  <c r="L880" i="1"/>
  <c r="M880" i="1" s="1" a="1"/>
  <c r="M880" i="1" s="1"/>
  <c r="L881" i="1"/>
  <c r="M881" i="1" s="1" a="1"/>
  <c r="M881" i="1" s="1"/>
  <c r="L882" i="1"/>
  <c r="M882" i="1" s="1" a="1"/>
  <c r="M882" i="1" s="1"/>
  <c r="L883" i="1"/>
  <c r="M883" i="1" s="1" a="1"/>
  <c r="M883" i="1" s="1"/>
  <c r="L884" i="1"/>
  <c r="M884" i="1" s="1" a="1"/>
  <c r="M884" i="1" s="1"/>
  <c r="L885" i="1"/>
  <c r="M885" i="1" s="1" a="1"/>
  <c r="M885" i="1" s="1"/>
  <c r="L886" i="1"/>
  <c r="M886" i="1" s="1" a="1"/>
  <c r="M886" i="1" s="1"/>
  <c r="L887" i="1"/>
  <c r="M887" i="1" s="1" a="1"/>
  <c r="M887" i="1" s="1"/>
  <c r="L888" i="1"/>
  <c r="M888" i="1" s="1" a="1"/>
  <c r="M888" i="1" s="1"/>
  <c r="L889" i="1"/>
  <c r="M889" i="1" s="1" a="1"/>
  <c r="M889" i="1" s="1"/>
  <c r="L890" i="1"/>
  <c r="M890" i="1" s="1" a="1"/>
  <c r="M890" i="1" s="1"/>
  <c r="L891" i="1"/>
  <c r="M891" i="1" s="1" a="1"/>
  <c r="M891" i="1" s="1"/>
  <c r="L892" i="1"/>
  <c r="M892" i="1" s="1" a="1"/>
  <c r="M892" i="1" s="1"/>
  <c r="L893" i="1"/>
  <c r="M893" i="1" s="1" a="1"/>
  <c r="M893" i="1" s="1"/>
  <c r="L894" i="1"/>
  <c r="M894" i="1" s="1" a="1"/>
  <c r="M894" i="1" s="1"/>
  <c r="L895" i="1"/>
  <c r="M895" i="1" s="1" a="1"/>
  <c r="M895" i="1" s="1"/>
  <c r="L896" i="1"/>
  <c r="M896" i="1" s="1" a="1"/>
  <c r="M896" i="1" s="1"/>
  <c r="L897" i="1"/>
  <c r="M897" i="1" s="1" a="1"/>
  <c r="M897" i="1" s="1"/>
  <c r="L898" i="1"/>
  <c r="M898" i="1" s="1" a="1"/>
  <c r="M898" i="1" s="1"/>
  <c r="L899" i="1"/>
  <c r="M899" i="1" s="1" a="1"/>
  <c r="M899" i="1" s="1"/>
  <c r="L900" i="1"/>
  <c r="M900" i="1" s="1" a="1"/>
  <c r="M900" i="1" s="1"/>
  <c r="L901" i="1"/>
  <c r="M901" i="1" s="1" a="1"/>
  <c r="M901" i="1" s="1"/>
  <c r="L902" i="1"/>
  <c r="M902" i="1" s="1" a="1"/>
  <c r="M902" i="1" s="1"/>
  <c r="L903" i="1"/>
  <c r="M903" i="1" s="1" a="1"/>
  <c r="M903" i="1" s="1"/>
  <c r="L904" i="1"/>
  <c r="M904" i="1" s="1" a="1"/>
  <c r="M904" i="1" s="1"/>
  <c r="L905" i="1"/>
  <c r="M905" i="1" s="1" a="1"/>
  <c r="M905" i="1" s="1"/>
  <c r="L906" i="1"/>
  <c r="M906" i="1" s="1" a="1"/>
  <c r="M906" i="1" s="1"/>
  <c r="L907" i="1"/>
  <c r="M907" i="1" s="1" a="1"/>
  <c r="M907" i="1" s="1"/>
  <c r="L908" i="1"/>
  <c r="M908" i="1" s="1" a="1"/>
  <c r="M908" i="1" s="1"/>
  <c r="L909" i="1"/>
  <c r="M909" i="1" s="1" a="1"/>
  <c r="M909" i="1" s="1"/>
  <c r="L910" i="1"/>
  <c r="M910" i="1" s="1" a="1"/>
  <c r="M910" i="1" s="1"/>
  <c r="L911" i="1"/>
  <c r="M911" i="1" s="1" a="1"/>
  <c r="M911" i="1" s="1"/>
  <c r="L912" i="1"/>
  <c r="M912" i="1" s="1" a="1"/>
  <c r="M912" i="1" s="1"/>
  <c r="L913" i="1"/>
  <c r="M913" i="1" s="1" a="1"/>
  <c r="M913" i="1" s="1"/>
  <c r="L914" i="1"/>
  <c r="M914" i="1" s="1" a="1"/>
  <c r="M914" i="1" s="1"/>
  <c r="L915" i="1"/>
  <c r="M915" i="1" s="1" a="1"/>
  <c r="M915" i="1" s="1"/>
  <c r="L916" i="1"/>
  <c r="M916" i="1" s="1" a="1"/>
  <c r="M916" i="1" s="1"/>
  <c r="L917" i="1"/>
  <c r="M917" i="1" s="1" a="1"/>
  <c r="M917" i="1" s="1"/>
  <c r="L918" i="1"/>
  <c r="M918" i="1" s="1" a="1"/>
  <c r="M918" i="1" s="1"/>
  <c r="L919" i="1"/>
  <c r="M919" i="1" s="1" a="1"/>
  <c r="M919" i="1" s="1"/>
  <c r="L920" i="1"/>
  <c r="M920" i="1" s="1" a="1"/>
  <c r="M920" i="1" s="1"/>
  <c r="L921" i="1"/>
  <c r="M921" i="1" s="1" a="1"/>
  <c r="M921" i="1" s="1"/>
  <c r="L922" i="1"/>
  <c r="M922" i="1" s="1" a="1"/>
  <c r="M922" i="1" s="1"/>
  <c r="L923" i="1"/>
  <c r="M923" i="1" s="1" a="1"/>
  <c r="M923" i="1" s="1"/>
  <c r="L924" i="1"/>
  <c r="M924" i="1" s="1" a="1"/>
  <c r="M924" i="1" s="1"/>
  <c r="L925" i="1"/>
  <c r="M925" i="1" s="1" a="1"/>
  <c r="M925" i="1" s="1"/>
  <c r="L926" i="1"/>
  <c r="M926" i="1" s="1" a="1"/>
  <c r="M926" i="1" s="1"/>
  <c r="L927" i="1"/>
  <c r="M927" i="1" s="1" a="1"/>
  <c r="M927" i="1" s="1"/>
  <c r="L928" i="1"/>
  <c r="M928" i="1" s="1" a="1"/>
  <c r="M928" i="1" s="1"/>
  <c r="L929" i="1"/>
  <c r="M929" i="1" s="1" a="1"/>
  <c r="M929" i="1" s="1"/>
  <c r="L930" i="1"/>
  <c r="M930" i="1" s="1" a="1"/>
  <c r="M930" i="1" s="1"/>
  <c r="L931" i="1"/>
  <c r="M931" i="1" s="1" a="1"/>
  <c r="M931" i="1" s="1"/>
  <c r="L932" i="1"/>
  <c r="M932" i="1" s="1" a="1"/>
  <c r="M932" i="1" s="1"/>
  <c r="L933" i="1"/>
  <c r="M933" i="1" s="1" a="1"/>
  <c r="M933" i="1" s="1"/>
  <c r="L934" i="1"/>
  <c r="M934" i="1" s="1" a="1"/>
  <c r="M934" i="1" s="1"/>
  <c r="L935" i="1"/>
  <c r="M935" i="1" s="1" a="1"/>
  <c r="M935" i="1" s="1"/>
  <c r="L936" i="1"/>
  <c r="M936" i="1" s="1" a="1"/>
  <c r="M936" i="1" s="1"/>
  <c r="L937" i="1"/>
  <c r="M937" i="1" s="1" a="1"/>
  <c r="M937" i="1" s="1"/>
  <c r="L938" i="1"/>
  <c r="M938" i="1" s="1" a="1"/>
  <c r="M938" i="1" s="1"/>
  <c r="L939" i="1"/>
  <c r="M939" i="1" s="1" a="1"/>
  <c r="M939" i="1" s="1"/>
  <c r="L940" i="1"/>
  <c r="M940" i="1" s="1" a="1"/>
  <c r="M940" i="1" s="1"/>
  <c r="L941" i="1"/>
  <c r="M941" i="1" s="1" a="1"/>
  <c r="M941" i="1" s="1"/>
  <c r="L942" i="1"/>
  <c r="M942" i="1" s="1" a="1"/>
  <c r="M942" i="1" s="1"/>
  <c r="L943" i="1"/>
  <c r="M943" i="1" s="1" a="1"/>
  <c r="M943" i="1" s="1"/>
  <c r="L944" i="1"/>
  <c r="M944" i="1" s="1" a="1"/>
  <c r="M944" i="1" s="1"/>
  <c r="L945" i="1"/>
  <c r="M945" i="1" s="1" a="1"/>
  <c r="M945" i="1" s="1"/>
  <c r="L946" i="1"/>
  <c r="M946" i="1" s="1" a="1"/>
  <c r="M946" i="1" s="1"/>
  <c r="L947" i="1"/>
  <c r="M947" i="1" s="1" a="1"/>
  <c r="M947" i="1" s="1"/>
  <c r="L948" i="1"/>
  <c r="M948" i="1" s="1" a="1"/>
  <c r="M948" i="1" s="1"/>
  <c r="L949" i="1"/>
  <c r="M949" i="1" s="1" a="1"/>
  <c r="M949" i="1" s="1"/>
  <c r="L950" i="1"/>
  <c r="M950" i="1" s="1" a="1"/>
  <c r="M950" i="1" s="1"/>
  <c r="L951" i="1"/>
  <c r="M951" i="1" s="1" a="1"/>
  <c r="M951" i="1" s="1"/>
  <c r="L952" i="1"/>
  <c r="M952" i="1" s="1" a="1"/>
  <c r="M952" i="1" s="1"/>
  <c r="L953" i="1"/>
  <c r="M953" i="1" s="1" a="1"/>
  <c r="M953" i="1" s="1"/>
  <c r="L954" i="1"/>
  <c r="M954" i="1" s="1" a="1"/>
  <c r="M954" i="1" s="1"/>
  <c r="L955" i="1"/>
  <c r="M955" i="1" s="1" a="1"/>
  <c r="M955" i="1" s="1"/>
  <c r="L956" i="1"/>
  <c r="M956" i="1" s="1" a="1"/>
  <c r="M956" i="1" s="1"/>
  <c r="L957" i="1"/>
  <c r="M957" i="1" s="1" a="1"/>
  <c r="M957" i="1" s="1"/>
  <c r="L958" i="1"/>
  <c r="M958" i="1" s="1" a="1"/>
  <c r="M958" i="1" s="1"/>
  <c r="L959" i="1"/>
  <c r="M959" i="1" s="1" a="1"/>
  <c r="M959" i="1" s="1"/>
  <c r="L960" i="1"/>
  <c r="M960" i="1" s="1" a="1"/>
  <c r="M960" i="1" s="1"/>
  <c r="L961" i="1"/>
  <c r="M961" i="1" s="1" a="1"/>
  <c r="M961" i="1" s="1"/>
  <c r="L962" i="1"/>
  <c r="M962" i="1" s="1" a="1"/>
  <c r="M962" i="1" s="1"/>
  <c r="L963" i="1"/>
  <c r="M963" i="1" s="1" a="1"/>
  <c r="M963" i="1" s="1"/>
  <c r="L964" i="1"/>
  <c r="M964" i="1" s="1" a="1"/>
  <c r="M964" i="1" s="1"/>
  <c r="L965" i="1"/>
  <c r="M965" i="1" s="1" a="1"/>
  <c r="M965" i="1" s="1"/>
  <c r="L966" i="1"/>
  <c r="M966" i="1" s="1" a="1"/>
  <c r="M966" i="1" s="1"/>
  <c r="L967" i="1"/>
  <c r="M967" i="1" s="1" a="1"/>
  <c r="M967" i="1" s="1"/>
  <c r="L968" i="1"/>
  <c r="M968" i="1" s="1" a="1"/>
  <c r="M968" i="1" s="1"/>
  <c r="L969" i="1"/>
  <c r="M969" i="1" s="1" a="1"/>
  <c r="M969" i="1" s="1"/>
  <c r="L970" i="1"/>
  <c r="M970" i="1" s="1" a="1"/>
  <c r="M970" i="1" s="1"/>
  <c r="L971" i="1"/>
  <c r="M971" i="1" s="1" a="1"/>
  <c r="M971" i="1" s="1"/>
  <c r="L972" i="1"/>
  <c r="M972" i="1" s="1" a="1"/>
  <c r="M972" i="1" s="1"/>
  <c r="L973" i="1"/>
  <c r="M973" i="1" s="1" a="1"/>
  <c r="M973" i="1" s="1"/>
  <c r="L974" i="1"/>
  <c r="M974" i="1" s="1" a="1"/>
  <c r="M974" i="1" s="1"/>
  <c r="L975" i="1"/>
  <c r="M975" i="1" s="1" a="1"/>
  <c r="M975" i="1" s="1"/>
  <c r="L976" i="1"/>
  <c r="M976" i="1" s="1" a="1"/>
  <c r="M976" i="1" s="1"/>
  <c r="L977" i="1"/>
  <c r="M977" i="1" s="1" a="1"/>
  <c r="M977" i="1" s="1"/>
  <c r="L978" i="1"/>
  <c r="M978" i="1" s="1" a="1"/>
  <c r="M978" i="1" s="1"/>
  <c r="L979" i="1"/>
  <c r="M979" i="1" s="1" a="1"/>
  <c r="M979" i="1" s="1"/>
  <c r="L980" i="1"/>
  <c r="M980" i="1" s="1" a="1"/>
  <c r="M980" i="1" s="1"/>
  <c r="L981" i="1"/>
  <c r="M981" i="1" s="1" a="1"/>
  <c r="M981" i="1" s="1"/>
  <c r="L982" i="1"/>
  <c r="M982" i="1" s="1" a="1"/>
  <c r="M982" i="1" s="1"/>
  <c r="L983" i="1"/>
  <c r="M983" i="1" s="1" a="1"/>
  <c r="M983" i="1" s="1"/>
  <c r="L984" i="1"/>
  <c r="M984" i="1" s="1" a="1"/>
  <c r="M984" i="1" s="1"/>
  <c r="L985" i="1"/>
  <c r="M985" i="1" s="1" a="1"/>
  <c r="M985" i="1" s="1"/>
  <c r="L986" i="1"/>
  <c r="M986" i="1" s="1" a="1"/>
  <c r="M986" i="1" s="1"/>
  <c r="L987" i="1"/>
  <c r="M987" i="1" s="1" a="1"/>
  <c r="M987" i="1" s="1"/>
  <c r="L988" i="1"/>
  <c r="M988" i="1" s="1" a="1"/>
  <c r="M988" i="1" s="1"/>
  <c r="L989" i="1"/>
  <c r="M989" i="1" s="1" a="1"/>
  <c r="M989" i="1" s="1"/>
  <c r="L990" i="1"/>
  <c r="M990" i="1" s="1" a="1"/>
  <c r="M990" i="1" s="1"/>
  <c r="L991" i="1"/>
  <c r="M991" i="1" s="1" a="1"/>
  <c r="M991" i="1" s="1"/>
  <c r="L992" i="1"/>
  <c r="M992" i="1" s="1" a="1"/>
  <c r="M992" i="1" s="1"/>
  <c r="L993" i="1"/>
  <c r="M993" i="1" s="1" a="1"/>
  <c r="M993" i="1" s="1"/>
  <c r="L994" i="1"/>
  <c r="M994" i="1" s="1" a="1"/>
  <c r="M994" i="1" s="1"/>
  <c r="L995" i="1"/>
  <c r="M995" i="1" s="1" a="1"/>
  <c r="M995" i="1" s="1"/>
  <c r="L996" i="1"/>
  <c r="M996" i="1" s="1" a="1"/>
  <c r="M996" i="1" s="1"/>
  <c r="L997" i="1"/>
  <c r="M997" i="1" s="1" a="1"/>
  <c r="M997" i="1" s="1"/>
  <c r="L998" i="1"/>
  <c r="M998" i="1" s="1" a="1"/>
  <c r="M998" i="1" s="1"/>
  <c r="L999" i="1"/>
  <c r="M999" i="1" s="1" a="1"/>
  <c r="M999" i="1" s="1"/>
  <c r="L1000" i="1"/>
  <c r="M1000" i="1" s="1" a="1"/>
  <c r="M1000" i="1" s="1"/>
  <c r="L1001" i="1"/>
  <c r="M1001" i="1" s="1" a="1"/>
  <c r="M1001" i="1" s="1"/>
  <c r="L1002" i="1"/>
  <c r="M1002" i="1" s="1" a="1"/>
  <c r="M1002" i="1" s="1"/>
  <c r="L1003" i="1"/>
  <c r="M1003" i="1" s="1" a="1"/>
  <c r="M1003" i="1" s="1"/>
  <c r="L1004" i="1"/>
  <c r="M1004" i="1" s="1" a="1"/>
  <c r="M1004" i="1" s="1"/>
  <c r="L1005" i="1"/>
  <c r="M1005" i="1" s="1" a="1"/>
  <c r="M1005" i="1" s="1"/>
  <c r="L1006" i="1"/>
  <c r="M1006" i="1" s="1" a="1"/>
  <c r="M1006" i="1" s="1"/>
  <c r="L1007" i="1"/>
  <c r="M1007" i="1" s="1" a="1"/>
  <c r="M1007" i="1" s="1"/>
  <c r="L1008" i="1"/>
  <c r="M1008" i="1" s="1" a="1"/>
  <c r="M1008" i="1" s="1"/>
  <c r="L1009" i="1"/>
  <c r="M1009" i="1" s="1" a="1"/>
  <c r="M1009" i="1" s="1"/>
  <c r="L1010" i="1"/>
  <c r="M1010" i="1" s="1" a="1"/>
  <c r="M1010" i="1" s="1"/>
  <c r="L1011" i="1"/>
  <c r="M1011" i="1" s="1" a="1"/>
  <c r="M1011" i="1" s="1"/>
  <c r="L1012" i="1"/>
  <c r="M1012" i="1" s="1" a="1"/>
  <c r="M1012" i="1" s="1"/>
  <c r="L1013" i="1"/>
  <c r="M1013" i="1" s="1" a="1"/>
  <c r="M1013" i="1" s="1"/>
  <c r="L1014" i="1"/>
  <c r="M1014" i="1" s="1" a="1"/>
  <c r="M1014" i="1" s="1"/>
  <c r="L1015" i="1"/>
  <c r="M1015" i="1" s="1" a="1"/>
  <c r="M1015" i="1" s="1"/>
  <c r="L1016" i="1"/>
  <c r="M1016" i="1" s="1" a="1"/>
  <c r="M1016" i="1" s="1"/>
  <c r="L1017" i="1"/>
  <c r="M1017" i="1" s="1" a="1"/>
  <c r="M1017" i="1" s="1"/>
  <c r="L1018" i="1"/>
  <c r="M1018" i="1" s="1" a="1"/>
  <c r="M1018" i="1" s="1"/>
  <c r="L1019" i="1"/>
  <c r="M1019" i="1" s="1" a="1"/>
  <c r="M1019" i="1" s="1"/>
  <c r="L1020" i="1"/>
  <c r="M1020" i="1" s="1" a="1"/>
  <c r="M1020" i="1" s="1"/>
  <c r="L1021" i="1"/>
  <c r="M1021" i="1" s="1" a="1"/>
  <c r="M1021" i="1" s="1"/>
  <c r="L1022" i="1"/>
  <c r="M1022" i="1" s="1" a="1"/>
  <c r="M1022" i="1" s="1"/>
  <c r="L1023" i="1"/>
  <c r="M1023" i="1" s="1" a="1"/>
  <c r="M1023" i="1" s="1"/>
  <c r="L1024" i="1"/>
  <c r="M1024" i="1" s="1" a="1"/>
  <c r="M1024" i="1" s="1"/>
  <c r="L1025" i="1"/>
  <c r="M1025" i="1" s="1" a="1"/>
  <c r="M1025" i="1" s="1"/>
  <c r="L1026" i="1"/>
  <c r="M1026" i="1" s="1" a="1"/>
  <c r="M1026" i="1" s="1"/>
  <c r="L1027" i="1"/>
  <c r="M1027" i="1" s="1" a="1"/>
  <c r="M1027" i="1" s="1"/>
  <c r="L1028" i="1"/>
  <c r="M1028" i="1" s="1" a="1"/>
  <c r="M1028" i="1" s="1"/>
  <c r="L1029" i="1"/>
  <c r="M1029" i="1" s="1" a="1"/>
  <c r="M1029" i="1" s="1"/>
  <c r="L1030" i="1"/>
  <c r="M1030" i="1" s="1" a="1"/>
  <c r="M1030" i="1" s="1"/>
  <c r="L1031" i="1"/>
  <c r="M1031" i="1" s="1" a="1"/>
  <c r="M1031" i="1" s="1"/>
  <c r="L1032" i="1"/>
  <c r="M1032" i="1" s="1" a="1"/>
  <c r="M1032" i="1" s="1"/>
  <c r="L1033" i="1"/>
  <c r="M1033" i="1" s="1" a="1"/>
  <c r="M1033" i="1" s="1"/>
  <c r="L1034" i="1"/>
  <c r="M1034" i="1" s="1" a="1"/>
  <c r="M1034" i="1" s="1"/>
  <c r="L1035" i="1"/>
  <c r="M1035" i="1" s="1" a="1"/>
  <c r="M1035" i="1" s="1"/>
  <c r="L1036" i="1"/>
  <c r="M1036" i="1" s="1" a="1"/>
  <c r="M1036" i="1" s="1"/>
  <c r="L1037" i="1"/>
  <c r="M1037" i="1" s="1" a="1"/>
  <c r="M1037" i="1" s="1"/>
  <c r="L1038" i="1"/>
  <c r="M1038" i="1" s="1" a="1"/>
  <c r="M1038" i="1" s="1"/>
  <c r="L1039" i="1"/>
  <c r="M1039" i="1" s="1" a="1"/>
  <c r="M1039" i="1" s="1"/>
  <c r="L1040" i="1"/>
  <c r="M1040" i="1" s="1" a="1"/>
  <c r="M1040" i="1" s="1"/>
  <c r="L1041" i="1"/>
  <c r="M1041" i="1" s="1" a="1"/>
  <c r="M1041" i="1" s="1"/>
  <c r="L1042" i="1"/>
  <c r="M1042" i="1" s="1" a="1"/>
  <c r="M1042" i="1" s="1"/>
  <c r="L1043" i="1"/>
  <c r="M1043" i="1" s="1" a="1"/>
  <c r="M1043" i="1" s="1"/>
  <c r="L1044" i="1"/>
  <c r="M1044" i="1" s="1" a="1"/>
  <c r="M1044" i="1" s="1"/>
  <c r="L1045" i="1"/>
  <c r="M1045" i="1" s="1" a="1"/>
  <c r="M1045" i="1" s="1"/>
  <c r="L1046" i="1"/>
  <c r="M1046" i="1" s="1" a="1"/>
  <c r="M1046" i="1" s="1"/>
  <c r="L1047" i="1"/>
  <c r="M1047" i="1" s="1" a="1"/>
  <c r="M1047" i="1" s="1"/>
  <c r="L1048" i="1"/>
  <c r="M1048" i="1" s="1" a="1"/>
  <c r="M1048" i="1" s="1"/>
  <c r="L1049" i="1"/>
  <c r="M1049" i="1" s="1" a="1"/>
  <c r="M1049" i="1" s="1"/>
  <c r="L1050" i="1"/>
  <c r="M1050" i="1" s="1" a="1"/>
  <c r="M1050" i="1" s="1"/>
  <c r="L1051" i="1"/>
  <c r="M1051" i="1" s="1" a="1"/>
  <c r="M1051" i="1" s="1"/>
  <c r="L1052" i="1"/>
  <c r="M1052" i="1" s="1" a="1"/>
  <c r="M1052" i="1" s="1"/>
  <c r="L1053" i="1"/>
  <c r="M1053" i="1" s="1" a="1"/>
  <c r="M1053" i="1" s="1"/>
  <c r="L1054" i="1"/>
  <c r="M1054" i="1" s="1" a="1"/>
  <c r="M1054" i="1" s="1"/>
  <c r="L1055" i="1"/>
  <c r="M1055" i="1" s="1" a="1"/>
  <c r="M1055" i="1" s="1"/>
  <c r="L1056" i="1"/>
  <c r="M1056" i="1" s="1" a="1"/>
  <c r="M1056" i="1" s="1"/>
  <c r="L1057" i="1"/>
  <c r="M1057" i="1" s="1" a="1"/>
  <c r="M1057" i="1" s="1"/>
  <c r="L1058" i="1"/>
  <c r="M1058" i="1" s="1" a="1"/>
  <c r="M1058" i="1" s="1"/>
  <c r="L1059" i="1"/>
  <c r="M1059" i="1" s="1" a="1"/>
  <c r="M1059" i="1" s="1"/>
  <c r="L1060" i="1"/>
  <c r="M1060" i="1" s="1" a="1"/>
  <c r="M1060" i="1" s="1"/>
  <c r="L1061" i="1"/>
  <c r="M1061" i="1" s="1" a="1"/>
  <c r="M1061" i="1" s="1"/>
  <c r="L1062" i="1"/>
  <c r="M1062" i="1" s="1" a="1"/>
  <c r="M1062" i="1" s="1"/>
  <c r="L1063" i="1"/>
  <c r="M1063" i="1" s="1" a="1"/>
  <c r="M1063" i="1" s="1"/>
  <c r="L1064" i="1"/>
  <c r="M1064" i="1" s="1" a="1"/>
  <c r="M1064" i="1" s="1"/>
  <c r="L1065" i="1"/>
  <c r="M1065" i="1" s="1" a="1"/>
  <c r="M1065" i="1" s="1"/>
  <c r="L1066" i="1"/>
  <c r="M1066" i="1" s="1" a="1"/>
  <c r="M1066" i="1" s="1"/>
  <c r="L1067" i="1"/>
  <c r="M1067" i="1" s="1" a="1"/>
  <c r="M1067" i="1" s="1"/>
  <c r="L1068" i="1"/>
  <c r="M1068" i="1" s="1" a="1"/>
  <c r="M1068" i="1" s="1"/>
  <c r="L1069" i="1"/>
  <c r="M1069" i="1" s="1" a="1"/>
  <c r="M1069" i="1" s="1"/>
  <c r="L1070" i="1"/>
  <c r="M1070" i="1" s="1" a="1"/>
  <c r="M1070" i="1" s="1"/>
  <c r="L1071" i="1"/>
  <c r="M1071" i="1" s="1" a="1"/>
  <c r="M1071" i="1" s="1"/>
  <c r="L1072" i="1"/>
  <c r="M1072" i="1" s="1" a="1"/>
  <c r="M1072" i="1" s="1"/>
  <c r="L1073" i="1"/>
  <c r="M1073" i="1" s="1" a="1"/>
  <c r="M1073" i="1" s="1"/>
  <c r="L1074" i="1"/>
  <c r="M1074" i="1" s="1" a="1"/>
  <c r="M1074" i="1" s="1"/>
  <c r="L1075" i="1"/>
  <c r="M1075" i="1" s="1" a="1"/>
  <c r="M1075" i="1" s="1"/>
  <c r="L1076" i="1"/>
  <c r="M1076" i="1" s="1" a="1"/>
  <c r="M1076" i="1" s="1"/>
  <c r="L1077" i="1"/>
  <c r="M1077" i="1" s="1" a="1"/>
  <c r="M1077" i="1" s="1"/>
  <c r="L1078" i="1"/>
  <c r="M1078" i="1" s="1" a="1"/>
  <c r="M1078" i="1" s="1"/>
  <c r="L1079" i="1"/>
  <c r="M1079" i="1" s="1" a="1"/>
  <c r="M1079" i="1" s="1"/>
  <c r="L1080" i="1"/>
  <c r="M1080" i="1" s="1" a="1"/>
  <c r="M1080" i="1" s="1"/>
  <c r="L1081" i="1"/>
  <c r="M1081" i="1" s="1" a="1"/>
  <c r="M1081" i="1" s="1"/>
  <c r="L1082" i="1"/>
  <c r="M1082" i="1" s="1" a="1"/>
  <c r="M1082" i="1" s="1"/>
  <c r="L1083" i="1"/>
  <c r="M1083" i="1" s="1" a="1"/>
  <c r="M1083" i="1" s="1"/>
  <c r="L1084" i="1"/>
  <c r="M1084" i="1" s="1" a="1"/>
  <c r="M1084" i="1" s="1"/>
  <c r="L1085" i="1"/>
  <c r="M1085" i="1" s="1" a="1"/>
  <c r="M1085" i="1" s="1"/>
  <c r="L1086" i="1"/>
  <c r="M1086" i="1" s="1" a="1"/>
  <c r="M1086" i="1" s="1"/>
  <c r="L1087" i="1"/>
  <c r="M1087" i="1" s="1" a="1"/>
  <c r="M1087" i="1" s="1"/>
  <c r="L1088" i="1"/>
  <c r="M1088" i="1" s="1" a="1"/>
  <c r="M1088" i="1" s="1"/>
  <c r="L1089" i="1"/>
  <c r="M1089" i="1" s="1" a="1"/>
  <c r="M1089" i="1" s="1"/>
  <c r="L1090" i="1"/>
  <c r="M1090" i="1" s="1" a="1"/>
  <c r="M1090" i="1" s="1"/>
  <c r="L1091" i="1"/>
  <c r="M1091" i="1" s="1" a="1"/>
  <c r="M1091" i="1" s="1"/>
  <c r="L1092" i="1"/>
  <c r="M1092" i="1" s="1" a="1"/>
  <c r="M1092" i="1" s="1"/>
  <c r="L1093" i="1"/>
  <c r="M1093" i="1" s="1" a="1"/>
  <c r="M1093" i="1" s="1"/>
  <c r="L1094" i="1"/>
  <c r="M1094" i="1" s="1" a="1"/>
  <c r="M1094" i="1" s="1"/>
  <c r="L1095" i="1"/>
  <c r="M1095" i="1" s="1" a="1"/>
  <c r="M1095" i="1" s="1"/>
  <c r="L1096" i="1"/>
  <c r="M1096" i="1" s="1" a="1"/>
  <c r="M1096" i="1" s="1"/>
  <c r="L1097" i="1"/>
  <c r="M1097" i="1" s="1" a="1"/>
  <c r="M1097" i="1" s="1"/>
  <c r="L1098" i="1"/>
  <c r="M1098" i="1" s="1" a="1"/>
  <c r="M1098" i="1" s="1"/>
  <c r="L1099" i="1"/>
  <c r="M1099" i="1" s="1" a="1"/>
  <c r="M1099" i="1" s="1"/>
  <c r="L1100" i="1"/>
  <c r="M1100" i="1" s="1" a="1"/>
  <c r="M1100" i="1" s="1"/>
  <c r="L1101" i="1"/>
  <c r="M1101" i="1" s="1" a="1"/>
  <c r="M1101" i="1" s="1"/>
  <c r="L1102" i="1"/>
  <c r="M1102" i="1" s="1" a="1"/>
  <c r="M1102" i="1" s="1"/>
  <c r="L1103" i="1"/>
  <c r="M1103" i="1" s="1" a="1"/>
  <c r="M1103" i="1" s="1"/>
  <c r="L1104" i="1"/>
  <c r="M1104" i="1" s="1" a="1"/>
  <c r="M1104" i="1" s="1"/>
  <c r="L1105" i="1"/>
  <c r="M1105" i="1" s="1" a="1"/>
  <c r="M1105" i="1" s="1"/>
  <c r="L1106" i="1"/>
  <c r="M1106" i="1" s="1" a="1"/>
  <c r="M1106" i="1" s="1"/>
  <c r="L1107" i="1"/>
  <c r="M1107" i="1" s="1" a="1"/>
  <c r="M1107" i="1" s="1"/>
  <c r="L1108" i="1"/>
  <c r="M1108" i="1" s="1" a="1"/>
  <c r="M1108" i="1" s="1"/>
  <c r="L1109" i="1"/>
  <c r="M1109" i="1" s="1" a="1"/>
  <c r="M1109" i="1" s="1"/>
  <c r="L1110" i="1"/>
  <c r="M1110" i="1" s="1" a="1"/>
  <c r="M1110" i="1" s="1"/>
  <c r="L1111" i="1"/>
  <c r="M1111" i="1" s="1" a="1"/>
  <c r="M1111" i="1" s="1"/>
  <c r="L1112" i="1"/>
  <c r="M1112" i="1" s="1" a="1"/>
  <c r="M1112" i="1" s="1"/>
  <c r="L1113" i="1"/>
  <c r="M1113" i="1" s="1" a="1"/>
  <c r="M1113" i="1" s="1"/>
  <c r="L1114" i="1"/>
  <c r="M1114" i="1" s="1" a="1"/>
  <c r="M1114" i="1" s="1"/>
  <c r="L1115" i="1"/>
  <c r="M1115" i="1" s="1" a="1"/>
  <c r="M1115" i="1" s="1"/>
  <c r="L1116" i="1"/>
  <c r="M1116" i="1" s="1" a="1"/>
  <c r="M1116" i="1" s="1"/>
  <c r="L1117" i="1"/>
  <c r="M1117" i="1" s="1" a="1"/>
  <c r="M1117" i="1" s="1"/>
  <c r="L1118" i="1"/>
  <c r="M1118" i="1" s="1" a="1"/>
  <c r="M1118" i="1" s="1"/>
  <c r="L1119" i="1"/>
  <c r="M1119" i="1" s="1" a="1"/>
  <c r="M1119" i="1" s="1"/>
  <c r="L1120" i="1"/>
  <c r="M1120" i="1" s="1" a="1"/>
  <c r="M1120" i="1" s="1"/>
  <c r="L1121" i="1"/>
  <c r="M1121" i="1" s="1" a="1"/>
  <c r="M1121" i="1" s="1"/>
  <c r="L1122" i="1"/>
  <c r="M1122" i="1" s="1" a="1"/>
  <c r="M1122" i="1" s="1"/>
  <c r="L1123" i="1"/>
  <c r="M1123" i="1" s="1" a="1"/>
  <c r="M1123" i="1" s="1"/>
  <c r="L1124" i="1"/>
  <c r="M1124" i="1" s="1" a="1"/>
  <c r="M1124" i="1" s="1"/>
  <c r="L1125" i="1"/>
  <c r="M1125" i="1" s="1" a="1"/>
  <c r="M1125" i="1" s="1"/>
  <c r="L1126" i="1"/>
  <c r="M1126" i="1" s="1" a="1"/>
  <c r="M1126" i="1" s="1"/>
  <c r="L1127" i="1"/>
  <c r="M1127" i="1" s="1" a="1"/>
  <c r="M1127" i="1" s="1"/>
  <c r="L1128" i="1"/>
  <c r="M1128" i="1" s="1" a="1"/>
  <c r="M1128" i="1" s="1"/>
  <c r="L1129" i="1"/>
  <c r="M1129" i="1" s="1" a="1"/>
  <c r="M1129" i="1" s="1"/>
  <c r="L1130" i="1"/>
  <c r="M1130" i="1" s="1" a="1"/>
  <c r="M1130" i="1" s="1"/>
  <c r="L1131" i="1"/>
  <c r="M1131" i="1" s="1" a="1"/>
  <c r="M1131" i="1" s="1"/>
  <c r="L1132" i="1"/>
  <c r="M1132" i="1" s="1" a="1"/>
  <c r="M1132" i="1" s="1"/>
  <c r="L1133" i="1"/>
  <c r="M1133" i="1" s="1" a="1"/>
  <c r="M1133" i="1" s="1"/>
  <c r="L1134" i="1"/>
  <c r="M1134" i="1" s="1" a="1"/>
  <c r="M1134" i="1" s="1"/>
  <c r="L1135" i="1"/>
  <c r="M1135" i="1" s="1" a="1"/>
  <c r="M1135" i="1" s="1"/>
  <c r="L1136" i="1"/>
  <c r="M1136" i="1" s="1" a="1"/>
  <c r="M1136" i="1" s="1"/>
  <c r="L1137" i="1"/>
  <c r="M1137" i="1" s="1" a="1"/>
  <c r="M1137" i="1" s="1"/>
  <c r="L1138" i="1"/>
  <c r="M1138" i="1" s="1" a="1"/>
  <c r="M1138" i="1" s="1"/>
  <c r="L1139" i="1"/>
  <c r="M1139" i="1" s="1" a="1"/>
  <c r="M1139" i="1" s="1"/>
  <c r="L1140" i="1"/>
  <c r="M1140" i="1" s="1" a="1"/>
  <c r="M1140" i="1" s="1"/>
  <c r="L1141" i="1"/>
  <c r="M1141" i="1" s="1" a="1"/>
  <c r="M1141" i="1" s="1"/>
  <c r="L1142" i="1"/>
  <c r="M1142" i="1" s="1" a="1"/>
  <c r="M1142" i="1" s="1"/>
  <c r="L1143" i="1"/>
  <c r="M1143" i="1" s="1" a="1"/>
  <c r="M1143" i="1" s="1"/>
  <c r="L1144" i="1"/>
  <c r="M1144" i="1" s="1" a="1"/>
  <c r="M1144" i="1" s="1"/>
  <c r="L1145" i="1"/>
  <c r="M1145" i="1" s="1" a="1"/>
  <c r="M1145" i="1" s="1"/>
  <c r="L1146" i="1"/>
  <c r="M1146" i="1" s="1" a="1"/>
  <c r="M1146" i="1" s="1"/>
  <c r="L1147" i="1"/>
  <c r="M1147" i="1" s="1" a="1"/>
  <c r="M1147" i="1" s="1"/>
  <c r="L1148" i="1"/>
  <c r="M1148" i="1" s="1" a="1"/>
  <c r="M1148" i="1" s="1"/>
  <c r="L1149" i="1"/>
  <c r="M1149" i="1" s="1" a="1"/>
  <c r="M1149" i="1" s="1"/>
  <c r="L1150" i="1"/>
  <c r="M1150" i="1" s="1" a="1"/>
  <c r="M1150" i="1" s="1"/>
  <c r="L1151" i="1"/>
  <c r="M1151" i="1" s="1" a="1"/>
  <c r="M1151" i="1" s="1"/>
  <c r="L1152" i="1"/>
  <c r="M1152" i="1" s="1" a="1"/>
  <c r="M1152" i="1" s="1"/>
  <c r="L1153" i="1"/>
  <c r="M1153" i="1" s="1" a="1"/>
  <c r="M1153" i="1" s="1"/>
  <c r="L1154" i="1"/>
  <c r="M1154" i="1" s="1" a="1"/>
  <c r="M1154" i="1" s="1"/>
  <c r="L1155" i="1"/>
  <c r="M1155" i="1" s="1" a="1"/>
  <c r="M1155" i="1" s="1"/>
  <c r="L1156" i="1"/>
  <c r="M1156" i="1" s="1" a="1"/>
  <c r="M1156" i="1" s="1"/>
  <c r="L1157" i="1"/>
  <c r="M1157" i="1" s="1" a="1"/>
  <c r="M1157" i="1" s="1"/>
  <c r="L1158" i="1"/>
  <c r="M1158" i="1" s="1" a="1"/>
  <c r="M1158" i="1" s="1"/>
  <c r="L1159" i="1"/>
  <c r="M1159" i="1" s="1" a="1"/>
  <c r="M1159" i="1" s="1"/>
  <c r="L1160" i="1"/>
  <c r="M1160" i="1" s="1" a="1"/>
  <c r="M1160" i="1" s="1"/>
  <c r="L1161" i="1"/>
  <c r="M1161" i="1" s="1" a="1"/>
  <c r="M1161" i="1" s="1"/>
  <c r="L1162" i="1"/>
  <c r="M1162" i="1" s="1" a="1"/>
  <c r="M1162" i="1" s="1"/>
  <c r="L1163" i="1"/>
  <c r="M1163" i="1" s="1" a="1"/>
  <c r="M1163" i="1" s="1"/>
  <c r="L1164" i="1"/>
  <c r="M1164" i="1" s="1" a="1"/>
  <c r="M1164" i="1" s="1"/>
  <c r="L1165" i="1"/>
  <c r="M1165" i="1" s="1" a="1"/>
  <c r="M1165" i="1" s="1"/>
  <c r="L1166" i="1"/>
  <c r="M1166" i="1" s="1" a="1"/>
  <c r="M1166" i="1" s="1"/>
  <c r="L1167" i="1"/>
  <c r="M1167" i="1" s="1" a="1"/>
  <c r="M1167" i="1" s="1"/>
  <c r="L1168" i="1"/>
  <c r="M1168" i="1" s="1" a="1"/>
  <c r="M1168" i="1" s="1"/>
  <c r="L1169" i="1"/>
  <c r="M1169" i="1" s="1" a="1"/>
  <c r="M1169" i="1" s="1"/>
  <c r="L1170" i="1"/>
  <c r="M1170" i="1" s="1" a="1"/>
  <c r="M1170" i="1" s="1"/>
  <c r="L1171" i="1"/>
  <c r="M1171" i="1" s="1" a="1"/>
  <c r="M1171" i="1" s="1"/>
  <c r="L1172" i="1"/>
  <c r="M1172" i="1" s="1" a="1"/>
  <c r="M1172" i="1" s="1"/>
  <c r="L1173" i="1"/>
  <c r="M1173" i="1" s="1" a="1"/>
  <c r="M1173" i="1" s="1"/>
  <c r="L1174" i="1"/>
  <c r="M1174" i="1" s="1" a="1"/>
  <c r="M1174" i="1" s="1"/>
  <c r="L1175" i="1"/>
  <c r="M1175" i="1" s="1" a="1"/>
  <c r="M1175" i="1" s="1"/>
  <c r="L1176" i="1"/>
  <c r="M1176" i="1" s="1" a="1"/>
  <c r="M1176" i="1" s="1"/>
  <c r="L1177" i="1"/>
  <c r="M1177" i="1" s="1" a="1"/>
  <c r="M1177" i="1" s="1"/>
  <c r="L1178" i="1"/>
  <c r="M1178" i="1" s="1" a="1"/>
  <c r="M1178" i="1" s="1"/>
  <c r="L1179" i="1"/>
  <c r="M1179" i="1" s="1" a="1"/>
  <c r="M1179" i="1" s="1"/>
  <c r="L1180" i="1"/>
  <c r="M1180" i="1" s="1" a="1"/>
  <c r="M1180" i="1" s="1"/>
  <c r="L1181" i="1"/>
  <c r="M1181" i="1" s="1" a="1"/>
  <c r="M1181" i="1" s="1"/>
  <c r="L1182" i="1"/>
  <c r="M1182" i="1" s="1" a="1"/>
  <c r="M1182" i="1" s="1"/>
  <c r="L1183" i="1"/>
  <c r="M1183" i="1" s="1" a="1"/>
  <c r="M1183" i="1" s="1"/>
  <c r="L1184" i="1"/>
  <c r="M1184" i="1" s="1" a="1"/>
  <c r="M1184" i="1" s="1"/>
  <c r="L1185" i="1"/>
  <c r="M1185" i="1" s="1" a="1"/>
  <c r="M1185" i="1" s="1"/>
  <c r="L1186" i="1"/>
  <c r="M1186" i="1" s="1" a="1"/>
  <c r="M1186" i="1" s="1"/>
  <c r="L1187" i="1"/>
  <c r="M1187" i="1" s="1" a="1"/>
  <c r="M1187" i="1" s="1"/>
  <c r="L1188" i="1"/>
  <c r="M1188" i="1" s="1" a="1"/>
  <c r="M1188" i="1" s="1"/>
  <c r="L1189" i="1"/>
  <c r="M1189" i="1" s="1" a="1"/>
  <c r="M1189" i="1" s="1"/>
  <c r="L1190" i="1"/>
  <c r="M1190" i="1" s="1" a="1"/>
  <c r="M1190" i="1" s="1"/>
  <c r="L1191" i="1"/>
  <c r="M1191" i="1" s="1" a="1"/>
  <c r="M1191" i="1" s="1"/>
  <c r="L1192" i="1"/>
  <c r="M1192" i="1" s="1" a="1"/>
  <c r="M1192" i="1" s="1"/>
  <c r="L1193" i="1"/>
  <c r="M1193" i="1" s="1" a="1"/>
  <c r="M1193" i="1" s="1"/>
  <c r="L1194" i="1"/>
  <c r="M1194" i="1" s="1" a="1"/>
  <c r="M1194" i="1" s="1"/>
  <c r="L1195" i="1"/>
  <c r="M1195" i="1" s="1" a="1"/>
  <c r="M1195" i="1" s="1"/>
  <c r="L1196" i="1"/>
  <c r="M1196" i="1" s="1" a="1"/>
  <c r="M1196" i="1" s="1"/>
  <c r="L1197" i="1"/>
  <c r="M1197" i="1" s="1" a="1"/>
  <c r="M1197" i="1" s="1"/>
  <c r="L1198" i="1"/>
  <c r="M1198" i="1" s="1" a="1"/>
  <c r="M1198" i="1" s="1"/>
  <c r="L1199" i="1"/>
  <c r="M1199" i="1" s="1" a="1"/>
  <c r="M1199" i="1" s="1"/>
  <c r="L1200" i="1"/>
  <c r="M1200" i="1" s="1" a="1"/>
  <c r="M1200" i="1" s="1"/>
  <c r="L1201" i="1"/>
  <c r="M1201" i="1" s="1" a="1"/>
  <c r="M1201" i="1" s="1"/>
  <c r="L1202" i="1"/>
  <c r="M1202" i="1" s="1" a="1"/>
  <c r="M1202" i="1" s="1"/>
  <c r="L1203" i="1"/>
  <c r="M1203" i="1" s="1" a="1"/>
  <c r="M1203" i="1" s="1"/>
  <c r="L1204" i="1"/>
  <c r="M1204" i="1" s="1" a="1"/>
  <c r="M1204" i="1" s="1"/>
  <c r="L1205" i="1"/>
  <c r="M1205" i="1" s="1" a="1"/>
  <c r="M1205" i="1" s="1"/>
  <c r="L1206" i="1"/>
  <c r="M1206" i="1" s="1" a="1"/>
  <c r="M1206" i="1" s="1"/>
  <c r="L1207" i="1"/>
  <c r="M1207" i="1" s="1" a="1"/>
  <c r="M1207" i="1" s="1"/>
  <c r="L1208" i="1"/>
  <c r="M1208" i="1" s="1" a="1"/>
  <c r="M1208" i="1" s="1"/>
  <c r="L1209" i="1"/>
  <c r="M1209" i="1" s="1" a="1"/>
  <c r="M1209" i="1" s="1"/>
  <c r="L1210" i="1"/>
  <c r="M1210" i="1" s="1" a="1"/>
  <c r="M1210" i="1" s="1"/>
  <c r="L1211" i="1"/>
  <c r="M1211" i="1" s="1" a="1"/>
  <c r="M1211" i="1" s="1"/>
  <c r="L1212" i="1"/>
  <c r="M1212" i="1" s="1" a="1"/>
  <c r="M1212" i="1" s="1"/>
  <c r="L1213" i="1"/>
  <c r="M1213" i="1" s="1" a="1"/>
  <c r="M1213" i="1" s="1"/>
  <c r="L1214" i="1"/>
  <c r="M1214" i="1" s="1" a="1"/>
  <c r="M1214" i="1" s="1"/>
  <c r="L1215" i="1"/>
  <c r="M1215" i="1" s="1" a="1"/>
  <c r="M1215" i="1" s="1"/>
  <c r="L1216" i="1"/>
  <c r="M1216" i="1" s="1" a="1"/>
  <c r="M1216" i="1" s="1"/>
  <c r="L1217" i="1"/>
  <c r="M1217" i="1" s="1" a="1"/>
  <c r="M1217" i="1" s="1"/>
  <c r="L1218" i="1"/>
  <c r="M1218" i="1" s="1" a="1"/>
  <c r="M1218" i="1" s="1"/>
  <c r="L1219" i="1"/>
  <c r="M1219" i="1" s="1" a="1"/>
  <c r="M1219" i="1" s="1"/>
  <c r="L1220" i="1"/>
  <c r="M1220" i="1" s="1" a="1"/>
  <c r="M1220" i="1" s="1"/>
  <c r="L1221" i="1"/>
  <c r="M1221" i="1" s="1" a="1"/>
  <c r="M1221" i="1" s="1"/>
  <c r="L1222" i="1"/>
  <c r="M1222" i="1" s="1" a="1"/>
  <c r="M1222" i="1" s="1"/>
  <c r="L1223" i="1"/>
  <c r="M1223" i="1" s="1" a="1"/>
  <c r="M1223" i="1" s="1"/>
  <c r="L1224" i="1"/>
  <c r="M1224" i="1" s="1" a="1"/>
  <c r="M1224" i="1" s="1"/>
  <c r="L1225" i="1"/>
  <c r="M1225" i="1" s="1" a="1"/>
  <c r="M1225" i="1" s="1"/>
  <c r="L1226" i="1"/>
  <c r="M1226" i="1" s="1" a="1"/>
  <c r="M1226" i="1" s="1"/>
  <c r="L1227" i="1"/>
  <c r="M1227" i="1" s="1" a="1"/>
  <c r="M1227" i="1" s="1"/>
  <c r="L1228" i="1"/>
  <c r="M1228" i="1" s="1" a="1"/>
  <c r="M1228" i="1" s="1"/>
  <c r="L1229" i="1"/>
  <c r="M1229" i="1" s="1" a="1"/>
  <c r="M1229" i="1" s="1"/>
  <c r="L1230" i="1"/>
  <c r="M1230" i="1" s="1" a="1"/>
  <c r="M1230" i="1" s="1"/>
  <c r="L1231" i="1"/>
  <c r="M1231" i="1" s="1" a="1"/>
  <c r="M1231" i="1" s="1"/>
  <c r="L1232" i="1"/>
  <c r="M1232" i="1" s="1" a="1"/>
  <c r="M1232" i="1" s="1"/>
  <c r="L1233" i="1"/>
  <c r="M1233" i="1" s="1" a="1"/>
  <c r="M1233" i="1" s="1"/>
  <c r="L1234" i="1"/>
  <c r="M1234" i="1" s="1" a="1"/>
  <c r="M1234" i="1" s="1"/>
  <c r="L1235" i="1"/>
  <c r="M1235" i="1" s="1" a="1"/>
  <c r="M1235" i="1" s="1"/>
  <c r="L1236" i="1"/>
  <c r="M1236" i="1" s="1" a="1"/>
  <c r="M1236" i="1" s="1"/>
  <c r="L1237" i="1"/>
  <c r="M1237" i="1" s="1" a="1"/>
  <c r="M1237" i="1" s="1"/>
  <c r="L1238" i="1"/>
  <c r="M1238" i="1" s="1" a="1"/>
  <c r="M1238" i="1" s="1"/>
  <c r="L1239" i="1"/>
  <c r="M1239" i="1" s="1" a="1"/>
  <c r="M1239" i="1" s="1"/>
  <c r="L1240" i="1"/>
  <c r="M1240" i="1" s="1" a="1"/>
  <c r="M1240" i="1" s="1"/>
  <c r="L1241" i="1"/>
  <c r="M1241" i="1" s="1" a="1"/>
  <c r="M1241" i="1" s="1"/>
  <c r="L1242" i="1"/>
  <c r="M1242" i="1" s="1" a="1"/>
  <c r="M1242" i="1" s="1"/>
  <c r="L1243" i="1"/>
  <c r="M1243" i="1" s="1" a="1"/>
  <c r="M1243" i="1" s="1"/>
  <c r="L1244" i="1"/>
  <c r="M1244" i="1" s="1" a="1"/>
  <c r="M1244" i="1" s="1"/>
  <c r="L1245" i="1"/>
  <c r="M1245" i="1" s="1" a="1"/>
  <c r="M1245" i="1" s="1"/>
  <c r="L1246" i="1"/>
  <c r="M1246" i="1" s="1" a="1"/>
  <c r="M1246" i="1" s="1"/>
  <c r="L1247" i="1"/>
  <c r="M1247" i="1" s="1" a="1"/>
  <c r="M1247" i="1" s="1"/>
  <c r="L1248" i="1"/>
  <c r="M1248" i="1" s="1" a="1"/>
  <c r="M1248" i="1" s="1"/>
  <c r="L1249" i="1"/>
  <c r="M1249" i="1" s="1" a="1"/>
  <c r="M1249" i="1" s="1"/>
  <c r="L1250" i="1"/>
  <c r="M1250" i="1" s="1" a="1"/>
  <c r="M1250" i="1" s="1"/>
  <c r="L1251" i="1"/>
  <c r="M1251" i="1" s="1" a="1"/>
  <c r="M1251" i="1" s="1"/>
  <c r="L1252" i="1"/>
  <c r="M1252" i="1" s="1" a="1"/>
  <c r="M1252" i="1" s="1"/>
  <c r="L1253" i="1"/>
  <c r="M1253" i="1" s="1" a="1"/>
  <c r="M1253" i="1" s="1"/>
  <c r="L1254" i="1"/>
  <c r="M1254" i="1" s="1" a="1"/>
  <c r="M1254" i="1" s="1"/>
  <c r="L1255" i="1"/>
  <c r="M1255" i="1" s="1" a="1"/>
  <c r="M1255" i="1" s="1"/>
  <c r="L1256" i="1"/>
  <c r="M1256" i="1" s="1" a="1"/>
  <c r="M1256" i="1" s="1"/>
  <c r="L1257" i="1"/>
  <c r="M1257" i="1" s="1" a="1"/>
  <c r="M1257" i="1" s="1"/>
  <c r="L1258" i="1"/>
  <c r="M1258" i="1" s="1" a="1"/>
  <c r="M1258" i="1" s="1"/>
  <c r="L1259" i="1"/>
  <c r="M1259" i="1" s="1" a="1"/>
  <c r="M1259" i="1" s="1"/>
  <c r="L1260" i="1"/>
  <c r="M1260" i="1" s="1" a="1"/>
  <c r="M1260" i="1" s="1"/>
  <c r="L1261" i="1"/>
  <c r="M1261" i="1" s="1" a="1"/>
  <c r="M1261" i="1" s="1"/>
  <c r="L1262" i="1"/>
  <c r="M1262" i="1" s="1" a="1"/>
  <c r="M1262" i="1" s="1"/>
  <c r="L1263" i="1"/>
  <c r="M1263" i="1" s="1" a="1"/>
  <c r="M1263" i="1" s="1"/>
  <c r="L1264" i="1"/>
  <c r="M1264" i="1" s="1" a="1"/>
  <c r="M1264" i="1" s="1"/>
  <c r="L1265" i="1"/>
  <c r="M1265" i="1" s="1" a="1"/>
  <c r="M1265" i="1" s="1"/>
  <c r="L1266" i="1"/>
  <c r="M1266" i="1" s="1" a="1"/>
  <c r="M1266" i="1" s="1"/>
  <c r="L1267" i="1"/>
  <c r="M1267" i="1" s="1" a="1"/>
  <c r="M1267" i="1" s="1"/>
  <c r="L1268" i="1"/>
  <c r="M1268" i="1" s="1" a="1"/>
  <c r="M1268" i="1" s="1"/>
  <c r="L1269" i="1"/>
  <c r="M1269" i="1" s="1" a="1"/>
  <c r="M1269" i="1" s="1"/>
  <c r="L1270" i="1"/>
  <c r="M1270" i="1" s="1" a="1"/>
  <c r="M1270" i="1" s="1"/>
  <c r="L1271" i="1"/>
  <c r="M1271" i="1" s="1" a="1"/>
  <c r="M1271" i="1" s="1"/>
  <c r="L1272" i="1"/>
  <c r="M1272" i="1" s="1" a="1"/>
  <c r="M1272" i="1" s="1"/>
  <c r="L1273" i="1"/>
  <c r="M1273" i="1" s="1" a="1"/>
  <c r="M1273" i="1" s="1"/>
  <c r="L1274" i="1"/>
  <c r="M1274" i="1" s="1" a="1"/>
  <c r="M1274" i="1" s="1"/>
  <c r="L1275" i="1"/>
  <c r="M1275" i="1" s="1" a="1"/>
  <c r="M1275" i="1" s="1"/>
  <c r="L1276" i="1"/>
  <c r="M1276" i="1" s="1" a="1"/>
  <c r="M1276" i="1" s="1"/>
  <c r="L1277" i="1"/>
  <c r="M1277" i="1" s="1" a="1"/>
  <c r="M1277" i="1" s="1"/>
  <c r="L1278" i="1"/>
  <c r="M1278" i="1" s="1" a="1"/>
  <c r="M1278" i="1" s="1"/>
  <c r="L1279" i="1"/>
  <c r="M1279" i="1" s="1" a="1"/>
  <c r="M1279" i="1" s="1"/>
  <c r="L1280" i="1"/>
  <c r="M1280" i="1" s="1" a="1"/>
  <c r="M1280" i="1" s="1"/>
  <c r="L1281" i="1"/>
  <c r="M1281" i="1" s="1" a="1"/>
  <c r="M1281" i="1" s="1"/>
  <c r="L1282" i="1"/>
  <c r="M1282" i="1" s="1" a="1"/>
  <c r="M1282" i="1" s="1"/>
  <c r="L1283" i="1"/>
  <c r="M1283" i="1" s="1" a="1"/>
  <c r="M1283" i="1" s="1"/>
  <c r="L1284" i="1"/>
  <c r="M1284" i="1" s="1" a="1"/>
  <c r="M1284" i="1" s="1"/>
  <c r="L1285" i="1"/>
  <c r="M1285" i="1" s="1" a="1"/>
  <c r="M1285" i="1" s="1"/>
  <c r="L1286" i="1"/>
  <c r="M1286" i="1" s="1" a="1"/>
  <c r="M1286" i="1" s="1"/>
  <c r="L1287" i="1"/>
  <c r="M1287" i="1" s="1" a="1"/>
  <c r="M1287" i="1" s="1"/>
  <c r="L1288" i="1"/>
  <c r="M1288" i="1" s="1" a="1"/>
  <c r="M1288" i="1" s="1"/>
  <c r="L1289" i="1"/>
  <c r="M1289" i="1" s="1" a="1"/>
  <c r="M1289" i="1" s="1"/>
  <c r="L1290" i="1"/>
  <c r="M1290" i="1" s="1" a="1"/>
  <c r="M1290" i="1" s="1"/>
  <c r="L1291" i="1"/>
  <c r="M1291" i="1" s="1" a="1"/>
  <c r="M1291" i="1" s="1"/>
  <c r="L1292" i="1"/>
  <c r="M1292" i="1" s="1" a="1"/>
  <c r="M1292" i="1" s="1"/>
  <c r="L1293" i="1"/>
  <c r="M1293" i="1" s="1" a="1"/>
  <c r="M1293" i="1" s="1"/>
  <c r="L1294" i="1"/>
  <c r="M1294" i="1" s="1" a="1"/>
  <c r="M1294" i="1" s="1"/>
  <c r="L1295" i="1"/>
  <c r="M1295" i="1" s="1" a="1"/>
  <c r="M1295" i="1" s="1"/>
  <c r="L1296" i="1"/>
  <c r="M1296" i="1" s="1" a="1"/>
  <c r="M1296" i="1" s="1"/>
  <c r="L1297" i="1"/>
  <c r="M1297" i="1" s="1" a="1"/>
  <c r="M1297" i="1" s="1"/>
  <c r="L1298" i="1"/>
  <c r="M1298" i="1" s="1" a="1"/>
  <c r="M1298" i="1" s="1"/>
  <c r="L1299" i="1"/>
  <c r="M1299" i="1" s="1" a="1"/>
  <c r="M1299" i="1" s="1"/>
  <c r="L1300" i="1"/>
  <c r="M1300" i="1" s="1" a="1"/>
  <c r="M1300" i="1" s="1"/>
  <c r="L1301" i="1"/>
  <c r="M1301" i="1" s="1" a="1"/>
  <c r="M1301" i="1" s="1"/>
  <c r="L1302" i="1"/>
  <c r="M1302" i="1" s="1" a="1"/>
  <c r="M1302" i="1" s="1"/>
  <c r="L1303" i="1"/>
  <c r="M1303" i="1" s="1" a="1"/>
  <c r="M1303" i="1" s="1"/>
  <c r="L1304" i="1"/>
  <c r="M1304" i="1" s="1" a="1"/>
  <c r="M1304" i="1" s="1"/>
  <c r="L1305" i="1"/>
  <c r="M1305" i="1" s="1" a="1"/>
  <c r="M1305" i="1" s="1"/>
  <c r="L1306" i="1"/>
  <c r="M1306" i="1" s="1" a="1"/>
  <c r="M1306" i="1" s="1"/>
  <c r="L1307" i="1"/>
  <c r="M1307" i="1" s="1" a="1"/>
  <c r="M1307" i="1" s="1"/>
  <c r="L1308" i="1"/>
  <c r="M1308" i="1" s="1" a="1"/>
  <c r="M1308" i="1" s="1"/>
  <c r="L1309" i="1"/>
  <c r="M1309" i="1" s="1" a="1"/>
  <c r="M1309" i="1" s="1"/>
  <c r="L1310" i="1"/>
  <c r="M1310" i="1" s="1" a="1"/>
  <c r="M1310" i="1" s="1"/>
  <c r="L1311" i="1"/>
  <c r="M1311" i="1" s="1" a="1"/>
  <c r="M1311" i="1" s="1"/>
  <c r="L1312" i="1"/>
  <c r="M1312" i="1" s="1" a="1"/>
  <c r="M1312" i="1" s="1"/>
  <c r="L1313" i="1"/>
  <c r="M1313" i="1" s="1" a="1"/>
  <c r="M1313" i="1" s="1"/>
  <c r="L1314" i="1"/>
  <c r="M1314" i="1" s="1" a="1"/>
  <c r="M1314" i="1" s="1"/>
  <c r="L1315" i="1"/>
  <c r="M1315" i="1" s="1" a="1"/>
  <c r="M1315" i="1" s="1"/>
  <c r="L1316" i="1"/>
  <c r="M1316" i="1" s="1" a="1"/>
  <c r="M1316" i="1" s="1"/>
  <c r="L1317" i="1"/>
  <c r="M1317" i="1" s="1" a="1"/>
  <c r="M1317" i="1" s="1"/>
  <c r="L1318" i="1"/>
  <c r="M1318" i="1" s="1" a="1"/>
  <c r="M1318" i="1" s="1"/>
  <c r="L1319" i="1"/>
  <c r="M1319" i="1" s="1" a="1"/>
  <c r="M1319" i="1" s="1"/>
  <c r="L1320" i="1"/>
  <c r="M1320" i="1" s="1" a="1"/>
  <c r="M1320" i="1" s="1"/>
  <c r="L1321" i="1"/>
  <c r="M1321" i="1" s="1" a="1"/>
  <c r="M1321" i="1" s="1"/>
  <c r="L1322" i="1"/>
  <c r="M1322" i="1" s="1" a="1"/>
  <c r="M1322" i="1" s="1"/>
  <c r="L1323" i="1"/>
  <c r="M1323" i="1" s="1" a="1"/>
  <c r="M1323" i="1" s="1"/>
  <c r="L1324" i="1"/>
  <c r="M1324" i="1" s="1" a="1"/>
  <c r="M1324" i="1" s="1"/>
  <c r="L1325" i="1"/>
  <c r="M1325" i="1" s="1" a="1"/>
  <c r="M1325" i="1" s="1"/>
  <c r="L1326" i="1"/>
  <c r="M1326" i="1" s="1" a="1"/>
  <c r="M1326" i="1" s="1"/>
  <c r="L1327" i="1"/>
  <c r="M1327" i="1" s="1" a="1"/>
  <c r="M1327" i="1" s="1"/>
  <c r="L1328" i="1"/>
  <c r="M1328" i="1" s="1" a="1"/>
  <c r="M1328" i="1" s="1"/>
  <c r="L1329" i="1"/>
  <c r="M1329" i="1" s="1" a="1"/>
  <c r="M1329" i="1" s="1"/>
  <c r="L1330" i="1"/>
  <c r="M1330" i="1" s="1" a="1"/>
  <c r="M1330" i="1" s="1"/>
  <c r="L1331" i="1"/>
  <c r="M1331" i="1" s="1" a="1"/>
  <c r="M1331" i="1" s="1"/>
  <c r="L1332" i="1"/>
  <c r="M1332" i="1" s="1" a="1"/>
  <c r="M1332" i="1" s="1"/>
  <c r="L1333" i="1"/>
  <c r="M1333" i="1" s="1" a="1"/>
  <c r="M1333" i="1" s="1"/>
  <c r="L1334" i="1"/>
  <c r="M1334" i="1" s="1" a="1"/>
  <c r="M1334" i="1" s="1"/>
  <c r="L1335" i="1"/>
  <c r="M1335" i="1" s="1" a="1"/>
  <c r="M1335" i="1" s="1"/>
  <c r="L1336" i="1"/>
  <c r="M1336" i="1" s="1" a="1"/>
  <c r="M1336" i="1" s="1"/>
  <c r="L1337" i="1"/>
  <c r="M1337" i="1" s="1" a="1"/>
  <c r="M1337" i="1" s="1"/>
  <c r="L1338" i="1"/>
  <c r="M1338" i="1" s="1" a="1"/>
  <c r="M1338" i="1" s="1"/>
  <c r="L1339" i="1"/>
  <c r="M1339" i="1" s="1" a="1"/>
  <c r="M1339" i="1" s="1"/>
  <c r="L1340" i="1"/>
  <c r="M1340" i="1" s="1" a="1"/>
  <c r="M1340" i="1" s="1"/>
  <c r="L1341" i="1"/>
  <c r="M1341" i="1" s="1" a="1"/>
  <c r="M1341" i="1" s="1"/>
  <c r="L1342" i="1"/>
  <c r="M1342" i="1" s="1" a="1"/>
  <c r="M1342" i="1" s="1"/>
  <c r="L1343" i="1"/>
  <c r="M1343" i="1" s="1" a="1"/>
  <c r="M1343" i="1" s="1"/>
  <c r="L1344" i="1"/>
  <c r="M1344" i="1" s="1" a="1"/>
  <c r="M1344" i="1" s="1"/>
  <c r="L1345" i="1"/>
  <c r="M1345" i="1" s="1" a="1"/>
  <c r="M1345" i="1" s="1"/>
  <c r="L1346" i="1"/>
  <c r="M1346" i="1" s="1" a="1"/>
  <c r="M1346" i="1" s="1"/>
  <c r="L1347" i="1"/>
  <c r="M1347" i="1" s="1" a="1"/>
  <c r="M1347" i="1" s="1"/>
  <c r="L1348" i="1"/>
  <c r="M1348" i="1" s="1" a="1"/>
  <c r="M1348" i="1" s="1"/>
  <c r="L1349" i="1"/>
  <c r="M1349" i="1" s="1" a="1"/>
  <c r="M1349" i="1" s="1"/>
  <c r="L1350" i="1"/>
  <c r="M1350" i="1" s="1" a="1"/>
  <c r="M1350" i="1" s="1"/>
  <c r="L1351" i="1"/>
  <c r="M1351" i="1" s="1" a="1"/>
  <c r="M1351" i="1" s="1"/>
  <c r="L1352" i="1"/>
  <c r="M1352" i="1" s="1" a="1"/>
  <c r="M1352" i="1" s="1"/>
  <c r="L1353" i="1"/>
  <c r="M1353" i="1" s="1" a="1"/>
  <c r="M1353" i="1" s="1"/>
  <c r="L1354" i="1"/>
  <c r="M1354" i="1" s="1" a="1"/>
  <c r="M1354" i="1" s="1"/>
  <c r="L1355" i="1"/>
  <c r="M1355" i="1" s="1" a="1"/>
  <c r="M1355" i="1" s="1"/>
  <c r="L1356" i="1"/>
  <c r="M1356" i="1" s="1" a="1"/>
  <c r="M1356" i="1" s="1"/>
  <c r="L1357" i="1"/>
  <c r="M1357" i="1" s="1" a="1"/>
  <c r="M1357" i="1" s="1"/>
  <c r="L1358" i="1"/>
  <c r="M1358" i="1" s="1" a="1"/>
  <c r="M1358" i="1" s="1"/>
  <c r="L1359" i="1"/>
  <c r="M1359" i="1" s="1" a="1"/>
  <c r="M1359" i="1" s="1"/>
  <c r="L1360" i="1"/>
  <c r="M1360" i="1" s="1" a="1"/>
  <c r="M1360" i="1" s="1"/>
  <c r="L1361" i="1"/>
  <c r="M1361" i="1" s="1" a="1"/>
  <c r="M1361" i="1" s="1"/>
  <c r="L1362" i="1"/>
  <c r="M1362" i="1" s="1" a="1"/>
  <c r="M1362" i="1" s="1"/>
  <c r="L1363" i="1"/>
  <c r="M1363" i="1" s="1" a="1"/>
  <c r="M1363" i="1" s="1"/>
  <c r="L1364" i="1"/>
  <c r="M1364" i="1" s="1" a="1"/>
  <c r="M1364" i="1" s="1"/>
  <c r="L1365" i="1"/>
  <c r="M1365" i="1" s="1" a="1"/>
  <c r="M1365" i="1" s="1"/>
  <c r="L1366" i="1"/>
  <c r="M1366" i="1" s="1" a="1"/>
  <c r="M1366" i="1" s="1"/>
  <c r="L1367" i="1"/>
  <c r="M1367" i="1" s="1" a="1"/>
  <c r="M1367" i="1" s="1"/>
  <c r="L1368" i="1"/>
  <c r="M1368" i="1" s="1" a="1"/>
  <c r="M1368" i="1" s="1"/>
  <c r="L1369" i="1"/>
  <c r="M1369" i="1" s="1" a="1"/>
  <c r="M1369" i="1" s="1"/>
  <c r="L1370" i="1"/>
  <c r="M1370" i="1" s="1" a="1"/>
  <c r="M1370" i="1" s="1"/>
  <c r="L1371" i="1"/>
  <c r="M1371" i="1" s="1" a="1"/>
  <c r="M1371" i="1" s="1"/>
  <c r="L1372" i="1"/>
  <c r="M1372" i="1" s="1" a="1"/>
  <c r="M1372" i="1" s="1"/>
  <c r="L1373" i="1"/>
  <c r="M1373" i="1" s="1" a="1"/>
  <c r="M1373" i="1" s="1"/>
  <c r="L1374" i="1"/>
  <c r="M1374" i="1" s="1" a="1"/>
  <c r="M1374" i="1" s="1"/>
  <c r="L1375" i="1"/>
  <c r="M1375" i="1" s="1" a="1"/>
  <c r="M1375" i="1" s="1"/>
  <c r="L1376" i="1"/>
  <c r="M1376" i="1" s="1" a="1"/>
  <c r="M1376" i="1" s="1"/>
  <c r="L1377" i="1"/>
  <c r="M1377" i="1" s="1" a="1"/>
  <c r="M1377" i="1" s="1"/>
  <c r="L1378" i="1"/>
  <c r="M1378" i="1" s="1" a="1"/>
  <c r="M1378" i="1" s="1"/>
  <c r="L1379" i="1"/>
  <c r="M1379" i="1" s="1" a="1"/>
  <c r="M1379" i="1" s="1"/>
  <c r="L1380" i="1"/>
  <c r="M1380" i="1" s="1" a="1"/>
  <c r="M1380" i="1" s="1"/>
  <c r="L1381" i="1"/>
  <c r="M1381" i="1" s="1" a="1"/>
  <c r="M1381" i="1" s="1"/>
  <c r="L1382" i="1"/>
  <c r="M1382" i="1" s="1" a="1"/>
  <c r="M1382" i="1" s="1"/>
  <c r="L1383" i="1"/>
  <c r="M1383" i="1" s="1" a="1"/>
  <c r="M1383" i="1" s="1"/>
  <c r="L1384" i="1"/>
  <c r="M1384" i="1" s="1" a="1"/>
  <c r="M1384" i="1" s="1"/>
  <c r="L1385" i="1"/>
  <c r="M1385" i="1" s="1" a="1"/>
  <c r="M1385" i="1" s="1"/>
  <c r="L1386" i="1"/>
  <c r="M1386" i="1" s="1" a="1"/>
  <c r="M1386" i="1" s="1"/>
  <c r="L1387" i="1"/>
  <c r="M1387" i="1" s="1" a="1"/>
  <c r="M1387" i="1" s="1"/>
  <c r="L1388" i="1"/>
  <c r="M1388" i="1" s="1" a="1"/>
  <c r="M1388" i="1" s="1"/>
  <c r="L1389" i="1"/>
  <c r="M1389" i="1" s="1" a="1"/>
  <c r="M1389" i="1" s="1"/>
  <c r="L1390" i="1"/>
  <c r="M1390" i="1" s="1" a="1"/>
  <c r="M1390" i="1" s="1"/>
  <c r="L1391" i="1"/>
  <c r="M1391" i="1" s="1" a="1"/>
  <c r="M1391" i="1" s="1"/>
  <c r="L1392" i="1"/>
  <c r="M1392" i="1" s="1" a="1"/>
  <c r="M1392" i="1" s="1"/>
  <c r="L1393" i="1"/>
  <c r="M1393" i="1" s="1" a="1"/>
  <c r="M1393" i="1" s="1"/>
  <c r="L1394" i="1"/>
  <c r="M1394" i="1" s="1" a="1"/>
  <c r="M1394" i="1" s="1"/>
  <c r="L1395" i="1"/>
  <c r="M1395" i="1" s="1" a="1"/>
  <c r="M1395" i="1" s="1"/>
  <c r="L1396" i="1"/>
  <c r="M1396" i="1" s="1" a="1"/>
  <c r="M1396" i="1" s="1"/>
  <c r="L1397" i="1"/>
  <c r="M1397" i="1" s="1" a="1"/>
  <c r="M1397" i="1" s="1"/>
  <c r="L1398" i="1"/>
  <c r="M1398" i="1" s="1" a="1"/>
  <c r="M1398" i="1" s="1"/>
  <c r="L1399" i="1"/>
  <c r="M1399" i="1" s="1" a="1"/>
  <c r="M1399" i="1" s="1"/>
  <c r="L1400" i="1"/>
  <c r="M1400" i="1" s="1" a="1"/>
  <c r="M1400" i="1" s="1"/>
  <c r="L1401" i="1"/>
  <c r="M1401" i="1" s="1" a="1"/>
  <c r="M1401" i="1" s="1"/>
  <c r="L1402" i="1"/>
  <c r="M1402" i="1" s="1" a="1"/>
  <c r="M1402" i="1" s="1"/>
  <c r="L1403" i="1"/>
  <c r="M1403" i="1" s="1" a="1"/>
  <c r="M1403" i="1" s="1"/>
  <c r="L1404" i="1"/>
  <c r="M1404" i="1" s="1" a="1"/>
  <c r="M1404" i="1" s="1"/>
  <c r="L1405" i="1"/>
  <c r="M1405" i="1" s="1" a="1"/>
  <c r="M1405" i="1" s="1"/>
  <c r="L1406" i="1"/>
  <c r="M1406" i="1" s="1" a="1"/>
  <c r="M1406" i="1" s="1"/>
  <c r="L1407" i="1"/>
  <c r="M1407" i="1" s="1" a="1"/>
  <c r="M1407" i="1" s="1"/>
  <c r="L1408" i="1"/>
  <c r="M1408" i="1" s="1" a="1"/>
  <c r="M1408" i="1" s="1"/>
  <c r="L1409" i="1"/>
  <c r="M1409" i="1" s="1" a="1"/>
  <c r="M1409" i="1" s="1"/>
  <c r="L1410" i="1"/>
  <c r="M1410" i="1" s="1" a="1"/>
  <c r="M1410" i="1" s="1"/>
  <c r="L1411" i="1"/>
  <c r="M1411" i="1" s="1" a="1"/>
  <c r="M1411" i="1" s="1"/>
  <c r="L1412" i="1"/>
  <c r="M1412" i="1" s="1" a="1"/>
  <c r="M1412" i="1" s="1"/>
  <c r="L1413" i="1"/>
  <c r="M1413" i="1" s="1" a="1"/>
  <c r="M1413" i="1" s="1"/>
  <c r="L1414" i="1"/>
  <c r="M1414" i="1" s="1" a="1"/>
  <c r="M1414" i="1" s="1"/>
  <c r="L1415" i="1"/>
  <c r="M1415" i="1" s="1" a="1"/>
  <c r="M1415" i="1" s="1"/>
  <c r="L1416" i="1"/>
  <c r="M1416" i="1" s="1" a="1"/>
  <c r="M1416" i="1" s="1"/>
  <c r="L1417" i="1"/>
  <c r="M1417" i="1" s="1" a="1"/>
  <c r="M1417" i="1" s="1"/>
  <c r="L1418" i="1"/>
  <c r="M1418" i="1" s="1" a="1"/>
  <c r="M1418" i="1" s="1"/>
  <c r="L1419" i="1"/>
  <c r="M1419" i="1" s="1" a="1"/>
  <c r="M1419" i="1" s="1"/>
  <c r="L1420" i="1"/>
  <c r="M1420" i="1" s="1" a="1"/>
  <c r="M1420" i="1" s="1"/>
  <c r="L1421" i="1"/>
  <c r="M1421" i="1" s="1" a="1"/>
  <c r="M1421" i="1" s="1"/>
  <c r="L1422" i="1"/>
  <c r="M1422" i="1" s="1" a="1"/>
  <c r="M1422" i="1" s="1"/>
  <c r="L1423" i="1"/>
  <c r="M1423" i="1" s="1" a="1"/>
  <c r="M1423" i="1" s="1"/>
  <c r="L1424" i="1"/>
  <c r="M1424" i="1" s="1" a="1"/>
  <c r="M1424" i="1" s="1"/>
  <c r="L1425" i="1"/>
  <c r="M1425" i="1" s="1" a="1"/>
  <c r="M1425" i="1" s="1"/>
  <c r="L1426" i="1"/>
  <c r="M1426" i="1" s="1" a="1"/>
  <c r="M1426" i="1" s="1"/>
  <c r="L1427" i="1"/>
  <c r="M1427" i="1" s="1" a="1"/>
  <c r="M1427" i="1" s="1"/>
  <c r="L1428" i="1"/>
  <c r="M1428" i="1" s="1" a="1"/>
  <c r="M1428" i="1" s="1"/>
  <c r="L1429" i="1"/>
  <c r="M1429" i="1" s="1" a="1"/>
  <c r="M1429" i="1" s="1"/>
  <c r="L1430" i="1"/>
  <c r="M1430" i="1" s="1" a="1"/>
  <c r="M1430" i="1" s="1"/>
  <c r="L1431" i="1"/>
  <c r="M1431" i="1" s="1" a="1"/>
  <c r="M1431" i="1" s="1"/>
  <c r="L1432" i="1"/>
  <c r="M1432" i="1" s="1" a="1"/>
  <c r="M1432" i="1" s="1"/>
  <c r="L1433" i="1"/>
  <c r="M1433" i="1" s="1" a="1"/>
  <c r="M1433" i="1" s="1"/>
  <c r="L1434" i="1"/>
  <c r="M1434" i="1" s="1" a="1"/>
  <c r="M1434" i="1" s="1"/>
  <c r="L1435" i="1"/>
  <c r="M1435" i="1" s="1" a="1"/>
  <c r="M1435" i="1" s="1"/>
  <c r="L1436" i="1"/>
  <c r="M1436" i="1" s="1" a="1"/>
  <c r="M1436" i="1" s="1"/>
  <c r="L1437" i="1"/>
  <c r="M1437" i="1" s="1" a="1"/>
  <c r="M1437" i="1" s="1"/>
  <c r="L1438" i="1"/>
  <c r="M1438" i="1" s="1" a="1"/>
  <c r="M1438" i="1" s="1"/>
  <c r="L1439" i="1"/>
  <c r="M1439" i="1" s="1" a="1"/>
  <c r="M1439" i="1" s="1"/>
  <c r="L1440" i="1"/>
  <c r="M1440" i="1" s="1" a="1"/>
  <c r="M1440" i="1" s="1"/>
  <c r="L1441" i="1"/>
  <c r="M1441" i="1" s="1" a="1"/>
  <c r="M1441" i="1" s="1"/>
  <c r="L1442" i="1"/>
  <c r="M1442" i="1" s="1" a="1"/>
  <c r="M1442" i="1" s="1"/>
  <c r="L1443" i="1"/>
  <c r="M1443" i="1" s="1" a="1"/>
  <c r="M1443" i="1" s="1"/>
  <c r="L1444" i="1"/>
  <c r="M1444" i="1" s="1" a="1"/>
  <c r="M1444" i="1" s="1"/>
  <c r="L1445" i="1"/>
  <c r="M1445" i="1" s="1" a="1"/>
  <c r="M1445" i="1" s="1"/>
  <c r="L1446" i="1"/>
  <c r="M1446" i="1" s="1" a="1"/>
  <c r="M1446" i="1" s="1"/>
  <c r="L1447" i="1"/>
  <c r="M1447" i="1" s="1" a="1"/>
  <c r="M1447" i="1" s="1"/>
  <c r="L1448" i="1"/>
  <c r="M1448" i="1" s="1" a="1"/>
  <c r="M1448" i="1" s="1"/>
  <c r="L1449" i="1"/>
  <c r="M1449" i="1" s="1" a="1"/>
  <c r="M1449" i="1" s="1"/>
  <c r="L1450" i="1"/>
  <c r="M1450" i="1" s="1" a="1"/>
  <c r="M1450" i="1" s="1"/>
  <c r="L1451" i="1"/>
  <c r="M1451" i="1" s="1" a="1"/>
  <c r="M1451" i="1" s="1"/>
  <c r="L1452" i="1"/>
  <c r="M1452" i="1" s="1" a="1"/>
  <c r="M1452" i="1" s="1"/>
  <c r="L1453" i="1"/>
  <c r="M1453" i="1" s="1" a="1"/>
  <c r="M1453" i="1" s="1"/>
  <c r="L1454" i="1"/>
  <c r="M1454" i="1" s="1" a="1"/>
  <c r="M1454" i="1" s="1"/>
  <c r="L1455" i="1"/>
  <c r="M1455" i="1" s="1" a="1"/>
  <c r="M1455" i="1" s="1"/>
  <c r="L1456" i="1"/>
  <c r="M1456" i="1" s="1" a="1"/>
  <c r="M1456" i="1" s="1"/>
  <c r="L1457" i="1"/>
  <c r="M1457" i="1" s="1" a="1"/>
  <c r="M1457" i="1" s="1"/>
  <c r="L1458" i="1"/>
  <c r="M1458" i="1" s="1" a="1"/>
  <c r="M1458" i="1" s="1"/>
  <c r="L1459" i="1"/>
  <c r="M1459" i="1" s="1" a="1"/>
  <c r="M1459" i="1" s="1"/>
  <c r="L1460" i="1"/>
  <c r="M1460" i="1" s="1" a="1"/>
  <c r="M1460" i="1" s="1"/>
  <c r="L1461" i="1"/>
  <c r="M1461" i="1" s="1" a="1"/>
  <c r="M1461" i="1" s="1"/>
  <c r="L1462" i="1"/>
  <c r="M1462" i="1" s="1" a="1"/>
  <c r="M1462" i="1" s="1"/>
  <c r="L1463" i="1"/>
  <c r="M1463" i="1" s="1" a="1"/>
  <c r="M1463" i="1" s="1"/>
  <c r="L1464" i="1"/>
  <c r="M1464" i="1" s="1" a="1"/>
  <c r="M1464" i="1" s="1"/>
  <c r="L1465" i="1"/>
  <c r="M1465" i="1" s="1" a="1"/>
  <c r="M1465" i="1" s="1"/>
  <c r="L1466" i="1"/>
  <c r="M1466" i="1" s="1" a="1"/>
  <c r="M1466" i="1" s="1"/>
  <c r="L1467" i="1"/>
  <c r="M1467" i="1" s="1" a="1"/>
  <c r="M1467" i="1" s="1"/>
  <c r="L1468" i="1"/>
  <c r="M1468" i="1" s="1" a="1"/>
  <c r="M1468" i="1" s="1"/>
  <c r="L1469" i="1"/>
  <c r="M1469" i="1" s="1" a="1"/>
  <c r="M1469" i="1" s="1"/>
  <c r="L1470" i="1"/>
  <c r="M1470" i="1" s="1" a="1"/>
  <c r="M1470" i="1" s="1"/>
  <c r="L1471" i="1"/>
  <c r="M1471" i="1" s="1" a="1"/>
  <c r="M1471" i="1" s="1"/>
  <c r="L1472" i="1"/>
  <c r="M1472" i="1" s="1" a="1"/>
  <c r="M1472" i="1" s="1"/>
  <c r="L1473" i="1"/>
  <c r="M1473" i="1" s="1" a="1"/>
  <c r="M1473" i="1" s="1"/>
  <c r="L1474" i="1"/>
  <c r="M1474" i="1" s="1" a="1"/>
  <c r="M1474" i="1" s="1"/>
  <c r="L1475" i="1"/>
  <c r="M1475" i="1" s="1" a="1"/>
  <c r="M1475" i="1" s="1"/>
  <c r="L1476" i="1"/>
  <c r="M1476" i="1" s="1" a="1"/>
  <c r="M1476" i="1" s="1"/>
  <c r="L1477" i="1"/>
  <c r="M1477" i="1" s="1" a="1"/>
  <c r="M1477" i="1" s="1"/>
  <c r="L1478" i="1"/>
  <c r="M1478" i="1" s="1" a="1"/>
  <c r="M1478" i="1" s="1"/>
  <c r="L1479" i="1"/>
  <c r="M1479" i="1" s="1" a="1"/>
  <c r="M1479" i="1" s="1"/>
  <c r="L1480" i="1"/>
  <c r="M1480" i="1" s="1" a="1"/>
  <c r="M1480" i="1" s="1"/>
  <c r="L1481" i="1"/>
  <c r="M1481" i="1" s="1" a="1"/>
  <c r="M1481" i="1" s="1"/>
  <c r="L1482" i="1"/>
  <c r="M1482" i="1" s="1" a="1"/>
  <c r="M1482" i="1" s="1"/>
  <c r="L1483" i="1"/>
  <c r="M1483" i="1" s="1" a="1"/>
  <c r="M1483" i="1" s="1"/>
  <c r="L1484" i="1"/>
  <c r="M1484" i="1" s="1" a="1"/>
  <c r="M1484" i="1" s="1"/>
  <c r="L1485" i="1"/>
  <c r="M1485" i="1" s="1" a="1"/>
  <c r="M1485" i="1" s="1"/>
  <c r="L1486" i="1"/>
  <c r="M1486" i="1" s="1" a="1"/>
  <c r="M1486" i="1" s="1"/>
  <c r="L1487" i="1"/>
  <c r="M1487" i="1" s="1" a="1"/>
  <c r="M1487" i="1" s="1"/>
  <c r="L1488" i="1"/>
  <c r="M1488" i="1" s="1" a="1"/>
  <c r="M1488" i="1" s="1"/>
  <c r="L1489" i="1"/>
  <c r="M1489" i="1" s="1" a="1"/>
  <c r="M1489" i="1" s="1"/>
  <c r="L1490" i="1"/>
  <c r="M1490" i="1" s="1" a="1"/>
  <c r="M1490" i="1" s="1"/>
  <c r="L1491" i="1"/>
  <c r="M1491" i="1" s="1" a="1"/>
  <c r="M1491" i="1" s="1"/>
  <c r="L1492" i="1"/>
  <c r="M1492" i="1" s="1" a="1"/>
  <c r="M1492" i="1" s="1"/>
  <c r="L1493" i="1"/>
  <c r="M1493" i="1" s="1" a="1"/>
  <c r="M1493" i="1" s="1"/>
  <c r="L1494" i="1"/>
  <c r="M1494" i="1" s="1" a="1"/>
  <c r="M1494" i="1" s="1"/>
  <c r="L1495" i="1"/>
  <c r="M1495" i="1" s="1" a="1"/>
  <c r="M1495" i="1" s="1"/>
  <c r="L1496" i="1"/>
  <c r="M1496" i="1" s="1" a="1"/>
  <c r="M1496" i="1" s="1"/>
  <c r="L1497" i="1"/>
  <c r="M1497" i="1" s="1" a="1"/>
  <c r="M1497" i="1" s="1"/>
  <c r="L1498" i="1"/>
  <c r="M1498" i="1" s="1" a="1"/>
  <c r="M1498" i="1" s="1"/>
  <c r="L1499" i="1"/>
  <c r="M1499" i="1" s="1" a="1"/>
  <c r="M1499" i="1" s="1"/>
  <c r="L1500" i="1"/>
  <c r="M1500" i="1" s="1" a="1"/>
  <c r="M1500" i="1" s="1"/>
  <c r="L1501" i="1"/>
  <c r="M1501" i="1" s="1" a="1"/>
  <c r="M1501" i="1" s="1"/>
  <c r="L1502" i="1"/>
  <c r="M1502" i="1" s="1" a="1"/>
  <c r="M1502" i="1" s="1"/>
  <c r="L1503" i="1"/>
  <c r="M1503" i="1" s="1" a="1"/>
  <c r="M1503" i="1" s="1"/>
  <c r="L1504" i="1"/>
  <c r="M1504" i="1" s="1" a="1"/>
  <c r="M1504" i="1" s="1"/>
  <c r="L1505" i="1"/>
  <c r="M1505" i="1" s="1" a="1"/>
  <c r="M1505" i="1" s="1"/>
  <c r="L1506" i="1"/>
  <c r="M1506" i="1" s="1" a="1"/>
  <c r="M1506" i="1" s="1"/>
  <c r="L1507" i="1"/>
  <c r="M1507" i="1" s="1" a="1"/>
  <c r="M1507" i="1" s="1"/>
  <c r="L1508" i="1"/>
  <c r="M1508" i="1" s="1" a="1"/>
  <c r="M1508" i="1" s="1"/>
  <c r="L1509" i="1"/>
  <c r="M1509" i="1" s="1" a="1"/>
  <c r="M1509" i="1" s="1"/>
  <c r="L1510" i="1"/>
  <c r="M1510" i="1" s="1" a="1"/>
  <c r="M1510" i="1" s="1"/>
  <c r="L1511" i="1"/>
  <c r="M1511" i="1" s="1" a="1"/>
  <c r="M1511" i="1" s="1"/>
  <c r="L1512" i="1"/>
  <c r="M1512" i="1" s="1" a="1"/>
  <c r="M1512" i="1" s="1"/>
  <c r="L1513" i="1"/>
  <c r="M1513" i="1" s="1" a="1"/>
  <c r="M1513" i="1" s="1"/>
  <c r="L1514" i="1"/>
  <c r="M1514" i="1" s="1" a="1"/>
  <c r="M1514" i="1" s="1"/>
  <c r="L1515" i="1"/>
  <c r="M1515" i="1" s="1" a="1"/>
  <c r="M1515" i="1" s="1"/>
  <c r="L1516" i="1"/>
  <c r="M1516" i="1" s="1" a="1"/>
  <c r="M1516" i="1" s="1"/>
  <c r="L1517" i="1"/>
  <c r="M1517" i="1" s="1" a="1"/>
  <c r="M1517" i="1" s="1"/>
  <c r="L1518" i="1"/>
  <c r="M1518" i="1" s="1" a="1"/>
  <c r="M1518" i="1" s="1"/>
  <c r="L1519" i="1"/>
  <c r="M1519" i="1" s="1" a="1"/>
  <c r="M1519" i="1" s="1"/>
  <c r="L1520" i="1"/>
  <c r="M1520" i="1" s="1" a="1"/>
  <c r="M1520" i="1" s="1"/>
  <c r="L1521" i="1"/>
  <c r="M1521" i="1" s="1" a="1"/>
  <c r="M1521" i="1" s="1"/>
  <c r="L1522" i="1"/>
  <c r="M1522" i="1" s="1" a="1"/>
  <c r="M1522" i="1" s="1"/>
  <c r="L1523" i="1"/>
  <c r="M1523" i="1" s="1" a="1"/>
  <c r="M1523" i="1" s="1"/>
  <c r="L1524" i="1"/>
  <c r="M1524" i="1" s="1" a="1"/>
  <c r="M1524" i="1" s="1"/>
  <c r="L1525" i="1"/>
  <c r="M1525" i="1" s="1" a="1"/>
  <c r="M1525" i="1" s="1"/>
  <c r="L1526" i="1"/>
  <c r="M1526" i="1" s="1" a="1"/>
  <c r="M1526" i="1" s="1"/>
  <c r="L1527" i="1"/>
  <c r="M1527" i="1" s="1" a="1"/>
  <c r="M1527" i="1" s="1"/>
  <c r="L1528" i="1"/>
  <c r="M1528" i="1" s="1" a="1"/>
  <c r="M1528" i="1" s="1"/>
  <c r="L1529" i="1"/>
  <c r="M1529" i="1" s="1" a="1"/>
  <c r="M1529" i="1" s="1"/>
  <c r="L1530" i="1"/>
  <c r="M1530" i="1" s="1" a="1"/>
  <c r="M1530" i="1" s="1"/>
  <c r="L1531" i="1"/>
  <c r="M1531" i="1" s="1" a="1"/>
  <c r="M1531" i="1" s="1"/>
  <c r="L1532" i="1"/>
  <c r="M1532" i="1" s="1" a="1"/>
  <c r="M1532" i="1" s="1"/>
  <c r="L1533" i="1"/>
  <c r="M1533" i="1" s="1" a="1"/>
  <c r="M1533" i="1" s="1"/>
  <c r="L1534" i="1"/>
  <c r="M1534" i="1" s="1" a="1"/>
  <c r="M1534" i="1" s="1"/>
  <c r="L1535" i="1"/>
  <c r="M1535" i="1" s="1" a="1"/>
  <c r="M1535" i="1" s="1"/>
  <c r="L1536" i="1"/>
  <c r="M1536" i="1" s="1" a="1"/>
  <c r="M1536" i="1" s="1"/>
  <c r="L1537" i="1"/>
  <c r="M1537" i="1" s="1" a="1"/>
  <c r="M1537" i="1" s="1"/>
  <c r="L1538" i="1"/>
  <c r="M1538" i="1" s="1" a="1"/>
  <c r="M1538" i="1" s="1"/>
  <c r="L1539" i="1"/>
  <c r="M1539" i="1" s="1" a="1"/>
  <c r="M1539" i="1" s="1"/>
  <c r="L1540" i="1"/>
  <c r="M1540" i="1" s="1" a="1"/>
  <c r="M1540" i="1" s="1"/>
  <c r="L1541" i="1"/>
  <c r="M1541" i="1" s="1" a="1"/>
  <c r="M1541" i="1" s="1"/>
  <c r="L1542" i="1"/>
  <c r="M1542" i="1" s="1" a="1"/>
  <c r="M1542" i="1" s="1"/>
  <c r="L1543" i="1"/>
  <c r="M1543" i="1" s="1" a="1"/>
  <c r="M1543" i="1" s="1"/>
  <c r="L1544" i="1"/>
  <c r="M1544" i="1" s="1" a="1"/>
  <c r="M1544" i="1" s="1"/>
  <c r="L1545" i="1"/>
  <c r="M1545" i="1" s="1" a="1"/>
  <c r="M1545" i="1" s="1"/>
  <c r="L1546" i="1"/>
  <c r="M1546" i="1" s="1" a="1"/>
  <c r="M1546" i="1" s="1"/>
  <c r="L1547" i="1"/>
  <c r="M1547" i="1" s="1" a="1"/>
  <c r="M1547" i="1" s="1"/>
  <c r="L1548" i="1"/>
  <c r="M1548" i="1" s="1" a="1"/>
  <c r="M1548" i="1" s="1"/>
  <c r="L1549" i="1"/>
  <c r="M1549" i="1" s="1" a="1"/>
  <c r="M1549" i="1" s="1"/>
  <c r="L1550" i="1"/>
  <c r="M1550" i="1" s="1" a="1"/>
  <c r="M1550" i="1" s="1"/>
  <c r="L1551" i="1"/>
  <c r="M1551" i="1" s="1" a="1"/>
  <c r="M1551" i="1" s="1"/>
  <c r="L1552" i="1"/>
  <c r="M1552" i="1" s="1" a="1"/>
  <c r="M1552" i="1" s="1"/>
  <c r="L1553" i="1"/>
  <c r="M1553" i="1" s="1" a="1"/>
  <c r="M1553" i="1" s="1"/>
  <c r="L1554" i="1"/>
  <c r="M1554" i="1" s="1" a="1"/>
  <c r="M1554" i="1" s="1"/>
  <c r="L1555" i="1"/>
  <c r="M1555" i="1" s="1" a="1"/>
  <c r="M1555" i="1" s="1"/>
  <c r="L1556" i="1"/>
  <c r="M1556" i="1" s="1" a="1"/>
  <c r="M1556" i="1" s="1"/>
  <c r="L1557" i="1"/>
  <c r="M1557" i="1" s="1" a="1"/>
  <c r="M1557" i="1" s="1"/>
  <c r="L1558" i="1"/>
  <c r="M1558" i="1" s="1" a="1"/>
  <c r="M1558" i="1" s="1"/>
  <c r="L1559" i="1"/>
  <c r="M1559" i="1" s="1" a="1"/>
  <c r="M1559" i="1" s="1"/>
  <c r="L1560" i="1"/>
  <c r="M1560" i="1" s="1" a="1"/>
  <c r="M1560" i="1" s="1"/>
  <c r="L1561" i="1"/>
  <c r="M1561" i="1" s="1" a="1"/>
  <c r="M1561" i="1" s="1"/>
  <c r="L1562" i="1"/>
  <c r="M1562" i="1" s="1" a="1"/>
  <c r="M1562" i="1" s="1"/>
  <c r="L1563" i="1"/>
  <c r="M1563" i="1" s="1" a="1"/>
  <c r="M1563" i="1" s="1"/>
  <c r="L1564" i="1"/>
  <c r="M1564" i="1" s="1" a="1"/>
  <c r="M1564" i="1" s="1"/>
  <c r="L1565" i="1"/>
  <c r="M1565" i="1" s="1" a="1"/>
  <c r="M1565" i="1" s="1"/>
  <c r="L1566" i="1"/>
  <c r="M1566" i="1" s="1" a="1"/>
  <c r="M1566" i="1" s="1"/>
  <c r="L1567" i="1"/>
  <c r="M1567" i="1" s="1" a="1"/>
  <c r="M1567" i="1" s="1"/>
  <c r="L1568" i="1"/>
  <c r="M1568" i="1" s="1" a="1"/>
  <c r="M1568" i="1" s="1"/>
  <c r="L1569" i="1"/>
  <c r="M1569" i="1" s="1" a="1"/>
  <c r="M1569" i="1" s="1"/>
  <c r="L1570" i="1"/>
  <c r="M1570" i="1" s="1" a="1"/>
  <c r="M1570" i="1" s="1"/>
  <c r="L1571" i="1"/>
  <c r="M1571" i="1" s="1" a="1"/>
  <c r="M1571" i="1" s="1"/>
  <c r="L1572" i="1"/>
  <c r="M1572" i="1" s="1" a="1"/>
  <c r="M1572" i="1" s="1"/>
  <c r="L1573" i="1"/>
  <c r="M1573" i="1" s="1" a="1"/>
  <c r="M1573" i="1" s="1"/>
  <c r="L1574" i="1"/>
  <c r="M1574" i="1" s="1" a="1"/>
  <c r="M1574" i="1" s="1"/>
  <c r="L1575" i="1"/>
  <c r="M1575" i="1" s="1" a="1"/>
  <c r="M1575" i="1" s="1"/>
  <c r="L1576" i="1"/>
  <c r="M1576" i="1" s="1" a="1"/>
  <c r="M1576" i="1" s="1"/>
  <c r="L1577" i="1"/>
  <c r="M1577" i="1" s="1" a="1"/>
  <c r="M1577" i="1" s="1"/>
  <c r="L1578" i="1"/>
  <c r="M1578" i="1" s="1" a="1"/>
  <c r="M1578" i="1" s="1"/>
  <c r="L1579" i="1"/>
  <c r="M1579" i="1" s="1" a="1"/>
  <c r="M1579" i="1" s="1"/>
  <c r="L1580" i="1"/>
  <c r="M1580" i="1" s="1" a="1"/>
  <c r="M1580" i="1" s="1"/>
  <c r="L1581" i="1"/>
  <c r="M1581" i="1" s="1" a="1"/>
  <c r="M1581" i="1" s="1"/>
  <c r="L1582" i="1"/>
  <c r="M1582" i="1" s="1" a="1"/>
  <c r="M1582" i="1" s="1"/>
  <c r="L1583" i="1"/>
  <c r="M1583" i="1" s="1" a="1"/>
  <c r="M1583" i="1" s="1"/>
  <c r="L1584" i="1"/>
  <c r="M1584" i="1" s="1" a="1"/>
  <c r="M1584" i="1" s="1"/>
  <c r="L1585" i="1"/>
  <c r="M1585" i="1" s="1" a="1"/>
  <c r="M1585" i="1" s="1"/>
  <c r="L1586" i="1"/>
  <c r="M1586" i="1" s="1" a="1"/>
  <c r="M1586" i="1" s="1"/>
  <c r="L1587" i="1"/>
  <c r="M1587" i="1" s="1" a="1"/>
  <c r="M1587" i="1" s="1"/>
  <c r="L1588" i="1"/>
  <c r="M1588" i="1" s="1" a="1"/>
  <c r="M1588" i="1" s="1"/>
  <c r="L1589" i="1"/>
  <c r="M1589" i="1" s="1" a="1"/>
  <c r="M1589" i="1" s="1"/>
  <c r="L1590" i="1"/>
  <c r="M1590" i="1" s="1" a="1"/>
  <c r="M1590" i="1" s="1"/>
  <c r="L1591" i="1"/>
  <c r="M1591" i="1" s="1" a="1"/>
  <c r="M1591" i="1" s="1"/>
  <c r="L1592" i="1"/>
  <c r="M1592" i="1" s="1" a="1"/>
  <c r="M1592" i="1" s="1"/>
  <c r="L1593" i="1"/>
  <c r="M1593" i="1" s="1" a="1"/>
  <c r="M1593" i="1" s="1"/>
  <c r="L1594" i="1"/>
  <c r="M1594" i="1" s="1" a="1"/>
  <c r="M1594" i="1" s="1"/>
  <c r="L1595" i="1"/>
  <c r="M1595" i="1" s="1" a="1"/>
  <c r="M1595" i="1" s="1"/>
  <c r="L1596" i="1"/>
  <c r="M1596" i="1" s="1" a="1"/>
  <c r="M1596" i="1" s="1"/>
  <c r="L1597" i="1"/>
  <c r="M1597" i="1" s="1" a="1"/>
  <c r="M1597" i="1" s="1"/>
  <c r="L1598" i="1"/>
  <c r="M1598" i="1" s="1" a="1"/>
  <c r="M1598" i="1" s="1"/>
  <c r="L1599" i="1"/>
  <c r="M1599" i="1" s="1" a="1"/>
  <c r="M1599" i="1" s="1"/>
  <c r="L1600" i="1"/>
  <c r="M1600" i="1" s="1" a="1"/>
  <c r="M1600" i="1" s="1"/>
  <c r="L1601" i="1"/>
  <c r="M1601" i="1" s="1" a="1"/>
  <c r="M1601" i="1" s="1"/>
  <c r="L1602" i="1"/>
  <c r="M1602" i="1" s="1" a="1"/>
  <c r="M1602" i="1" s="1"/>
  <c r="L1603" i="1"/>
  <c r="M1603" i="1" s="1" a="1"/>
  <c r="M1603" i="1" s="1"/>
  <c r="L1604" i="1"/>
  <c r="M1604" i="1" s="1" a="1"/>
  <c r="M1604" i="1" s="1"/>
  <c r="L1605" i="1"/>
  <c r="M1605" i="1" s="1" a="1"/>
  <c r="M1605" i="1" s="1"/>
  <c r="L1606" i="1"/>
  <c r="M1606" i="1" s="1" a="1"/>
  <c r="M1606" i="1" s="1"/>
  <c r="L1607" i="1"/>
  <c r="M1607" i="1" s="1" a="1"/>
  <c r="M1607" i="1" s="1"/>
  <c r="L1608" i="1"/>
  <c r="M1608" i="1" s="1" a="1"/>
  <c r="M1608" i="1" s="1"/>
  <c r="L1609" i="1"/>
  <c r="M1609" i="1" s="1" a="1"/>
  <c r="M1609" i="1" s="1"/>
  <c r="L1610" i="1"/>
  <c r="M1610" i="1" s="1" a="1"/>
  <c r="M1610" i="1" s="1"/>
  <c r="L1611" i="1"/>
  <c r="M1611" i="1" s="1" a="1"/>
  <c r="M1611" i="1" s="1"/>
  <c r="L1612" i="1"/>
  <c r="M1612" i="1" s="1" a="1"/>
  <c r="M1612" i="1" s="1"/>
  <c r="L1613" i="1"/>
  <c r="M1613" i="1" s="1" a="1"/>
  <c r="M1613" i="1" s="1"/>
  <c r="L1614" i="1"/>
  <c r="M1614" i="1" s="1" a="1"/>
  <c r="M1614" i="1" s="1"/>
  <c r="L1615" i="1"/>
  <c r="M1615" i="1" s="1" a="1"/>
  <c r="M1615" i="1" s="1"/>
  <c r="L1616" i="1"/>
  <c r="M1616" i="1" s="1" a="1"/>
  <c r="M1616" i="1" s="1"/>
  <c r="L1617" i="1"/>
  <c r="M1617" i="1" s="1" a="1"/>
  <c r="M1617" i="1" s="1"/>
  <c r="L1618" i="1"/>
  <c r="M1618" i="1" s="1" a="1"/>
  <c r="M1618" i="1" s="1"/>
  <c r="L1619" i="1"/>
  <c r="M1619" i="1" s="1" a="1"/>
  <c r="M1619" i="1" s="1"/>
  <c r="L1620" i="1"/>
  <c r="M1620" i="1" s="1" a="1"/>
  <c r="M1620" i="1" s="1"/>
  <c r="L1621" i="1"/>
  <c r="M1621" i="1" s="1" a="1"/>
  <c r="M1621" i="1" s="1"/>
  <c r="L1622" i="1"/>
  <c r="M1622" i="1" s="1" a="1"/>
  <c r="M1622" i="1" s="1"/>
  <c r="L1623" i="1"/>
  <c r="M1623" i="1" s="1" a="1"/>
  <c r="M1623" i="1" s="1"/>
  <c r="L1624" i="1"/>
  <c r="M1624" i="1" s="1" a="1"/>
  <c r="M1624" i="1" s="1"/>
  <c r="L1625" i="1"/>
  <c r="M1625" i="1" s="1" a="1"/>
  <c r="M1625" i="1" s="1"/>
  <c r="L1626" i="1"/>
  <c r="M1626" i="1" s="1" a="1"/>
  <c r="M1626" i="1" s="1"/>
  <c r="L1627" i="1"/>
  <c r="M1627" i="1" s="1" a="1"/>
  <c r="M1627" i="1" s="1"/>
  <c r="L1628" i="1"/>
  <c r="M1628" i="1" s="1" a="1"/>
  <c r="M1628" i="1" s="1"/>
  <c r="L1629" i="1"/>
  <c r="M1629" i="1" s="1" a="1"/>
  <c r="M1629" i="1" s="1"/>
  <c r="L1630" i="1"/>
  <c r="M1630" i="1" s="1" a="1"/>
  <c r="M1630" i="1" s="1"/>
  <c r="L1631" i="1"/>
  <c r="M1631" i="1" s="1" a="1"/>
  <c r="M1631" i="1" s="1"/>
  <c r="L1632" i="1"/>
  <c r="M1632" i="1" s="1" a="1"/>
  <c r="M1632" i="1" s="1"/>
  <c r="L1633" i="1"/>
  <c r="M1633" i="1" s="1" a="1"/>
  <c r="M1633" i="1" s="1"/>
  <c r="L1634" i="1"/>
  <c r="M1634" i="1" s="1" a="1"/>
  <c r="M1634" i="1" s="1"/>
  <c r="L1635" i="1"/>
  <c r="M1635" i="1" s="1" a="1"/>
  <c r="M1635" i="1" s="1"/>
  <c r="L1636" i="1"/>
  <c r="M1636" i="1" s="1" a="1"/>
  <c r="M1636" i="1" s="1"/>
  <c r="L1637" i="1"/>
  <c r="M1637" i="1" s="1" a="1"/>
  <c r="M1637" i="1" s="1"/>
  <c r="L1638" i="1"/>
  <c r="M1638" i="1" s="1" a="1"/>
  <c r="M1638" i="1" s="1"/>
  <c r="L1639" i="1"/>
  <c r="M1639" i="1" s="1" a="1"/>
  <c r="M1639" i="1" s="1"/>
  <c r="L1640" i="1"/>
  <c r="M1640" i="1" s="1" a="1"/>
  <c r="M1640" i="1" s="1"/>
  <c r="L1641" i="1"/>
  <c r="M1641" i="1" s="1" a="1"/>
  <c r="M1641" i="1" s="1"/>
  <c r="L1642" i="1"/>
  <c r="M1642" i="1" s="1" a="1"/>
  <c r="M1642" i="1" s="1"/>
  <c r="L1643" i="1"/>
  <c r="M1643" i="1" s="1" a="1"/>
  <c r="M1643" i="1" s="1"/>
  <c r="L1644" i="1"/>
  <c r="M1644" i="1" s="1" a="1"/>
  <c r="M1644" i="1" s="1"/>
  <c r="L1645" i="1"/>
  <c r="M1645" i="1" s="1" a="1"/>
  <c r="M1645" i="1" s="1"/>
  <c r="L1646" i="1"/>
  <c r="M1646" i="1" s="1" a="1"/>
  <c r="M1646" i="1" s="1"/>
  <c r="L1647" i="1"/>
  <c r="M1647" i="1" s="1" a="1"/>
  <c r="M1647" i="1" s="1"/>
  <c r="L1648" i="1"/>
  <c r="M1648" i="1" s="1" a="1"/>
  <c r="M1648" i="1" s="1"/>
  <c r="L1649" i="1"/>
  <c r="M1649" i="1" s="1" a="1"/>
  <c r="M1649" i="1" s="1"/>
  <c r="L1650" i="1"/>
  <c r="M1650" i="1" s="1" a="1"/>
  <c r="M1650" i="1" s="1"/>
  <c r="L1651" i="1"/>
  <c r="M1651" i="1" s="1" a="1"/>
  <c r="M1651" i="1" s="1"/>
  <c r="L1652" i="1"/>
  <c r="M1652" i="1" s="1" a="1"/>
  <c r="M1652" i="1" s="1"/>
  <c r="L1653" i="1"/>
  <c r="M1653" i="1" s="1" a="1"/>
  <c r="M1653" i="1" s="1"/>
  <c r="L1654" i="1"/>
  <c r="M1654" i="1" s="1" a="1"/>
  <c r="M1654" i="1" s="1"/>
  <c r="L1655" i="1"/>
  <c r="M1655" i="1" s="1" a="1"/>
  <c r="M1655" i="1" s="1"/>
  <c r="L1656" i="1"/>
  <c r="M1656" i="1" s="1" a="1"/>
  <c r="M1656" i="1" s="1"/>
  <c r="L1657" i="1"/>
  <c r="M1657" i="1" s="1" a="1"/>
  <c r="M1657" i="1" s="1"/>
  <c r="L1658" i="1"/>
  <c r="M1658" i="1" s="1" a="1"/>
  <c r="M1658" i="1" s="1"/>
  <c r="L1659" i="1"/>
  <c r="M1659" i="1" s="1" a="1"/>
  <c r="M1659" i="1" s="1"/>
  <c r="L1660" i="1"/>
  <c r="M1660" i="1" s="1" a="1"/>
  <c r="M1660" i="1" s="1"/>
  <c r="L1661" i="1"/>
  <c r="M1661" i="1" s="1" a="1"/>
  <c r="M1661" i="1" s="1"/>
  <c r="L1662" i="1"/>
  <c r="M1662" i="1" s="1" a="1"/>
  <c r="M1662" i="1" s="1"/>
  <c r="L1663" i="1"/>
  <c r="M1663" i="1" s="1" a="1"/>
  <c r="M1663" i="1" s="1"/>
  <c r="L1664" i="1"/>
  <c r="M1664" i="1" s="1" a="1"/>
  <c r="M1664" i="1" s="1"/>
  <c r="L1665" i="1"/>
  <c r="M1665" i="1" s="1" a="1"/>
  <c r="M1665" i="1" s="1"/>
  <c r="L1666" i="1"/>
  <c r="M1666" i="1" s="1" a="1"/>
  <c r="M1666" i="1" s="1"/>
  <c r="L1667" i="1"/>
  <c r="M1667" i="1" s="1" a="1"/>
  <c r="M1667" i="1" s="1"/>
  <c r="L1668" i="1"/>
  <c r="M1668" i="1" s="1" a="1"/>
  <c r="M1668" i="1" s="1"/>
  <c r="L1669" i="1"/>
  <c r="M1669" i="1" s="1" a="1"/>
  <c r="M1669" i="1" s="1"/>
  <c r="L1670" i="1"/>
  <c r="M1670" i="1" s="1" a="1"/>
  <c r="M1670" i="1" s="1"/>
  <c r="L1671" i="1"/>
  <c r="M1671" i="1" s="1" a="1"/>
  <c r="M1671" i="1" s="1"/>
  <c r="L1672" i="1"/>
  <c r="M1672" i="1" s="1" a="1"/>
  <c r="M1672" i="1" s="1"/>
  <c r="L1673" i="1"/>
  <c r="M1673" i="1" s="1" a="1"/>
  <c r="M1673" i="1" s="1"/>
  <c r="L1674" i="1"/>
  <c r="M1674" i="1" s="1" a="1"/>
  <c r="M1674" i="1" s="1"/>
  <c r="L1675" i="1"/>
  <c r="M1675" i="1" s="1" a="1"/>
  <c r="M1675" i="1" s="1"/>
  <c r="L1676" i="1"/>
  <c r="M1676" i="1" s="1" a="1"/>
  <c r="M1676" i="1" s="1"/>
  <c r="L1677" i="1"/>
  <c r="M1677" i="1" s="1" a="1"/>
  <c r="M1677" i="1" s="1"/>
  <c r="L1678" i="1"/>
  <c r="M1678" i="1" s="1" a="1"/>
  <c r="M1678" i="1" s="1"/>
  <c r="L1679" i="1"/>
  <c r="M1679" i="1" s="1" a="1"/>
  <c r="M1679" i="1" s="1"/>
  <c r="L1680" i="1"/>
  <c r="M1680" i="1" s="1" a="1"/>
  <c r="M1680" i="1" s="1"/>
  <c r="L1681" i="1"/>
  <c r="M1681" i="1" s="1" a="1"/>
  <c r="M1681" i="1" s="1"/>
  <c r="L1682" i="1"/>
  <c r="M1682" i="1" s="1" a="1"/>
  <c r="M1682" i="1" s="1"/>
  <c r="L1683" i="1"/>
  <c r="M1683" i="1" s="1" a="1"/>
  <c r="M1683" i="1" s="1"/>
  <c r="L1684" i="1"/>
  <c r="M1684" i="1" s="1" a="1"/>
  <c r="M1684" i="1" s="1"/>
  <c r="L1685" i="1"/>
  <c r="M1685" i="1" s="1" a="1"/>
  <c r="M1685" i="1" s="1"/>
  <c r="L1686" i="1"/>
  <c r="M1686" i="1" s="1" a="1"/>
  <c r="M1686" i="1" s="1"/>
  <c r="L1687" i="1"/>
  <c r="M1687" i="1" s="1" a="1"/>
  <c r="M1687" i="1" s="1"/>
  <c r="L1688" i="1"/>
  <c r="M1688" i="1" s="1" a="1"/>
  <c r="M1688" i="1" s="1"/>
  <c r="L1689" i="1"/>
  <c r="M1689" i="1" s="1" a="1"/>
  <c r="M1689" i="1" s="1"/>
  <c r="L1690" i="1"/>
  <c r="M1690" i="1" s="1" a="1"/>
  <c r="M1690" i="1" s="1"/>
  <c r="L1691" i="1"/>
  <c r="M1691" i="1" s="1" a="1"/>
  <c r="M1691" i="1" s="1"/>
  <c r="L1692" i="1"/>
  <c r="M1692" i="1" s="1" a="1"/>
  <c r="M1692" i="1" s="1"/>
  <c r="L1693" i="1"/>
  <c r="M1693" i="1" s="1" a="1"/>
  <c r="M1693" i="1" s="1"/>
  <c r="L1694" i="1"/>
  <c r="M1694" i="1" s="1" a="1"/>
  <c r="M1694" i="1" s="1"/>
  <c r="L1695" i="1"/>
  <c r="M1695" i="1" s="1" a="1"/>
  <c r="M1695" i="1" s="1"/>
  <c r="L1696" i="1"/>
  <c r="M1696" i="1" s="1" a="1"/>
  <c r="M1696" i="1" s="1"/>
  <c r="L1697" i="1"/>
  <c r="M1697" i="1" s="1" a="1"/>
  <c r="M1697" i="1" s="1"/>
  <c r="L1698" i="1"/>
  <c r="M1698" i="1" s="1" a="1"/>
  <c r="M1698" i="1" s="1"/>
  <c r="L1699" i="1"/>
  <c r="M1699" i="1" s="1" a="1"/>
  <c r="M1699" i="1" s="1"/>
  <c r="L1700" i="1"/>
  <c r="M1700" i="1" s="1" a="1"/>
  <c r="M1700" i="1" s="1"/>
  <c r="L1701" i="1"/>
  <c r="M1701" i="1" s="1" a="1"/>
  <c r="M1701" i="1" s="1"/>
  <c r="L1702" i="1"/>
  <c r="M1702" i="1" s="1" a="1"/>
  <c r="M1702" i="1" s="1"/>
  <c r="L1703" i="1"/>
  <c r="M1703" i="1" s="1" a="1"/>
  <c r="M1703" i="1" s="1"/>
  <c r="L1704" i="1"/>
  <c r="M1704" i="1" s="1" a="1"/>
  <c r="M1704" i="1" s="1"/>
  <c r="L1705" i="1"/>
  <c r="M1705" i="1" s="1" a="1"/>
  <c r="M1705" i="1" s="1"/>
  <c r="L1706" i="1"/>
  <c r="M1706" i="1" s="1" a="1"/>
  <c r="M1706" i="1" s="1"/>
  <c r="L1707" i="1"/>
  <c r="M1707" i="1" s="1" a="1"/>
  <c r="M1707" i="1" s="1"/>
  <c r="L1708" i="1"/>
  <c r="M1708" i="1" s="1" a="1"/>
  <c r="M1708" i="1" s="1"/>
  <c r="L1709" i="1"/>
  <c r="M1709" i="1" s="1" a="1"/>
  <c r="M1709" i="1" s="1"/>
  <c r="L1710" i="1"/>
  <c r="M1710" i="1" s="1" a="1"/>
  <c r="M1710" i="1" s="1"/>
  <c r="L1711" i="1"/>
  <c r="M1711" i="1" s="1" a="1"/>
  <c r="M1711" i="1" s="1"/>
  <c r="L1712" i="1"/>
  <c r="M1712" i="1" s="1" a="1"/>
  <c r="M1712" i="1" s="1"/>
  <c r="L1713" i="1"/>
  <c r="M1713" i="1" s="1" a="1"/>
  <c r="M1713" i="1" s="1"/>
  <c r="L1714" i="1"/>
  <c r="M1714" i="1" s="1" a="1"/>
  <c r="M1714" i="1" s="1"/>
  <c r="L1715" i="1"/>
  <c r="M1715" i="1" s="1" a="1"/>
  <c r="M1715" i="1" s="1"/>
  <c r="L1716" i="1"/>
  <c r="M1716" i="1" s="1" a="1"/>
  <c r="M1716" i="1" s="1"/>
  <c r="L1717" i="1"/>
  <c r="M1717" i="1" s="1" a="1"/>
  <c r="M1717" i="1" s="1"/>
  <c r="L1718" i="1"/>
  <c r="M1718" i="1" s="1" a="1"/>
  <c r="M1718" i="1" s="1"/>
  <c r="L1719" i="1"/>
  <c r="M1719" i="1" s="1" a="1"/>
  <c r="M1719" i="1" s="1"/>
  <c r="L1720" i="1"/>
  <c r="M1720" i="1" s="1" a="1"/>
  <c r="M1720" i="1" s="1"/>
  <c r="L1721" i="1"/>
  <c r="M1721" i="1" s="1" a="1"/>
  <c r="M1721" i="1" s="1"/>
  <c r="L1722" i="1"/>
  <c r="M1722" i="1" s="1" a="1"/>
  <c r="M1722" i="1" s="1"/>
  <c r="L1723" i="1"/>
  <c r="M1723" i="1" s="1" a="1"/>
  <c r="M1723" i="1" s="1"/>
  <c r="L1724" i="1"/>
  <c r="M1724" i="1" s="1" a="1"/>
  <c r="M1724" i="1" s="1"/>
  <c r="L1725" i="1"/>
  <c r="M1725" i="1" s="1" a="1"/>
  <c r="M1725" i="1" s="1"/>
  <c r="L1726" i="1"/>
  <c r="M1726" i="1" s="1" a="1"/>
  <c r="M1726" i="1" s="1"/>
  <c r="L1727" i="1"/>
  <c r="M1727" i="1" s="1" a="1"/>
  <c r="M1727" i="1" s="1"/>
  <c r="L1728" i="1"/>
  <c r="M1728" i="1" s="1" a="1"/>
  <c r="M1728" i="1" s="1"/>
  <c r="L1729" i="1"/>
  <c r="M1729" i="1" s="1" a="1"/>
  <c r="M1729" i="1" s="1"/>
  <c r="L1730" i="1"/>
  <c r="M1730" i="1" s="1" a="1"/>
  <c r="M1730" i="1" s="1"/>
  <c r="L1731" i="1"/>
  <c r="M1731" i="1" s="1" a="1"/>
  <c r="M1731" i="1" s="1"/>
  <c r="L1732" i="1"/>
  <c r="M1732" i="1" s="1" a="1"/>
  <c r="M1732" i="1" s="1"/>
  <c r="L1733" i="1"/>
  <c r="M1733" i="1" s="1" a="1"/>
  <c r="M1733" i="1" s="1"/>
  <c r="L1734" i="1"/>
  <c r="M1734" i="1" s="1" a="1"/>
  <c r="M1734" i="1" s="1"/>
  <c r="L1735" i="1"/>
  <c r="M1735" i="1" s="1" a="1"/>
  <c r="M1735" i="1" s="1"/>
  <c r="L1736" i="1"/>
  <c r="M1736" i="1" s="1" a="1"/>
  <c r="M1736" i="1" s="1"/>
  <c r="L1737" i="1"/>
  <c r="M1737" i="1" s="1" a="1"/>
  <c r="M1737" i="1" s="1"/>
  <c r="L1738" i="1"/>
  <c r="M1738" i="1" s="1" a="1"/>
  <c r="M1738" i="1" s="1"/>
  <c r="L1739" i="1"/>
  <c r="M1739" i="1" s="1" a="1"/>
  <c r="M1739" i="1" s="1"/>
  <c r="L1740" i="1"/>
  <c r="M1740" i="1" s="1" a="1"/>
  <c r="M1740" i="1" s="1"/>
  <c r="L1741" i="1"/>
  <c r="M1741" i="1" s="1" a="1"/>
  <c r="M1741" i="1" s="1"/>
  <c r="L1742" i="1"/>
  <c r="M1742" i="1" s="1" a="1"/>
  <c r="M1742" i="1" s="1"/>
  <c r="L1743" i="1"/>
  <c r="M1743" i="1" s="1" a="1"/>
  <c r="M1743" i="1" s="1"/>
  <c r="L1744" i="1"/>
  <c r="M1744" i="1" s="1" a="1"/>
  <c r="M1744" i="1" s="1"/>
  <c r="L1745" i="1"/>
  <c r="M1745" i="1" s="1" a="1"/>
  <c r="M1745" i="1" s="1"/>
  <c r="L1746" i="1"/>
  <c r="M1746" i="1" s="1" a="1"/>
  <c r="M1746" i="1" s="1"/>
  <c r="L1747" i="1"/>
  <c r="M1747" i="1" s="1" a="1"/>
  <c r="M1747" i="1" s="1"/>
  <c r="L1748" i="1"/>
  <c r="M1748" i="1" s="1" a="1"/>
  <c r="M1748" i="1" s="1"/>
  <c r="L1749" i="1"/>
  <c r="M1749" i="1" s="1" a="1"/>
  <c r="M1749" i="1" s="1"/>
  <c r="L1750" i="1"/>
  <c r="M1750" i="1" s="1" a="1"/>
  <c r="M1750" i="1" s="1"/>
  <c r="L1751" i="1"/>
  <c r="M1751" i="1" s="1" a="1"/>
  <c r="M1751" i="1" s="1"/>
  <c r="L1752" i="1"/>
  <c r="M1752" i="1" s="1" a="1"/>
  <c r="M1752" i="1" s="1"/>
  <c r="L1753" i="1"/>
  <c r="M1753" i="1" s="1" a="1"/>
  <c r="M1753" i="1" s="1"/>
  <c r="L1754" i="1"/>
  <c r="M1754" i="1" s="1" a="1"/>
  <c r="M1754" i="1" s="1"/>
  <c r="L1755" i="1"/>
  <c r="M1755" i="1" s="1" a="1"/>
  <c r="M1755" i="1" s="1"/>
  <c r="L1756" i="1"/>
  <c r="M1756" i="1" s="1" a="1"/>
  <c r="M1756" i="1" s="1"/>
  <c r="L1757" i="1"/>
  <c r="M1757" i="1" s="1" a="1"/>
  <c r="M1757" i="1" s="1"/>
  <c r="L1758" i="1"/>
  <c r="M1758" i="1" s="1" a="1"/>
  <c r="M1758" i="1" s="1"/>
  <c r="L1759" i="1"/>
  <c r="M1759" i="1" s="1" a="1"/>
  <c r="M1759" i="1" s="1"/>
  <c r="L1760" i="1"/>
  <c r="M1760" i="1" s="1" a="1"/>
  <c r="M1760" i="1" s="1"/>
  <c r="L1761" i="1"/>
  <c r="M1761" i="1" s="1" a="1"/>
  <c r="M1761" i="1" s="1"/>
  <c r="L1762" i="1"/>
  <c r="M1762" i="1" s="1" a="1"/>
  <c r="M1762" i="1" s="1"/>
  <c r="L1763" i="1"/>
  <c r="M1763" i="1" s="1" a="1"/>
  <c r="M1763" i="1" s="1"/>
  <c r="L1764" i="1"/>
  <c r="M1764" i="1" s="1" a="1"/>
  <c r="M1764" i="1" s="1"/>
  <c r="L1765" i="1"/>
  <c r="M1765" i="1" s="1" a="1"/>
  <c r="M1765" i="1" s="1"/>
  <c r="L1766" i="1"/>
  <c r="M1766" i="1" s="1" a="1"/>
  <c r="M1766" i="1" s="1"/>
  <c r="L1767" i="1"/>
  <c r="M1767" i="1" s="1" a="1"/>
  <c r="M1767" i="1" s="1"/>
  <c r="L1768" i="1"/>
  <c r="M1768" i="1" s="1" a="1"/>
  <c r="M1768" i="1" s="1"/>
  <c r="L1769" i="1"/>
  <c r="M1769" i="1" s="1" a="1"/>
  <c r="M1769" i="1" s="1"/>
  <c r="L1770" i="1"/>
  <c r="M1770" i="1" s="1" a="1"/>
  <c r="M1770" i="1" s="1"/>
  <c r="L1771" i="1"/>
  <c r="M1771" i="1" s="1" a="1"/>
  <c r="M1771" i="1" s="1"/>
  <c r="L1772" i="1"/>
  <c r="M1772" i="1" s="1" a="1"/>
  <c r="M1772" i="1" s="1"/>
  <c r="L1773" i="1"/>
  <c r="M1773" i="1" s="1" a="1"/>
  <c r="M1773" i="1" s="1"/>
  <c r="L1774" i="1"/>
  <c r="M1774" i="1" s="1" a="1"/>
  <c r="M1774" i="1" s="1"/>
  <c r="L1775" i="1"/>
  <c r="M1775" i="1" s="1" a="1"/>
  <c r="M1775" i="1" s="1"/>
  <c r="L1776" i="1"/>
  <c r="M1776" i="1" s="1" a="1"/>
  <c r="M1776" i="1" s="1"/>
  <c r="L1777" i="1"/>
  <c r="M1777" i="1" s="1" a="1"/>
  <c r="M1777" i="1" s="1"/>
  <c r="L1778" i="1"/>
  <c r="M1778" i="1" s="1" a="1"/>
  <c r="M1778" i="1" s="1"/>
  <c r="L1779" i="1"/>
  <c r="M1779" i="1" s="1" a="1"/>
  <c r="M1779" i="1" s="1"/>
  <c r="L1780" i="1"/>
  <c r="M1780" i="1" s="1" a="1"/>
  <c r="M1780" i="1" s="1"/>
  <c r="L1781" i="1"/>
  <c r="M1781" i="1" s="1" a="1"/>
  <c r="M1781" i="1" s="1"/>
  <c r="L1782" i="1"/>
  <c r="M1782" i="1" s="1" a="1"/>
  <c r="M1782" i="1" s="1"/>
  <c r="L1783" i="1"/>
  <c r="M1783" i="1" s="1" a="1"/>
  <c r="M1783" i="1" s="1"/>
  <c r="L1784" i="1"/>
  <c r="M1784" i="1" s="1" a="1"/>
  <c r="M1784" i="1" s="1"/>
  <c r="L1785" i="1"/>
  <c r="M1785" i="1" s="1" a="1"/>
  <c r="M1785" i="1" s="1"/>
  <c r="L1786" i="1"/>
  <c r="M1786" i="1" s="1" a="1"/>
  <c r="M1786" i="1" s="1"/>
  <c r="L1787" i="1"/>
  <c r="M1787" i="1" s="1" a="1"/>
  <c r="M1787" i="1" s="1"/>
  <c r="L1788" i="1"/>
  <c r="M1788" i="1" s="1" a="1"/>
  <c r="M1788" i="1" s="1"/>
  <c r="L1789" i="1"/>
  <c r="M1789" i="1" s="1" a="1"/>
  <c r="M1789" i="1" s="1"/>
  <c r="L1790" i="1"/>
  <c r="M1790" i="1" s="1" a="1"/>
  <c r="M1790" i="1" s="1"/>
  <c r="L1791" i="1"/>
  <c r="M1791" i="1" s="1" a="1"/>
  <c r="M1791" i="1" s="1"/>
  <c r="L1792" i="1"/>
  <c r="M1792" i="1" s="1" a="1"/>
  <c r="M1792" i="1" s="1"/>
  <c r="L1793" i="1"/>
  <c r="M1793" i="1" s="1" a="1"/>
  <c r="M1793" i="1" s="1"/>
  <c r="L1794" i="1"/>
  <c r="M1794" i="1" s="1" a="1"/>
  <c r="M1794" i="1" s="1"/>
  <c r="L1795" i="1"/>
  <c r="M1795" i="1" s="1" a="1"/>
  <c r="M1795" i="1" s="1"/>
  <c r="L1796" i="1"/>
  <c r="M1796" i="1" s="1" a="1"/>
  <c r="M1796" i="1" s="1"/>
  <c r="L1797" i="1"/>
  <c r="M1797" i="1" s="1" a="1"/>
  <c r="M1797" i="1" s="1"/>
  <c r="L1798" i="1"/>
  <c r="M1798" i="1" s="1" a="1"/>
  <c r="M1798" i="1" s="1"/>
  <c r="L1799" i="1"/>
  <c r="M1799" i="1" s="1" a="1"/>
  <c r="M1799" i="1" s="1"/>
  <c r="L1800" i="1"/>
  <c r="M1800" i="1" s="1" a="1"/>
  <c r="M1800" i="1" s="1"/>
  <c r="L1801" i="1"/>
  <c r="M1801" i="1" s="1" a="1"/>
  <c r="M1801" i="1" s="1"/>
  <c r="L1802" i="1"/>
  <c r="M1802" i="1" s="1" a="1"/>
  <c r="M1802" i="1" s="1"/>
  <c r="L1803" i="1"/>
  <c r="M1803" i="1" s="1" a="1"/>
  <c r="M1803" i="1" s="1"/>
  <c r="L1804" i="1"/>
  <c r="M1804" i="1" s="1" a="1"/>
  <c r="M1804" i="1" s="1"/>
  <c r="L1805" i="1"/>
  <c r="M1805" i="1" s="1" a="1"/>
  <c r="M1805" i="1" s="1"/>
  <c r="L1806" i="1"/>
  <c r="M1806" i="1" s="1" a="1"/>
  <c r="M1806" i="1" s="1"/>
  <c r="L1807" i="1"/>
  <c r="M1807" i="1" s="1" a="1"/>
  <c r="M1807" i="1" s="1"/>
  <c r="L1808" i="1"/>
  <c r="M1808" i="1" s="1" a="1"/>
  <c r="M1808" i="1" s="1"/>
  <c r="L1809" i="1"/>
  <c r="M1809" i="1" s="1" a="1"/>
  <c r="M1809" i="1" s="1"/>
  <c r="L1810" i="1"/>
  <c r="M1810" i="1" s="1" a="1"/>
  <c r="M1810" i="1" s="1"/>
  <c r="L1811" i="1"/>
  <c r="M1811" i="1" s="1" a="1"/>
  <c r="M1811" i="1" s="1"/>
  <c r="L1812" i="1"/>
  <c r="M1812" i="1" s="1" a="1"/>
  <c r="M1812" i="1" s="1"/>
  <c r="L1813" i="1"/>
  <c r="M1813" i="1" s="1" a="1"/>
  <c r="M1813" i="1" s="1"/>
  <c r="L1814" i="1"/>
  <c r="M1814" i="1" s="1" a="1"/>
  <c r="M1814" i="1" s="1"/>
  <c r="L1815" i="1"/>
  <c r="M1815" i="1" s="1" a="1"/>
  <c r="M1815" i="1" s="1"/>
  <c r="L1816" i="1"/>
  <c r="M1816" i="1" s="1" a="1"/>
  <c r="M1816" i="1" s="1"/>
  <c r="L1817" i="1"/>
  <c r="M1817" i="1" s="1" a="1"/>
  <c r="M1817" i="1" s="1"/>
  <c r="L1818" i="1"/>
  <c r="M1818" i="1" s="1" a="1"/>
  <c r="M1818" i="1" s="1"/>
  <c r="L1819" i="1"/>
  <c r="M1819" i="1" s="1" a="1"/>
  <c r="M1819" i="1" s="1"/>
  <c r="L1820" i="1"/>
  <c r="M1820" i="1" s="1" a="1"/>
  <c r="M1820" i="1" s="1"/>
  <c r="L1821" i="1"/>
  <c r="M1821" i="1" s="1" a="1"/>
  <c r="M1821" i="1" s="1"/>
  <c r="L1822" i="1"/>
  <c r="M1822" i="1" s="1" a="1"/>
  <c r="M1822" i="1" s="1"/>
  <c r="L1823" i="1"/>
  <c r="M1823" i="1" s="1" a="1"/>
  <c r="M1823" i="1" s="1"/>
  <c r="L1824" i="1"/>
  <c r="M1824" i="1" s="1" a="1"/>
  <c r="M1824" i="1" s="1"/>
  <c r="L1825" i="1"/>
  <c r="M1825" i="1" s="1" a="1"/>
  <c r="M1825" i="1" s="1"/>
  <c r="L1826" i="1"/>
  <c r="M1826" i="1" s="1" a="1"/>
  <c r="M1826" i="1" s="1"/>
  <c r="L1827" i="1"/>
  <c r="M1827" i="1" s="1" a="1"/>
  <c r="M1827" i="1" s="1"/>
  <c r="L1828" i="1"/>
  <c r="M1828" i="1" s="1" a="1"/>
  <c r="M1828" i="1" s="1"/>
  <c r="L1829" i="1"/>
  <c r="M1829" i="1" s="1" a="1"/>
  <c r="M1829" i="1" s="1"/>
  <c r="L1830" i="1"/>
  <c r="M1830" i="1" s="1" a="1"/>
  <c r="M1830" i="1" s="1"/>
  <c r="L1831" i="1"/>
  <c r="M1831" i="1" s="1" a="1"/>
  <c r="M1831" i="1" s="1"/>
  <c r="L1832" i="1"/>
  <c r="M1832" i="1" s="1" a="1"/>
  <c r="M1832" i="1" s="1"/>
  <c r="L1833" i="1"/>
  <c r="M1833" i="1" s="1" a="1"/>
  <c r="M1833" i="1" s="1"/>
  <c r="L1834" i="1"/>
  <c r="M1834" i="1" s="1" a="1"/>
  <c r="M1834" i="1" s="1"/>
  <c r="L1835" i="1"/>
  <c r="M1835" i="1" s="1" a="1"/>
  <c r="M1835" i="1" s="1"/>
  <c r="L1836" i="1"/>
  <c r="M1836" i="1" s="1" a="1"/>
  <c r="M1836" i="1" s="1"/>
  <c r="L1837" i="1"/>
  <c r="M1837" i="1" s="1" a="1"/>
  <c r="M1837" i="1" s="1"/>
  <c r="L1838" i="1"/>
  <c r="M1838" i="1" s="1" a="1"/>
  <c r="M1838" i="1" s="1"/>
  <c r="L1839" i="1"/>
  <c r="M1839" i="1" s="1" a="1"/>
  <c r="M1839" i="1" s="1"/>
  <c r="L1840" i="1"/>
  <c r="M1840" i="1" s="1" a="1"/>
  <c r="M1840" i="1" s="1"/>
  <c r="L1841" i="1"/>
  <c r="M1841" i="1" s="1" a="1"/>
  <c r="M1841" i="1" s="1"/>
  <c r="L1842" i="1"/>
  <c r="M1842" i="1" s="1" a="1"/>
  <c r="M1842" i="1" s="1"/>
  <c r="L1843" i="1"/>
  <c r="M1843" i="1" s="1" a="1"/>
  <c r="M1843" i="1" s="1"/>
  <c r="L1844" i="1"/>
  <c r="M1844" i="1" s="1" a="1"/>
  <c r="M1844" i="1" s="1"/>
  <c r="L1845" i="1"/>
  <c r="M1845" i="1" s="1" a="1"/>
  <c r="M1845" i="1" s="1"/>
  <c r="L1846" i="1"/>
  <c r="M1846" i="1" s="1" a="1"/>
  <c r="M1846" i="1" s="1"/>
  <c r="L1847" i="1"/>
  <c r="M1847" i="1" s="1" a="1"/>
  <c r="M1847" i="1" s="1"/>
  <c r="L1848" i="1"/>
  <c r="M1848" i="1" s="1" a="1"/>
  <c r="M1848" i="1" s="1"/>
  <c r="L1849" i="1"/>
  <c r="M1849" i="1" s="1" a="1"/>
  <c r="M1849" i="1" s="1"/>
  <c r="L1850" i="1"/>
  <c r="M1850" i="1" s="1" a="1"/>
  <c r="M1850" i="1" s="1"/>
  <c r="L1851" i="1"/>
  <c r="M1851" i="1" s="1" a="1"/>
  <c r="M1851" i="1" s="1"/>
  <c r="L1852" i="1"/>
  <c r="M1852" i="1" s="1" a="1"/>
  <c r="M1852" i="1" s="1"/>
  <c r="L1853" i="1"/>
  <c r="M1853" i="1" s="1" a="1"/>
  <c r="M1853" i="1" s="1"/>
  <c r="L1854" i="1"/>
  <c r="M1854" i="1" s="1" a="1"/>
  <c r="M1854" i="1" s="1"/>
  <c r="L1855" i="1"/>
  <c r="M1855" i="1" s="1" a="1"/>
  <c r="M1855" i="1" s="1"/>
  <c r="L1856" i="1"/>
  <c r="M1856" i="1" s="1" a="1"/>
  <c r="M1856" i="1" s="1"/>
  <c r="L1857" i="1"/>
  <c r="M1857" i="1" s="1" a="1"/>
  <c r="M1857" i="1" s="1"/>
  <c r="L1858" i="1"/>
  <c r="M1858" i="1" s="1" a="1"/>
  <c r="M1858" i="1" s="1"/>
  <c r="L1859" i="1"/>
  <c r="M1859" i="1" s="1" a="1"/>
  <c r="M1859" i="1" s="1"/>
  <c r="L1860" i="1"/>
  <c r="M1860" i="1" s="1" a="1"/>
  <c r="M1860" i="1" s="1"/>
  <c r="L1861" i="1"/>
  <c r="M1861" i="1" s="1" a="1"/>
  <c r="M1861" i="1" s="1"/>
  <c r="L1862" i="1"/>
  <c r="M1862" i="1" s="1" a="1"/>
  <c r="M1862" i="1" s="1"/>
  <c r="L1863" i="1"/>
  <c r="M1863" i="1" s="1" a="1"/>
  <c r="M1863" i="1" s="1"/>
  <c r="L1864" i="1"/>
  <c r="M1864" i="1" s="1" a="1"/>
  <c r="M1864" i="1" s="1"/>
  <c r="L1865" i="1"/>
  <c r="M1865" i="1" s="1" a="1"/>
  <c r="M1865" i="1" s="1"/>
  <c r="L1866" i="1"/>
  <c r="M1866" i="1" s="1" a="1"/>
  <c r="M1866" i="1" s="1"/>
  <c r="L1867" i="1"/>
  <c r="M1867" i="1" s="1" a="1"/>
  <c r="M1867" i="1" s="1"/>
  <c r="L1868" i="1"/>
  <c r="M1868" i="1" s="1" a="1"/>
  <c r="M1868" i="1" s="1"/>
  <c r="L1869" i="1"/>
  <c r="M1869" i="1" s="1" a="1"/>
  <c r="M1869" i="1" s="1"/>
  <c r="L1870" i="1"/>
  <c r="M1870" i="1" s="1" a="1"/>
  <c r="M1870" i="1" s="1"/>
  <c r="L1871" i="1"/>
  <c r="M1871" i="1" s="1" a="1"/>
  <c r="M1871" i="1" s="1"/>
  <c r="L1872" i="1"/>
  <c r="M1872" i="1" s="1" a="1"/>
  <c r="M1872" i="1" s="1"/>
  <c r="L1873" i="1"/>
  <c r="M1873" i="1" s="1" a="1"/>
  <c r="M1873" i="1" s="1"/>
  <c r="L1874" i="1"/>
  <c r="M1874" i="1" s="1" a="1"/>
  <c r="M1874" i="1" s="1"/>
  <c r="L1875" i="1"/>
  <c r="M1875" i="1" s="1" a="1"/>
  <c r="M1875" i="1" s="1"/>
  <c r="L1876" i="1"/>
  <c r="M1876" i="1" s="1" a="1"/>
  <c r="M1876" i="1" s="1"/>
  <c r="L1877" i="1"/>
  <c r="M1877" i="1" s="1" a="1"/>
  <c r="M1877" i="1" s="1"/>
  <c r="L1878" i="1"/>
  <c r="M1878" i="1" s="1" a="1"/>
  <c r="M1878" i="1" s="1"/>
  <c r="L1879" i="1"/>
  <c r="M1879" i="1" s="1" a="1"/>
  <c r="M1879" i="1" s="1"/>
  <c r="L1880" i="1"/>
  <c r="M1880" i="1" s="1" a="1"/>
  <c r="M1880" i="1" s="1"/>
  <c r="L1881" i="1"/>
  <c r="M1881" i="1" s="1" a="1"/>
  <c r="M1881" i="1" s="1"/>
  <c r="L1882" i="1"/>
  <c r="M1882" i="1" s="1" a="1"/>
  <c r="M1882" i="1" s="1"/>
  <c r="L1883" i="1"/>
  <c r="M1883" i="1" s="1" a="1"/>
  <c r="M1883" i="1" s="1"/>
  <c r="L1884" i="1"/>
  <c r="M1884" i="1" s="1" a="1"/>
  <c r="M1884" i="1" s="1"/>
  <c r="L1885" i="1"/>
  <c r="M1885" i="1" s="1" a="1"/>
  <c r="M1885" i="1" s="1"/>
  <c r="L1886" i="1"/>
  <c r="M1886" i="1" s="1" a="1"/>
  <c r="M1886" i="1" s="1"/>
  <c r="L1887" i="1"/>
  <c r="M1887" i="1" s="1" a="1"/>
  <c r="M1887" i="1" s="1"/>
  <c r="L1888" i="1"/>
  <c r="M1888" i="1" s="1" a="1"/>
  <c r="M1888" i="1" s="1"/>
  <c r="L1889" i="1"/>
  <c r="M1889" i="1" s="1" a="1"/>
  <c r="M1889" i="1" s="1"/>
  <c r="L1890" i="1"/>
  <c r="M1890" i="1" s="1" a="1"/>
  <c r="M1890" i="1" s="1"/>
  <c r="L1891" i="1"/>
  <c r="M1891" i="1" s="1" a="1"/>
  <c r="M1891" i="1" s="1"/>
  <c r="L1892" i="1"/>
  <c r="M1892" i="1" s="1" a="1"/>
  <c r="M1892" i="1" s="1"/>
  <c r="L1893" i="1"/>
  <c r="M1893" i="1" s="1" a="1"/>
  <c r="M1893" i="1" s="1"/>
  <c r="L1894" i="1"/>
  <c r="M1894" i="1" s="1" a="1"/>
  <c r="M1894" i="1" s="1"/>
  <c r="L1895" i="1"/>
  <c r="M1895" i="1" s="1" a="1"/>
  <c r="M1895" i="1" s="1"/>
  <c r="L1896" i="1"/>
  <c r="M1896" i="1" s="1" a="1"/>
  <c r="M1896" i="1" s="1"/>
  <c r="L1897" i="1"/>
  <c r="M1897" i="1" s="1" a="1"/>
  <c r="M1897" i="1" s="1"/>
  <c r="L1898" i="1"/>
  <c r="M1898" i="1" s="1" a="1"/>
  <c r="M1898" i="1" s="1"/>
  <c r="L1899" i="1"/>
  <c r="M1899" i="1" s="1" a="1"/>
  <c r="M1899" i="1" s="1"/>
  <c r="L1900" i="1"/>
  <c r="M1900" i="1" s="1" a="1"/>
  <c r="M1900" i="1" s="1"/>
  <c r="L1901" i="1"/>
  <c r="M1901" i="1" s="1" a="1"/>
  <c r="M1901" i="1" s="1"/>
  <c r="L1902" i="1"/>
  <c r="M1902" i="1" s="1" a="1"/>
  <c r="M1902" i="1" s="1"/>
  <c r="L1903" i="1"/>
  <c r="M1903" i="1" s="1" a="1"/>
  <c r="M1903" i="1" s="1"/>
  <c r="L1904" i="1"/>
  <c r="M1904" i="1" s="1" a="1"/>
  <c r="M1904" i="1" s="1"/>
  <c r="L1905" i="1"/>
  <c r="M1905" i="1" s="1" a="1"/>
  <c r="M1905" i="1" s="1"/>
  <c r="L1906" i="1"/>
  <c r="M1906" i="1" s="1" a="1"/>
  <c r="M1906" i="1" s="1"/>
  <c r="L1907" i="1"/>
  <c r="M1907" i="1" s="1" a="1"/>
  <c r="M1907" i="1" s="1"/>
  <c r="L1908" i="1"/>
  <c r="M1908" i="1" s="1" a="1"/>
  <c r="M1908" i="1" s="1"/>
  <c r="L1909" i="1"/>
  <c r="M1909" i="1" s="1" a="1"/>
  <c r="M1909" i="1" s="1"/>
  <c r="L1910" i="1"/>
  <c r="M1910" i="1" s="1" a="1"/>
  <c r="M1910" i="1" s="1"/>
  <c r="L1911" i="1"/>
  <c r="M1911" i="1" s="1" a="1"/>
  <c r="M1911" i="1" s="1"/>
  <c r="L1912" i="1"/>
  <c r="M1912" i="1" s="1" a="1"/>
  <c r="M1912" i="1" s="1"/>
  <c r="L1913" i="1"/>
  <c r="M1913" i="1" s="1" a="1"/>
  <c r="M1913" i="1" s="1"/>
  <c r="L1914" i="1"/>
  <c r="M1914" i="1" s="1" a="1"/>
  <c r="M1914" i="1" s="1"/>
  <c r="L1915" i="1"/>
  <c r="M1915" i="1" s="1" a="1"/>
  <c r="M1915" i="1" s="1"/>
  <c r="L1916" i="1"/>
  <c r="M1916" i="1" s="1" a="1"/>
  <c r="M1916" i="1" s="1"/>
  <c r="L1917" i="1"/>
  <c r="M1917" i="1" s="1" a="1"/>
  <c r="M1917" i="1" s="1"/>
  <c r="L1918" i="1"/>
  <c r="M1918" i="1" s="1" a="1"/>
  <c r="M1918" i="1" s="1"/>
  <c r="L1919" i="1"/>
  <c r="M1919" i="1" s="1" a="1"/>
  <c r="M1919" i="1" s="1"/>
  <c r="L1920" i="1"/>
  <c r="M1920" i="1" s="1" a="1"/>
  <c r="M1920" i="1" s="1"/>
  <c r="L1921" i="1"/>
  <c r="M1921" i="1" s="1" a="1"/>
  <c r="M1921" i="1" s="1"/>
  <c r="L1922" i="1"/>
  <c r="M1922" i="1" s="1" a="1"/>
  <c r="M1922" i="1" s="1"/>
  <c r="L1923" i="1"/>
  <c r="M1923" i="1" s="1" a="1"/>
  <c r="M1923" i="1" s="1"/>
  <c r="L1924" i="1"/>
  <c r="M1924" i="1" s="1" a="1"/>
  <c r="M1924" i="1" s="1"/>
  <c r="L1925" i="1"/>
  <c r="M1925" i="1" s="1" a="1"/>
  <c r="M1925" i="1" s="1"/>
  <c r="L1926" i="1"/>
  <c r="M1926" i="1" s="1" a="1"/>
  <c r="M1926" i="1" s="1"/>
  <c r="L1927" i="1"/>
  <c r="M1927" i="1" s="1" a="1"/>
  <c r="M1927" i="1" s="1"/>
  <c r="L1928" i="1"/>
  <c r="M1928" i="1" s="1" a="1"/>
  <c r="M1928" i="1" s="1"/>
  <c r="L1929" i="1"/>
  <c r="M1929" i="1" s="1" a="1"/>
  <c r="M1929" i="1" s="1"/>
  <c r="L1930" i="1"/>
  <c r="M1930" i="1" s="1" a="1"/>
  <c r="M1930" i="1" s="1"/>
  <c r="L1931" i="1"/>
  <c r="M1931" i="1" s="1" a="1"/>
  <c r="M1931" i="1" s="1"/>
  <c r="L1932" i="1"/>
  <c r="M1932" i="1" s="1" a="1"/>
  <c r="M1932" i="1" s="1"/>
  <c r="L1933" i="1"/>
  <c r="M1933" i="1" s="1" a="1"/>
  <c r="M1933" i="1" s="1"/>
  <c r="L1934" i="1"/>
  <c r="M1934" i="1" s="1" a="1"/>
  <c r="M1934" i="1" s="1"/>
  <c r="L1935" i="1"/>
  <c r="M1935" i="1" s="1" a="1"/>
  <c r="M1935" i="1" s="1"/>
  <c r="L1936" i="1"/>
  <c r="M1936" i="1" s="1" a="1"/>
  <c r="M1936" i="1" s="1"/>
  <c r="L1937" i="1"/>
  <c r="M1937" i="1" s="1" a="1"/>
  <c r="M1937" i="1" s="1"/>
  <c r="L1938" i="1"/>
  <c r="M1938" i="1" s="1" a="1"/>
  <c r="M1938" i="1" s="1"/>
  <c r="L1939" i="1"/>
  <c r="M1939" i="1" s="1" a="1"/>
  <c r="M1939" i="1" s="1"/>
  <c r="L1940" i="1"/>
  <c r="M1940" i="1" s="1" a="1"/>
  <c r="M1940" i="1" s="1"/>
  <c r="L1941" i="1"/>
  <c r="M1941" i="1" s="1" a="1"/>
  <c r="M1941" i="1" s="1"/>
  <c r="L1942" i="1"/>
  <c r="M1942" i="1" s="1" a="1"/>
  <c r="M1942" i="1" s="1"/>
  <c r="L1943" i="1"/>
  <c r="M1943" i="1" s="1" a="1"/>
  <c r="M1943" i="1" s="1"/>
  <c r="L1944" i="1"/>
  <c r="M1944" i="1" s="1" a="1"/>
  <c r="M1944" i="1" s="1"/>
  <c r="L1945" i="1"/>
  <c r="M1945" i="1" s="1" a="1"/>
  <c r="M1945" i="1" s="1"/>
  <c r="L1946" i="1"/>
  <c r="M1946" i="1" s="1" a="1"/>
  <c r="M1946" i="1" s="1"/>
  <c r="L1947" i="1"/>
  <c r="M1947" i="1" s="1" a="1"/>
  <c r="M1947" i="1" s="1"/>
  <c r="L1948" i="1"/>
  <c r="M1948" i="1" s="1" a="1"/>
  <c r="M1948" i="1" s="1"/>
  <c r="L1949" i="1"/>
  <c r="M1949" i="1" s="1" a="1"/>
  <c r="M1949" i="1" s="1"/>
  <c r="L1950" i="1"/>
  <c r="M1950" i="1" s="1" a="1"/>
  <c r="M1950" i="1" s="1"/>
  <c r="L1951" i="1"/>
  <c r="M1951" i="1" s="1" a="1"/>
  <c r="M1951" i="1" s="1"/>
  <c r="L1952" i="1"/>
  <c r="M1952" i="1" s="1" a="1"/>
  <c r="M1952" i="1" s="1"/>
  <c r="L1953" i="1"/>
  <c r="M1953" i="1" s="1" a="1"/>
  <c r="M1953" i="1" s="1"/>
  <c r="L1954" i="1"/>
  <c r="M1954" i="1" s="1" a="1"/>
  <c r="M1954" i="1" s="1"/>
  <c r="L1955" i="1"/>
  <c r="M1955" i="1" s="1" a="1"/>
  <c r="M1955" i="1" s="1"/>
  <c r="L1956" i="1"/>
  <c r="M1956" i="1" s="1" a="1"/>
  <c r="M1956" i="1" s="1"/>
  <c r="L1957" i="1"/>
  <c r="M1957" i="1" s="1" a="1"/>
  <c r="M1957" i="1" s="1"/>
  <c r="L1958" i="1"/>
  <c r="M1958" i="1" s="1" a="1"/>
  <c r="M1958" i="1" s="1"/>
  <c r="L1959" i="1"/>
  <c r="M1959" i="1" s="1" a="1"/>
  <c r="M1959" i="1" s="1"/>
  <c r="L1960" i="1"/>
  <c r="M1960" i="1" s="1" a="1"/>
  <c r="M1960" i="1" s="1"/>
  <c r="L1961" i="1"/>
  <c r="M1961" i="1" s="1" a="1"/>
  <c r="M1961" i="1" s="1"/>
  <c r="L1962" i="1"/>
  <c r="M1962" i="1" s="1" a="1"/>
  <c r="M1962" i="1" s="1"/>
  <c r="L1963" i="1"/>
  <c r="M1963" i="1" s="1" a="1"/>
  <c r="M1963" i="1" s="1"/>
  <c r="L1964" i="1"/>
  <c r="M1964" i="1" s="1" a="1"/>
  <c r="M1964" i="1" s="1"/>
  <c r="L1965" i="1"/>
  <c r="M1965" i="1" s="1" a="1"/>
  <c r="M1965" i="1" s="1"/>
  <c r="L1966" i="1"/>
  <c r="M1966" i="1" s="1" a="1"/>
  <c r="M1966" i="1" s="1"/>
  <c r="L1967" i="1"/>
  <c r="M1967" i="1" s="1" a="1"/>
  <c r="M1967" i="1" s="1"/>
  <c r="L1968" i="1"/>
  <c r="M1968" i="1" s="1" a="1"/>
  <c r="M1968" i="1" s="1"/>
  <c r="L1969" i="1"/>
  <c r="M1969" i="1" s="1" a="1"/>
  <c r="M1969" i="1" s="1"/>
  <c r="L1970" i="1"/>
  <c r="M1970" i="1" s="1" a="1"/>
  <c r="M1970" i="1" s="1"/>
  <c r="L1971" i="1"/>
  <c r="M1971" i="1" s="1" a="1"/>
  <c r="M1971" i="1" s="1"/>
  <c r="L1972" i="1"/>
  <c r="M1972" i="1" s="1" a="1"/>
  <c r="M1972" i="1" s="1"/>
  <c r="L1973" i="1"/>
  <c r="M1973" i="1" s="1" a="1"/>
  <c r="M1973" i="1" s="1"/>
  <c r="L1974" i="1"/>
  <c r="M1974" i="1" s="1" a="1"/>
  <c r="M1974" i="1" s="1"/>
  <c r="L1975" i="1"/>
  <c r="M1975" i="1" s="1" a="1"/>
  <c r="M1975" i="1" s="1"/>
  <c r="L1976" i="1"/>
  <c r="M1976" i="1" s="1" a="1"/>
  <c r="M1976" i="1" s="1"/>
  <c r="L1977" i="1"/>
  <c r="M1977" i="1" s="1" a="1"/>
  <c r="M1977" i="1" s="1"/>
  <c r="L1978" i="1"/>
  <c r="M1978" i="1" s="1" a="1"/>
  <c r="M1978" i="1" s="1"/>
  <c r="L1979" i="1"/>
  <c r="M1979" i="1" s="1" a="1"/>
  <c r="M1979" i="1" s="1"/>
  <c r="L1980" i="1"/>
  <c r="M1980" i="1" s="1" a="1"/>
  <c r="M1980" i="1" s="1"/>
  <c r="L1981" i="1"/>
  <c r="M1981" i="1" s="1" a="1"/>
  <c r="M1981" i="1" s="1"/>
  <c r="L1982" i="1"/>
  <c r="M1982" i="1" s="1" a="1"/>
  <c r="M1982" i="1" s="1"/>
  <c r="L1983" i="1"/>
  <c r="M1983" i="1" s="1" a="1"/>
  <c r="M1983" i="1" s="1"/>
  <c r="L1984" i="1"/>
  <c r="M1984" i="1" s="1" a="1"/>
  <c r="M1984" i="1" s="1"/>
  <c r="L1985" i="1"/>
  <c r="M1985" i="1" s="1" a="1"/>
  <c r="M1985" i="1" s="1"/>
  <c r="L1986" i="1"/>
  <c r="M1986" i="1" s="1" a="1"/>
  <c r="M1986" i="1" s="1"/>
  <c r="L1987" i="1"/>
  <c r="M1987" i="1" s="1" a="1"/>
  <c r="M1987" i="1" s="1"/>
  <c r="L1988" i="1"/>
  <c r="M1988" i="1" s="1" a="1"/>
  <c r="M1988" i="1" s="1"/>
  <c r="L1989" i="1"/>
  <c r="M1989" i="1" s="1" a="1"/>
  <c r="M1989" i="1" s="1"/>
  <c r="L1990" i="1"/>
  <c r="M1990" i="1" s="1" a="1"/>
  <c r="M1990" i="1" s="1"/>
  <c r="L1991" i="1"/>
  <c r="M1991" i="1" s="1" a="1"/>
  <c r="M1991" i="1" s="1"/>
  <c r="L1992" i="1"/>
  <c r="M1992" i="1" s="1" a="1"/>
  <c r="M1992" i="1" s="1"/>
  <c r="L1993" i="1"/>
  <c r="M1993" i="1" s="1" a="1"/>
  <c r="M1993" i="1" s="1"/>
  <c r="L1994" i="1"/>
  <c r="M1994" i="1" s="1" a="1"/>
  <c r="M1994" i="1" s="1"/>
  <c r="L1995" i="1"/>
  <c r="M1995" i="1" s="1" a="1"/>
  <c r="M1995" i="1" s="1"/>
  <c r="L1996" i="1"/>
  <c r="M1996" i="1" s="1" a="1"/>
  <c r="M1996" i="1" s="1"/>
  <c r="L1997" i="1"/>
  <c r="M1997" i="1" s="1" a="1"/>
  <c r="M1997" i="1" s="1"/>
  <c r="L1998" i="1"/>
  <c r="M1998" i="1" s="1" a="1"/>
  <c r="M1998" i="1" s="1"/>
  <c r="L1999" i="1"/>
  <c r="M1999" i="1" s="1" a="1"/>
  <c r="M1999" i="1" s="1"/>
  <c r="L2000" i="1"/>
  <c r="M2000" i="1" s="1" a="1"/>
  <c r="M2000" i="1" s="1"/>
  <c r="L2001" i="1"/>
  <c r="M2001" i="1" s="1" a="1"/>
  <c r="M2001" i="1" s="1"/>
  <c r="L2002" i="1"/>
  <c r="M2002" i="1" s="1" a="1"/>
  <c r="M2002" i="1" s="1"/>
  <c r="L2003" i="1"/>
  <c r="M2003" i="1" s="1" a="1"/>
  <c r="M2003" i="1" s="1"/>
  <c r="L2004" i="1"/>
  <c r="M2004" i="1" s="1" a="1"/>
  <c r="M2004" i="1" s="1"/>
  <c r="L2005" i="1"/>
  <c r="M2005" i="1" s="1" a="1"/>
  <c r="M2005" i="1" s="1"/>
  <c r="L2006" i="1"/>
  <c r="M2006" i="1" s="1" a="1"/>
  <c r="M2006" i="1" s="1"/>
  <c r="L2007" i="1"/>
  <c r="M2007" i="1" s="1" a="1"/>
  <c r="M2007" i="1" s="1"/>
  <c r="L2008" i="1"/>
  <c r="M2008" i="1" s="1" a="1"/>
  <c r="M2008" i="1" s="1"/>
  <c r="L2009" i="1"/>
  <c r="M2009" i="1" s="1" a="1"/>
  <c r="M2009" i="1" s="1"/>
  <c r="L2010" i="1"/>
  <c r="M2010" i="1" s="1" a="1"/>
  <c r="M2010" i="1" s="1"/>
  <c r="L2011" i="1"/>
  <c r="M2011" i="1" s="1" a="1"/>
  <c r="M2011" i="1" s="1"/>
  <c r="L2012" i="1"/>
  <c r="M2012" i="1" s="1" a="1"/>
  <c r="M2012" i="1" s="1"/>
  <c r="L2013" i="1"/>
  <c r="M2013" i="1" s="1" a="1"/>
  <c r="M2013" i="1" s="1"/>
  <c r="L2014" i="1"/>
  <c r="M2014" i="1" s="1" a="1"/>
  <c r="M2014" i="1" s="1"/>
  <c r="L2015" i="1"/>
  <c r="M2015" i="1" s="1" a="1"/>
  <c r="M2015" i="1" s="1"/>
  <c r="L2016" i="1"/>
  <c r="M2016" i="1" s="1" a="1"/>
  <c r="M2016" i="1" s="1"/>
  <c r="L2017" i="1"/>
  <c r="M2017" i="1" s="1" a="1"/>
  <c r="M2017" i="1" s="1"/>
  <c r="L2018" i="1"/>
  <c r="M2018" i="1" s="1" a="1"/>
  <c r="M2018" i="1" s="1"/>
  <c r="L2019" i="1"/>
  <c r="M2019" i="1" s="1" a="1"/>
  <c r="M2019" i="1" s="1"/>
  <c r="L2020" i="1"/>
  <c r="M2020" i="1" s="1" a="1"/>
  <c r="M2020" i="1" s="1"/>
  <c r="L2021" i="1"/>
  <c r="M2021" i="1" s="1" a="1"/>
  <c r="M2021" i="1" s="1"/>
  <c r="L2022" i="1"/>
  <c r="M2022" i="1" s="1" a="1"/>
  <c r="M2022" i="1" s="1"/>
  <c r="L2023" i="1"/>
  <c r="M2023" i="1" s="1" a="1"/>
  <c r="M2023" i="1" s="1"/>
  <c r="L2024" i="1"/>
  <c r="M2024" i="1" s="1" a="1"/>
  <c r="M2024" i="1" s="1"/>
  <c r="L2025" i="1"/>
  <c r="M2025" i="1" s="1" a="1"/>
  <c r="M2025" i="1" s="1"/>
  <c r="L2026" i="1"/>
  <c r="M2026" i="1" s="1" a="1"/>
  <c r="M2026" i="1" s="1"/>
  <c r="L2027" i="1"/>
  <c r="M2027" i="1" s="1" a="1"/>
  <c r="M2027" i="1" s="1"/>
  <c r="L2028" i="1"/>
  <c r="M2028" i="1" s="1" a="1"/>
  <c r="M2028" i="1" s="1"/>
  <c r="L2029" i="1"/>
  <c r="M2029" i="1" s="1" a="1"/>
  <c r="M2029" i="1" s="1"/>
  <c r="L2030" i="1"/>
  <c r="M2030" i="1" s="1" a="1"/>
  <c r="M2030" i="1" s="1"/>
  <c r="L2031" i="1"/>
  <c r="M2031" i="1" s="1" a="1"/>
  <c r="M2031" i="1" s="1"/>
  <c r="L2032" i="1"/>
  <c r="M2032" i="1" s="1" a="1"/>
  <c r="M2032" i="1" s="1"/>
  <c r="L2033" i="1"/>
  <c r="M2033" i="1" s="1" a="1"/>
  <c r="M2033" i="1" s="1"/>
  <c r="L2034" i="1"/>
  <c r="M2034" i="1" s="1" a="1"/>
  <c r="M2034" i="1" s="1"/>
  <c r="L2035" i="1"/>
  <c r="M2035" i="1" s="1" a="1"/>
  <c r="M2035" i="1" s="1"/>
  <c r="L2036" i="1"/>
  <c r="M2036" i="1" s="1" a="1"/>
  <c r="M2036" i="1" s="1"/>
  <c r="L2037" i="1"/>
  <c r="M2037" i="1" s="1" a="1"/>
  <c r="M2037" i="1" s="1"/>
  <c r="L2038" i="1"/>
  <c r="M2038" i="1" s="1" a="1"/>
  <c r="M2038" i="1" s="1"/>
  <c r="L2039" i="1"/>
  <c r="M2039" i="1" s="1" a="1"/>
  <c r="M2039" i="1" s="1"/>
  <c r="L2040" i="1"/>
  <c r="M2040" i="1" s="1" a="1"/>
  <c r="M2040" i="1" s="1"/>
  <c r="L2041" i="1"/>
  <c r="M2041" i="1" s="1" a="1"/>
  <c r="M2041" i="1" s="1"/>
  <c r="L2042" i="1"/>
  <c r="M2042" i="1" s="1" a="1"/>
  <c r="M2042" i="1" s="1"/>
  <c r="L2043" i="1"/>
  <c r="M2043" i="1" s="1" a="1"/>
  <c r="M2043" i="1" s="1"/>
  <c r="L2044" i="1"/>
  <c r="M2044" i="1" s="1" a="1"/>
  <c r="M2044" i="1" s="1"/>
  <c r="L2045" i="1"/>
  <c r="M2045" i="1" s="1" a="1"/>
  <c r="M2045" i="1" s="1"/>
  <c r="L2046" i="1"/>
  <c r="M2046" i="1" s="1" a="1"/>
  <c r="M2046" i="1" s="1"/>
  <c r="L2047" i="1"/>
  <c r="M2047" i="1" s="1" a="1"/>
  <c r="M2047" i="1" s="1"/>
  <c r="L2048" i="1"/>
  <c r="M2048" i="1" s="1" a="1"/>
  <c r="M2048" i="1" s="1"/>
  <c r="L2049" i="1"/>
  <c r="M2049" i="1" s="1" a="1"/>
  <c r="M2049" i="1" s="1"/>
  <c r="L2050" i="1"/>
  <c r="M2050" i="1" s="1" a="1"/>
  <c r="M2050" i="1" s="1"/>
  <c r="L2051" i="1"/>
  <c r="M2051" i="1" s="1" a="1"/>
  <c r="M2051" i="1" s="1"/>
  <c r="L2052" i="1"/>
  <c r="M2052" i="1" s="1" a="1"/>
  <c r="M2052" i="1" s="1"/>
  <c r="L2053" i="1"/>
  <c r="M2053" i="1" s="1" a="1"/>
  <c r="M2053" i="1" s="1"/>
  <c r="L2054" i="1"/>
  <c r="M2054" i="1" s="1" a="1"/>
  <c r="M2054" i="1" s="1"/>
  <c r="L2055" i="1"/>
  <c r="M2055" i="1" s="1" a="1"/>
  <c r="M2055" i="1" s="1"/>
  <c r="L2056" i="1"/>
  <c r="M2056" i="1" s="1" a="1"/>
  <c r="M2056" i="1" s="1"/>
  <c r="L2057" i="1"/>
  <c r="M2057" i="1" s="1" a="1"/>
  <c r="M2057" i="1" s="1"/>
  <c r="L2058" i="1"/>
  <c r="M2058" i="1" s="1" a="1"/>
  <c r="M2058" i="1" s="1"/>
  <c r="L2059" i="1"/>
  <c r="M2059" i="1" s="1" a="1"/>
  <c r="M2059" i="1" s="1"/>
  <c r="L2060" i="1"/>
  <c r="M2060" i="1" s="1" a="1"/>
  <c r="M2060" i="1" s="1"/>
  <c r="L2061" i="1"/>
  <c r="M2061" i="1" s="1" a="1"/>
  <c r="M2061" i="1" s="1"/>
  <c r="L2062" i="1"/>
  <c r="M2062" i="1" s="1" a="1"/>
  <c r="M2062" i="1" s="1"/>
  <c r="L2063" i="1"/>
  <c r="M2063" i="1" s="1" a="1"/>
  <c r="M2063" i="1" s="1"/>
  <c r="L2064" i="1"/>
  <c r="M2064" i="1" s="1" a="1"/>
  <c r="M2064" i="1" s="1"/>
  <c r="L2065" i="1"/>
  <c r="M2065" i="1" s="1" a="1"/>
  <c r="M2065" i="1" s="1"/>
  <c r="L2066" i="1"/>
  <c r="M2066" i="1" s="1" a="1"/>
  <c r="M2066" i="1" s="1"/>
  <c r="L2067" i="1"/>
  <c r="M2067" i="1" s="1" a="1"/>
  <c r="M2067" i="1" s="1"/>
  <c r="L2068" i="1"/>
  <c r="M2068" i="1" s="1" a="1"/>
  <c r="M2068" i="1" s="1"/>
  <c r="L2069" i="1"/>
  <c r="M2069" i="1" s="1" a="1"/>
  <c r="M2069" i="1" s="1"/>
  <c r="L2070" i="1"/>
  <c r="M2070" i="1" s="1" a="1"/>
  <c r="M2070" i="1" s="1"/>
  <c r="L2071" i="1"/>
  <c r="M2071" i="1" s="1" a="1"/>
  <c r="M2071" i="1" s="1"/>
  <c r="L2072" i="1"/>
  <c r="M2072" i="1" s="1" a="1"/>
  <c r="M2072" i="1" s="1"/>
  <c r="L2073" i="1"/>
  <c r="M2073" i="1" s="1" a="1"/>
  <c r="M2073" i="1" s="1"/>
  <c r="L2074" i="1"/>
  <c r="M2074" i="1" s="1" a="1"/>
  <c r="M2074" i="1" s="1"/>
  <c r="L2075" i="1"/>
  <c r="M2075" i="1" s="1" a="1"/>
  <c r="M2075" i="1" s="1"/>
  <c r="L2076" i="1"/>
  <c r="M2076" i="1" s="1" a="1"/>
  <c r="M2076" i="1" s="1"/>
  <c r="L2077" i="1"/>
  <c r="M2077" i="1" s="1" a="1"/>
  <c r="M2077" i="1" s="1"/>
  <c r="L2078" i="1"/>
  <c r="M2078" i="1" s="1" a="1"/>
  <c r="M2078" i="1" s="1"/>
  <c r="L2079" i="1"/>
  <c r="M2079" i="1" s="1" a="1"/>
  <c r="M2079" i="1" s="1"/>
  <c r="L2080" i="1"/>
  <c r="M2080" i="1" s="1" a="1"/>
  <c r="M2080" i="1" s="1"/>
  <c r="L2081" i="1"/>
  <c r="M2081" i="1" s="1" a="1"/>
  <c r="M2081" i="1" s="1"/>
  <c r="L2082" i="1"/>
  <c r="M2082" i="1" s="1" a="1"/>
  <c r="M2082" i="1" s="1"/>
  <c r="L2083" i="1"/>
  <c r="M2083" i="1" s="1" a="1"/>
  <c r="M2083" i="1" s="1"/>
  <c r="L2084" i="1"/>
  <c r="M2084" i="1" s="1" a="1"/>
  <c r="M2084" i="1" s="1"/>
  <c r="L2085" i="1"/>
  <c r="M2085" i="1" s="1" a="1"/>
  <c r="M2085" i="1" s="1"/>
  <c r="L2086" i="1"/>
  <c r="M2086" i="1" s="1" a="1"/>
  <c r="M2086" i="1" s="1"/>
  <c r="L2087" i="1"/>
  <c r="M2087" i="1" s="1" a="1"/>
  <c r="M2087" i="1" s="1"/>
  <c r="L2088" i="1"/>
  <c r="M2088" i="1" s="1" a="1"/>
  <c r="M2088" i="1" s="1"/>
  <c r="L2089" i="1"/>
  <c r="M2089" i="1" s="1" a="1"/>
  <c r="M2089" i="1" s="1"/>
  <c r="L2090" i="1"/>
  <c r="M2090" i="1" s="1" a="1"/>
  <c r="M2090" i="1" s="1"/>
  <c r="L2091" i="1"/>
  <c r="M2091" i="1" s="1" a="1"/>
  <c r="M2091" i="1" s="1"/>
  <c r="L2092" i="1"/>
  <c r="M2092" i="1" s="1" a="1"/>
  <c r="M2092" i="1" s="1"/>
  <c r="L2093" i="1"/>
  <c r="M2093" i="1" s="1" a="1"/>
  <c r="M2093" i="1" s="1"/>
  <c r="L2094" i="1"/>
  <c r="M2094" i="1" s="1" a="1"/>
  <c r="M2094" i="1" s="1"/>
  <c r="L2095" i="1"/>
  <c r="M2095" i="1" s="1" a="1"/>
  <c r="M2095" i="1" s="1"/>
  <c r="L2096" i="1"/>
  <c r="M2096" i="1" s="1" a="1"/>
  <c r="M2096" i="1" s="1"/>
  <c r="L2097" i="1"/>
  <c r="M2097" i="1" s="1" a="1"/>
  <c r="M2097" i="1" s="1"/>
  <c r="L2098" i="1"/>
  <c r="M2098" i="1" s="1" a="1"/>
  <c r="M2098" i="1" s="1"/>
  <c r="L2099" i="1"/>
  <c r="M2099" i="1" s="1" a="1"/>
  <c r="M2099" i="1" s="1"/>
  <c r="L2100" i="1"/>
  <c r="M2100" i="1" s="1" a="1"/>
  <c r="M2100" i="1" s="1"/>
  <c r="L2101" i="1"/>
  <c r="M2101" i="1" s="1" a="1"/>
  <c r="M2101" i="1" s="1"/>
  <c r="L2102" i="1"/>
  <c r="M2102" i="1" s="1" a="1"/>
  <c r="M2102" i="1" s="1"/>
  <c r="L2103" i="1"/>
  <c r="M2103" i="1" s="1" a="1"/>
  <c r="M2103" i="1" s="1"/>
  <c r="L2104" i="1"/>
  <c r="M2104" i="1" s="1" a="1"/>
  <c r="M2104" i="1" s="1"/>
  <c r="L2105" i="1"/>
  <c r="M2105" i="1" s="1" a="1"/>
  <c r="M2105" i="1" s="1"/>
  <c r="L2106" i="1"/>
  <c r="M2106" i="1" s="1" a="1"/>
  <c r="M2106" i="1" s="1"/>
  <c r="L2107" i="1"/>
  <c r="M2107" i="1" s="1" a="1"/>
  <c r="M2107" i="1" s="1"/>
  <c r="L2108" i="1"/>
  <c r="M2108" i="1" s="1" a="1"/>
  <c r="M2108" i="1" s="1"/>
  <c r="L2109" i="1"/>
  <c r="M2109" i="1" s="1" a="1"/>
  <c r="M2109" i="1" s="1"/>
  <c r="L2110" i="1"/>
  <c r="M2110" i="1" s="1" a="1"/>
  <c r="M2110" i="1" s="1"/>
  <c r="L2111" i="1"/>
  <c r="M2111" i="1" s="1" a="1"/>
  <c r="M2111" i="1" s="1"/>
  <c r="L2112" i="1"/>
  <c r="M2112" i="1" s="1" a="1"/>
  <c r="M2112" i="1" s="1"/>
  <c r="L2113" i="1"/>
  <c r="M2113" i="1" s="1" a="1"/>
  <c r="M2113" i="1" s="1"/>
  <c r="L2114" i="1"/>
  <c r="M2114" i="1" s="1" a="1"/>
  <c r="M2114" i="1" s="1"/>
  <c r="L2115" i="1"/>
  <c r="M2115" i="1" s="1" a="1"/>
  <c r="M2115" i="1" s="1"/>
  <c r="L2116" i="1"/>
  <c r="M2116" i="1" s="1" a="1"/>
  <c r="M2116" i="1" s="1"/>
  <c r="L2117" i="1"/>
  <c r="M2117" i="1" s="1" a="1"/>
  <c r="M2117" i="1" s="1"/>
  <c r="L2118" i="1"/>
  <c r="M2118" i="1" s="1" a="1"/>
  <c r="M2118" i="1" s="1"/>
  <c r="L2119" i="1"/>
  <c r="M2119" i="1" s="1" a="1"/>
  <c r="M2119" i="1" s="1"/>
  <c r="L2120" i="1"/>
  <c r="M2120" i="1" s="1" a="1"/>
  <c r="M2120" i="1" s="1"/>
  <c r="L2121" i="1"/>
  <c r="M2121" i="1" s="1" a="1"/>
  <c r="M2121" i="1" s="1"/>
  <c r="L2122" i="1"/>
  <c r="M2122" i="1" s="1" a="1"/>
  <c r="M2122" i="1" s="1"/>
  <c r="L2123" i="1"/>
  <c r="M2123" i="1" s="1" a="1"/>
  <c r="M2123" i="1" s="1"/>
  <c r="L2124" i="1"/>
  <c r="M2124" i="1" s="1" a="1"/>
  <c r="M2124" i="1" s="1"/>
  <c r="L2125" i="1"/>
  <c r="M2125" i="1" s="1" a="1"/>
  <c r="M2125" i="1" s="1"/>
  <c r="L2126" i="1"/>
  <c r="M2126" i="1" s="1" a="1"/>
  <c r="M2126" i="1" s="1"/>
  <c r="L2127" i="1"/>
  <c r="M2127" i="1" s="1" a="1"/>
  <c r="M2127" i="1" s="1"/>
  <c r="L2128" i="1"/>
  <c r="M2128" i="1" s="1" a="1"/>
  <c r="M2128" i="1" s="1"/>
  <c r="L2129" i="1"/>
  <c r="M2129" i="1" s="1" a="1"/>
  <c r="M2129" i="1" s="1"/>
  <c r="L2130" i="1"/>
  <c r="M2130" i="1" s="1" a="1"/>
  <c r="M2130" i="1" s="1"/>
  <c r="L2131" i="1"/>
  <c r="M2131" i="1" s="1" a="1"/>
  <c r="M2131" i="1" s="1"/>
  <c r="L2132" i="1"/>
  <c r="M2132" i="1" s="1" a="1"/>
  <c r="M2132" i="1" s="1"/>
  <c r="L2133" i="1"/>
  <c r="M2133" i="1" s="1" a="1"/>
  <c r="M2133" i="1" s="1"/>
  <c r="L2134" i="1"/>
  <c r="M2134" i="1" s="1" a="1"/>
  <c r="M2134" i="1" s="1"/>
  <c r="L2135" i="1"/>
  <c r="M2135" i="1" s="1" a="1"/>
  <c r="M2135" i="1" s="1"/>
  <c r="L2136" i="1"/>
  <c r="M2136" i="1" s="1" a="1"/>
  <c r="M2136" i="1" s="1"/>
  <c r="L2137" i="1"/>
  <c r="M2137" i="1" s="1" a="1"/>
  <c r="M2137" i="1" s="1"/>
  <c r="L2138" i="1"/>
  <c r="M2138" i="1" s="1" a="1"/>
  <c r="M2138" i="1" s="1"/>
  <c r="L2139" i="1"/>
  <c r="M2139" i="1" s="1" a="1"/>
  <c r="M2139" i="1" s="1"/>
  <c r="L2140" i="1"/>
  <c r="M2140" i="1" s="1" a="1"/>
  <c r="M2140" i="1" s="1"/>
  <c r="L2141" i="1"/>
  <c r="M2141" i="1" s="1" a="1"/>
  <c r="M2141" i="1" s="1"/>
  <c r="L2142" i="1"/>
  <c r="M2142" i="1" s="1" a="1"/>
  <c r="M2142" i="1" s="1"/>
  <c r="L2143" i="1"/>
  <c r="M2143" i="1" s="1" a="1"/>
  <c r="M2143" i="1" s="1"/>
  <c r="L2144" i="1"/>
  <c r="M2144" i="1" s="1" a="1"/>
  <c r="M2144" i="1" s="1"/>
  <c r="L2145" i="1"/>
  <c r="M2145" i="1" s="1" a="1"/>
  <c r="M2145" i="1" s="1"/>
  <c r="L2146" i="1"/>
  <c r="M2146" i="1" s="1" a="1"/>
  <c r="M2146" i="1" s="1"/>
  <c r="L2147" i="1"/>
  <c r="M2147" i="1" s="1" a="1"/>
  <c r="M2147" i="1" s="1"/>
  <c r="L2148" i="1"/>
  <c r="M2148" i="1" s="1" a="1"/>
  <c r="M2148" i="1" s="1"/>
  <c r="L2149" i="1"/>
  <c r="M2149" i="1" s="1" a="1"/>
  <c r="M2149" i="1" s="1"/>
  <c r="L2150" i="1"/>
  <c r="M2150" i="1" s="1" a="1"/>
  <c r="M2150" i="1" s="1"/>
  <c r="L2151" i="1"/>
  <c r="M2151" i="1" s="1" a="1"/>
  <c r="M2151" i="1" s="1"/>
  <c r="L2152" i="1"/>
  <c r="M2152" i="1" s="1" a="1"/>
  <c r="M2152" i="1" s="1"/>
  <c r="L2153" i="1"/>
  <c r="M2153" i="1" s="1" a="1"/>
  <c r="M2153" i="1" s="1"/>
  <c r="L2154" i="1"/>
  <c r="M2154" i="1" s="1" a="1"/>
  <c r="M2154" i="1" s="1"/>
  <c r="L2155" i="1"/>
  <c r="M2155" i="1" s="1" a="1"/>
  <c r="M2155" i="1" s="1"/>
  <c r="L2156" i="1"/>
  <c r="M2156" i="1" s="1" a="1"/>
  <c r="M2156" i="1" s="1"/>
  <c r="L2157" i="1"/>
  <c r="M2157" i="1" s="1" a="1"/>
  <c r="M2157" i="1" s="1"/>
  <c r="L2158" i="1"/>
  <c r="M2158" i="1" s="1" a="1"/>
  <c r="M2158" i="1" s="1"/>
  <c r="L2159" i="1"/>
  <c r="M2159" i="1" s="1" a="1"/>
  <c r="M2159" i="1" s="1"/>
  <c r="L2160" i="1"/>
  <c r="M2160" i="1" s="1" a="1"/>
  <c r="M2160" i="1" s="1"/>
  <c r="L2161" i="1"/>
  <c r="M2161" i="1" s="1" a="1"/>
  <c r="M2161" i="1" s="1"/>
  <c r="L2162" i="1"/>
  <c r="M2162" i="1" s="1" a="1"/>
  <c r="M2162" i="1" s="1"/>
  <c r="L2163" i="1"/>
  <c r="M2163" i="1" s="1" a="1"/>
  <c r="M2163" i="1" s="1"/>
  <c r="L2164" i="1"/>
  <c r="M2164" i="1" s="1" a="1"/>
  <c r="M2164" i="1" s="1"/>
  <c r="L2165" i="1"/>
  <c r="M2165" i="1" s="1" a="1"/>
  <c r="M2165" i="1" s="1"/>
  <c r="L2166" i="1"/>
  <c r="M2166" i="1" s="1" a="1"/>
  <c r="M2166" i="1" s="1"/>
  <c r="L2167" i="1"/>
  <c r="M2167" i="1" s="1" a="1"/>
  <c r="M2167" i="1" s="1"/>
  <c r="L2168" i="1"/>
  <c r="M2168" i="1" s="1" a="1"/>
  <c r="M2168" i="1" s="1"/>
  <c r="L2169" i="1"/>
  <c r="M2169" i="1" s="1" a="1"/>
  <c r="M2169" i="1" s="1"/>
  <c r="L2170" i="1"/>
  <c r="M2170" i="1" s="1" a="1"/>
  <c r="M2170" i="1" s="1"/>
  <c r="L2171" i="1"/>
  <c r="M2171" i="1" s="1" a="1"/>
  <c r="M2171" i="1" s="1"/>
  <c r="L2172" i="1"/>
  <c r="M2172" i="1" s="1" a="1"/>
  <c r="M2172" i="1" s="1"/>
  <c r="L2173" i="1"/>
  <c r="M2173" i="1" s="1" a="1"/>
  <c r="M2173" i="1" s="1"/>
  <c r="L2174" i="1"/>
  <c r="M2174" i="1" s="1" a="1"/>
  <c r="M2174" i="1" s="1"/>
  <c r="L2175" i="1"/>
  <c r="M2175" i="1" s="1" a="1"/>
  <c r="M2175" i="1" s="1"/>
  <c r="L2176" i="1"/>
  <c r="M2176" i="1" s="1" a="1"/>
  <c r="M2176" i="1" s="1"/>
  <c r="L2177" i="1"/>
  <c r="M2177" i="1" s="1" a="1"/>
  <c r="M2177" i="1" s="1"/>
  <c r="L2178" i="1"/>
  <c r="M2178" i="1" s="1" a="1"/>
  <c r="M2178" i="1" s="1"/>
  <c r="L2179" i="1"/>
  <c r="M2179" i="1" s="1" a="1"/>
  <c r="M2179" i="1" s="1"/>
  <c r="L2180" i="1"/>
  <c r="M2180" i="1" s="1" a="1"/>
  <c r="M2180" i="1" s="1"/>
  <c r="L2181" i="1"/>
  <c r="M2181" i="1" s="1" a="1"/>
  <c r="M2181" i="1" s="1"/>
  <c r="L2182" i="1"/>
  <c r="M2182" i="1" s="1" a="1"/>
  <c r="M2182" i="1" s="1"/>
  <c r="L2183" i="1"/>
  <c r="M2183" i="1" s="1" a="1"/>
  <c r="M2183" i="1" s="1"/>
  <c r="L2184" i="1"/>
  <c r="M2184" i="1" s="1" a="1"/>
  <c r="M2184" i="1" s="1"/>
  <c r="L2185" i="1"/>
  <c r="M2185" i="1" s="1" a="1"/>
  <c r="M2185" i="1" s="1"/>
  <c r="L2186" i="1"/>
  <c r="M2186" i="1" s="1" a="1"/>
  <c r="M2186" i="1" s="1"/>
  <c r="L2187" i="1"/>
  <c r="M2187" i="1" s="1" a="1"/>
  <c r="M2187" i="1" s="1"/>
  <c r="L2188" i="1"/>
  <c r="M2188" i="1" s="1" a="1"/>
  <c r="M2188" i="1" s="1"/>
  <c r="L2189" i="1"/>
  <c r="M2189" i="1" s="1" a="1"/>
  <c r="M2189" i="1" s="1"/>
  <c r="L2190" i="1"/>
  <c r="M2190" i="1" s="1" a="1"/>
  <c r="M2190" i="1" s="1"/>
  <c r="L2191" i="1"/>
  <c r="M2191" i="1" s="1" a="1"/>
  <c r="M2191" i="1" s="1"/>
  <c r="L2192" i="1"/>
  <c r="M2192" i="1" s="1" a="1"/>
  <c r="M2192" i="1" s="1"/>
  <c r="L2193" i="1"/>
  <c r="M2193" i="1" s="1" a="1"/>
  <c r="M2193" i="1" s="1"/>
  <c r="L2194" i="1"/>
  <c r="M2194" i="1" s="1" a="1"/>
  <c r="M2194" i="1" s="1"/>
  <c r="L2195" i="1"/>
  <c r="M2195" i="1" s="1" a="1"/>
  <c r="M2195" i="1" s="1"/>
  <c r="L2196" i="1"/>
  <c r="M2196" i="1" s="1" a="1"/>
  <c r="M2196" i="1" s="1"/>
  <c r="L2197" i="1"/>
  <c r="M2197" i="1" s="1" a="1"/>
  <c r="M2197" i="1" s="1"/>
  <c r="L2198" i="1"/>
  <c r="M2198" i="1" s="1" a="1"/>
  <c r="M2198" i="1" s="1"/>
  <c r="L2199" i="1"/>
  <c r="M2199" i="1" s="1" a="1"/>
  <c r="M2199" i="1" s="1"/>
  <c r="L2200" i="1"/>
  <c r="M2200" i="1" s="1" a="1"/>
  <c r="M2200" i="1" s="1"/>
  <c r="L2201" i="1"/>
  <c r="M2201" i="1" s="1" a="1"/>
  <c r="M2201" i="1" s="1"/>
  <c r="L2202" i="1"/>
  <c r="M2202" i="1" s="1" a="1"/>
  <c r="M2202" i="1" s="1"/>
  <c r="L2203" i="1"/>
  <c r="M2203" i="1" s="1" a="1"/>
  <c r="M2203" i="1" s="1"/>
  <c r="L2204" i="1"/>
  <c r="M2204" i="1" s="1" a="1"/>
  <c r="M2204" i="1" s="1"/>
  <c r="L2205" i="1"/>
  <c r="M2205" i="1" s="1" a="1"/>
  <c r="M2205" i="1" s="1"/>
  <c r="L2206" i="1"/>
  <c r="M2206" i="1" s="1" a="1"/>
  <c r="M2206" i="1" s="1"/>
  <c r="L2207" i="1"/>
  <c r="M2207" i="1" s="1" a="1"/>
  <c r="M2207" i="1" s="1"/>
  <c r="L2208" i="1"/>
  <c r="M2208" i="1" s="1" a="1"/>
  <c r="M2208" i="1" s="1"/>
  <c r="L2209" i="1"/>
  <c r="M2209" i="1" s="1" a="1"/>
  <c r="M2209" i="1" s="1"/>
  <c r="L2210" i="1"/>
  <c r="M2210" i="1" s="1" a="1"/>
  <c r="M2210" i="1" s="1"/>
  <c r="L2211" i="1"/>
  <c r="M2211" i="1" s="1" a="1"/>
  <c r="M2211" i="1" s="1"/>
  <c r="L2212" i="1"/>
  <c r="M2212" i="1" s="1" a="1"/>
  <c r="M2212" i="1" s="1"/>
  <c r="L2213" i="1"/>
  <c r="M2213" i="1" s="1" a="1"/>
  <c r="M2213" i="1" s="1"/>
  <c r="L2214" i="1"/>
  <c r="M2214" i="1" s="1" a="1"/>
  <c r="M2214" i="1" s="1"/>
  <c r="L2215" i="1"/>
  <c r="M2215" i="1" s="1" a="1"/>
  <c r="M2215" i="1" s="1"/>
  <c r="L2216" i="1"/>
  <c r="M2216" i="1" s="1" a="1"/>
  <c r="M2216" i="1" s="1"/>
  <c r="L2217" i="1"/>
  <c r="M2217" i="1" s="1" a="1"/>
  <c r="M2217" i="1" s="1"/>
  <c r="L2218" i="1"/>
  <c r="M2218" i="1" s="1" a="1"/>
  <c r="M2218" i="1" s="1"/>
  <c r="L2219" i="1"/>
  <c r="M2219" i="1" s="1" a="1"/>
  <c r="M2219" i="1" s="1"/>
  <c r="L2220" i="1"/>
  <c r="M2220" i="1" s="1" a="1"/>
  <c r="M2220" i="1" s="1"/>
  <c r="L2221" i="1"/>
  <c r="M2221" i="1" s="1" a="1"/>
  <c r="M2221" i="1" s="1"/>
  <c r="L2222" i="1"/>
  <c r="M2222" i="1" s="1" a="1"/>
  <c r="M2222" i="1" s="1"/>
  <c r="L2223" i="1"/>
  <c r="M2223" i="1" s="1" a="1"/>
  <c r="M2223" i="1" s="1"/>
  <c r="L2224" i="1"/>
  <c r="M2224" i="1" s="1" a="1"/>
  <c r="M2224" i="1" s="1"/>
  <c r="L2225" i="1"/>
  <c r="M2225" i="1" s="1" a="1"/>
  <c r="M2225" i="1" s="1"/>
  <c r="L2226" i="1"/>
  <c r="M2226" i="1" s="1" a="1"/>
  <c r="M2226" i="1" s="1"/>
  <c r="L2227" i="1"/>
  <c r="M2227" i="1" s="1" a="1"/>
  <c r="M2227" i="1" s="1"/>
  <c r="L2228" i="1"/>
  <c r="M2228" i="1" s="1" a="1"/>
  <c r="M2228" i="1" s="1"/>
  <c r="L2229" i="1"/>
  <c r="M2229" i="1" s="1" a="1"/>
  <c r="M2229" i="1" s="1"/>
  <c r="L2230" i="1"/>
  <c r="M2230" i="1" s="1" a="1"/>
  <c r="M2230" i="1" s="1"/>
  <c r="L2231" i="1"/>
  <c r="M2231" i="1" s="1" a="1"/>
  <c r="M2231" i="1" s="1"/>
  <c r="L2232" i="1"/>
  <c r="M2232" i="1" s="1" a="1"/>
  <c r="M2232" i="1" s="1"/>
  <c r="L2233" i="1"/>
  <c r="M2233" i="1" s="1" a="1"/>
  <c r="M2233" i="1" s="1"/>
  <c r="L2234" i="1"/>
  <c r="M2234" i="1" s="1" a="1"/>
  <c r="M2234" i="1" s="1"/>
  <c r="L2235" i="1"/>
  <c r="M2235" i="1" s="1" a="1"/>
  <c r="M2235" i="1" s="1"/>
  <c r="L2236" i="1"/>
  <c r="M2236" i="1" s="1" a="1"/>
  <c r="M2236" i="1" s="1"/>
  <c r="L2237" i="1"/>
  <c r="M2237" i="1" s="1" a="1"/>
  <c r="M2237" i="1" s="1"/>
  <c r="L2238" i="1"/>
  <c r="M2238" i="1" s="1" a="1"/>
  <c r="M2238" i="1" s="1"/>
  <c r="L2239" i="1"/>
  <c r="M2239" i="1" s="1" a="1"/>
  <c r="M2239" i="1" s="1"/>
  <c r="L2240" i="1"/>
  <c r="M2240" i="1" s="1" a="1"/>
  <c r="M2240" i="1" s="1"/>
  <c r="L2241" i="1"/>
  <c r="M2241" i="1" s="1" a="1"/>
  <c r="M2241" i="1" s="1"/>
  <c r="L2242" i="1"/>
  <c r="M2242" i="1" s="1" a="1"/>
  <c r="M2242" i="1" s="1"/>
  <c r="L2243" i="1"/>
  <c r="M2243" i="1" s="1" a="1"/>
  <c r="M2243" i="1" s="1"/>
  <c r="L2244" i="1"/>
  <c r="M2244" i="1" s="1" a="1"/>
  <c r="M2244" i="1" s="1"/>
  <c r="L2245" i="1"/>
  <c r="M2245" i="1" s="1" a="1"/>
  <c r="M2245" i="1" s="1"/>
  <c r="L2246" i="1"/>
  <c r="M2246" i="1" s="1" a="1"/>
  <c r="M2246" i="1" s="1"/>
  <c r="L2247" i="1"/>
  <c r="M2247" i="1" s="1" a="1"/>
  <c r="M2247" i="1" s="1"/>
  <c r="L2248" i="1"/>
  <c r="M2248" i="1" s="1" a="1"/>
  <c r="M2248" i="1" s="1"/>
  <c r="L2249" i="1"/>
  <c r="M2249" i="1" s="1" a="1"/>
  <c r="M2249" i="1" s="1"/>
  <c r="L2250" i="1"/>
  <c r="M2250" i="1" s="1" a="1"/>
  <c r="M2250" i="1" s="1"/>
  <c r="L2251" i="1"/>
  <c r="M2251" i="1" s="1" a="1"/>
  <c r="M2251" i="1" s="1"/>
  <c r="L2252" i="1"/>
  <c r="M2252" i="1" s="1" a="1"/>
  <c r="M2252" i="1" s="1"/>
  <c r="L2253" i="1"/>
  <c r="M2253" i="1" s="1" a="1"/>
  <c r="M2253" i="1" s="1"/>
  <c r="L2254" i="1"/>
  <c r="M2254" i="1" s="1" a="1"/>
  <c r="M2254" i="1" s="1"/>
  <c r="L2255" i="1"/>
  <c r="M2255" i="1" s="1" a="1"/>
  <c r="M2255" i="1" s="1"/>
  <c r="L2256" i="1"/>
  <c r="M2256" i="1" s="1" a="1"/>
  <c r="M2256" i="1" s="1"/>
  <c r="L2257" i="1"/>
  <c r="M2257" i="1" s="1" a="1"/>
  <c r="M2257" i="1" s="1"/>
  <c r="L2258" i="1"/>
  <c r="M2258" i="1" s="1" a="1"/>
  <c r="M2258" i="1" s="1"/>
  <c r="L2259" i="1"/>
  <c r="M2259" i="1" s="1" a="1"/>
  <c r="M2259" i="1" s="1"/>
  <c r="L2260" i="1"/>
  <c r="M2260" i="1" s="1" a="1"/>
  <c r="M2260" i="1" s="1"/>
  <c r="L2261" i="1"/>
  <c r="M2261" i="1" s="1" a="1"/>
  <c r="M2261" i="1" s="1"/>
  <c r="L2262" i="1"/>
  <c r="M2262" i="1" s="1" a="1"/>
  <c r="M2262" i="1" s="1"/>
  <c r="L2263" i="1"/>
  <c r="M2263" i="1" s="1" a="1"/>
  <c r="M2263" i="1" s="1"/>
  <c r="L2264" i="1"/>
  <c r="M2264" i="1" s="1" a="1"/>
  <c r="M2264" i="1" s="1"/>
  <c r="L2265" i="1"/>
  <c r="M2265" i="1" s="1" a="1"/>
  <c r="M2265" i="1" s="1"/>
  <c r="L2266" i="1"/>
  <c r="M2266" i="1" s="1" a="1"/>
  <c r="M2266" i="1" s="1"/>
  <c r="L2267" i="1"/>
  <c r="M2267" i="1" s="1" a="1"/>
  <c r="M2267" i="1" s="1"/>
  <c r="L2268" i="1"/>
  <c r="M2268" i="1" s="1" a="1"/>
  <c r="M2268" i="1" s="1"/>
  <c r="L2269" i="1"/>
  <c r="M2269" i="1" s="1" a="1"/>
  <c r="M2269" i="1" s="1"/>
  <c r="L2270" i="1"/>
  <c r="M2270" i="1" s="1" a="1"/>
  <c r="M2270" i="1" s="1"/>
  <c r="L2271" i="1"/>
  <c r="M2271" i="1" s="1" a="1"/>
  <c r="M2271" i="1" s="1"/>
  <c r="L2272" i="1"/>
  <c r="M2272" i="1" s="1" a="1"/>
  <c r="M2272" i="1" s="1"/>
  <c r="L2273" i="1"/>
  <c r="M2273" i="1" s="1" a="1"/>
  <c r="M2273" i="1" s="1"/>
  <c r="L2274" i="1"/>
  <c r="M2274" i="1" s="1" a="1"/>
  <c r="M2274" i="1" s="1"/>
  <c r="L2275" i="1"/>
  <c r="M2275" i="1" s="1" a="1"/>
  <c r="M2275" i="1" s="1"/>
  <c r="L2276" i="1"/>
  <c r="M2276" i="1" s="1" a="1"/>
  <c r="M2276" i="1" s="1"/>
  <c r="L2277" i="1"/>
  <c r="M2277" i="1" s="1" a="1"/>
  <c r="M2277" i="1" s="1"/>
  <c r="L2278" i="1"/>
  <c r="M2278" i="1" s="1" a="1"/>
  <c r="M2278" i="1" s="1"/>
  <c r="L2279" i="1"/>
  <c r="M2279" i="1" s="1" a="1"/>
  <c r="M2279" i="1" s="1"/>
  <c r="L2280" i="1"/>
  <c r="M2280" i="1" s="1" a="1"/>
  <c r="M2280" i="1" s="1"/>
  <c r="L2281" i="1"/>
  <c r="M2281" i="1" s="1" a="1"/>
  <c r="M2281" i="1" s="1"/>
  <c r="L2282" i="1"/>
  <c r="M2282" i="1" s="1" a="1"/>
  <c r="M2282" i="1" s="1"/>
  <c r="L2283" i="1"/>
  <c r="M2283" i="1" s="1" a="1"/>
  <c r="M2283" i="1" s="1"/>
  <c r="L2284" i="1"/>
  <c r="M2284" i="1" s="1" a="1"/>
  <c r="M2284" i="1" s="1"/>
  <c r="L2285" i="1"/>
  <c r="M2285" i="1" s="1" a="1"/>
  <c r="M2285" i="1" s="1"/>
  <c r="L2286" i="1"/>
  <c r="M2286" i="1" s="1" a="1"/>
  <c r="M2286" i="1" s="1"/>
  <c r="L2287" i="1"/>
  <c r="M2287" i="1" s="1" a="1"/>
  <c r="M2287" i="1" s="1"/>
  <c r="L2288" i="1"/>
  <c r="M2288" i="1" s="1" a="1"/>
  <c r="M2288" i="1" s="1"/>
  <c r="L2289" i="1"/>
  <c r="M2289" i="1" s="1" a="1"/>
  <c r="M2289" i="1" s="1"/>
  <c r="L2290" i="1"/>
  <c r="M2290" i="1" s="1" a="1"/>
  <c r="M2290" i="1" s="1"/>
  <c r="L2291" i="1"/>
  <c r="M2291" i="1" s="1" a="1"/>
  <c r="M2291" i="1" s="1"/>
  <c r="L2292" i="1"/>
  <c r="M2292" i="1" s="1" a="1"/>
  <c r="M2292" i="1" s="1"/>
  <c r="L2293" i="1"/>
  <c r="M2293" i="1" s="1" a="1"/>
  <c r="M2293" i="1" s="1"/>
  <c r="L2294" i="1"/>
  <c r="M2294" i="1" s="1" a="1"/>
  <c r="M2294" i="1" s="1"/>
  <c r="L2295" i="1"/>
  <c r="M2295" i="1" s="1" a="1"/>
  <c r="M2295" i="1" s="1"/>
  <c r="L2296" i="1"/>
  <c r="M2296" i="1" s="1" a="1"/>
  <c r="M2296" i="1" s="1"/>
  <c r="L2297" i="1"/>
  <c r="M2297" i="1" s="1" a="1"/>
  <c r="M2297" i="1" s="1"/>
  <c r="L2298" i="1"/>
  <c r="M2298" i="1" s="1" a="1"/>
  <c r="M2298" i="1" s="1"/>
  <c r="L2299" i="1"/>
  <c r="M2299" i="1" s="1" a="1"/>
  <c r="M2299" i="1" s="1"/>
  <c r="L2300" i="1"/>
  <c r="M2300" i="1" s="1" a="1"/>
  <c r="M2300" i="1" s="1"/>
  <c r="L2301" i="1"/>
  <c r="M2301" i="1" s="1" a="1"/>
  <c r="M2301" i="1" s="1"/>
  <c r="L2302" i="1"/>
  <c r="M2302" i="1" s="1" a="1"/>
  <c r="M2302" i="1" s="1"/>
  <c r="L2303" i="1"/>
  <c r="M2303" i="1" s="1" a="1"/>
  <c r="M2303" i="1" s="1"/>
  <c r="L2304" i="1"/>
  <c r="M2304" i="1" s="1" a="1"/>
  <c r="M2304" i="1" s="1"/>
  <c r="L2305" i="1"/>
  <c r="M2305" i="1" s="1" a="1"/>
  <c r="M2305" i="1" s="1"/>
  <c r="L2306" i="1"/>
  <c r="M2306" i="1" s="1" a="1"/>
  <c r="M2306" i="1" s="1"/>
  <c r="L2307" i="1"/>
  <c r="M2307" i="1" s="1" a="1"/>
  <c r="M2307" i="1" s="1"/>
  <c r="L2308" i="1"/>
  <c r="M2308" i="1" s="1" a="1"/>
  <c r="M2308" i="1" s="1"/>
  <c r="L2309" i="1"/>
  <c r="M2309" i="1" s="1" a="1"/>
  <c r="M2309" i="1" s="1"/>
  <c r="L2310" i="1"/>
  <c r="M2310" i="1" s="1" a="1"/>
  <c r="M2310" i="1" s="1"/>
  <c r="L2311" i="1"/>
  <c r="M2311" i="1" s="1" a="1"/>
  <c r="M2311" i="1" s="1"/>
  <c r="L2312" i="1"/>
  <c r="M2312" i="1" s="1" a="1"/>
  <c r="M2312" i="1" s="1"/>
  <c r="L2313" i="1"/>
  <c r="M2313" i="1" s="1" a="1"/>
  <c r="M2313" i="1" s="1"/>
  <c r="L2314" i="1"/>
  <c r="M2314" i="1" s="1" a="1"/>
  <c r="M2314" i="1" s="1"/>
  <c r="L2315" i="1"/>
  <c r="M2315" i="1" s="1" a="1"/>
  <c r="M2315" i="1" s="1"/>
  <c r="L2316" i="1"/>
  <c r="M2316" i="1" s="1" a="1"/>
  <c r="M2316" i="1" s="1"/>
  <c r="L2317" i="1"/>
  <c r="M2317" i="1" s="1" a="1"/>
  <c r="M2317" i="1" s="1"/>
  <c r="L2318" i="1"/>
  <c r="M2318" i="1" s="1" a="1"/>
  <c r="M2318" i="1" s="1"/>
  <c r="L2319" i="1"/>
  <c r="M2319" i="1" s="1" a="1"/>
  <c r="M2319" i="1" s="1"/>
  <c r="L2320" i="1"/>
  <c r="M2320" i="1" s="1" a="1"/>
  <c r="M2320" i="1" s="1"/>
  <c r="L2321" i="1"/>
  <c r="M2321" i="1" s="1" a="1"/>
  <c r="M2321" i="1" s="1"/>
  <c r="L2322" i="1"/>
  <c r="M2322" i="1" s="1" a="1"/>
  <c r="M2322" i="1" s="1"/>
  <c r="L2323" i="1"/>
  <c r="M2323" i="1" s="1" a="1"/>
  <c r="M2323" i="1" s="1"/>
  <c r="L2324" i="1"/>
  <c r="M2324" i="1" s="1" a="1"/>
  <c r="M2324" i="1" s="1"/>
  <c r="L2325" i="1"/>
  <c r="M2325" i="1" s="1" a="1"/>
  <c r="M2325" i="1" s="1"/>
  <c r="L2326" i="1"/>
  <c r="M2326" i="1" s="1" a="1"/>
  <c r="M2326" i="1" s="1"/>
  <c r="L2327" i="1"/>
  <c r="M2327" i="1" s="1" a="1"/>
  <c r="M2327" i="1" s="1"/>
  <c r="L2328" i="1"/>
  <c r="M2328" i="1" s="1" a="1"/>
  <c r="M2328" i="1" s="1"/>
  <c r="L2329" i="1"/>
  <c r="M2329" i="1" s="1" a="1"/>
  <c r="M2329" i="1" s="1"/>
  <c r="L2330" i="1"/>
  <c r="M2330" i="1" s="1" a="1"/>
  <c r="M2330" i="1" s="1"/>
  <c r="L2331" i="1"/>
  <c r="M2331" i="1" s="1" a="1"/>
  <c r="M2331" i="1" s="1"/>
  <c r="L2332" i="1"/>
  <c r="M2332" i="1" s="1" a="1"/>
  <c r="M2332" i="1" s="1"/>
  <c r="L2333" i="1"/>
  <c r="M2333" i="1" s="1" a="1"/>
  <c r="M2333" i="1" s="1"/>
  <c r="L2334" i="1"/>
  <c r="M2334" i="1" s="1" a="1"/>
  <c r="M2334" i="1" s="1"/>
  <c r="L2335" i="1"/>
  <c r="M2335" i="1" s="1" a="1"/>
  <c r="M2335" i="1" s="1"/>
  <c r="L2336" i="1"/>
  <c r="M2336" i="1" s="1" a="1"/>
  <c r="M2336" i="1" s="1"/>
  <c r="L2337" i="1"/>
  <c r="M2337" i="1" s="1" a="1"/>
  <c r="M2337" i="1" s="1"/>
  <c r="L2338" i="1"/>
  <c r="M2338" i="1" s="1" a="1"/>
  <c r="M2338" i="1" s="1"/>
  <c r="L2339" i="1"/>
  <c r="M2339" i="1" s="1" a="1"/>
  <c r="M2339" i="1" s="1"/>
  <c r="L2340" i="1"/>
  <c r="M2340" i="1" s="1" a="1"/>
  <c r="M2340" i="1" s="1"/>
  <c r="L2341" i="1"/>
  <c r="M2341" i="1" s="1" a="1"/>
  <c r="M2341" i="1" s="1"/>
  <c r="L2342" i="1"/>
  <c r="M2342" i="1" s="1" a="1"/>
  <c r="M2342" i="1" s="1"/>
  <c r="L2343" i="1"/>
  <c r="M2343" i="1" s="1" a="1"/>
  <c r="M2343" i="1" s="1"/>
  <c r="L2344" i="1"/>
  <c r="M2344" i="1" s="1" a="1"/>
  <c r="M2344" i="1" s="1"/>
  <c r="L2345" i="1"/>
  <c r="M2345" i="1" s="1" a="1"/>
  <c r="M2345" i="1" s="1"/>
  <c r="L2346" i="1"/>
  <c r="M2346" i="1" s="1" a="1"/>
  <c r="M2346" i="1" s="1"/>
  <c r="L2347" i="1"/>
  <c r="M2347" i="1" s="1" a="1"/>
  <c r="M2347" i="1" s="1"/>
  <c r="L2348" i="1"/>
  <c r="M2348" i="1" s="1" a="1"/>
  <c r="M2348" i="1" s="1"/>
  <c r="L2349" i="1"/>
  <c r="M2349" i="1" s="1" a="1"/>
  <c r="M2349" i="1" s="1"/>
  <c r="L2350" i="1"/>
  <c r="M2350" i="1" s="1" a="1"/>
  <c r="M2350" i="1" s="1"/>
  <c r="L2351" i="1"/>
  <c r="M2351" i="1" s="1" a="1"/>
  <c r="M2351" i="1" s="1"/>
  <c r="L2352" i="1"/>
  <c r="M2352" i="1" s="1" a="1"/>
  <c r="M2352" i="1" s="1"/>
  <c r="L2353" i="1"/>
  <c r="M2353" i="1" s="1" a="1"/>
  <c r="M2353" i="1" s="1"/>
  <c r="L2354" i="1"/>
  <c r="M2354" i="1" s="1" a="1"/>
  <c r="M2354" i="1" s="1"/>
  <c r="L2355" i="1"/>
  <c r="M2355" i="1" s="1" a="1"/>
  <c r="M2355" i="1" s="1"/>
  <c r="L2356" i="1"/>
  <c r="M2356" i="1" s="1" a="1"/>
  <c r="M2356" i="1" s="1"/>
  <c r="L2357" i="1"/>
  <c r="M2357" i="1" s="1" a="1"/>
  <c r="M2357" i="1" s="1"/>
  <c r="L2358" i="1"/>
  <c r="M2358" i="1" s="1" a="1"/>
  <c r="M2358" i="1" s="1"/>
  <c r="L2359" i="1"/>
  <c r="M2359" i="1" s="1" a="1"/>
  <c r="M2359" i="1" s="1"/>
  <c r="L2360" i="1"/>
  <c r="M2360" i="1" s="1" a="1"/>
  <c r="M2360" i="1" s="1"/>
  <c r="L2361" i="1"/>
  <c r="M2361" i="1" s="1" a="1"/>
  <c r="M2361" i="1" s="1"/>
  <c r="L2362" i="1"/>
  <c r="M2362" i="1" s="1" a="1"/>
  <c r="M2362" i="1" s="1"/>
  <c r="L2363" i="1"/>
  <c r="M2363" i="1" s="1" a="1"/>
  <c r="M2363" i="1" s="1"/>
  <c r="L2364" i="1"/>
  <c r="M2364" i="1" s="1" a="1"/>
  <c r="M2364" i="1" s="1"/>
  <c r="L2365" i="1"/>
  <c r="M2365" i="1" s="1" a="1"/>
  <c r="M2365" i="1" s="1"/>
  <c r="L2366" i="1"/>
  <c r="M2366" i="1" s="1" a="1"/>
  <c r="M2366" i="1" s="1"/>
  <c r="L2367" i="1"/>
  <c r="M2367" i="1" s="1" a="1"/>
  <c r="M2367" i="1" s="1"/>
  <c r="L2368" i="1"/>
  <c r="M2368" i="1" s="1" a="1"/>
  <c r="M2368" i="1" s="1"/>
  <c r="L2369" i="1"/>
  <c r="M2369" i="1" s="1" a="1"/>
  <c r="M2369" i="1" s="1"/>
  <c r="L2370" i="1"/>
  <c r="M2370" i="1" s="1" a="1"/>
  <c r="M2370" i="1" s="1"/>
  <c r="L2371" i="1"/>
  <c r="M2371" i="1" s="1" a="1"/>
  <c r="M2371" i="1" s="1"/>
  <c r="L2372" i="1"/>
  <c r="M2372" i="1" s="1" a="1"/>
  <c r="M2372" i="1" s="1"/>
  <c r="L2373" i="1"/>
  <c r="M2373" i="1" s="1" a="1"/>
  <c r="M2373" i="1" s="1"/>
  <c r="L2374" i="1"/>
  <c r="M2374" i="1" s="1" a="1"/>
  <c r="M2374" i="1" s="1"/>
  <c r="L2375" i="1"/>
  <c r="M2375" i="1" s="1" a="1"/>
  <c r="M2375" i="1" s="1"/>
  <c r="L2376" i="1"/>
  <c r="M2376" i="1" s="1" a="1"/>
  <c r="M2376" i="1" s="1"/>
  <c r="L2377" i="1"/>
  <c r="M2377" i="1" s="1" a="1"/>
  <c r="M2377" i="1" s="1"/>
  <c r="L2378" i="1"/>
  <c r="M2378" i="1" s="1" a="1"/>
  <c r="M2378" i="1" s="1"/>
  <c r="L2379" i="1"/>
  <c r="M2379" i="1" s="1" a="1"/>
  <c r="M2379" i="1" s="1"/>
  <c r="L2380" i="1"/>
  <c r="M2380" i="1" s="1" a="1"/>
  <c r="M2380" i="1" s="1"/>
  <c r="L2381" i="1"/>
  <c r="M2381" i="1" s="1" a="1"/>
  <c r="M2381" i="1" s="1"/>
  <c r="L2382" i="1"/>
  <c r="M2382" i="1" s="1" a="1"/>
  <c r="M2382" i="1" s="1"/>
  <c r="L2383" i="1"/>
  <c r="M2383" i="1" s="1" a="1"/>
  <c r="M2383" i="1" s="1"/>
  <c r="L2384" i="1"/>
  <c r="M2384" i="1" s="1" a="1"/>
  <c r="M2384" i="1" s="1"/>
  <c r="L2385" i="1"/>
  <c r="M2385" i="1" s="1" a="1"/>
  <c r="M2385" i="1" s="1"/>
  <c r="L2386" i="1"/>
  <c r="M2386" i="1" s="1" a="1"/>
  <c r="M2386" i="1" s="1"/>
  <c r="L2387" i="1"/>
  <c r="M2387" i="1" s="1" a="1"/>
  <c r="M2387" i="1" s="1"/>
  <c r="L2388" i="1"/>
  <c r="M2388" i="1" s="1" a="1"/>
  <c r="M2388" i="1" s="1"/>
  <c r="L2389" i="1"/>
  <c r="M2389" i="1" s="1" a="1"/>
  <c r="M2389" i="1" s="1"/>
  <c r="L2390" i="1"/>
  <c r="M2390" i="1" s="1" a="1"/>
  <c r="M2390" i="1" s="1"/>
  <c r="L2391" i="1"/>
  <c r="M2391" i="1" s="1" a="1"/>
  <c r="M2391" i="1" s="1"/>
  <c r="L2392" i="1"/>
  <c r="M2392" i="1" s="1" a="1"/>
  <c r="M2392" i="1" s="1"/>
  <c r="L2393" i="1"/>
  <c r="M2393" i="1" s="1" a="1"/>
  <c r="M2393" i="1" s="1"/>
  <c r="L2394" i="1"/>
  <c r="M2394" i="1" s="1" a="1"/>
  <c r="M2394" i="1" s="1"/>
  <c r="L2395" i="1"/>
  <c r="M2395" i="1" s="1" a="1"/>
  <c r="M2395" i="1" s="1"/>
  <c r="L2396" i="1"/>
  <c r="M2396" i="1" s="1" a="1"/>
  <c r="M2396" i="1" s="1"/>
  <c r="L2397" i="1"/>
  <c r="M2397" i="1" s="1" a="1"/>
  <c r="M2397" i="1" s="1"/>
  <c r="L2398" i="1"/>
  <c r="M2398" i="1" s="1" a="1"/>
  <c r="M2398" i="1" s="1"/>
  <c r="L2399" i="1"/>
  <c r="M2399" i="1" s="1" a="1"/>
  <c r="M2399" i="1" s="1"/>
  <c r="L2400" i="1"/>
  <c r="M2400" i="1" s="1" a="1"/>
  <c r="M2400" i="1" s="1"/>
  <c r="L2401" i="1"/>
  <c r="M2401" i="1" s="1" a="1"/>
  <c r="M2401" i="1" s="1"/>
  <c r="L2402" i="1"/>
  <c r="M2402" i="1" s="1" a="1"/>
  <c r="M2402" i="1" s="1"/>
  <c r="L2403" i="1"/>
  <c r="M2403" i="1" s="1" a="1"/>
  <c r="M2403" i="1" s="1"/>
  <c r="L2404" i="1"/>
  <c r="M2404" i="1" s="1" a="1"/>
  <c r="M2404" i="1" s="1"/>
  <c r="L2405" i="1"/>
  <c r="M2405" i="1" s="1" a="1"/>
  <c r="M2405" i="1" s="1"/>
  <c r="L2406" i="1"/>
  <c r="M2406" i="1" s="1" a="1"/>
  <c r="M2406" i="1" s="1"/>
  <c r="L2407" i="1"/>
  <c r="M2407" i="1" s="1" a="1"/>
  <c r="M2407" i="1" s="1"/>
  <c r="L2408" i="1"/>
  <c r="M2408" i="1" s="1" a="1"/>
  <c r="M2408" i="1" s="1"/>
  <c r="L2409" i="1"/>
  <c r="M2409" i="1" s="1" a="1"/>
  <c r="M2409" i="1" s="1"/>
  <c r="L2410" i="1"/>
  <c r="M2410" i="1" s="1" a="1"/>
  <c r="M2410" i="1" s="1"/>
  <c r="L2411" i="1"/>
  <c r="M2411" i="1" s="1" a="1"/>
  <c r="M2411" i="1" s="1"/>
  <c r="L2412" i="1"/>
  <c r="M2412" i="1" s="1" a="1"/>
  <c r="M2412" i="1" s="1"/>
  <c r="L2413" i="1"/>
  <c r="M2413" i="1" s="1" a="1"/>
  <c r="M2413" i="1" s="1"/>
  <c r="L2414" i="1"/>
  <c r="M2414" i="1" s="1" a="1"/>
  <c r="M2414" i="1" s="1"/>
  <c r="L2415" i="1"/>
  <c r="M2415" i="1" s="1" a="1"/>
  <c r="M2415" i="1" s="1"/>
  <c r="L2416" i="1"/>
  <c r="M2416" i="1" s="1" a="1"/>
  <c r="M2416" i="1" s="1"/>
  <c r="L2417" i="1"/>
  <c r="M2417" i="1" s="1" a="1"/>
  <c r="M2417" i="1" s="1"/>
  <c r="L2418" i="1"/>
  <c r="M2418" i="1" s="1" a="1"/>
  <c r="M2418" i="1" s="1"/>
  <c r="L2419" i="1"/>
  <c r="M2419" i="1" s="1" a="1"/>
  <c r="M2419" i="1" s="1"/>
  <c r="L2420" i="1"/>
  <c r="M2420" i="1" s="1" a="1"/>
  <c r="M2420" i="1" s="1"/>
  <c r="L2421" i="1"/>
  <c r="M2421" i="1" s="1" a="1"/>
  <c r="M2421" i="1" s="1"/>
  <c r="L2422" i="1"/>
  <c r="M2422" i="1" s="1" a="1"/>
  <c r="M2422" i="1" s="1"/>
  <c r="L2423" i="1"/>
  <c r="M2423" i="1" s="1" a="1"/>
  <c r="M2423" i="1" s="1"/>
  <c r="L2424" i="1"/>
  <c r="M2424" i="1" s="1" a="1"/>
  <c r="M2424" i="1" s="1"/>
  <c r="L2425" i="1"/>
  <c r="M2425" i="1" s="1" a="1"/>
  <c r="M2425" i="1" s="1"/>
  <c r="L2426" i="1"/>
  <c r="M2426" i="1" s="1" a="1"/>
  <c r="M2426" i="1" s="1"/>
  <c r="L2427" i="1"/>
  <c r="M2427" i="1" s="1" a="1"/>
  <c r="M2427" i="1" s="1"/>
  <c r="L2428" i="1"/>
  <c r="M2428" i="1" s="1" a="1"/>
  <c r="M2428" i="1" s="1"/>
  <c r="L2429" i="1"/>
  <c r="M2429" i="1" s="1" a="1"/>
  <c r="M2429" i="1" s="1"/>
  <c r="L2430" i="1"/>
  <c r="M2430" i="1" s="1" a="1"/>
  <c r="M2430" i="1" s="1"/>
  <c r="L2431" i="1"/>
  <c r="M2431" i="1" s="1" a="1"/>
  <c r="M2431" i="1" s="1"/>
  <c r="L2432" i="1"/>
  <c r="M2432" i="1" s="1" a="1"/>
  <c r="M2432" i="1" s="1"/>
  <c r="L2433" i="1"/>
  <c r="M2433" i="1" s="1" a="1"/>
  <c r="M2433" i="1" s="1"/>
  <c r="L2434" i="1"/>
  <c r="M2434" i="1" s="1" a="1"/>
  <c r="M2434" i="1" s="1"/>
  <c r="L2435" i="1"/>
  <c r="M2435" i="1" s="1" a="1"/>
  <c r="M2435" i="1" s="1"/>
  <c r="L2436" i="1"/>
  <c r="M2436" i="1" s="1" a="1"/>
  <c r="M2436" i="1" s="1"/>
  <c r="L2437" i="1"/>
  <c r="M2437" i="1" s="1" a="1"/>
  <c r="M2437" i="1" s="1"/>
  <c r="L2438" i="1"/>
  <c r="M2438" i="1" s="1" a="1"/>
  <c r="M2438" i="1" s="1"/>
  <c r="L2439" i="1"/>
  <c r="M2439" i="1" s="1" a="1"/>
  <c r="M2439" i="1" s="1"/>
  <c r="L2440" i="1"/>
  <c r="M2440" i="1" s="1" a="1"/>
  <c r="M2440" i="1" s="1"/>
  <c r="L2441" i="1"/>
  <c r="M2441" i="1" s="1" a="1"/>
  <c r="M2441" i="1" s="1"/>
  <c r="L2442" i="1"/>
  <c r="M2442" i="1" s="1" a="1"/>
  <c r="M2442" i="1" s="1"/>
  <c r="L2443" i="1"/>
  <c r="M2443" i="1" s="1" a="1"/>
  <c r="M2443" i="1" s="1"/>
  <c r="L2444" i="1"/>
  <c r="M2444" i="1" s="1" a="1"/>
  <c r="M2444" i="1" s="1"/>
  <c r="L2445" i="1"/>
  <c r="M2445" i="1" s="1" a="1"/>
  <c r="M2445" i="1" s="1"/>
  <c r="L2446" i="1"/>
  <c r="M2446" i="1" s="1" a="1"/>
  <c r="M2446" i="1" s="1"/>
  <c r="L2447" i="1"/>
  <c r="M2447" i="1" s="1" a="1"/>
  <c r="M2447" i="1" s="1"/>
  <c r="L2448" i="1"/>
  <c r="M2448" i="1" s="1" a="1"/>
  <c r="M2448" i="1" s="1"/>
  <c r="L2449" i="1"/>
  <c r="M2449" i="1" s="1" a="1"/>
  <c r="M2449" i="1" s="1"/>
  <c r="L2450" i="1"/>
  <c r="M2450" i="1" s="1" a="1"/>
  <c r="M2450" i="1" s="1"/>
  <c r="L2451" i="1"/>
  <c r="M2451" i="1" s="1" a="1"/>
  <c r="M2451" i="1" s="1"/>
  <c r="L2452" i="1"/>
  <c r="M2452" i="1" s="1" a="1"/>
  <c r="M2452" i="1" s="1"/>
  <c r="L2453" i="1"/>
  <c r="M2453" i="1" s="1" a="1"/>
  <c r="M2453" i="1" s="1"/>
  <c r="L2454" i="1"/>
  <c r="M2454" i="1" s="1" a="1"/>
  <c r="M2454" i="1" s="1"/>
  <c r="L2455" i="1"/>
  <c r="M2455" i="1" s="1" a="1"/>
  <c r="M2455" i="1" s="1"/>
  <c r="L2456" i="1"/>
  <c r="M2456" i="1" s="1" a="1"/>
  <c r="M2456" i="1" s="1"/>
  <c r="L2457" i="1"/>
  <c r="M2457" i="1" s="1" a="1"/>
  <c r="M2457" i="1" s="1"/>
  <c r="L2458" i="1"/>
  <c r="M2458" i="1" s="1" a="1"/>
  <c r="M2458" i="1" s="1"/>
  <c r="L2459" i="1"/>
  <c r="M2459" i="1" s="1" a="1"/>
  <c r="M2459" i="1" s="1"/>
  <c r="L2460" i="1"/>
  <c r="M2460" i="1" s="1" a="1"/>
  <c r="M2460" i="1" s="1"/>
  <c r="L2461" i="1"/>
  <c r="M2461" i="1" s="1" a="1"/>
  <c r="M2461" i="1" s="1"/>
  <c r="L2462" i="1"/>
  <c r="M2462" i="1" s="1" a="1"/>
  <c r="M2462" i="1" s="1"/>
  <c r="L2463" i="1"/>
  <c r="M2463" i="1" s="1" a="1"/>
  <c r="M2463" i="1" s="1"/>
  <c r="L2464" i="1"/>
  <c r="M2464" i="1" s="1" a="1"/>
  <c r="M2464" i="1" s="1"/>
  <c r="L2465" i="1"/>
  <c r="M2465" i="1" s="1" a="1"/>
  <c r="M2465" i="1" s="1"/>
  <c r="L2466" i="1"/>
  <c r="M2466" i="1" s="1" a="1"/>
  <c r="M2466" i="1" s="1"/>
  <c r="L2467" i="1"/>
  <c r="M2467" i="1" s="1" a="1"/>
  <c r="M2467" i="1" s="1"/>
  <c r="L2468" i="1"/>
  <c r="M2468" i="1" s="1" a="1"/>
  <c r="M2468" i="1" s="1"/>
  <c r="L2469" i="1"/>
  <c r="M2469" i="1" s="1" a="1"/>
  <c r="M2469" i="1" s="1"/>
  <c r="L2470" i="1"/>
  <c r="M2470" i="1" s="1" a="1"/>
  <c r="M2470" i="1" s="1"/>
  <c r="L2471" i="1"/>
  <c r="M2471" i="1" s="1" a="1"/>
  <c r="M2471" i="1" s="1"/>
  <c r="L2472" i="1"/>
  <c r="M2472" i="1" s="1" a="1"/>
  <c r="M2472" i="1" s="1"/>
  <c r="L2473" i="1"/>
  <c r="M2473" i="1" s="1" a="1"/>
  <c r="M2473" i="1" s="1"/>
  <c r="L2474" i="1"/>
  <c r="M2474" i="1" s="1" a="1"/>
  <c r="M2474" i="1" s="1"/>
  <c r="L2475" i="1"/>
  <c r="M2475" i="1" s="1" a="1"/>
  <c r="M2475" i="1" s="1"/>
  <c r="L2476" i="1"/>
  <c r="M2476" i="1" s="1" a="1"/>
  <c r="M2476" i="1" s="1"/>
  <c r="L2477" i="1"/>
  <c r="M2477" i="1" s="1" a="1"/>
  <c r="M2477" i="1" s="1"/>
  <c r="L2478" i="1"/>
  <c r="M2478" i="1" s="1" a="1"/>
  <c r="M2478" i="1" s="1"/>
  <c r="L2479" i="1"/>
  <c r="M2479" i="1" s="1" a="1"/>
  <c r="M2479" i="1" s="1"/>
  <c r="L2480" i="1"/>
  <c r="M2480" i="1" s="1" a="1"/>
  <c r="M2480" i="1" s="1"/>
  <c r="L2481" i="1"/>
  <c r="M2481" i="1" s="1" a="1"/>
  <c r="M2481" i="1" s="1"/>
  <c r="L2482" i="1"/>
  <c r="M2482" i="1" s="1" a="1"/>
  <c r="M2482" i="1" s="1"/>
  <c r="L2483" i="1"/>
  <c r="M2483" i="1" s="1" a="1"/>
  <c r="M2483" i="1" s="1"/>
  <c r="L2484" i="1"/>
  <c r="M2484" i="1" s="1" a="1"/>
  <c r="M2484" i="1" s="1"/>
  <c r="L2485" i="1"/>
  <c r="M2485" i="1" s="1" a="1"/>
  <c r="M2485" i="1" s="1"/>
  <c r="L2486" i="1"/>
  <c r="M2486" i="1" s="1" a="1"/>
  <c r="M2486" i="1" s="1"/>
  <c r="L2487" i="1"/>
  <c r="M2487" i="1" s="1" a="1"/>
  <c r="M2487" i="1" s="1"/>
  <c r="L2488" i="1"/>
  <c r="M2488" i="1" s="1" a="1"/>
  <c r="M2488" i="1" s="1"/>
  <c r="L2489" i="1"/>
  <c r="M2489" i="1" s="1" a="1"/>
  <c r="M2489" i="1" s="1"/>
  <c r="L2490" i="1"/>
  <c r="M2490" i="1" s="1" a="1"/>
  <c r="M2490" i="1" s="1"/>
  <c r="L2491" i="1"/>
  <c r="M2491" i="1" s="1" a="1"/>
  <c r="M2491" i="1" s="1"/>
  <c r="L2492" i="1"/>
  <c r="M2492" i="1" s="1" a="1"/>
  <c r="M2492" i="1" s="1"/>
  <c r="L2493" i="1"/>
  <c r="M2493" i="1" s="1" a="1"/>
  <c r="M2493" i="1" s="1"/>
  <c r="L2494" i="1"/>
  <c r="M2494" i="1" s="1" a="1"/>
  <c r="M2494" i="1" s="1"/>
  <c r="L2495" i="1"/>
  <c r="M2495" i="1" s="1" a="1"/>
  <c r="M2495" i="1" s="1"/>
  <c r="L2496" i="1"/>
  <c r="M2496" i="1" s="1" a="1"/>
  <c r="M2496" i="1" s="1"/>
  <c r="L2497" i="1"/>
  <c r="M2497" i="1" s="1" a="1"/>
  <c r="M2497" i="1" s="1"/>
  <c r="L2498" i="1"/>
  <c r="M2498" i="1" s="1" a="1"/>
  <c r="M2498" i="1" s="1"/>
  <c r="L2499" i="1"/>
  <c r="M2499" i="1" s="1" a="1"/>
  <c r="M2499" i="1" s="1"/>
  <c r="L2500" i="1"/>
  <c r="M2500" i="1" s="1" a="1"/>
  <c r="M2500" i="1" s="1"/>
  <c r="L2501" i="1"/>
  <c r="M2501" i="1" s="1" a="1"/>
  <c r="M2501" i="1" s="1"/>
  <c r="L2502" i="1"/>
  <c r="M2502" i="1" s="1" a="1"/>
  <c r="M2502" i="1" s="1"/>
  <c r="L2503" i="1"/>
  <c r="M2503" i="1" s="1" a="1"/>
  <c r="M2503" i="1" s="1"/>
  <c r="L2504" i="1"/>
  <c r="M2504" i="1" s="1" a="1"/>
  <c r="M2504" i="1" s="1"/>
  <c r="L2505" i="1"/>
  <c r="M2505" i="1" s="1" a="1"/>
  <c r="M2505" i="1" s="1"/>
  <c r="L2506" i="1"/>
  <c r="M2506" i="1" s="1" a="1"/>
  <c r="M2506" i="1" s="1"/>
  <c r="L2507" i="1"/>
  <c r="M2507" i="1" s="1" a="1"/>
  <c r="M2507" i="1" s="1"/>
  <c r="L2508" i="1"/>
  <c r="M2508" i="1" s="1" a="1"/>
  <c r="M2508" i="1" s="1"/>
  <c r="L2509" i="1"/>
  <c r="M2509" i="1" s="1" a="1"/>
  <c r="M2509" i="1" s="1"/>
  <c r="L2510" i="1"/>
  <c r="M2510" i="1" s="1" a="1"/>
  <c r="M2510" i="1" s="1"/>
  <c r="L2511" i="1"/>
  <c r="M2511" i="1" s="1" a="1"/>
  <c r="M2511" i="1" s="1"/>
  <c r="L2512" i="1"/>
  <c r="M2512" i="1" s="1" a="1"/>
  <c r="M2512" i="1" s="1"/>
  <c r="L2513" i="1"/>
  <c r="M2513" i="1" s="1" a="1"/>
  <c r="M2513" i="1" s="1"/>
  <c r="L2514" i="1"/>
  <c r="M2514" i="1" s="1" a="1"/>
  <c r="M2514" i="1" s="1"/>
  <c r="L2515" i="1"/>
  <c r="M2515" i="1" s="1" a="1"/>
  <c r="M2515" i="1" s="1"/>
  <c r="L2516" i="1"/>
  <c r="M2516" i="1" s="1" a="1"/>
  <c r="M2516" i="1" s="1"/>
  <c r="L2517" i="1"/>
  <c r="M2517" i="1" s="1" a="1"/>
  <c r="M2517" i="1" s="1"/>
  <c r="L2518" i="1"/>
  <c r="M2518" i="1" s="1" a="1"/>
  <c r="M2518" i="1" s="1"/>
  <c r="L2519" i="1"/>
  <c r="M2519" i="1" s="1" a="1"/>
  <c r="M2519" i="1" s="1"/>
  <c r="L2520" i="1"/>
  <c r="M2520" i="1" s="1" a="1"/>
  <c r="M2520" i="1" s="1"/>
  <c r="L2521" i="1"/>
  <c r="M2521" i="1" s="1" a="1"/>
  <c r="M2521" i="1" s="1"/>
  <c r="L2522" i="1"/>
  <c r="M2522" i="1" s="1" a="1"/>
  <c r="M2522" i="1" s="1"/>
  <c r="L2523" i="1"/>
  <c r="M2523" i="1" s="1" a="1"/>
  <c r="M2523" i="1" s="1"/>
  <c r="L2524" i="1"/>
  <c r="M2524" i="1" s="1" a="1"/>
  <c r="M2524" i="1" s="1"/>
  <c r="L2525" i="1"/>
  <c r="M2525" i="1" s="1" a="1"/>
  <c r="M2525" i="1" s="1"/>
  <c r="L2526" i="1"/>
  <c r="M2526" i="1" s="1" a="1"/>
  <c r="M2526" i="1" s="1"/>
  <c r="L2527" i="1"/>
  <c r="M2527" i="1" s="1" a="1"/>
  <c r="M2527" i="1" s="1"/>
  <c r="L2528" i="1"/>
  <c r="M2528" i="1" s="1" a="1"/>
  <c r="M2528" i="1" s="1"/>
  <c r="L2529" i="1"/>
  <c r="M2529" i="1" s="1" a="1"/>
  <c r="M2529" i="1" s="1"/>
  <c r="L2530" i="1"/>
  <c r="M2530" i="1" s="1" a="1"/>
  <c r="M2530" i="1" s="1"/>
  <c r="L2531" i="1"/>
  <c r="M2531" i="1" s="1" a="1"/>
  <c r="M2531" i="1" s="1"/>
  <c r="L2532" i="1"/>
  <c r="M2532" i="1" s="1" a="1"/>
  <c r="M2532" i="1" s="1"/>
  <c r="L2533" i="1"/>
  <c r="M2533" i="1" s="1" a="1"/>
  <c r="M2533" i="1" s="1"/>
  <c r="L2534" i="1"/>
  <c r="M2534" i="1" s="1" a="1"/>
  <c r="M2534" i="1" s="1"/>
  <c r="L2535" i="1"/>
  <c r="M2535" i="1" s="1" a="1"/>
  <c r="M2535" i="1" s="1"/>
  <c r="L2536" i="1"/>
  <c r="M2536" i="1" s="1" a="1"/>
  <c r="M2536" i="1" s="1"/>
  <c r="L2537" i="1"/>
  <c r="M2537" i="1" s="1" a="1"/>
  <c r="M2537" i="1" s="1"/>
  <c r="L2538" i="1"/>
  <c r="M2538" i="1" s="1" a="1"/>
  <c r="M2538" i="1" s="1"/>
  <c r="L2539" i="1"/>
  <c r="M2539" i="1" s="1" a="1"/>
  <c r="M2539" i="1" s="1"/>
  <c r="L2540" i="1"/>
  <c r="M2540" i="1" s="1" a="1"/>
  <c r="M2540" i="1" s="1"/>
  <c r="L2541" i="1"/>
  <c r="M2541" i="1" s="1" a="1"/>
  <c r="M2541" i="1" s="1"/>
  <c r="L2542" i="1"/>
  <c r="M2542" i="1" s="1" a="1"/>
  <c r="M2542" i="1" s="1"/>
  <c r="L2543" i="1"/>
  <c r="M2543" i="1" s="1" a="1"/>
  <c r="M2543" i="1" s="1"/>
  <c r="L2544" i="1"/>
  <c r="M2544" i="1" s="1" a="1"/>
  <c r="M2544" i="1" s="1"/>
  <c r="L2545" i="1"/>
  <c r="M2545" i="1" s="1" a="1"/>
  <c r="M2545" i="1" s="1"/>
  <c r="L2546" i="1"/>
  <c r="M2546" i="1" s="1" a="1"/>
  <c r="M2546" i="1" s="1"/>
  <c r="L2547" i="1"/>
  <c r="M2547" i="1" s="1" a="1"/>
  <c r="M2547" i="1" s="1"/>
  <c r="L2548" i="1"/>
  <c r="M2548" i="1" s="1" a="1"/>
  <c r="M2548" i="1" s="1"/>
  <c r="L2549" i="1"/>
  <c r="M2549" i="1" s="1" a="1"/>
  <c r="M2549" i="1" s="1"/>
  <c r="L2550" i="1"/>
  <c r="M2550" i="1" s="1" a="1"/>
  <c r="M2550" i="1" s="1"/>
  <c r="L2551" i="1"/>
  <c r="M2551" i="1" s="1" a="1"/>
  <c r="M2551" i="1" s="1"/>
  <c r="L2552" i="1"/>
  <c r="M2552" i="1" s="1" a="1"/>
  <c r="M2552" i="1" s="1"/>
  <c r="L2553" i="1"/>
  <c r="M2553" i="1" s="1" a="1"/>
  <c r="M2553" i="1" s="1"/>
  <c r="L2554" i="1"/>
  <c r="M2554" i="1" s="1" a="1"/>
  <c r="M2554" i="1" s="1"/>
  <c r="L2555" i="1"/>
  <c r="M2555" i="1" s="1" a="1"/>
  <c r="M2555" i="1" s="1"/>
  <c r="L2556" i="1"/>
  <c r="M2556" i="1" s="1" a="1"/>
  <c r="M2556" i="1" s="1"/>
  <c r="L2557" i="1"/>
  <c r="M2557" i="1" s="1" a="1"/>
  <c r="M2557" i="1" s="1"/>
  <c r="L2558" i="1"/>
  <c r="M2558" i="1" s="1" a="1"/>
  <c r="M2558" i="1" s="1"/>
  <c r="L2559" i="1"/>
  <c r="M2559" i="1" s="1" a="1"/>
  <c r="M2559" i="1" s="1"/>
  <c r="L2560" i="1"/>
  <c r="M2560" i="1" s="1" a="1"/>
  <c r="M2560" i="1" s="1"/>
  <c r="L2561" i="1"/>
  <c r="M2561" i="1" s="1" a="1"/>
  <c r="M2561" i="1" s="1"/>
  <c r="L2562" i="1"/>
  <c r="M2562" i="1" s="1" a="1"/>
  <c r="M2562" i="1" s="1"/>
  <c r="L2563" i="1"/>
  <c r="M2563" i="1" s="1" a="1"/>
  <c r="M2563" i="1" s="1"/>
  <c r="L2564" i="1"/>
  <c r="M2564" i="1" s="1" a="1"/>
  <c r="M2564" i="1" s="1"/>
  <c r="L2565" i="1"/>
  <c r="M2565" i="1" s="1" a="1"/>
  <c r="M2565" i="1" s="1"/>
  <c r="L2566" i="1"/>
  <c r="M2566" i="1" s="1" a="1"/>
  <c r="M2566" i="1" s="1"/>
  <c r="L2567" i="1"/>
  <c r="M2567" i="1" s="1" a="1"/>
  <c r="M2567" i="1" s="1"/>
  <c r="L2568" i="1"/>
  <c r="M2568" i="1" s="1" a="1"/>
  <c r="M2568" i="1" s="1"/>
  <c r="L2569" i="1"/>
  <c r="M2569" i="1" s="1" a="1"/>
  <c r="M2569" i="1" s="1"/>
  <c r="L2570" i="1"/>
  <c r="M2570" i="1" s="1" a="1"/>
  <c r="M2570" i="1" s="1"/>
  <c r="L2571" i="1"/>
  <c r="M2571" i="1" s="1" a="1"/>
  <c r="M2571" i="1" s="1"/>
  <c r="L2572" i="1"/>
  <c r="M2572" i="1" s="1" a="1"/>
  <c r="M2572" i="1" s="1"/>
  <c r="L2573" i="1"/>
  <c r="M2573" i="1" s="1" a="1"/>
  <c r="M2573" i="1" s="1"/>
  <c r="L2574" i="1"/>
  <c r="M2574" i="1" s="1" a="1"/>
  <c r="M2574" i="1" s="1"/>
  <c r="L2575" i="1"/>
  <c r="M2575" i="1" s="1" a="1"/>
  <c r="M2575" i="1" s="1"/>
  <c r="L2576" i="1"/>
  <c r="M2576" i="1" s="1" a="1"/>
  <c r="M2576" i="1" s="1"/>
  <c r="L2577" i="1"/>
  <c r="M2577" i="1" s="1" a="1"/>
  <c r="M2577" i="1" s="1"/>
  <c r="L2578" i="1"/>
  <c r="M2578" i="1" s="1" a="1"/>
  <c r="M2578" i="1" s="1"/>
  <c r="L2579" i="1"/>
  <c r="M2579" i="1" s="1" a="1"/>
  <c r="M2579" i="1" s="1"/>
  <c r="L2580" i="1"/>
  <c r="M2580" i="1" s="1" a="1"/>
  <c r="M2580" i="1" s="1"/>
  <c r="L2581" i="1"/>
  <c r="M2581" i="1" s="1" a="1"/>
  <c r="M2581" i="1" s="1"/>
  <c r="L2582" i="1"/>
  <c r="M2582" i="1" s="1" a="1"/>
  <c r="M2582" i="1" s="1"/>
  <c r="L2583" i="1"/>
  <c r="M2583" i="1" s="1" a="1"/>
  <c r="M2583" i="1" s="1"/>
  <c r="L2584" i="1"/>
  <c r="M2584" i="1" s="1" a="1"/>
  <c r="M2584" i="1" s="1"/>
  <c r="L2585" i="1"/>
  <c r="M2585" i="1" s="1" a="1"/>
  <c r="M2585" i="1" s="1"/>
  <c r="L2586" i="1"/>
  <c r="M2586" i="1" s="1" a="1"/>
  <c r="M2586" i="1" s="1"/>
  <c r="L2587" i="1"/>
  <c r="M2587" i="1" s="1" a="1"/>
  <c r="M2587" i="1" s="1"/>
  <c r="L2588" i="1"/>
  <c r="M2588" i="1" s="1" a="1"/>
  <c r="M2588" i="1" s="1"/>
  <c r="L2589" i="1"/>
  <c r="M2589" i="1" s="1" a="1"/>
  <c r="M2589" i="1" s="1"/>
  <c r="L2590" i="1"/>
  <c r="M2590" i="1" s="1" a="1"/>
  <c r="M2590" i="1" s="1"/>
  <c r="L2591" i="1"/>
  <c r="M2591" i="1" s="1" a="1"/>
  <c r="M2591" i="1" s="1"/>
  <c r="L2592" i="1"/>
  <c r="M2592" i="1" s="1" a="1"/>
  <c r="M2592" i="1" s="1"/>
  <c r="L2593" i="1"/>
  <c r="M2593" i="1" s="1" a="1"/>
  <c r="M2593" i="1" s="1"/>
  <c r="L2594" i="1"/>
  <c r="M2594" i="1" s="1" a="1"/>
  <c r="M2594" i="1" s="1"/>
  <c r="L2595" i="1"/>
  <c r="M2595" i="1" s="1" a="1"/>
  <c r="M2595" i="1" s="1"/>
  <c r="L2596" i="1"/>
  <c r="M2596" i="1" s="1" a="1"/>
  <c r="M2596" i="1" s="1"/>
  <c r="L2597" i="1"/>
  <c r="M2597" i="1" s="1" a="1"/>
  <c r="M2597" i="1" s="1"/>
  <c r="L2598" i="1"/>
  <c r="M2598" i="1" s="1" a="1"/>
  <c r="M2598" i="1" s="1"/>
  <c r="L2599" i="1"/>
  <c r="M2599" i="1" s="1" a="1"/>
  <c r="M2599" i="1" s="1"/>
  <c r="L2600" i="1"/>
  <c r="M2600" i="1" s="1" a="1"/>
  <c r="M2600" i="1" s="1"/>
  <c r="L2601" i="1"/>
  <c r="M2601" i="1" s="1" a="1"/>
  <c r="M2601" i="1" s="1"/>
  <c r="L2602" i="1"/>
  <c r="M2602" i="1" s="1" a="1"/>
  <c r="M2602" i="1" s="1"/>
  <c r="L2603" i="1"/>
  <c r="M2603" i="1" s="1" a="1"/>
  <c r="M2603" i="1" s="1"/>
  <c r="L2604" i="1"/>
  <c r="M2604" i="1" s="1" a="1"/>
  <c r="M2604" i="1" s="1"/>
  <c r="L2605" i="1"/>
  <c r="M2605" i="1" s="1" a="1"/>
  <c r="M2605" i="1" s="1"/>
  <c r="L2606" i="1"/>
  <c r="M2606" i="1" s="1" a="1"/>
  <c r="M2606" i="1" s="1"/>
  <c r="L2607" i="1"/>
  <c r="M2607" i="1" s="1" a="1"/>
  <c r="M2607" i="1" s="1"/>
  <c r="L2608" i="1"/>
  <c r="M2608" i="1" s="1" a="1"/>
  <c r="M2608" i="1" s="1"/>
  <c r="L2609" i="1"/>
  <c r="M2609" i="1" s="1" a="1"/>
  <c r="M2609" i="1" s="1"/>
  <c r="L2610" i="1"/>
  <c r="M2610" i="1" s="1" a="1"/>
  <c r="M2610" i="1" s="1"/>
  <c r="L2611" i="1"/>
  <c r="M2611" i="1" s="1" a="1"/>
  <c r="M2611" i="1" s="1"/>
  <c r="L2612" i="1"/>
  <c r="M2612" i="1" s="1" a="1"/>
  <c r="M2612" i="1" s="1"/>
  <c r="L2613" i="1"/>
  <c r="M2613" i="1" s="1" a="1"/>
  <c r="M2613" i="1" s="1"/>
  <c r="L2614" i="1"/>
  <c r="M2614" i="1" s="1" a="1"/>
  <c r="M2614" i="1" s="1"/>
  <c r="L2615" i="1"/>
  <c r="M2615" i="1" s="1" a="1"/>
  <c r="M2615" i="1" s="1"/>
  <c r="L2616" i="1"/>
  <c r="M2616" i="1" s="1" a="1"/>
  <c r="M2616" i="1" s="1"/>
  <c r="L2617" i="1"/>
  <c r="M2617" i="1" s="1" a="1"/>
  <c r="M2617" i="1" s="1"/>
  <c r="L2618" i="1"/>
  <c r="M2618" i="1" s="1" a="1"/>
  <c r="M2618" i="1" s="1"/>
  <c r="L2619" i="1"/>
  <c r="M2619" i="1" s="1" a="1"/>
  <c r="M2619" i="1" s="1"/>
  <c r="L2620" i="1"/>
  <c r="M2620" i="1" s="1" a="1"/>
  <c r="M2620" i="1" s="1"/>
  <c r="L2621" i="1"/>
  <c r="M2621" i="1" s="1" a="1"/>
  <c r="M2621" i="1" s="1"/>
  <c r="L2622" i="1"/>
  <c r="M2622" i="1" s="1" a="1"/>
  <c r="M2622" i="1" s="1"/>
  <c r="L2623" i="1"/>
  <c r="M2623" i="1" s="1" a="1"/>
  <c r="M2623" i="1" s="1"/>
  <c r="L2624" i="1"/>
  <c r="M2624" i="1" s="1" a="1"/>
  <c r="M2624" i="1" s="1"/>
  <c r="L2625" i="1"/>
  <c r="M2625" i="1" s="1" a="1"/>
  <c r="M2625" i="1" s="1"/>
  <c r="L2626" i="1"/>
  <c r="M2626" i="1" s="1" a="1"/>
  <c r="M2626" i="1" s="1"/>
  <c r="L2627" i="1"/>
  <c r="M2627" i="1" s="1" a="1"/>
  <c r="M2627" i="1" s="1"/>
  <c r="L2628" i="1"/>
  <c r="M2628" i="1" s="1" a="1"/>
  <c r="M2628" i="1" s="1"/>
  <c r="L2629" i="1"/>
  <c r="M2629" i="1" s="1" a="1"/>
  <c r="M2629" i="1" s="1"/>
  <c r="L2630" i="1"/>
  <c r="M2630" i="1" s="1" a="1"/>
  <c r="M2630" i="1" s="1"/>
  <c r="L2631" i="1"/>
  <c r="M2631" i="1" s="1" a="1"/>
  <c r="M2631" i="1" s="1"/>
  <c r="L2632" i="1"/>
  <c r="M2632" i="1" s="1" a="1"/>
  <c r="M2632" i="1" s="1"/>
  <c r="L2633" i="1"/>
  <c r="M2633" i="1" s="1" a="1"/>
  <c r="M2633" i="1" s="1"/>
  <c r="L2634" i="1"/>
  <c r="M2634" i="1" s="1" a="1"/>
  <c r="M2634" i="1" s="1"/>
  <c r="L2635" i="1"/>
  <c r="M2635" i="1" s="1" a="1"/>
  <c r="M2635" i="1" s="1"/>
  <c r="L2636" i="1"/>
  <c r="M2636" i="1" s="1" a="1"/>
  <c r="M2636" i="1" s="1"/>
  <c r="L2637" i="1"/>
  <c r="M2637" i="1" s="1" a="1"/>
  <c r="M2637" i="1" s="1"/>
  <c r="L2638" i="1"/>
  <c r="M2638" i="1" s="1" a="1"/>
  <c r="M2638" i="1" s="1"/>
  <c r="L2639" i="1"/>
  <c r="M2639" i="1" s="1" a="1"/>
  <c r="M2639" i="1" s="1"/>
  <c r="L2640" i="1"/>
  <c r="M2640" i="1" s="1" a="1"/>
  <c r="M2640" i="1" s="1"/>
  <c r="L2641" i="1"/>
  <c r="M2641" i="1" s="1" a="1"/>
  <c r="M2641" i="1" s="1"/>
  <c r="L2642" i="1"/>
  <c r="M2642" i="1" s="1" a="1"/>
  <c r="M2642" i="1" s="1"/>
  <c r="L2643" i="1"/>
  <c r="M2643" i="1" s="1" a="1"/>
  <c r="M2643" i="1" s="1"/>
  <c r="L2644" i="1"/>
  <c r="M2644" i="1" s="1" a="1"/>
  <c r="M2644" i="1" s="1"/>
  <c r="L2645" i="1"/>
  <c r="M2645" i="1" s="1" a="1"/>
  <c r="M2645" i="1" s="1"/>
  <c r="L2646" i="1"/>
  <c r="M2646" i="1" s="1" a="1"/>
  <c r="M2646" i="1" s="1"/>
  <c r="L2647" i="1"/>
  <c r="M2647" i="1" s="1" a="1"/>
  <c r="M2647" i="1" s="1"/>
  <c r="L2648" i="1"/>
  <c r="M2648" i="1" s="1" a="1"/>
  <c r="M2648" i="1" s="1"/>
  <c r="L2649" i="1"/>
  <c r="M2649" i="1" s="1" a="1"/>
  <c r="M2649" i="1" s="1"/>
  <c r="L2650" i="1"/>
  <c r="M2650" i="1" s="1" a="1"/>
  <c r="M2650" i="1" s="1"/>
  <c r="L2651" i="1"/>
  <c r="M2651" i="1" s="1" a="1"/>
  <c r="M2651" i="1" s="1"/>
  <c r="L2652" i="1"/>
  <c r="M2652" i="1" s="1" a="1"/>
  <c r="M2652" i="1" s="1"/>
  <c r="L2653" i="1"/>
  <c r="M2653" i="1" s="1" a="1"/>
  <c r="M2653" i="1" s="1"/>
  <c r="L2654" i="1"/>
  <c r="M2654" i="1" s="1" a="1"/>
  <c r="M2654" i="1" s="1"/>
  <c r="L2655" i="1"/>
  <c r="M2655" i="1" s="1" a="1"/>
  <c r="M2655" i="1" s="1"/>
  <c r="L2656" i="1"/>
  <c r="M2656" i="1" s="1" a="1"/>
  <c r="M2656" i="1" s="1"/>
  <c r="L2657" i="1"/>
  <c r="M2657" i="1" s="1" a="1"/>
  <c r="M2657" i="1" s="1"/>
  <c r="L2658" i="1"/>
  <c r="M2658" i="1" s="1" a="1"/>
  <c r="M2658" i="1" s="1"/>
  <c r="L2659" i="1"/>
  <c r="M2659" i="1" s="1" a="1"/>
  <c r="M2659" i="1" s="1"/>
  <c r="L2660" i="1"/>
  <c r="M2660" i="1" s="1" a="1"/>
  <c r="M2660" i="1" s="1"/>
  <c r="L2661" i="1"/>
  <c r="M2661" i="1" s="1" a="1"/>
  <c r="M2661" i="1" s="1"/>
  <c r="L2662" i="1"/>
  <c r="M2662" i="1" s="1" a="1"/>
  <c r="M2662" i="1" s="1"/>
  <c r="L2663" i="1"/>
  <c r="M2663" i="1" s="1" a="1"/>
  <c r="M2663" i="1" s="1"/>
  <c r="L2664" i="1"/>
  <c r="M2664" i="1" s="1" a="1"/>
  <c r="M2664" i="1" s="1"/>
  <c r="L2665" i="1"/>
  <c r="M2665" i="1" s="1" a="1"/>
  <c r="M2665" i="1" s="1"/>
  <c r="L2666" i="1"/>
  <c r="M2666" i="1" s="1" a="1"/>
  <c r="M2666" i="1" s="1"/>
  <c r="L2667" i="1"/>
  <c r="M2667" i="1" s="1" a="1"/>
  <c r="M2667" i="1" s="1"/>
  <c r="L2668" i="1"/>
  <c r="M2668" i="1" s="1" a="1"/>
  <c r="M2668" i="1" s="1"/>
  <c r="L2669" i="1"/>
  <c r="M2669" i="1" s="1" a="1"/>
  <c r="M2669" i="1" s="1"/>
  <c r="L2670" i="1"/>
  <c r="M2670" i="1" s="1" a="1"/>
  <c r="M2670" i="1" s="1"/>
  <c r="L2671" i="1"/>
  <c r="M2671" i="1" s="1" a="1"/>
  <c r="M2671" i="1" s="1"/>
  <c r="L2672" i="1"/>
  <c r="M2672" i="1" s="1" a="1"/>
  <c r="M2672" i="1" s="1"/>
  <c r="L2673" i="1"/>
  <c r="M2673" i="1" s="1" a="1"/>
  <c r="M2673" i="1" s="1"/>
  <c r="L2674" i="1"/>
  <c r="M2674" i="1" s="1" a="1"/>
  <c r="M2674" i="1" s="1"/>
  <c r="L2675" i="1"/>
  <c r="M2675" i="1" s="1" a="1"/>
  <c r="M2675" i="1" s="1"/>
  <c r="L2676" i="1"/>
  <c r="M2676" i="1" s="1" a="1"/>
  <c r="M2676" i="1" s="1"/>
  <c r="L2677" i="1"/>
  <c r="M2677" i="1" s="1" a="1"/>
  <c r="M2677" i="1" s="1"/>
  <c r="L2678" i="1"/>
  <c r="M2678" i="1" s="1" a="1"/>
  <c r="M2678" i="1" s="1"/>
  <c r="L2679" i="1"/>
  <c r="M2679" i="1" s="1" a="1"/>
  <c r="M2679" i="1" s="1"/>
  <c r="L2680" i="1"/>
  <c r="M2680" i="1" s="1" a="1"/>
  <c r="M2680" i="1" s="1"/>
  <c r="L2681" i="1"/>
  <c r="M2681" i="1" s="1" a="1"/>
  <c r="M2681" i="1" s="1"/>
  <c r="L2682" i="1"/>
  <c r="M2682" i="1" s="1" a="1"/>
  <c r="M2682" i="1" s="1"/>
  <c r="L2683" i="1"/>
  <c r="M2683" i="1" s="1" a="1"/>
  <c r="M2683" i="1" s="1"/>
  <c r="L2684" i="1"/>
  <c r="M2684" i="1" s="1" a="1"/>
  <c r="M2684" i="1" s="1"/>
  <c r="L2685" i="1"/>
  <c r="M2685" i="1" s="1" a="1"/>
  <c r="M2685" i="1" s="1"/>
  <c r="L2686" i="1"/>
  <c r="M2686" i="1" s="1" a="1"/>
  <c r="M2686" i="1" s="1"/>
  <c r="L2687" i="1"/>
  <c r="M2687" i="1" s="1" a="1"/>
  <c r="M2687" i="1" s="1"/>
  <c r="L2688" i="1"/>
  <c r="M2688" i="1" s="1" a="1"/>
  <c r="M2688" i="1" s="1"/>
  <c r="L2689" i="1"/>
  <c r="M2689" i="1" s="1" a="1"/>
  <c r="M2689" i="1" s="1"/>
  <c r="L2690" i="1"/>
  <c r="M2690" i="1" s="1" a="1"/>
  <c r="M2690" i="1" s="1"/>
  <c r="L2691" i="1"/>
  <c r="M2691" i="1" s="1" a="1"/>
  <c r="M2691" i="1" s="1"/>
  <c r="L2692" i="1"/>
  <c r="M2692" i="1" s="1" a="1"/>
  <c r="M2692" i="1" s="1"/>
  <c r="L2693" i="1"/>
  <c r="M2693" i="1" s="1" a="1"/>
  <c r="M2693" i="1" s="1"/>
  <c r="L2694" i="1"/>
  <c r="M2694" i="1" s="1" a="1"/>
  <c r="M2694" i="1" s="1"/>
  <c r="L2695" i="1"/>
  <c r="M2695" i="1" s="1" a="1"/>
  <c r="M2695" i="1" s="1"/>
  <c r="L2696" i="1"/>
  <c r="M2696" i="1" s="1" a="1"/>
  <c r="M2696" i="1" s="1"/>
  <c r="L2697" i="1"/>
  <c r="M2697" i="1" s="1" a="1"/>
  <c r="M2697" i="1" s="1"/>
  <c r="L2698" i="1"/>
  <c r="M2698" i="1" s="1" a="1"/>
  <c r="M2698" i="1" s="1"/>
  <c r="L2699" i="1"/>
  <c r="M2699" i="1" s="1" a="1"/>
  <c r="M2699" i="1" s="1"/>
  <c r="L2700" i="1"/>
  <c r="M2700" i="1" s="1" a="1"/>
  <c r="M2700" i="1" s="1"/>
  <c r="L2701" i="1"/>
  <c r="M2701" i="1" s="1" a="1"/>
  <c r="M2701" i="1" s="1"/>
  <c r="L2702" i="1"/>
  <c r="M2702" i="1" s="1" a="1"/>
  <c r="M2702" i="1" s="1"/>
  <c r="L2703" i="1"/>
  <c r="M2703" i="1" s="1" a="1"/>
  <c r="M2703" i="1" s="1"/>
  <c r="L2704" i="1"/>
  <c r="M2704" i="1" s="1" a="1"/>
  <c r="M2704" i="1" s="1"/>
  <c r="L2705" i="1"/>
  <c r="M2705" i="1" s="1" a="1"/>
  <c r="M2705" i="1" s="1"/>
  <c r="L2706" i="1"/>
  <c r="M2706" i="1" s="1" a="1"/>
  <c r="M2706" i="1" s="1"/>
  <c r="L2707" i="1"/>
  <c r="M2707" i="1" s="1" a="1"/>
  <c r="M2707" i="1" s="1"/>
  <c r="L2708" i="1"/>
  <c r="M2708" i="1" s="1" a="1"/>
  <c r="M2708" i="1" s="1"/>
  <c r="L2709" i="1"/>
  <c r="M2709" i="1" s="1" a="1"/>
  <c r="M2709" i="1" s="1"/>
  <c r="L2710" i="1"/>
  <c r="M2710" i="1" s="1" a="1"/>
  <c r="M2710" i="1" s="1"/>
  <c r="L2711" i="1"/>
  <c r="M2711" i="1" s="1" a="1"/>
  <c r="M2711" i="1" s="1"/>
  <c r="L2712" i="1"/>
  <c r="M2712" i="1" s="1" a="1"/>
  <c r="M2712" i="1" s="1"/>
  <c r="L2713" i="1"/>
  <c r="M2713" i="1" s="1" a="1"/>
  <c r="M2713" i="1" s="1"/>
  <c r="L2714" i="1"/>
  <c r="M2714" i="1" s="1" a="1"/>
  <c r="M2714" i="1" s="1"/>
  <c r="L2715" i="1"/>
  <c r="M2715" i="1" s="1" a="1"/>
  <c r="M2715" i="1" s="1"/>
  <c r="L2716" i="1"/>
  <c r="M2716" i="1" s="1" a="1"/>
  <c r="M2716" i="1" s="1"/>
  <c r="L2717" i="1"/>
  <c r="M2717" i="1" s="1" a="1"/>
  <c r="M2717" i="1" s="1"/>
  <c r="L2718" i="1"/>
  <c r="M2718" i="1" s="1" a="1"/>
  <c r="M2718" i="1" s="1"/>
  <c r="L2719" i="1"/>
  <c r="M2719" i="1" s="1" a="1"/>
  <c r="M2719" i="1" s="1"/>
  <c r="L2720" i="1"/>
  <c r="M2720" i="1" s="1" a="1"/>
  <c r="M2720" i="1" s="1"/>
  <c r="L2721" i="1"/>
  <c r="M2721" i="1" s="1" a="1"/>
  <c r="M2721" i="1" s="1"/>
  <c r="L2722" i="1"/>
  <c r="M2722" i="1" s="1" a="1"/>
  <c r="M2722" i="1" s="1"/>
  <c r="L2723" i="1"/>
  <c r="M2723" i="1" s="1" a="1"/>
  <c r="M2723" i="1" s="1"/>
  <c r="L2724" i="1"/>
  <c r="M2724" i="1" s="1" a="1"/>
  <c r="M2724" i="1" s="1"/>
  <c r="L2725" i="1"/>
  <c r="M2725" i="1" s="1" a="1"/>
  <c r="M2725" i="1" s="1"/>
  <c r="L2726" i="1"/>
  <c r="M2726" i="1" s="1" a="1"/>
  <c r="M2726" i="1" s="1"/>
  <c r="L2727" i="1"/>
  <c r="M2727" i="1" s="1" a="1"/>
  <c r="M2727" i="1" s="1"/>
  <c r="L2728" i="1"/>
  <c r="M2728" i="1" s="1" a="1"/>
  <c r="M2728" i="1" s="1"/>
  <c r="L2729" i="1"/>
  <c r="M2729" i="1" s="1" a="1"/>
  <c r="M2729" i="1" s="1"/>
  <c r="L2730" i="1"/>
  <c r="M2730" i="1" s="1" a="1"/>
  <c r="M2730" i="1" s="1"/>
  <c r="L2731" i="1"/>
  <c r="M2731" i="1" s="1" a="1"/>
  <c r="M2731" i="1" s="1"/>
  <c r="L2732" i="1"/>
  <c r="M2732" i="1" s="1" a="1"/>
  <c r="M2732" i="1" s="1"/>
  <c r="L2733" i="1"/>
  <c r="M2733" i="1" s="1" a="1"/>
  <c r="M2733" i="1" s="1"/>
  <c r="L2734" i="1"/>
  <c r="M2734" i="1" s="1" a="1"/>
  <c r="M2734" i="1" s="1"/>
  <c r="L2735" i="1"/>
  <c r="M2735" i="1" s="1" a="1"/>
  <c r="M2735" i="1" s="1"/>
  <c r="L2736" i="1"/>
  <c r="M2736" i="1" s="1" a="1"/>
  <c r="M2736" i="1" s="1"/>
  <c r="L2737" i="1"/>
  <c r="M2737" i="1" s="1" a="1"/>
  <c r="M2737" i="1" s="1"/>
  <c r="L2738" i="1"/>
  <c r="M2738" i="1" s="1" a="1"/>
  <c r="M2738" i="1" s="1"/>
  <c r="L2739" i="1"/>
  <c r="M2739" i="1" s="1" a="1"/>
  <c r="M2739" i="1" s="1"/>
  <c r="L2740" i="1"/>
  <c r="M2740" i="1" s="1" a="1"/>
  <c r="M2740" i="1" s="1"/>
  <c r="L2741" i="1"/>
  <c r="M2741" i="1" s="1" a="1"/>
  <c r="M2741" i="1" s="1"/>
  <c r="L2742" i="1"/>
  <c r="M2742" i="1" s="1" a="1"/>
  <c r="M2742" i="1" s="1"/>
  <c r="L2743" i="1"/>
  <c r="M2743" i="1" s="1" a="1"/>
  <c r="M2743" i="1" s="1"/>
  <c r="L2744" i="1"/>
  <c r="M2744" i="1" s="1" a="1"/>
  <c r="M2744" i="1" s="1"/>
  <c r="L2745" i="1"/>
  <c r="M2745" i="1" s="1" a="1"/>
  <c r="M2745" i="1" s="1"/>
  <c r="L2746" i="1"/>
  <c r="M2746" i="1" s="1" a="1"/>
  <c r="M2746" i="1" s="1"/>
  <c r="L2747" i="1"/>
  <c r="M2747" i="1" s="1" a="1"/>
  <c r="M2747" i="1" s="1"/>
  <c r="L2748" i="1"/>
  <c r="M2748" i="1" s="1" a="1"/>
  <c r="M2748" i="1" s="1"/>
  <c r="L2749" i="1"/>
  <c r="M2749" i="1" s="1" a="1"/>
  <c r="M2749" i="1" s="1"/>
  <c r="L2750" i="1"/>
  <c r="M2750" i="1" s="1" a="1"/>
  <c r="M2750" i="1" s="1"/>
  <c r="L2751" i="1"/>
  <c r="M2751" i="1" s="1" a="1"/>
  <c r="M2751" i="1" s="1"/>
  <c r="L2752" i="1"/>
  <c r="M2752" i="1" s="1" a="1"/>
  <c r="M2752" i="1" s="1"/>
  <c r="L2753" i="1"/>
  <c r="M2753" i="1" s="1" a="1"/>
  <c r="M2753" i="1" s="1"/>
  <c r="L2754" i="1"/>
  <c r="M2754" i="1" s="1" a="1"/>
  <c r="M2754" i="1" s="1"/>
  <c r="L2755" i="1"/>
  <c r="M2755" i="1" s="1" a="1"/>
  <c r="M2755" i="1" s="1"/>
  <c r="L2756" i="1"/>
  <c r="M2756" i="1" s="1" a="1"/>
  <c r="M2756" i="1" s="1"/>
  <c r="L2757" i="1"/>
  <c r="M2757" i="1" s="1" a="1"/>
  <c r="M2757" i="1" s="1"/>
  <c r="L2758" i="1"/>
  <c r="M2758" i="1" s="1" a="1"/>
  <c r="M2758" i="1" s="1"/>
  <c r="L2759" i="1"/>
  <c r="M2759" i="1" s="1" a="1"/>
  <c r="M2759" i="1" s="1"/>
  <c r="L2760" i="1"/>
  <c r="M2760" i="1" s="1" a="1"/>
  <c r="M2760" i="1" s="1"/>
  <c r="L2761" i="1"/>
  <c r="M2761" i="1" s="1" a="1"/>
  <c r="M2761" i="1" s="1"/>
  <c r="L2762" i="1"/>
  <c r="M2762" i="1" s="1" a="1"/>
  <c r="M2762" i="1" s="1"/>
  <c r="L2763" i="1"/>
  <c r="M2763" i="1" s="1" a="1"/>
  <c r="M2763" i="1" s="1"/>
  <c r="L2764" i="1"/>
  <c r="M2764" i="1" s="1" a="1"/>
  <c r="M2764" i="1" s="1"/>
  <c r="L2765" i="1"/>
  <c r="M2765" i="1" s="1" a="1"/>
  <c r="M2765" i="1" s="1"/>
  <c r="L2766" i="1"/>
  <c r="M2766" i="1" s="1" a="1"/>
  <c r="M2766" i="1" s="1"/>
  <c r="L2767" i="1"/>
  <c r="M2767" i="1" s="1" a="1"/>
  <c r="M2767" i="1" s="1"/>
  <c r="L2768" i="1"/>
  <c r="M2768" i="1" s="1" a="1"/>
  <c r="M2768" i="1" s="1"/>
  <c r="L2769" i="1"/>
  <c r="M2769" i="1" s="1" a="1"/>
  <c r="M2769" i="1" s="1"/>
  <c r="L2770" i="1"/>
  <c r="M2770" i="1" s="1" a="1"/>
  <c r="M2770" i="1" s="1"/>
  <c r="L2771" i="1"/>
  <c r="M2771" i="1" s="1" a="1"/>
  <c r="M2771" i="1" s="1"/>
  <c r="L2772" i="1"/>
  <c r="M2772" i="1" s="1" a="1"/>
  <c r="M2772" i="1" s="1"/>
  <c r="L2773" i="1"/>
  <c r="M2773" i="1" s="1" a="1"/>
  <c r="M2773" i="1" s="1"/>
  <c r="L2774" i="1"/>
  <c r="M2774" i="1" s="1" a="1"/>
  <c r="M2774" i="1" s="1"/>
  <c r="L2775" i="1"/>
  <c r="M2775" i="1" s="1" a="1"/>
  <c r="M2775" i="1" s="1"/>
  <c r="L2776" i="1"/>
  <c r="M2776" i="1" s="1" a="1"/>
  <c r="M2776" i="1" s="1"/>
  <c r="L2777" i="1"/>
  <c r="M2777" i="1" s="1" a="1"/>
  <c r="M2777" i="1" s="1"/>
  <c r="L2778" i="1"/>
  <c r="M2778" i="1" s="1" a="1"/>
  <c r="M2778" i="1" s="1"/>
  <c r="L2779" i="1"/>
  <c r="M2779" i="1" s="1" a="1"/>
  <c r="M2779" i="1" s="1"/>
  <c r="L2780" i="1"/>
  <c r="M2780" i="1" s="1" a="1"/>
  <c r="M2780" i="1" s="1"/>
  <c r="L2781" i="1"/>
  <c r="M2781" i="1" s="1" a="1"/>
  <c r="M2781" i="1" s="1"/>
  <c r="L2782" i="1"/>
  <c r="M2782" i="1" s="1" a="1"/>
  <c r="M2782" i="1" s="1"/>
  <c r="L2783" i="1"/>
  <c r="M2783" i="1" s="1" a="1"/>
  <c r="M2783" i="1" s="1"/>
  <c r="L2784" i="1"/>
  <c r="M2784" i="1" s="1" a="1"/>
  <c r="M2784" i="1" s="1"/>
  <c r="L2785" i="1"/>
  <c r="M2785" i="1" s="1" a="1"/>
  <c r="M2785" i="1" s="1"/>
  <c r="L2786" i="1"/>
  <c r="M2786" i="1" s="1" a="1"/>
  <c r="M2786" i="1" s="1"/>
  <c r="L2787" i="1"/>
  <c r="M2787" i="1" s="1" a="1"/>
  <c r="M2787" i="1" s="1"/>
  <c r="L2788" i="1"/>
  <c r="M2788" i="1" s="1" a="1"/>
  <c r="M2788" i="1" s="1"/>
  <c r="L2789" i="1"/>
  <c r="M2789" i="1" s="1" a="1"/>
  <c r="M2789" i="1" s="1"/>
  <c r="L2790" i="1"/>
  <c r="M2790" i="1" s="1" a="1"/>
  <c r="M2790" i="1" s="1"/>
  <c r="L2791" i="1"/>
  <c r="M2791" i="1" s="1" a="1"/>
  <c r="M2791" i="1" s="1"/>
  <c r="L2792" i="1"/>
  <c r="M2792" i="1" s="1" a="1"/>
  <c r="M2792" i="1" s="1"/>
  <c r="L2793" i="1"/>
  <c r="M2793" i="1" s="1" a="1"/>
  <c r="M2793" i="1" s="1"/>
  <c r="L2794" i="1"/>
  <c r="M2794" i="1" s="1" a="1"/>
  <c r="M2794" i="1" s="1"/>
  <c r="L2795" i="1"/>
  <c r="M2795" i="1" s="1" a="1"/>
  <c r="M2795" i="1" s="1"/>
  <c r="L2796" i="1"/>
  <c r="M2796" i="1" s="1" a="1"/>
  <c r="M2796" i="1" s="1"/>
  <c r="L2797" i="1"/>
  <c r="M2797" i="1" s="1" a="1"/>
  <c r="M2797" i="1" s="1"/>
  <c r="L2798" i="1"/>
  <c r="M2798" i="1" s="1" a="1"/>
  <c r="M2798" i="1" s="1"/>
  <c r="L2799" i="1"/>
  <c r="M2799" i="1" s="1" a="1"/>
  <c r="M2799" i="1" s="1"/>
  <c r="L2800" i="1"/>
  <c r="M2800" i="1" s="1" a="1"/>
  <c r="M2800" i="1" s="1"/>
  <c r="L2801" i="1"/>
  <c r="M2801" i="1" s="1" a="1"/>
  <c r="M2801" i="1" s="1"/>
  <c r="L2802" i="1"/>
  <c r="M2802" i="1" s="1" a="1"/>
  <c r="M2802" i="1" s="1"/>
  <c r="L2803" i="1"/>
  <c r="M2803" i="1" s="1" a="1"/>
  <c r="M2803" i="1" s="1"/>
  <c r="L2804" i="1"/>
  <c r="M2804" i="1" s="1" a="1"/>
  <c r="M2804" i="1" s="1"/>
  <c r="L2805" i="1"/>
  <c r="M2805" i="1" s="1" a="1"/>
  <c r="M2805" i="1" s="1"/>
  <c r="L2806" i="1"/>
  <c r="M2806" i="1" s="1" a="1"/>
  <c r="M2806" i="1" s="1"/>
  <c r="L2807" i="1"/>
  <c r="M2807" i="1" s="1" a="1"/>
  <c r="M2807" i="1" s="1"/>
  <c r="L2808" i="1"/>
  <c r="M2808" i="1" s="1" a="1"/>
  <c r="M2808" i="1" s="1"/>
  <c r="L2809" i="1"/>
  <c r="M2809" i="1" s="1" a="1"/>
  <c r="M2809" i="1" s="1"/>
  <c r="L2810" i="1"/>
  <c r="M2810" i="1" s="1" a="1"/>
  <c r="M2810" i="1" s="1"/>
  <c r="L2811" i="1"/>
  <c r="M2811" i="1" s="1" a="1"/>
  <c r="M2811" i="1" s="1"/>
  <c r="L2812" i="1"/>
  <c r="M2812" i="1" s="1" a="1"/>
  <c r="M2812" i="1" s="1"/>
  <c r="L2813" i="1"/>
  <c r="M2813" i="1" s="1" a="1"/>
  <c r="M2813" i="1" s="1"/>
  <c r="L2814" i="1"/>
  <c r="M2814" i="1" s="1" a="1"/>
  <c r="M2814" i="1" s="1"/>
  <c r="L2815" i="1"/>
  <c r="M2815" i="1" s="1" a="1"/>
  <c r="M2815" i="1" s="1"/>
  <c r="L2816" i="1"/>
  <c r="M2816" i="1" s="1" a="1"/>
  <c r="M2816" i="1" s="1"/>
  <c r="L2817" i="1"/>
  <c r="M2817" i="1" s="1" a="1"/>
  <c r="M2817" i="1" s="1"/>
  <c r="L2818" i="1"/>
  <c r="M2818" i="1" s="1" a="1"/>
  <c r="M2818" i="1" s="1"/>
  <c r="L2819" i="1"/>
  <c r="M2819" i="1" s="1" a="1"/>
  <c r="M2819" i="1" s="1"/>
  <c r="L2820" i="1"/>
  <c r="M2820" i="1" s="1" a="1"/>
  <c r="M2820" i="1" s="1"/>
  <c r="L2821" i="1"/>
  <c r="M2821" i="1" s="1" a="1"/>
  <c r="M2821" i="1" s="1"/>
  <c r="L2822" i="1"/>
  <c r="M2822" i="1" s="1" a="1"/>
  <c r="M2822" i="1" s="1"/>
  <c r="L2823" i="1"/>
  <c r="M2823" i="1" s="1" a="1"/>
  <c r="M2823" i="1" s="1"/>
  <c r="L2824" i="1"/>
  <c r="M2824" i="1" s="1" a="1"/>
  <c r="M2824" i="1" s="1"/>
  <c r="L2825" i="1"/>
  <c r="M2825" i="1" s="1" a="1"/>
  <c r="M2825" i="1" s="1"/>
  <c r="L2826" i="1"/>
  <c r="M2826" i="1" s="1" a="1"/>
  <c r="M2826" i="1" s="1"/>
  <c r="L2827" i="1"/>
  <c r="M2827" i="1" s="1" a="1"/>
  <c r="M2827" i="1" s="1"/>
  <c r="L2828" i="1"/>
  <c r="M2828" i="1" s="1" a="1"/>
  <c r="M2828" i="1" s="1"/>
  <c r="L2829" i="1"/>
  <c r="M2829" i="1" s="1" a="1"/>
  <c r="M2829" i="1" s="1"/>
  <c r="L2830" i="1"/>
  <c r="M2830" i="1" s="1" a="1"/>
  <c r="M2830" i="1" s="1"/>
  <c r="L2831" i="1"/>
  <c r="M2831" i="1" s="1" a="1"/>
  <c r="M2831" i="1" s="1"/>
  <c r="L2832" i="1"/>
  <c r="M2832" i="1" s="1" a="1"/>
  <c r="M2832" i="1" s="1"/>
  <c r="L2833" i="1"/>
  <c r="M2833" i="1" s="1" a="1"/>
  <c r="M2833" i="1" s="1"/>
  <c r="L2834" i="1"/>
  <c r="M2834" i="1" s="1" a="1"/>
  <c r="M2834" i="1" s="1"/>
  <c r="L2835" i="1"/>
  <c r="M2835" i="1" s="1" a="1"/>
  <c r="M2835" i="1" s="1"/>
  <c r="L2836" i="1"/>
  <c r="M2836" i="1" s="1" a="1"/>
  <c r="M2836" i="1" s="1"/>
  <c r="L2837" i="1"/>
  <c r="M2837" i="1" s="1" a="1"/>
  <c r="M2837" i="1" s="1"/>
  <c r="L2838" i="1"/>
  <c r="M2838" i="1" s="1" a="1"/>
  <c r="M2838" i="1" s="1"/>
  <c r="L2839" i="1"/>
  <c r="M2839" i="1" s="1" a="1"/>
  <c r="M2839" i="1" s="1"/>
  <c r="L2840" i="1"/>
  <c r="M2840" i="1" s="1" a="1"/>
  <c r="M2840" i="1" s="1"/>
  <c r="L2841" i="1"/>
  <c r="M2841" i="1" s="1" a="1"/>
  <c r="M2841" i="1" s="1"/>
  <c r="L2842" i="1"/>
  <c r="M2842" i="1" s="1" a="1"/>
  <c r="M2842" i="1" s="1"/>
  <c r="L2843" i="1"/>
  <c r="M2843" i="1" s="1" a="1"/>
  <c r="M2843" i="1" s="1"/>
  <c r="L2844" i="1"/>
  <c r="M2844" i="1" s="1" a="1"/>
  <c r="M2844" i="1" s="1"/>
  <c r="L2845" i="1"/>
  <c r="M2845" i="1" s="1" a="1"/>
  <c r="M2845" i="1" s="1"/>
  <c r="L2846" i="1"/>
  <c r="M2846" i="1" s="1" a="1"/>
  <c r="M2846" i="1" s="1"/>
  <c r="L2847" i="1"/>
  <c r="M2847" i="1" s="1" a="1"/>
  <c r="M2847" i="1" s="1"/>
  <c r="L2848" i="1"/>
  <c r="M2848" i="1" s="1" a="1"/>
  <c r="M2848" i="1" s="1"/>
  <c r="L2849" i="1"/>
  <c r="M2849" i="1" s="1" a="1"/>
  <c r="M2849" i="1" s="1"/>
  <c r="L2850" i="1"/>
  <c r="M2850" i="1" s="1" a="1"/>
  <c r="M2850" i="1" s="1"/>
  <c r="L2851" i="1"/>
  <c r="M2851" i="1" s="1" a="1"/>
  <c r="M2851" i="1" s="1"/>
  <c r="L2852" i="1"/>
  <c r="M2852" i="1" s="1" a="1"/>
  <c r="M2852" i="1" s="1"/>
  <c r="L2853" i="1"/>
  <c r="M2853" i="1" s="1" a="1"/>
  <c r="M2853" i="1" s="1"/>
  <c r="L2854" i="1"/>
  <c r="M2854" i="1" s="1" a="1"/>
  <c r="M2854" i="1" s="1"/>
  <c r="L2855" i="1"/>
  <c r="M2855" i="1" s="1" a="1"/>
  <c r="M2855" i="1" s="1"/>
  <c r="L2856" i="1"/>
  <c r="M2856" i="1" s="1" a="1"/>
  <c r="M2856" i="1" s="1"/>
  <c r="L2857" i="1"/>
  <c r="M2857" i="1" s="1" a="1"/>
  <c r="M2857" i="1" s="1"/>
  <c r="L2858" i="1"/>
  <c r="M2858" i="1" s="1" a="1"/>
  <c r="M2858" i="1" s="1"/>
  <c r="L2859" i="1"/>
  <c r="M2859" i="1" s="1" a="1"/>
  <c r="M2859" i="1" s="1"/>
  <c r="L2860" i="1"/>
  <c r="M2860" i="1" s="1" a="1"/>
  <c r="M2860" i="1" s="1"/>
  <c r="L2861" i="1"/>
  <c r="M2861" i="1" s="1" a="1"/>
  <c r="M2861" i="1" s="1"/>
  <c r="L2862" i="1"/>
  <c r="M2862" i="1" s="1" a="1"/>
  <c r="M2862" i="1" s="1"/>
  <c r="L2863" i="1"/>
  <c r="M2863" i="1" s="1" a="1"/>
  <c r="M2863" i="1" s="1"/>
  <c r="L2864" i="1"/>
  <c r="M2864" i="1" s="1" a="1"/>
  <c r="M2864" i="1" s="1"/>
  <c r="L2865" i="1"/>
  <c r="M2865" i="1" s="1" a="1"/>
  <c r="M2865" i="1" s="1"/>
  <c r="L2866" i="1"/>
  <c r="M2866" i="1" s="1" a="1"/>
  <c r="M2866" i="1" s="1"/>
  <c r="L2867" i="1"/>
  <c r="M2867" i="1" s="1" a="1"/>
  <c r="M2867" i="1" s="1"/>
  <c r="L2868" i="1"/>
  <c r="M2868" i="1" s="1" a="1"/>
  <c r="M2868" i="1" s="1"/>
  <c r="L2869" i="1"/>
  <c r="M2869" i="1" s="1" a="1"/>
  <c r="M2869" i="1" s="1"/>
  <c r="L2870" i="1"/>
  <c r="M2870" i="1" s="1" a="1"/>
  <c r="M2870" i="1" s="1"/>
  <c r="L2871" i="1"/>
  <c r="M2871" i="1" s="1" a="1"/>
  <c r="M2871" i="1" s="1"/>
  <c r="L2872" i="1"/>
  <c r="M2872" i="1" s="1" a="1"/>
  <c r="M2872" i="1" s="1"/>
  <c r="L2873" i="1"/>
  <c r="M2873" i="1" s="1" a="1"/>
  <c r="M2873" i="1" s="1"/>
  <c r="L2874" i="1"/>
  <c r="M2874" i="1" s="1" a="1"/>
  <c r="M2874" i="1" s="1"/>
  <c r="L2875" i="1"/>
  <c r="M2875" i="1" s="1" a="1"/>
  <c r="M2875" i="1" s="1"/>
  <c r="L2876" i="1"/>
  <c r="M2876" i="1" s="1" a="1"/>
  <c r="M2876" i="1" s="1"/>
  <c r="L2877" i="1"/>
  <c r="M2877" i="1" s="1" a="1"/>
  <c r="M2877" i="1" s="1"/>
  <c r="L2878" i="1"/>
  <c r="M2878" i="1" s="1" a="1"/>
  <c r="M2878" i="1" s="1"/>
  <c r="L2879" i="1"/>
  <c r="M2879" i="1" s="1" a="1"/>
  <c r="M2879" i="1" s="1"/>
  <c r="L2880" i="1"/>
  <c r="M2880" i="1" s="1" a="1"/>
  <c r="M2880" i="1" s="1"/>
  <c r="L2881" i="1"/>
  <c r="M2881" i="1" s="1" a="1"/>
  <c r="M2881" i="1" s="1"/>
  <c r="L2882" i="1"/>
  <c r="M2882" i="1" s="1" a="1"/>
  <c r="M2882" i="1" s="1"/>
  <c r="L2883" i="1"/>
  <c r="M2883" i="1" s="1" a="1"/>
  <c r="M2883" i="1" s="1"/>
  <c r="L2884" i="1"/>
  <c r="M2884" i="1" s="1" a="1"/>
  <c r="M2884" i="1" s="1"/>
  <c r="L2885" i="1"/>
  <c r="M2885" i="1" s="1" a="1"/>
  <c r="M2885" i="1" s="1"/>
  <c r="L2886" i="1"/>
  <c r="M2886" i="1" s="1" a="1"/>
  <c r="M2886" i="1" s="1"/>
  <c r="L2887" i="1"/>
  <c r="M2887" i="1" s="1" a="1"/>
  <c r="M2887" i="1" s="1"/>
  <c r="L2888" i="1"/>
  <c r="M2888" i="1" s="1" a="1"/>
  <c r="M2888" i="1" s="1"/>
  <c r="L2889" i="1"/>
  <c r="M2889" i="1" s="1" a="1"/>
  <c r="M2889" i="1" s="1"/>
  <c r="L2890" i="1"/>
  <c r="M2890" i="1" s="1" a="1"/>
  <c r="M2890" i="1" s="1"/>
  <c r="L2891" i="1"/>
  <c r="M2891" i="1" s="1" a="1"/>
  <c r="M2891" i="1" s="1"/>
  <c r="L2892" i="1"/>
  <c r="M2892" i="1" s="1" a="1"/>
  <c r="M2892" i="1" s="1"/>
  <c r="L2893" i="1"/>
  <c r="M2893" i="1" s="1" a="1"/>
  <c r="M2893" i="1" s="1"/>
  <c r="L2894" i="1"/>
  <c r="M2894" i="1" s="1" a="1"/>
  <c r="M2894" i="1" s="1"/>
  <c r="L2895" i="1"/>
  <c r="M2895" i="1" s="1" a="1"/>
  <c r="M2895" i="1" s="1"/>
  <c r="L2896" i="1"/>
  <c r="M2896" i="1" s="1" a="1"/>
  <c r="M2896" i="1" s="1"/>
  <c r="L2897" i="1"/>
  <c r="M2897" i="1" s="1" a="1"/>
  <c r="M2897" i="1" s="1"/>
  <c r="L2898" i="1"/>
  <c r="M2898" i="1" s="1" a="1"/>
  <c r="M2898" i="1" s="1"/>
  <c r="L2899" i="1"/>
  <c r="M2899" i="1" s="1" a="1"/>
  <c r="M2899" i="1" s="1"/>
  <c r="L2900" i="1"/>
  <c r="M2900" i="1" s="1" a="1"/>
  <c r="M2900" i="1" s="1"/>
  <c r="L2901" i="1"/>
  <c r="M2901" i="1" s="1" a="1"/>
  <c r="M2901" i="1" s="1"/>
  <c r="L2902" i="1"/>
  <c r="M2902" i="1" s="1" a="1"/>
  <c r="M2902" i="1" s="1"/>
  <c r="L2903" i="1"/>
  <c r="M2903" i="1" s="1" a="1"/>
  <c r="M2903" i="1" s="1"/>
  <c r="L2904" i="1"/>
  <c r="M2904" i="1" s="1" a="1"/>
  <c r="M2904" i="1" s="1"/>
  <c r="L2905" i="1"/>
  <c r="M2905" i="1" s="1" a="1"/>
  <c r="M2905" i="1" s="1"/>
  <c r="L2906" i="1"/>
  <c r="M2906" i="1" s="1" a="1"/>
  <c r="M2906" i="1" s="1"/>
  <c r="L2907" i="1"/>
  <c r="M2907" i="1" s="1" a="1"/>
  <c r="M2907" i="1" s="1"/>
  <c r="L2908" i="1"/>
  <c r="M2908" i="1" s="1" a="1"/>
  <c r="M2908" i="1" s="1"/>
  <c r="L2909" i="1"/>
  <c r="M2909" i="1" s="1" a="1"/>
  <c r="M2909" i="1" s="1"/>
  <c r="L2910" i="1"/>
  <c r="M2910" i="1" s="1" a="1"/>
  <c r="M2910" i="1" s="1"/>
  <c r="L2911" i="1"/>
  <c r="M2911" i="1" s="1" a="1"/>
  <c r="M2911" i="1" s="1"/>
  <c r="L2912" i="1"/>
  <c r="M2912" i="1" s="1" a="1"/>
  <c r="M2912" i="1" s="1"/>
  <c r="L2913" i="1"/>
  <c r="M2913" i="1" s="1" a="1"/>
  <c r="M2913" i="1" s="1"/>
  <c r="L2914" i="1"/>
  <c r="M2914" i="1" s="1" a="1"/>
  <c r="M2914" i="1" s="1"/>
  <c r="L2915" i="1"/>
  <c r="M2915" i="1" s="1" a="1"/>
  <c r="M2915" i="1" s="1"/>
  <c r="L2916" i="1"/>
  <c r="M2916" i="1" s="1" a="1"/>
  <c r="M2916" i="1" s="1"/>
  <c r="L2917" i="1"/>
  <c r="M2917" i="1" s="1" a="1"/>
  <c r="M2917" i="1" s="1"/>
  <c r="L2918" i="1"/>
  <c r="M2918" i="1" s="1" a="1"/>
  <c r="M2918" i="1" s="1"/>
  <c r="L2919" i="1"/>
  <c r="M2919" i="1" s="1" a="1"/>
  <c r="M2919" i="1" s="1"/>
  <c r="L2920" i="1"/>
  <c r="M2920" i="1" s="1" a="1"/>
  <c r="M2920" i="1" s="1"/>
  <c r="L2921" i="1"/>
  <c r="M2921" i="1" s="1" a="1"/>
  <c r="M2921" i="1" s="1"/>
  <c r="L2922" i="1"/>
  <c r="M2922" i="1" s="1" a="1"/>
  <c r="M2922" i="1" s="1"/>
  <c r="L2923" i="1"/>
  <c r="M2923" i="1" s="1" a="1"/>
  <c r="M2923" i="1" s="1"/>
  <c r="L2924" i="1"/>
  <c r="M2924" i="1" s="1" a="1"/>
  <c r="M2924" i="1" s="1"/>
  <c r="L2925" i="1"/>
  <c r="M2925" i="1" s="1" a="1"/>
  <c r="M2925" i="1" s="1"/>
  <c r="L2926" i="1"/>
  <c r="M2926" i="1" s="1" a="1"/>
  <c r="M2926" i="1" s="1"/>
  <c r="L2927" i="1"/>
  <c r="M2927" i="1" s="1" a="1"/>
  <c r="M2927" i="1" s="1"/>
  <c r="L2928" i="1"/>
  <c r="M2928" i="1" s="1" a="1"/>
  <c r="M2928" i="1" s="1"/>
  <c r="L2929" i="1"/>
  <c r="M2929" i="1" s="1" a="1"/>
  <c r="M2929" i="1" s="1"/>
  <c r="L2930" i="1"/>
  <c r="M2930" i="1" s="1" a="1"/>
  <c r="M2930" i="1" s="1"/>
  <c r="L2931" i="1"/>
  <c r="M2931" i="1" s="1" a="1"/>
  <c r="M2931" i="1" s="1"/>
  <c r="L2932" i="1"/>
  <c r="M2932" i="1" s="1" a="1"/>
  <c r="M2932" i="1" s="1"/>
  <c r="L2933" i="1"/>
  <c r="M2933" i="1" s="1" a="1"/>
  <c r="M2933" i="1" s="1"/>
  <c r="L2934" i="1"/>
  <c r="M2934" i="1" s="1" a="1"/>
  <c r="M2934" i="1" s="1"/>
  <c r="L2935" i="1"/>
  <c r="M2935" i="1" s="1" a="1"/>
  <c r="M2935" i="1" s="1"/>
  <c r="L2936" i="1"/>
  <c r="M2936" i="1" s="1" a="1"/>
  <c r="M2936" i="1" s="1"/>
  <c r="L2937" i="1"/>
  <c r="M2937" i="1" s="1" a="1"/>
  <c r="M2937" i="1" s="1"/>
  <c r="L2938" i="1"/>
  <c r="M2938" i="1" s="1" a="1"/>
  <c r="M2938" i="1" s="1"/>
  <c r="L2939" i="1"/>
  <c r="M2939" i="1" s="1" a="1"/>
  <c r="M2939" i="1" s="1"/>
  <c r="L2940" i="1"/>
  <c r="M2940" i="1" s="1" a="1"/>
  <c r="M2940" i="1" s="1"/>
  <c r="L2941" i="1"/>
  <c r="M2941" i="1" s="1" a="1"/>
  <c r="M2941" i="1" s="1"/>
  <c r="L2942" i="1"/>
  <c r="M2942" i="1" s="1" a="1"/>
  <c r="M2942" i="1" s="1"/>
  <c r="L2943" i="1"/>
  <c r="M2943" i="1" s="1" a="1"/>
  <c r="M2943" i="1" s="1"/>
  <c r="L2944" i="1"/>
  <c r="M2944" i="1" s="1" a="1"/>
  <c r="M2944" i="1" s="1"/>
  <c r="L2945" i="1"/>
  <c r="M2945" i="1" s="1" a="1"/>
  <c r="M2945" i="1" s="1"/>
  <c r="L2946" i="1"/>
  <c r="M2946" i="1" s="1" a="1"/>
  <c r="M2946" i="1" s="1"/>
  <c r="L2947" i="1"/>
  <c r="M2947" i="1" s="1" a="1"/>
  <c r="M2947" i="1" s="1"/>
  <c r="L2948" i="1"/>
  <c r="M2948" i="1" s="1" a="1"/>
  <c r="M2948" i="1" s="1"/>
  <c r="L2949" i="1"/>
  <c r="M2949" i="1" s="1" a="1"/>
  <c r="M2949" i="1" s="1"/>
  <c r="L2950" i="1"/>
  <c r="M2950" i="1" s="1" a="1"/>
  <c r="M2950" i="1" s="1"/>
  <c r="L2951" i="1"/>
  <c r="M2951" i="1" s="1" a="1"/>
  <c r="M2951" i="1" s="1"/>
  <c r="L2952" i="1"/>
  <c r="M2952" i="1" s="1" a="1"/>
  <c r="M2952" i="1" s="1"/>
  <c r="L2953" i="1"/>
  <c r="M2953" i="1" s="1" a="1"/>
  <c r="M2953" i="1" s="1"/>
  <c r="L2954" i="1"/>
  <c r="M2954" i="1" s="1" a="1"/>
  <c r="M2954" i="1" s="1"/>
  <c r="L2955" i="1"/>
  <c r="M2955" i="1" s="1" a="1"/>
  <c r="M2955" i="1" s="1"/>
  <c r="L2956" i="1"/>
  <c r="M2956" i="1" s="1" a="1"/>
  <c r="M2956" i="1" s="1"/>
  <c r="L2957" i="1"/>
  <c r="M2957" i="1" s="1" a="1"/>
  <c r="M2957" i="1" s="1"/>
  <c r="L2958" i="1"/>
  <c r="M2958" i="1" s="1" a="1"/>
  <c r="M2958" i="1" s="1"/>
  <c r="L2959" i="1"/>
  <c r="M2959" i="1" s="1" a="1"/>
  <c r="M2959" i="1" s="1"/>
  <c r="L2960" i="1"/>
  <c r="M2960" i="1" s="1" a="1"/>
  <c r="M2960" i="1" s="1"/>
  <c r="L2961" i="1"/>
  <c r="M2961" i="1" s="1" a="1"/>
  <c r="M2961" i="1" s="1"/>
  <c r="L2962" i="1"/>
  <c r="M2962" i="1" s="1" a="1"/>
  <c r="M2962" i="1" s="1"/>
  <c r="L2963" i="1"/>
  <c r="M2963" i="1" s="1" a="1"/>
  <c r="M2963" i="1" s="1"/>
  <c r="L2964" i="1"/>
  <c r="M2964" i="1" s="1" a="1"/>
  <c r="M2964" i="1" s="1"/>
  <c r="L2965" i="1"/>
  <c r="M2965" i="1" s="1" a="1"/>
  <c r="M2965" i="1" s="1"/>
  <c r="L2966" i="1"/>
  <c r="M2966" i="1" s="1" a="1"/>
  <c r="M2966" i="1" s="1"/>
  <c r="L2967" i="1"/>
  <c r="M2967" i="1" s="1" a="1"/>
  <c r="M2967" i="1" s="1"/>
  <c r="L2968" i="1"/>
  <c r="M2968" i="1" s="1" a="1"/>
  <c r="M2968" i="1" s="1"/>
  <c r="L2969" i="1"/>
  <c r="M2969" i="1" s="1" a="1"/>
  <c r="M2969" i="1" s="1"/>
  <c r="L2970" i="1"/>
  <c r="M2970" i="1" s="1" a="1"/>
  <c r="M2970" i="1" s="1"/>
  <c r="L2971" i="1"/>
  <c r="M2971" i="1" s="1" a="1"/>
  <c r="M2971" i="1" s="1"/>
  <c r="L2972" i="1"/>
  <c r="M2972" i="1" s="1" a="1"/>
  <c r="M2972" i="1" s="1"/>
  <c r="L2973" i="1"/>
  <c r="M2973" i="1" s="1" a="1"/>
  <c r="M2973" i="1" s="1"/>
  <c r="L2974" i="1"/>
  <c r="M2974" i="1" s="1" a="1"/>
  <c r="M2974" i="1" s="1"/>
  <c r="L2975" i="1"/>
  <c r="M2975" i="1" s="1" a="1"/>
  <c r="M2975" i="1" s="1"/>
  <c r="L2976" i="1"/>
  <c r="M2976" i="1" s="1" a="1"/>
  <c r="M2976" i="1" s="1"/>
  <c r="L2977" i="1"/>
  <c r="M2977" i="1" s="1" a="1"/>
  <c r="M2977" i="1" s="1"/>
  <c r="L2978" i="1"/>
  <c r="M2978" i="1" s="1" a="1"/>
  <c r="M2978" i="1" s="1"/>
  <c r="L2979" i="1"/>
  <c r="M2979" i="1" s="1" a="1"/>
  <c r="M2979" i="1" s="1"/>
  <c r="L2980" i="1"/>
  <c r="M2980" i="1" s="1" a="1"/>
  <c r="M2980" i="1" s="1"/>
  <c r="L2981" i="1"/>
  <c r="M2981" i="1" s="1" a="1"/>
  <c r="M2981" i="1" s="1"/>
  <c r="L2982" i="1"/>
  <c r="M2982" i="1" s="1" a="1"/>
  <c r="M2982" i="1" s="1"/>
  <c r="L2983" i="1"/>
  <c r="M2983" i="1" s="1" a="1"/>
  <c r="M2983" i="1" s="1"/>
  <c r="L2984" i="1"/>
  <c r="M2984" i="1" s="1" a="1"/>
  <c r="M2984" i="1" s="1"/>
  <c r="L2985" i="1"/>
  <c r="M2985" i="1" s="1" a="1"/>
  <c r="M2985" i="1" s="1"/>
  <c r="L2986" i="1"/>
  <c r="M2986" i="1" s="1" a="1"/>
  <c r="M2986" i="1" s="1"/>
  <c r="L2987" i="1"/>
  <c r="M2987" i="1" s="1" a="1"/>
  <c r="M2987" i="1" s="1"/>
  <c r="L2988" i="1"/>
  <c r="M2988" i="1" s="1" a="1"/>
  <c r="M2988" i="1" s="1"/>
  <c r="L2989" i="1"/>
  <c r="M2989" i="1" s="1" a="1"/>
  <c r="M2989" i="1" s="1"/>
  <c r="L2990" i="1"/>
  <c r="M2990" i="1" s="1" a="1"/>
  <c r="M2990" i="1" s="1"/>
  <c r="L2991" i="1"/>
  <c r="M2991" i="1" s="1" a="1"/>
  <c r="M2991" i="1" s="1"/>
  <c r="L2992" i="1"/>
  <c r="M2992" i="1" s="1" a="1"/>
  <c r="M2992" i="1" s="1"/>
  <c r="L2993" i="1"/>
  <c r="M2993" i="1" s="1" a="1"/>
  <c r="M2993" i="1" s="1"/>
  <c r="L2994" i="1"/>
  <c r="M2994" i="1" s="1" a="1"/>
  <c r="M2994" i="1" s="1"/>
  <c r="L2995" i="1"/>
  <c r="M2995" i="1" s="1" a="1"/>
  <c r="M2995" i="1" s="1"/>
  <c r="L2996" i="1"/>
  <c r="M2996" i="1" s="1" a="1"/>
  <c r="M2996" i="1" s="1"/>
  <c r="L2997" i="1"/>
  <c r="M2997" i="1" s="1" a="1"/>
  <c r="M2997" i="1" s="1"/>
  <c r="L2998" i="1"/>
  <c r="M2998" i="1" s="1" a="1"/>
  <c r="M2998" i="1" s="1"/>
  <c r="L2999" i="1"/>
  <c r="M2999" i="1" s="1" a="1"/>
  <c r="M2999" i="1" s="1"/>
  <c r="L3000" i="1"/>
  <c r="M3000" i="1" s="1" a="1"/>
  <c r="M3000" i="1" s="1"/>
  <c r="L3001" i="1"/>
  <c r="M3001" i="1" s="1" a="1"/>
  <c r="M3001" i="1" s="1"/>
  <c r="L3002" i="1"/>
  <c r="M3002" i="1" s="1" a="1"/>
  <c r="M3002" i="1" s="1"/>
  <c r="L3003" i="1"/>
  <c r="M3003" i="1" s="1" a="1"/>
  <c r="M3003" i="1" s="1"/>
  <c r="L3004" i="1"/>
  <c r="M3004" i="1" s="1" a="1"/>
  <c r="M3004" i="1" s="1"/>
  <c r="L3005" i="1"/>
  <c r="M3005" i="1" s="1" a="1"/>
  <c r="M3005" i="1" s="1"/>
  <c r="L3006" i="1"/>
  <c r="M3006" i="1" s="1" a="1"/>
  <c r="M3006" i="1" s="1"/>
  <c r="L3007" i="1"/>
  <c r="M3007" i="1" s="1" a="1"/>
  <c r="M3007" i="1" s="1"/>
  <c r="L3008" i="1"/>
  <c r="M3008" i="1" s="1" a="1"/>
  <c r="M3008" i="1" s="1"/>
  <c r="L3009" i="1"/>
  <c r="M3009" i="1" s="1" a="1"/>
  <c r="M3009" i="1" s="1"/>
  <c r="L3010" i="1"/>
  <c r="M3010" i="1" s="1" a="1"/>
  <c r="M3010" i="1" s="1"/>
  <c r="L3011" i="1"/>
  <c r="M3011" i="1" s="1" a="1"/>
  <c r="M3011" i="1" s="1"/>
  <c r="L3012" i="1"/>
  <c r="M3012" i="1" s="1" a="1"/>
  <c r="M3012" i="1" s="1"/>
  <c r="L3013" i="1"/>
  <c r="M3013" i="1" s="1" a="1"/>
  <c r="M3013" i="1" s="1"/>
  <c r="L3014" i="1"/>
  <c r="M3014" i="1" s="1" a="1"/>
  <c r="M3014" i="1" s="1"/>
  <c r="L3015" i="1"/>
  <c r="M3015" i="1" s="1" a="1"/>
  <c r="M3015" i="1" s="1"/>
  <c r="L3016" i="1"/>
  <c r="M3016" i="1" s="1" a="1"/>
  <c r="M3016" i="1" s="1"/>
  <c r="L3017" i="1"/>
  <c r="M3017" i="1" s="1" a="1"/>
  <c r="M3017" i="1" s="1"/>
  <c r="L3018" i="1"/>
  <c r="M3018" i="1" s="1" a="1"/>
  <c r="M3018" i="1" s="1"/>
  <c r="L3019" i="1"/>
  <c r="M3019" i="1" s="1" a="1"/>
  <c r="M3019" i="1" s="1"/>
  <c r="L3020" i="1"/>
  <c r="M3020" i="1" s="1" a="1"/>
  <c r="M3020" i="1" s="1"/>
  <c r="L3021" i="1"/>
  <c r="M3021" i="1" s="1" a="1"/>
  <c r="M3021" i="1" s="1"/>
  <c r="L3022" i="1"/>
  <c r="M3022" i="1" s="1" a="1"/>
  <c r="M3022" i="1" s="1"/>
  <c r="L3023" i="1"/>
  <c r="M3023" i="1" s="1" a="1"/>
  <c r="M3023" i="1" s="1"/>
  <c r="L3024" i="1"/>
  <c r="M3024" i="1" s="1" a="1"/>
  <c r="M3024" i="1" s="1"/>
  <c r="L3025" i="1"/>
  <c r="M3025" i="1" s="1" a="1"/>
  <c r="M3025" i="1" s="1"/>
  <c r="L3026" i="1"/>
  <c r="M3026" i="1" s="1" a="1"/>
  <c r="M3026" i="1" s="1"/>
  <c r="L3027" i="1"/>
  <c r="M3027" i="1" s="1" a="1"/>
  <c r="M3027" i="1" s="1"/>
  <c r="L3028" i="1"/>
  <c r="M3028" i="1" s="1" a="1"/>
  <c r="M3028" i="1" s="1"/>
  <c r="L3029" i="1"/>
  <c r="M3029" i="1" s="1" a="1"/>
  <c r="M3029" i="1" s="1"/>
  <c r="L3030" i="1"/>
  <c r="M3030" i="1" s="1" a="1"/>
  <c r="M3030" i="1" s="1"/>
  <c r="L3031" i="1"/>
  <c r="M3031" i="1" s="1" a="1"/>
  <c r="M3031" i="1" s="1"/>
  <c r="L3032" i="1"/>
  <c r="M3032" i="1" s="1" a="1"/>
  <c r="M3032" i="1" s="1"/>
  <c r="L3033" i="1"/>
  <c r="M3033" i="1" s="1" a="1"/>
  <c r="M3033" i="1" s="1"/>
  <c r="L3034" i="1"/>
  <c r="M3034" i="1" s="1" a="1"/>
  <c r="M3034" i="1" s="1"/>
  <c r="L3035" i="1"/>
  <c r="M3035" i="1" s="1" a="1"/>
  <c r="M3035" i="1" s="1"/>
  <c r="L3036" i="1"/>
  <c r="M3036" i="1" s="1" a="1"/>
  <c r="M3036" i="1" s="1"/>
  <c r="L3037" i="1"/>
  <c r="M3037" i="1" s="1" a="1"/>
  <c r="M3037" i="1" s="1"/>
  <c r="L3038" i="1"/>
  <c r="M3038" i="1" s="1" a="1"/>
  <c r="M3038" i="1" s="1"/>
  <c r="L3039" i="1"/>
  <c r="M3039" i="1" s="1" a="1"/>
  <c r="M3039" i="1" s="1"/>
  <c r="L3040" i="1"/>
  <c r="M3040" i="1" s="1" a="1"/>
  <c r="M3040" i="1" s="1"/>
  <c r="L3041" i="1"/>
  <c r="M3041" i="1" s="1" a="1"/>
  <c r="M3041" i="1" s="1"/>
  <c r="L3042" i="1"/>
  <c r="M3042" i="1" s="1" a="1"/>
  <c r="M3042" i="1" s="1"/>
  <c r="L3043" i="1"/>
  <c r="M3043" i="1" s="1" a="1"/>
  <c r="M3043" i="1" s="1"/>
  <c r="L3044" i="1"/>
  <c r="M3044" i="1" s="1" a="1"/>
  <c r="M3044" i="1" s="1"/>
  <c r="L3045" i="1"/>
  <c r="M3045" i="1" s="1" a="1"/>
  <c r="M3045" i="1" s="1"/>
  <c r="L3046" i="1"/>
  <c r="M3046" i="1" s="1" a="1"/>
  <c r="M3046" i="1" s="1"/>
  <c r="L3047" i="1"/>
  <c r="M3047" i="1" s="1" a="1"/>
  <c r="M3047" i="1" s="1"/>
  <c r="L3048" i="1"/>
  <c r="M3048" i="1" s="1" a="1"/>
  <c r="M3048" i="1" s="1"/>
  <c r="L3049" i="1"/>
  <c r="M3049" i="1" s="1" a="1"/>
  <c r="M3049" i="1" s="1"/>
  <c r="L3050" i="1"/>
  <c r="M3050" i="1" s="1" a="1"/>
  <c r="M3050" i="1" s="1"/>
  <c r="L3051" i="1"/>
  <c r="M3051" i="1" s="1" a="1"/>
  <c r="M3051" i="1" s="1"/>
  <c r="L3052" i="1"/>
  <c r="M3052" i="1" s="1" a="1"/>
  <c r="M3052" i="1" s="1"/>
  <c r="L3053" i="1"/>
  <c r="M3053" i="1" s="1" a="1"/>
  <c r="M3053" i="1" s="1"/>
  <c r="L3054" i="1"/>
  <c r="M3054" i="1" s="1" a="1"/>
  <c r="M3054" i="1" s="1"/>
  <c r="L3055" i="1"/>
  <c r="M3055" i="1" s="1" a="1"/>
  <c r="M3055" i="1" s="1"/>
  <c r="L3056" i="1"/>
  <c r="M3056" i="1" s="1" a="1"/>
  <c r="M3056" i="1" s="1"/>
  <c r="L3057" i="1"/>
  <c r="M3057" i="1" s="1" a="1"/>
  <c r="M3057" i="1" s="1"/>
  <c r="L3058" i="1"/>
  <c r="M3058" i="1" s="1" a="1"/>
  <c r="M3058" i="1" s="1"/>
  <c r="L3059" i="1"/>
  <c r="M3059" i="1" s="1" a="1"/>
  <c r="M3059" i="1" s="1"/>
  <c r="L3060" i="1"/>
  <c r="M3060" i="1" s="1" a="1"/>
  <c r="M3060" i="1" s="1"/>
  <c r="L3061" i="1"/>
  <c r="M3061" i="1" s="1" a="1"/>
  <c r="M3061" i="1" s="1"/>
  <c r="L3062" i="1"/>
  <c r="M3062" i="1" s="1" a="1"/>
  <c r="M3062" i="1" s="1"/>
  <c r="L3063" i="1"/>
  <c r="M3063" i="1" s="1" a="1"/>
  <c r="M3063" i="1" s="1"/>
  <c r="L3064" i="1"/>
  <c r="M3064" i="1" s="1" a="1"/>
  <c r="M3064" i="1" s="1"/>
  <c r="L3065" i="1"/>
  <c r="M3065" i="1" s="1" a="1"/>
  <c r="M3065" i="1" s="1"/>
  <c r="L3066" i="1"/>
  <c r="M3066" i="1" s="1" a="1"/>
  <c r="M3066" i="1" s="1"/>
  <c r="L3067" i="1"/>
  <c r="M3067" i="1" s="1" a="1"/>
  <c r="M3067" i="1" s="1"/>
  <c r="L3068" i="1"/>
  <c r="M3068" i="1" s="1" a="1"/>
  <c r="M3068" i="1" s="1"/>
  <c r="L3069" i="1"/>
  <c r="M3069" i="1" s="1" a="1"/>
  <c r="M3069" i="1" s="1"/>
  <c r="L3070" i="1"/>
  <c r="M3070" i="1" s="1" a="1"/>
  <c r="M3070" i="1" s="1"/>
  <c r="L3071" i="1"/>
  <c r="M3071" i="1" s="1" a="1"/>
  <c r="M3071" i="1" s="1"/>
  <c r="L3072" i="1"/>
  <c r="M3072" i="1" s="1" a="1"/>
  <c r="M3072" i="1" s="1"/>
  <c r="L3073" i="1"/>
  <c r="M3073" i="1" s="1" a="1"/>
  <c r="M3073" i="1" s="1"/>
  <c r="L3074" i="1"/>
  <c r="M3074" i="1" s="1" a="1"/>
  <c r="M3074" i="1" s="1"/>
  <c r="L3075" i="1"/>
  <c r="M3075" i="1" s="1" a="1"/>
  <c r="M3075" i="1" s="1"/>
  <c r="L3076" i="1"/>
  <c r="M3076" i="1" s="1" a="1"/>
  <c r="M3076" i="1" s="1"/>
  <c r="L3077" i="1"/>
  <c r="M3077" i="1" s="1" a="1"/>
  <c r="M3077" i="1" s="1"/>
  <c r="L3078" i="1"/>
  <c r="M3078" i="1" s="1" a="1"/>
  <c r="M3078" i="1" s="1"/>
  <c r="L3079" i="1"/>
  <c r="M3079" i="1" s="1" a="1"/>
  <c r="M3079" i="1" s="1"/>
  <c r="L3080" i="1"/>
  <c r="M3080" i="1" s="1" a="1"/>
  <c r="M3080" i="1" s="1"/>
  <c r="L3081" i="1"/>
  <c r="M3081" i="1" s="1" a="1"/>
  <c r="M3081" i="1" s="1"/>
  <c r="L3082" i="1"/>
  <c r="M3082" i="1" s="1" a="1"/>
  <c r="M3082" i="1" s="1"/>
  <c r="L3083" i="1"/>
  <c r="M3083" i="1" s="1" a="1"/>
  <c r="M3083" i="1" s="1"/>
  <c r="L3084" i="1"/>
  <c r="M3084" i="1" s="1" a="1"/>
  <c r="M3084" i="1" s="1"/>
  <c r="L3085" i="1"/>
  <c r="M3085" i="1" s="1" a="1"/>
  <c r="M3085" i="1" s="1"/>
  <c r="L3086" i="1"/>
  <c r="M3086" i="1" s="1" a="1"/>
  <c r="M3086" i="1" s="1"/>
  <c r="L3087" i="1"/>
  <c r="M3087" i="1" s="1" a="1"/>
  <c r="M3087" i="1" s="1"/>
  <c r="L3088" i="1"/>
  <c r="M3088" i="1" s="1" a="1"/>
  <c r="M3088" i="1" s="1"/>
  <c r="L3089" i="1"/>
  <c r="M3089" i="1" s="1" a="1"/>
  <c r="M3089" i="1" s="1"/>
  <c r="L3090" i="1"/>
  <c r="M3090" i="1" s="1" a="1"/>
  <c r="M3090" i="1" s="1"/>
  <c r="L3091" i="1"/>
  <c r="M3091" i="1" s="1" a="1"/>
  <c r="M3091" i="1" s="1"/>
  <c r="L3092" i="1"/>
  <c r="M3092" i="1" s="1" a="1"/>
  <c r="M3092" i="1" s="1"/>
  <c r="L3093" i="1"/>
  <c r="M3093" i="1" s="1" a="1"/>
  <c r="M3093" i="1" s="1"/>
  <c r="L3094" i="1"/>
  <c r="M3094" i="1" s="1" a="1"/>
  <c r="M3094" i="1" s="1"/>
  <c r="L3095" i="1"/>
  <c r="M3095" i="1" s="1" a="1"/>
  <c r="M3095" i="1" s="1"/>
  <c r="L3096" i="1"/>
  <c r="M3096" i="1" s="1" a="1"/>
  <c r="M3096" i="1" s="1"/>
  <c r="L3097" i="1"/>
  <c r="M3097" i="1" s="1" a="1"/>
  <c r="M3097" i="1" s="1"/>
  <c r="L3098" i="1"/>
  <c r="M3098" i="1" s="1" a="1"/>
  <c r="M3098" i="1" s="1"/>
  <c r="L3099" i="1"/>
  <c r="M3099" i="1" s="1" a="1"/>
  <c r="M3099" i="1" s="1"/>
  <c r="L3100" i="1"/>
  <c r="M3100" i="1" s="1" a="1"/>
  <c r="M3100" i="1" s="1"/>
  <c r="L3101" i="1"/>
  <c r="M3101" i="1" s="1" a="1"/>
  <c r="M3101" i="1" s="1"/>
  <c r="L3102" i="1"/>
  <c r="M3102" i="1" s="1" a="1"/>
  <c r="M3102" i="1" s="1"/>
  <c r="L3103" i="1"/>
  <c r="M3103" i="1" s="1" a="1"/>
  <c r="M3103" i="1" s="1"/>
  <c r="L3104" i="1"/>
  <c r="M3104" i="1" s="1" a="1"/>
  <c r="M3104" i="1" s="1"/>
  <c r="L3105" i="1"/>
  <c r="M3105" i="1" s="1" a="1"/>
  <c r="M3105" i="1" s="1"/>
  <c r="L3106" i="1"/>
  <c r="M3106" i="1" s="1" a="1"/>
  <c r="M3106" i="1" s="1"/>
  <c r="L3107" i="1"/>
  <c r="M3107" i="1" s="1" a="1"/>
  <c r="M3107" i="1" s="1"/>
  <c r="L3108" i="1"/>
  <c r="M3108" i="1" s="1" a="1"/>
  <c r="M3108" i="1" s="1"/>
  <c r="L3109" i="1"/>
  <c r="M3109" i="1" s="1" a="1"/>
  <c r="M3109" i="1" s="1"/>
  <c r="L3110" i="1"/>
  <c r="M3110" i="1" s="1" a="1"/>
  <c r="M3110" i="1" s="1"/>
  <c r="L3111" i="1"/>
  <c r="M3111" i="1" s="1" a="1"/>
  <c r="M3111" i="1" s="1"/>
  <c r="L3112" i="1"/>
  <c r="M3112" i="1" s="1" a="1"/>
  <c r="M3112" i="1" s="1"/>
  <c r="L3113" i="1"/>
  <c r="M3113" i="1" s="1" a="1"/>
  <c r="M3113" i="1" s="1"/>
  <c r="L3114" i="1"/>
  <c r="M3114" i="1" s="1" a="1"/>
  <c r="M3114" i="1" s="1"/>
  <c r="L3115" i="1"/>
  <c r="M3115" i="1" s="1" a="1"/>
  <c r="M3115" i="1" s="1"/>
  <c r="L3116" i="1"/>
  <c r="M3116" i="1" s="1" a="1"/>
  <c r="M3116" i="1" s="1"/>
  <c r="L3117" i="1"/>
  <c r="M3117" i="1" s="1" a="1"/>
  <c r="M3117" i="1" s="1"/>
  <c r="L3118" i="1"/>
  <c r="M3118" i="1" s="1" a="1"/>
  <c r="M3118" i="1" s="1"/>
  <c r="L3119" i="1"/>
  <c r="M3119" i="1" s="1" a="1"/>
  <c r="M3119" i="1" s="1"/>
  <c r="L3120" i="1"/>
  <c r="M3120" i="1" s="1" a="1"/>
  <c r="M3120" i="1" s="1"/>
  <c r="L3121" i="1"/>
  <c r="M3121" i="1" s="1" a="1"/>
  <c r="M3121" i="1" s="1"/>
  <c r="L3122" i="1"/>
  <c r="M3122" i="1" s="1" a="1"/>
  <c r="M3122" i="1" s="1"/>
  <c r="L3123" i="1"/>
  <c r="M3123" i="1" s="1" a="1"/>
  <c r="M3123" i="1" s="1"/>
  <c r="L3124" i="1"/>
  <c r="M3124" i="1" s="1" a="1"/>
  <c r="M3124" i="1" s="1"/>
  <c r="L3125" i="1"/>
  <c r="M3125" i="1" s="1" a="1"/>
  <c r="M3125" i="1" s="1"/>
  <c r="L3126" i="1"/>
  <c r="M3126" i="1" s="1" a="1"/>
  <c r="M3126" i="1" s="1"/>
  <c r="L3127" i="1"/>
  <c r="M3127" i="1" s="1" a="1"/>
  <c r="M3127" i="1" s="1"/>
  <c r="L3128" i="1"/>
  <c r="M3128" i="1" s="1" a="1"/>
  <c r="M3128" i="1" s="1"/>
  <c r="L3129" i="1"/>
  <c r="M3129" i="1" s="1" a="1"/>
  <c r="M3129" i="1" s="1"/>
  <c r="L3130" i="1"/>
  <c r="M3130" i="1" s="1" a="1"/>
  <c r="M3130" i="1" s="1"/>
  <c r="L3131" i="1"/>
  <c r="M3131" i="1" s="1" a="1"/>
  <c r="M3131" i="1" s="1"/>
  <c r="L3132" i="1"/>
  <c r="M3132" i="1" s="1" a="1"/>
  <c r="M3132" i="1" s="1"/>
  <c r="L3133" i="1"/>
  <c r="M3133" i="1" s="1" a="1"/>
  <c r="M3133" i="1" s="1"/>
  <c r="L3134" i="1"/>
  <c r="M3134" i="1" s="1" a="1"/>
  <c r="M3134" i="1" s="1"/>
  <c r="L3135" i="1"/>
  <c r="M3135" i="1" s="1" a="1"/>
  <c r="M3135" i="1" s="1"/>
  <c r="L3136" i="1"/>
  <c r="M3136" i="1" s="1" a="1"/>
  <c r="M3136" i="1" s="1"/>
  <c r="L3137" i="1"/>
  <c r="M3137" i="1" s="1" a="1"/>
  <c r="M3137" i="1" s="1"/>
  <c r="L3138" i="1"/>
  <c r="M3138" i="1" s="1" a="1"/>
  <c r="M3138" i="1" s="1"/>
  <c r="L3139" i="1"/>
  <c r="M3139" i="1" s="1" a="1"/>
  <c r="M3139" i="1" s="1"/>
  <c r="L3140" i="1"/>
  <c r="M3140" i="1" s="1" a="1"/>
  <c r="M3140" i="1" s="1"/>
  <c r="L3141" i="1"/>
  <c r="M3141" i="1" s="1" a="1"/>
  <c r="M3141" i="1" s="1"/>
  <c r="L3142" i="1"/>
  <c r="M3142" i="1" s="1" a="1"/>
  <c r="M3142" i="1" s="1"/>
  <c r="L3143" i="1"/>
  <c r="M3143" i="1" s="1" a="1"/>
  <c r="M3143" i="1" s="1"/>
  <c r="L3144" i="1"/>
  <c r="M3144" i="1" s="1" a="1"/>
  <c r="M3144" i="1" s="1"/>
  <c r="L3145" i="1"/>
  <c r="M3145" i="1" s="1" a="1"/>
  <c r="M3145" i="1" s="1"/>
  <c r="L3146" i="1"/>
  <c r="M3146" i="1" s="1" a="1"/>
  <c r="M3146" i="1" s="1"/>
  <c r="L3147" i="1"/>
  <c r="M3147" i="1" s="1" a="1"/>
  <c r="M3147" i="1" s="1"/>
  <c r="L3148" i="1"/>
  <c r="M3148" i="1" s="1" a="1"/>
  <c r="M3148" i="1" s="1"/>
  <c r="L3149" i="1"/>
  <c r="M3149" i="1" s="1" a="1"/>
  <c r="M3149" i="1" s="1"/>
  <c r="L3150" i="1"/>
  <c r="M3150" i="1" s="1" a="1"/>
  <c r="M3150" i="1" s="1"/>
  <c r="L3151" i="1"/>
  <c r="M3151" i="1" s="1" a="1"/>
  <c r="M3151" i="1" s="1"/>
  <c r="L3152" i="1"/>
  <c r="M3152" i="1" s="1" a="1"/>
  <c r="M3152" i="1" s="1"/>
  <c r="L3153" i="1"/>
  <c r="M3153" i="1" s="1" a="1"/>
  <c r="M3153" i="1" s="1"/>
  <c r="L3154" i="1"/>
  <c r="M3154" i="1" s="1" a="1"/>
  <c r="M3154" i="1" s="1"/>
  <c r="L3155" i="1"/>
  <c r="M3155" i="1" s="1" a="1"/>
  <c r="M3155" i="1" s="1"/>
  <c r="L3156" i="1"/>
  <c r="M3156" i="1" s="1" a="1"/>
  <c r="M3156" i="1" s="1"/>
  <c r="L3157" i="1"/>
  <c r="M3157" i="1" s="1" a="1"/>
  <c r="M3157" i="1" s="1"/>
  <c r="L3158" i="1"/>
  <c r="M3158" i="1" s="1" a="1"/>
  <c r="M3158" i="1" s="1"/>
  <c r="L3159" i="1"/>
  <c r="M3159" i="1" s="1" a="1"/>
  <c r="M3159" i="1" s="1"/>
  <c r="L3160" i="1"/>
  <c r="M3160" i="1" s="1" a="1"/>
  <c r="M3160" i="1" s="1"/>
  <c r="L3161" i="1"/>
  <c r="M3161" i="1" s="1" a="1"/>
  <c r="M3161" i="1" s="1"/>
  <c r="L3162" i="1"/>
  <c r="M3162" i="1" s="1" a="1"/>
  <c r="M3162" i="1" s="1"/>
  <c r="L3163" i="1"/>
  <c r="M3163" i="1" s="1" a="1"/>
  <c r="M3163" i="1" s="1"/>
  <c r="L3164" i="1"/>
  <c r="M3164" i="1" s="1" a="1"/>
  <c r="M3164" i="1" s="1"/>
  <c r="L3165" i="1"/>
  <c r="M3165" i="1" s="1" a="1"/>
  <c r="M3165" i="1" s="1"/>
  <c r="L3166" i="1"/>
  <c r="M3166" i="1" s="1" a="1"/>
  <c r="M3166" i="1" s="1"/>
  <c r="L3167" i="1"/>
  <c r="M3167" i="1" s="1" a="1"/>
  <c r="M3167" i="1" s="1"/>
  <c r="L3168" i="1"/>
  <c r="M3168" i="1" s="1" a="1"/>
  <c r="M3168" i="1" s="1"/>
  <c r="L3169" i="1"/>
  <c r="M3169" i="1" s="1" a="1"/>
  <c r="M3169" i="1" s="1"/>
  <c r="L3170" i="1"/>
  <c r="M3170" i="1" s="1" a="1"/>
  <c r="M3170" i="1" s="1"/>
  <c r="L3171" i="1"/>
  <c r="M3171" i="1" s="1" a="1"/>
  <c r="M3171" i="1" s="1"/>
  <c r="L3172" i="1"/>
  <c r="M3172" i="1" s="1" a="1"/>
  <c r="M3172" i="1" s="1"/>
  <c r="L3173" i="1"/>
  <c r="M3173" i="1" s="1" a="1"/>
  <c r="M3173" i="1" s="1"/>
  <c r="L3174" i="1"/>
  <c r="M3174" i="1" s="1" a="1"/>
  <c r="M3174" i="1" s="1"/>
  <c r="L3175" i="1"/>
  <c r="M3175" i="1" s="1" a="1"/>
  <c r="M3175" i="1" s="1"/>
  <c r="L3176" i="1"/>
  <c r="M3176" i="1" s="1" a="1"/>
  <c r="M3176" i="1" s="1"/>
  <c r="L3177" i="1"/>
  <c r="M3177" i="1" s="1" a="1"/>
  <c r="M3177" i="1" s="1"/>
  <c r="L3178" i="1"/>
  <c r="M3178" i="1" s="1" a="1"/>
  <c r="M3178" i="1" s="1"/>
  <c r="L3179" i="1"/>
  <c r="M3179" i="1" s="1" a="1"/>
  <c r="M3179" i="1" s="1"/>
  <c r="L3180" i="1"/>
  <c r="M3180" i="1" s="1" a="1"/>
  <c r="M3180" i="1" s="1"/>
  <c r="L3181" i="1"/>
  <c r="M3181" i="1" s="1" a="1"/>
  <c r="M3181" i="1" s="1"/>
  <c r="L3182" i="1"/>
  <c r="M3182" i="1" s="1" a="1"/>
  <c r="M3182" i="1" s="1"/>
  <c r="L3183" i="1"/>
  <c r="M3183" i="1" s="1" a="1"/>
  <c r="M3183" i="1" s="1"/>
  <c r="L3184" i="1"/>
  <c r="M3184" i="1" s="1" a="1"/>
  <c r="M3184" i="1" s="1"/>
  <c r="L3185" i="1"/>
  <c r="M3185" i="1" s="1" a="1"/>
  <c r="M3185" i="1" s="1"/>
  <c r="L3186" i="1"/>
  <c r="M3186" i="1" s="1" a="1"/>
  <c r="M3186" i="1" s="1"/>
  <c r="L3187" i="1"/>
  <c r="M3187" i="1" s="1" a="1"/>
  <c r="M3187" i="1" s="1"/>
  <c r="L3188" i="1"/>
  <c r="M3188" i="1" s="1" a="1"/>
  <c r="M3188" i="1" s="1"/>
  <c r="L3189" i="1"/>
  <c r="M3189" i="1" s="1" a="1"/>
  <c r="M3189" i="1" s="1"/>
  <c r="L3190" i="1"/>
  <c r="M3190" i="1" s="1" a="1"/>
  <c r="M3190" i="1" s="1"/>
  <c r="L3191" i="1"/>
  <c r="M3191" i="1" s="1" a="1"/>
  <c r="M3191" i="1" s="1"/>
  <c r="L3192" i="1"/>
  <c r="M3192" i="1" s="1" a="1"/>
  <c r="M3192" i="1" s="1"/>
  <c r="L3193" i="1"/>
  <c r="M3193" i="1" s="1" a="1"/>
  <c r="M3193" i="1" s="1"/>
  <c r="L3194" i="1"/>
  <c r="M3194" i="1" s="1" a="1"/>
  <c r="M3194" i="1" s="1"/>
  <c r="L3195" i="1"/>
  <c r="M3195" i="1" s="1" a="1"/>
  <c r="M3195" i="1" s="1"/>
  <c r="L3196" i="1"/>
  <c r="M3196" i="1" s="1" a="1"/>
  <c r="M3196" i="1" s="1"/>
  <c r="L3197" i="1"/>
  <c r="M3197" i="1" s="1" a="1"/>
  <c r="M3197" i="1" s="1"/>
  <c r="L3198" i="1"/>
  <c r="M3198" i="1" s="1" a="1"/>
  <c r="M3198" i="1" s="1"/>
  <c r="L3199" i="1"/>
  <c r="M3199" i="1" s="1" a="1"/>
  <c r="M3199" i="1" s="1"/>
  <c r="L3200" i="1"/>
  <c r="M3200" i="1" s="1" a="1"/>
  <c r="M3200" i="1" s="1"/>
  <c r="L3201" i="1"/>
  <c r="M3201" i="1" s="1" a="1"/>
  <c r="M3201" i="1" s="1"/>
  <c r="L3202" i="1"/>
  <c r="M3202" i="1" s="1" a="1"/>
  <c r="M3202" i="1" s="1"/>
  <c r="L3203" i="1"/>
  <c r="M3203" i="1" s="1" a="1"/>
  <c r="M3203" i="1" s="1"/>
  <c r="L3204" i="1"/>
  <c r="M3204" i="1" s="1" a="1"/>
  <c r="M3204" i="1" s="1"/>
  <c r="L3205" i="1"/>
  <c r="M3205" i="1" s="1" a="1"/>
  <c r="M3205" i="1" s="1"/>
  <c r="L3206" i="1"/>
  <c r="M3206" i="1" s="1" a="1"/>
  <c r="M3206" i="1" s="1"/>
  <c r="L3207" i="1"/>
  <c r="M3207" i="1" s="1" a="1"/>
  <c r="M3207" i="1" s="1"/>
  <c r="L3208" i="1"/>
  <c r="M3208" i="1" s="1" a="1"/>
  <c r="M3208" i="1" s="1"/>
  <c r="L3209" i="1"/>
  <c r="M3209" i="1" s="1" a="1"/>
  <c r="M3209" i="1" s="1"/>
  <c r="L3210" i="1"/>
  <c r="M3210" i="1" s="1" a="1"/>
  <c r="M3210" i="1" s="1"/>
  <c r="L3211" i="1"/>
  <c r="M3211" i="1" s="1" a="1"/>
  <c r="M3211" i="1" s="1"/>
  <c r="L3212" i="1"/>
  <c r="M3212" i="1" s="1" a="1"/>
  <c r="M3212" i="1" s="1"/>
  <c r="L3213" i="1"/>
  <c r="M3213" i="1" s="1" a="1"/>
  <c r="M3213" i="1" s="1"/>
  <c r="L3214" i="1"/>
  <c r="M3214" i="1" s="1" a="1"/>
  <c r="M3214" i="1" s="1"/>
  <c r="L3215" i="1"/>
  <c r="M3215" i="1" s="1" a="1"/>
  <c r="M3215" i="1" s="1"/>
  <c r="L3216" i="1"/>
  <c r="M3216" i="1" s="1" a="1"/>
  <c r="M3216" i="1" s="1"/>
  <c r="L3217" i="1"/>
  <c r="M3217" i="1" s="1" a="1"/>
  <c r="M3217" i="1" s="1"/>
  <c r="L3218" i="1"/>
  <c r="M3218" i="1" s="1" a="1"/>
  <c r="M3218" i="1" s="1"/>
  <c r="L3219" i="1"/>
  <c r="M3219" i="1" s="1" a="1"/>
  <c r="M3219" i="1" s="1"/>
  <c r="L3220" i="1"/>
  <c r="M3220" i="1" s="1" a="1"/>
  <c r="M3220" i="1" s="1"/>
  <c r="L3221" i="1"/>
  <c r="M3221" i="1" s="1" a="1"/>
  <c r="M3221" i="1" s="1"/>
  <c r="L3222" i="1"/>
  <c r="M3222" i="1" s="1" a="1"/>
  <c r="M3222" i="1" s="1"/>
  <c r="L3223" i="1"/>
  <c r="M3223" i="1" s="1" a="1"/>
  <c r="M3223" i="1" s="1"/>
  <c r="L3224" i="1"/>
  <c r="M3224" i="1" s="1" a="1"/>
  <c r="M3224" i="1" s="1"/>
  <c r="L3225" i="1"/>
  <c r="M3225" i="1" s="1" a="1"/>
  <c r="M3225" i="1" s="1"/>
  <c r="L3226" i="1"/>
  <c r="M3226" i="1" s="1" a="1"/>
  <c r="M3226" i="1" s="1"/>
  <c r="L3227" i="1"/>
  <c r="M3227" i="1" s="1" a="1"/>
  <c r="M3227" i="1" s="1"/>
  <c r="L3228" i="1"/>
  <c r="M3228" i="1" s="1" a="1"/>
  <c r="M3228" i="1" s="1"/>
  <c r="L3229" i="1"/>
  <c r="M3229" i="1" s="1" a="1"/>
  <c r="M3229" i="1" s="1"/>
  <c r="L3230" i="1"/>
  <c r="M3230" i="1" s="1" a="1"/>
  <c r="M3230" i="1" s="1"/>
  <c r="L3231" i="1"/>
  <c r="M3231" i="1" s="1" a="1"/>
  <c r="M3231" i="1" s="1"/>
  <c r="L3232" i="1"/>
  <c r="M3232" i="1" s="1" a="1"/>
  <c r="M3232" i="1" s="1"/>
  <c r="L3233" i="1"/>
  <c r="M3233" i="1" s="1" a="1"/>
  <c r="M3233" i="1" s="1"/>
  <c r="L3234" i="1"/>
  <c r="M3234" i="1" s="1" a="1"/>
  <c r="M3234" i="1" s="1"/>
  <c r="L3235" i="1"/>
  <c r="M3235" i="1" s="1" a="1"/>
  <c r="M3235" i="1" s="1"/>
  <c r="L3236" i="1"/>
  <c r="M3236" i="1" s="1" a="1"/>
  <c r="M3236" i="1" s="1"/>
  <c r="L3237" i="1"/>
  <c r="M3237" i="1" s="1" a="1"/>
  <c r="M3237" i="1" s="1"/>
  <c r="L3238" i="1"/>
  <c r="M3238" i="1" s="1" a="1"/>
  <c r="M3238" i="1" s="1"/>
  <c r="L3239" i="1"/>
  <c r="M3239" i="1" s="1" a="1"/>
  <c r="M3239" i="1" s="1"/>
  <c r="L3240" i="1"/>
  <c r="M3240" i="1" s="1" a="1"/>
  <c r="M3240" i="1" s="1"/>
  <c r="L3241" i="1"/>
  <c r="M3241" i="1" s="1" a="1"/>
  <c r="M3241" i="1" s="1"/>
  <c r="L3242" i="1"/>
  <c r="M3242" i="1" s="1" a="1"/>
  <c r="M3242" i="1" s="1"/>
  <c r="L3243" i="1"/>
  <c r="M3243" i="1" s="1" a="1"/>
  <c r="M3243" i="1" s="1"/>
  <c r="L3244" i="1"/>
  <c r="M3244" i="1" s="1" a="1"/>
  <c r="M3244" i="1" s="1"/>
  <c r="L3245" i="1"/>
  <c r="M3245" i="1" s="1" a="1"/>
  <c r="M3245" i="1" s="1"/>
  <c r="L3246" i="1"/>
  <c r="M3246" i="1" s="1" a="1"/>
  <c r="M3246" i="1" s="1"/>
  <c r="L3247" i="1"/>
  <c r="M3247" i="1" s="1" a="1"/>
  <c r="M3247" i="1" s="1"/>
  <c r="L3248" i="1"/>
  <c r="M3248" i="1" s="1" a="1"/>
  <c r="M3248" i="1" s="1"/>
  <c r="L3249" i="1"/>
  <c r="M3249" i="1" s="1" a="1"/>
  <c r="M3249" i="1" s="1"/>
  <c r="L3250" i="1"/>
  <c r="M3250" i="1" s="1" a="1"/>
  <c r="M3250" i="1" s="1"/>
  <c r="L3251" i="1"/>
  <c r="M3251" i="1" s="1" a="1"/>
  <c r="M3251" i="1" s="1"/>
  <c r="L3252" i="1"/>
  <c r="M3252" i="1" s="1" a="1"/>
  <c r="M3252" i="1" s="1"/>
  <c r="L3253" i="1"/>
  <c r="M3253" i="1" s="1" a="1"/>
  <c r="M3253" i="1" s="1"/>
  <c r="L3254" i="1"/>
  <c r="M3254" i="1" s="1" a="1"/>
  <c r="M3254" i="1" s="1"/>
  <c r="L3255" i="1"/>
  <c r="M3255" i="1" s="1" a="1"/>
  <c r="M3255" i="1" s="1"/>
  <c r="L3256" i="1"/>
  <c r="M3256" i="1" s="1" a="1"/>
  <c r="M3256" i="1" s="1"/>
  <c r="L3257" i="1"/>
  <c r="M3257" i="1" s="1" a="1"/>
  <c r="M3257" i="1" s="1"/>
  <c r="L3258" i="1"/>
  <c r="M3258" i="1" s="1" a="1"/>
  <c r="M3258" i="1" s="1"/>
  <c r="L3259" i="1"/>
  <c r="M3259" i="1" s="1" a="1"/>
  <c r="M3259" i="1" s="1"/>
  <c r="L3260" i="1"/>
  <c r="M3260" i="1" s="1" a="1"/>
  <c r="M3260" i="1" s="1"/>
  <c r="L3261" i="1"/>
  <c r="M3261" i="1" s="1" a="1"/>
  <c r="M3261" i="1" s="1"/>
  <c r="L3262" i="1"/>
  <c r="M3262" i="1" s="1" a="1"/>
  <c r="M3262" i="1" s="1"/>
  <c r="L3263" i="1"/>
  <c r="M3263" i="1" s="1" a="1"/>
  <c r="M3263" i="1" s="1"/>
  <c r="L3264" i="1"/>
  <c r="M3264" i="1" s="1" a="1"/>
  <c r="M3264" i="1" s="1"/>
  <c r="L3265" i="1"/>
  <c r="M3265" i="1" s="1" a="1"/>
  <c r="M3265" i="1" s="1"/>
  <c r="L3266" i="1"/>
  <c r="M3266" i="1" s="1" a="1"/>
  <c r="M3266" i="1" s="1"/>
  <c r="L3267" i="1"/>
  <c r="M3267" i="1" s="1" a="1"/>
  <c r="M3267" i="1" s="1"/>
  <c r="L3268" i="1"/>
  <c r="M3268" i="1" s="1" a="1"/>
  <c r="M3268" i="1" s="1"/>
  <c r="L3269" i="1"/>
  <c r="M3269" i="1" s="1" a="1"/>
  <c r="M3269" i="1" s="1"/>
  <c r="L3270" i="1"/>
  <c r="M3270" i="1" s="1" a="1"/>
  <c r="M3270" i="1" s="1"/>
  <c r="L3271" i="1"/>
  <c r="M3271" i="1" s="1" a="1"/>
  <c r="M3271" i="1" s="1"/>
  <c r="L3272" i="1"/>
  <c r="M3272" i="1" s="1" a="1"/>
  <c r="M3272" i="1" s="1"/>
  <c r="L3273" i="1"/>
  <c r="M3273" i="1" s="1" a="1"/>
  <c r="M3273" i="1" s="1"/>
  <c r="L3274" i="1"/>
  <c r="M3274" i="1" s="1" a="1"/>
  <c r="M3274" i="1" s="1"/>
  <c r="L3275" i="1"/>
  <c r="M3275" i="1" s="1" a="1"/>
  <c r="M3275" i="1" s="1"/>
  <c r="L3276" i="1"/>
  <c r="M3276" i="1" s="1" a="1"/>
  <c r="M3276" i="1" s="1"/>
  <c r="L3277" i="1"/>
  <c r="M3277" i="1" s="1" a="1"/>
  <c r="M3277" i="1" s="1"/>
  <c r="L3278" i="1"/>
  <c r="M3278" i="1" s="1" a="1"/>
  <c r="M3278" i="1" s="1"/>
  <c r="L3279" i="1"/>
  <c r="M3279" i="1" s="1" a="1"/>
  <c r="M3279" i="1" s="1"/>
  <c r="L3280" i="1"/>
  <c r="M3280" i="1" s="1" a="1"/>
  <c r="M3280" i="1" s="1"/>
  <c r="L3281" i="1"/>
  <c r="M3281" i="1" s="1" a="1"/>
  <c r="M3281" i="1" s="1"/>
  <c r="L3282" i="1"/>
  <c r="M3282" i="1" s="1" a="1"/>
  <c r="M3282" i="1" s="1"/>
  <c r="L3283" i="1"/>
  <c r="M3283" i="1" s="1" a="1"/>
  <c r="M3283" i="1" s="1"/>
  <c r="L3284" i="1"/>
  <c r="M3284" i="1" s="1" a="1"/>
  <c r="M3284" i="1" s="1"/>
  <c r="L3285" i="1"/>
  <c r="M3285" i="1" s="1" a="1"/>
  <c r="M3285" i="1" s="1"/>
  <c r="L3286" i="1"/>
  <c r="M3286" i="1" s="1" a="1"/>
  <c r="M3286" i="1" s="1"/>
  <c r="L3287" i="1"/>
  <c r="M3287" i="1" s="1" a="1"/>
  <c r="M3287" i="1" s="1"/>
  <c r="L3288" i="1"/>
  <c r="M3288" i="1" s="1" a="1"/>
  <c r="M3288" i="1" s="1"/>
  <c r="L3289" i="1"/>
  <c r="M3289" i="1" s="1" a="1"/>
  <c r="M3289" i="1" s="1"/>
  <c r="L3290" i="1"/>
  <c r="M3290" i="1" s="1" a="1"/>
  <c r="M3290" i="1" s="1"/>
  <c r="L3291" i="1"/>
  <c r="M3291" i="1" s="1" a="1"/>
  <c r="M3291" i="1" s="1"/>
  <c r="L3292" i="1"/>
  <c r="M3292" i="1" s="1" a="1"/>
  <c r="M3292" i="1" s="1"/>
  <c r="L3293" i="1"/>
  <c r="M3293" i="1" s="1" a="1"/>
  <c r="M3293" i="1" s="1"/>
  <c r="L3294" i="1"/>
  <c r="M3294" i="1" s="1" a="1"/>
  <c r="M3294" i="1" s="1"/>
  <c r="L3295" i="1"/>
  <c r="M3295" i="1" s="1" a="1"/>
  <c r="M3295" i="1" s="1"/>
  <c r="L3296" i="1"/>
  <c r="M3296" i="1" s="1" a="1"/>
  <c r="M3296" i="1" s="1"/>
  <c r="L3297" i="1"/>
  <c r="M3297" i="1" s="1" a="1"/>
  <c r="M3297" i="1" s="1"/>
  <c r="L3298" i="1"/>
  <c r="M3298" i="1" s="1" a="1"/>
  <c r="M3298" i="1" s="1"/>
  <c r="L3299" i="1"/>
  <c r="M3299" i="1" s="1" a="1"/>
  <c r="M3299" i="1" s="1"/>
  <c r="L3300" i="1"/>
  <c r="M3300" i="1" s="1" a="1"/>
  <c r="M3300" i="1" s="1"/>
  <c r="L3301" i="1"/>
  <c r="M3301" i="1" s="1" a="1"/>
  <c r="M3301" i="1" s="1"/>
  <c r="L3302" i="1"/>
  <c r="M3302" i="1" s="1" a="1"/>
  <c r="M3302" i="1" s="1"/>
  <c r="L3303" i="1"/>
  <c r="M3303" i="1" s="1" a="1"/>
  <c r="M3303" i="1" s="1"/>
  <c r="L3304" i="1"/>
  <c r="M3304" i="1" s="1" a="1"/>
  <c r="M3304" i="1" s="1"/>
  <c r="L3305" i="1"/>
  <c r="M3305" i="1" s="1" a="1"/>
  <c r="M3305" i="1" s="1"/>
  <c r="L3306" i="1"/>
  <c r="M3306" i="1" s="1" a="1"/>
  <c r="M3306" i="1" s="1"/>
  <c r="L3307" i="1"/>
  <c r="M3307" i="1" s="1" a="1"/>
  <c r="M3307" i="1" s="1"/>
  <c r="L3308" i="1"/>
  <c r="M3308" i="1" s="1" a="1"/>
  <c r="M3308" i="1" s="1"/>
  <c r="L3309" i="1"/>
  <c r="M3309" i="1" s="1" a="1"/>
  <c r="M3309" i="1" s="1"/>
  <c r="L3310" i="1"/>
  <c r="M3310" i="1" s="1" a="1"/>
  <c r="M3310" i="1" s="1"/>
  <c r="L3311" i="1"/>
  <c r="M3311" i="1" s="1" a="1"/>
  <c r="M3311" i="1" s="1"/>
  <c r="L3312" i="1"/>
  <c r="M3312" i="1" s="1" a="1"/>
  <c r="M3312" i="1" s="1"/>
  <c r="L3313" i="1"/>
  <c r="M3313" i="1" s="1" a="1"/>
  <c r="M3313" i="1" s="1"/>
  <c r="L3314" i="1"/>
  <c r="M3314" i="1" s="1" a="1"/>
  <c r="M3314" i="1" s="1"/>
  <c r="L3315" i="1"/>
  <c r="M3315" i="1" s="1" a="1"/>
  <c r="M3315" i="1" s="1"/>
  <c r="L3316" i="1"/>
  <c r="M3316" i="1" s="1" a="1"/>
  <c r="M3316" i="1" s="1"/>
  <c r="L3317" i="1"/>
  <c r="M3317" i="1" s="1" a="1"/>
  <c r="M3317" i="1" s="1"/>
  <c r="L3318" i="1"/>
  <c r="M3318" i="1" s="1" a="1"/>
  <c r="M3318" i="1" s="1"/>
  <c r="L3319" i="1"/>
  <c r="M3319" i="1" s="1" a="1"/>
  <c r="M3319" i="1" s="1"/>
  <c r="L3320" i="1"/>
  <c r="M3320" i="1" s="1" a="1"/>
  <c r="M3320" i="1" s="1"/>
  <c r="L3321" i="1"/>
  <c r="M3321" i="1" s="1" a="1"/>
  <c r="M3321" i="1" s="1"/>
  <c r="L3322" i="1"/>
  <c r="M3322" i="1" s="1" a="1"/>
  <c r="M3322" i="1" s="1"/>
  <c r="L3323" i="1"/>
  <c r="M3323" i="1" s="1" a="1"/>
  <c r="M3323" i="1" s="1"/>
  <c r="L3324" i="1"/>
  <c r="M3324" i="1" s="1" a="1"/>
  <c r="M3324" i="1" s="1"/>
  <c r="L3325" i="1"/>
  <c r="M3325" i="1" s="1" a="1"/>
  <c r="M3325" i="1" s="1"/>
  <c r="L3326" i="1"/>
  <c r="M3326" i="1" s="1" a="1"/>
  <c r="M3326" i="1" s="1"/>
  <c r="L3327" i="1"/>
  <c r="M3327" i="1" s="1" a="1"/>
  <c r="M3327" i="1" s="1"/>
  <c r="L3328" i="1"/>
  <c r="M3328" i="1" s="1" a="1"/>
  <c r="M3328" i="1" s="1"/>
  <c r="L3329" i="1"/>
  <c r="M3329" i="1" s="1" a="1"/>
  <c r="M3329" i="1" s="1"/>
  <c r="L3330" i="1"/>
  <c r="M3330" i="1" s="1" a="1"/>
  <c r="M3330" i="1" s="1"/>
  <c r="L3331" i="1"/>
  <c r="M3331" i="1" s="1" a="1"/>
  <c r="M3331" i="1" s="1"/>
  <c r="L3332" i="1"/>
  <c r="M3332" i="1" s="1" a="1"/>
  <c r="M3332" i="1" s="1"/>
  <c r="L3333" i="1"/>
  <c r="M3333" i="1" s="1" a="1"/>
  <c r="M3333" i="1" s="1"/>
  <c r="L3334" i="1"/>
  <c r="M3334" i="1" s="1" a="1"/>
  <c r="M3334" i="1" s="1"/>
  <c r="L3335" i="1"/>
  <c r="M3335" i="1" s="1" a="1"/>
  <c r="M3335" i="1" s="1"/>
  <c r="L3336" i="1"/>
  <c r="M3336" i="1" s="1" a="1"/>
  <c r="M3336" i="1" s="1"/>
  <c r="L3337" i="1"/>
  <c r="M3337" i="1" s="1" a="1"/>
  <c r="M3337" i="1" s="1"/>
  <c r="L3338" i="1"/>
  <c r="M3338" i="1" s="1" a="1"/>
  <c r="M3338" i="1" s="1"/>
  <c r="L3339" i="1"/>
  <c r="M3339" i="1" s="1" a="1"/>
  <c r="M3339" i="1" s="1"/>
  <c r="L3340" i="1"/>
  <c r="M3340" i="1" s="1" a="1"/>
  <c r="M3340" i="1" s="1"/>
  <c r="L3341" i="1"/>
  <c r="M3341" i="1" s="1" a="1"/>
  <c r="M3341" i="1" s="1"/>
  <c r="L3342" i="1"/>
  <c r="M3342" i="1" s="1" a="1"/>
  <c r="M3342" i="1" s="1"/>
  <c r="L3343" i="1"/>
  <c r="M3343" i="1" s="1" a="1"/>
  <c r="M3343" i="1" s="1"/>
  <c r="L3344" i="1"/>
  <c r="M3344" i="1" s="1" a="1"/>
  <c r="M3344" i="1" s="1"/>
  <c r="L3345" i="1"/>
  <c r="M3345" i="1" s="1" a="1"/>
  <c r="M3345" i="1" s="1"/>
  <c r="L3346" i="1"/>
  <c r="M3346" i="1" s="1" a="1"/>
  <c r="M3346" i="1" s="1"/>
  <c r="L3347" i="1"/>
  <c r="M3347" i="1" s="1" a="1"/>
  <c r="M3347" i="1" s="1"/>
  <c r="L3348" i="1"/>
  <c r="M3348" i="1" s="1" a="1"/>
  <c r="M3348" i="1" s="1"/>
  <c r="L3349" i="1"/>
  <c r="M3349" i="1" s="1" a="1"/>
  <c r="M3349" i="1" s="1"/>
  <c r="L3350" i="1"/>
  <c r="M3350" i="1" s="1" a="1"/>
  <c r="M3350" i="1" s="1"/>
  <c r="L3351" i="1"/>
  <c r="M3351" i="1" s="1" a="1"/>
  <c r="M3351" i="1" s="1"/>
  <c r="L3352" i="1"/>
  <c r="M3352" i="1" s="1" a="1"/>
  <c r="M3352" i="1" s="1"/>
  <c r="L3353" i="1"/>
  <c r="M3353" i="1" s="1" a="1"/>
  <c r="M3353" i="1" s="1"/>
  <c r="L3354" i="1"/>
  <c r="M3354" i="1" s="1" a="1"/>
  <c r="M3354" i="1" s="1"/>
  <c r="L3355" i="1"/>
  <c r="M3355" i="1" s="1" a="1"/>
  <c r="M3355" i="1" s="1"/>
  <c r="L3356" i="1"/>
  <c r="M3356" i="1" s="1" a="1"/>
  <c r="M3356" i="1" s="1"/>
  <c r="L3357" i="1"/>
  <c r="M3357" i="1" s="1" a="1"/>
  <c r="M3357" i="1" s="1"/>
  <c r="L3358" i="1"/>
  <c r="M3358" i="1" s="1" a="1"/>
  <c r="M3358" i="1" s="1"/>
  <c r="L3359" i="1"/>
  <c r="M3359" i="1" s="1" a="1"/>
  <c r="M3359" i="1" s="1"/>
  <c r="L3360" i="1"/>
  <c r="M3360" i="1" s="1" a="1"/>
  <c r="M3360" i="1" s="1"/>
  <c r="L3361" i="1"/>
  <c r="M3361" i="1" s="1" a="1"/>
  <c r="M3361" i="1" s="1"/>
  <c r="L3362" i="1"/>
  <c r="M3362" i="1" s="1" a="1"/>
  <c r="M3362" i="1" s="1"/>
  <c r="L3363" i="1"/>
  <c r="M3363" i="1" s="1" a="1"/>
  <c r="M3363" i="1" s="1"/>
  <c r="L3364" i="1"/>
  <c r="M3364" i="1" s="1" a="1"/>
  <c r="M3364" i="1" s="1"/>
  <c r="L3365" i="1"/>
  <c r="M3365" i="1" s="1" a="1"/>
  <c r="M3365" i="1" s="1"/>
  <c r="L3366" i="1"/>
  <c r="M3366" i="1" s="1" a="1"/>
  <c r="M3366" i="1" s="1"/>
  <c r="L3367" i="1"/>
  <c r="M3367" i="1" s="1" a="1"/>
  <c r="M3367" i="1" s="1"/>
  <c r="L3368" i="1"/>
  <c r="M3368" i="1" s="1" a="1"/>
  <c r="M3368" i="1" s="1"/>
  <c r="L3369" i="1"/>
  <c r="M3369" i="1" s="1" a="1"/>
  <c r="M3369" i="1" s="1"/>
  <c r="L3370" i="1"/>
  <c r="M3370" i="1" s="1" a="1"/>
  <c r="M3370" i="1" s="1"/>
  <c r="L3371" i="1"/>
  <c r="M3371" i="1" s="1" a="1"/>
  <c r="M3371" i="1" s="1"/>
  <c r="L3372" i="1"/>
  <c r="M3372" i="1" s="1" a="1"/>
  <c r="M3372" i="1" s="1"/>
  <c r="L3373" i="1"/>
  <c r="M3373" i="1" s="1" a="1"/>
  <c r="M3373" i="1" s="1"/>
  <c r="L3374" i="1"/>
  <c r="M3374" i="1" s="1" a="1"/>
  <c r="M3374" i="1" s="1"/>
  <c r="L3375" i="1"/>
  <c r="M3375" i="1" s="1" a="1"/>
  <c r="M3375" i="1" s="1"/>
  <c r="L3376" i="1"/>
  <c r="M3376" i="1" s="1" a="1"/>
  <c r="M3376" i="1" s="1"/>
  <c r="L3377" i="1"/>
  <c r="M3377" i="1" s="1" a="1"/>
  <c r="M3377" i="1" s="1"/>
  <c r="L3378" i="1"/>
  <c r="M3378" i="1" s="1" a="1"/>
  <c r="M3378" i="1" s="1"/>
  <c r="L3379" i="1"/>
  <c r="M3379" i="1" s="1" a="1"/>
  <c r="M3379" i="1" s="1"/>
  <c r="L3380" i="1"/>
  <c r="M3380" i="1" s="1" a="1"/>
  <c r="M3380" i="1" s="1"/>
  <c r="L3381" i="1"/>
  <c r="M3381" i="1" s="1" a="1"/>
  <c r="M3381" i="1" s="1"/>
  <c r="L3382" i="1"/>
  <c r="M3382" i="1" s="1" a="1"/>
  <c r="M3382" i="1" s="1"/>
  <c r="L3383" i="1"/>
  <c r="M3383" i="1" s="1" a="1"/>
  <c r="M3383" i="1" s="1"/>
  <c r="L3384" i="1"/>
  <c r="M3384" i="1" s="1" a="1"/>
  <c r="M3384" i="1" s="1"/>
  <c r="L3385" i="1"/>
  <c r="M3385" i="1" s="1" a="1"/>
  <c r="M3385" i="1" s="1"/>
  <c r="L3386" i="1"/>
  <c r="M3386" i="1" s="1" a="1"/>
  <c r="M3386" i="1" s="1"/>
  <c r="L3387" i="1"/>
  <c r="M3387" i="1" s="1" a="1"/>
  <c r="M3387" i="1" s="1"/>
  <c r="L3388" i="1"/>
  <c r="M3388" i="1" s="1" a="1"/>
  <c r="M3388" i="1" s="1"/>
  <c r="L3389" i="1"/>
  <c r="M3389" i="1" s="1" a="1"/>
  <c r="M3389" i="1" s="1"/>
  <c r="L3390" i="1"/>
  <c r="M3390" i="1" s="1" a="1"/>
  <c r="M3390" i="1" s="1"/>
  <c r="L3391" i="1"/>
  <c r="M3391" i="1" s="1" a="1"/>
  <c r="M3391" i="1" s="1"/>
  <c r="L3392" i="1"/>
  <c r="M3392" i="1" s="1" a="1"/>
  <c r="M3392" i="1" s="1"/>
  <c r="L3393" i="1"/>
  <c r="M3393" i="1" s="1" a="1"/>
  <c r="M3393" i="1" s="1"/>
  <c r="L3394" i="1"/>
  <c r="M3394" i="1" s="1" a="1"/>
  <c r="M3394" i="1" s="1"/>
  <c r="L3395" i="1"/>
  <c r="M3395" i="1" s="1" a="1"/>
  <c r="M3395" i="1" s="1"/>
  <c r="L3396" i="1"/>
  <c r="M3396" i="1" s="1" a="1"/>
  <c r="M3396" i="1" s="1"/>
  <c r="L3397" i="1"/>
  <c r="M3397" i="1" s="1" a="1"/>
  <c r="M3397" i="1" s="1"/>
  <c r="L3398" i="1"/>
  <c r="M3398" i="1" s="1" a="1"/>
  <c r="M3398" i="1" s="1"/>
  <c r="L3399" i="1"/>
  <c r="M3399" i="1" s="1" a="1"/>
  <c r="M3399" i="1" s="1"/>
  <c r="L3400" i="1"/>
  <c r="M3400" i="1" s="1" a="1"/>
  <c r="M3400" i="1" s="1"/>
  <c r="L3401" i="1"/>
  <c r="M3401" i="1" s="1" a="1"/>
  <c r="M3401" i="1" s="1"/>
  <c r="L3402" i="1"/>
  <c r="M3402" i="1" s="1" a="1"/>
  <c r="M3402" i="1" s="1"/>
  <c r="L3403" i="1"/>
  <c r="M3403" i="1" s="1" a="1"/>
  <c r="M3403" i="1" s="1"/>
  <c r="L3404" i="1"/>
  <c r="M3404" i="1" s="1" a="1"/>
  <c r="M3404" i="1" s="1"/>
  <c r="L3405" i="1"/>
  <c r="M3405" i="1" s="1" a="1"/>
  <c r="M3405" i="1" s="1"/>
  <c r="L3406" i="1"/>
  <c r="M3406" i="1" s="1" a="1"/>
  <c r="M3406" i="1" s="1"/>
  <c r="L3407" i="1"/>
  <c r="M3407" i="1" s="1" a="1"/>
  <c r="M3407" i="1" s="1"/>
  <c r="L3408" i="1"/>
  <c r="M3408" i="1" s="1" a="1"/>
  <c r="M3408" i="1" s="1"/>
  <c r="L3409" i="1"/>
  <c r="M3409" i="1" s="1" a="1"/>
  <c r="M3409" i="1" s="1"/>
  <c r="L3410" i="1"/>
  <c r="M3410" i="1" s="1" a="1"/>
  <c r="M3410" i="1" s="1"/>
  <c r="L3411" i="1"/>
  <c r="M3411" i="1" s="1" a="1"/>
  <c r="M3411" i="1" s="1"/>
  <c r="L3412" i="1"/>
  <c r="M3412" i="1" s="1" a="1"/>
  <c r="M3412" i="1" s="1"/>
  <c r="L3413" i="1"/>
  <c r="M3413" i="1" s="1" a="1"/>
  <c r="M3413" i="1" s="1"/>
  <c r="L3414" i="1"/>
  <c r="M3414" i="1" s="1" a="1"/>
  <c r="M3414" i="1" s="1"/>
  <c r="L3415" i="1"/>
  <c r="M3415" i="1" s="1" a="1"/>
  <c r="M3415" i="1" s="1"/>
  <c r="L3416" i="1"/>
  <c r="M3416" i="1" s="1" a="1"/>
  <c r="M3416" i="1" s="1"/>
  <c r="L3417" i="1"/>
  <c r="M3417" i="1" s="1" a="1"/>
  <c r="M3417" i="1" s="1"/>
  <c r="L3418" i="1"/>
  <c r="M3418" i="1" s="1" a="1"/>
  <c r="M3418" i="1" s="1"/>
  <c r="L3419" i="1"/>
  <c r="M3419" i="1" s="1" a="1"/>
  <c r="M3419" i="1" s="1"/>
  <c r="L3420" i="1"/>
  <c r="M3420" i="1" s="1" a="1"/>
  <c r="M3420" i="1" s="1"/>
  <c r="L3421" i="1"/>
  <c r="M3421" i="1" s="1" a="1"/>
  <c r="M3421" i="1" s="1"/>
  <c r="L3422" i="1"/>
  <c r="M3422" i="1" s="1" a="1"/>
  <c r="M3422" i="1" s="1"/>
  <c r="L3423" i="1"/>
  <c r="M3423" i="1" s="1" a="1"/>
  <c r="M3423" i="1" s="1"/>
  <c r="L3424" i="1"/>
  <c r="M3424" i="1" s="1" a="1"/>
  <c r="M3424" i="1" s="1"/>
  <c r="L3425" i="1"/>
  <c r="M3425" i="1" s="1" a="1"/>
  <c r="M3425" i="1" s="1"/>
  <c r="L3426" i="1"/>
  <c r="M3426" i="1" s="1" a="1"/>
  <c r="M3426" i="1" s="1"/>
  <c r="L3427" i="1"/>
  <c r="M3427" i="1" s="1" a="1"/>
  <c r="M3427" i="1" s="1"/>
  <c r="L3428" i="1"/>
  <c r="M3428" i="1" s="1" a="1"/>
  <c r="M3428" i="1" s="1"/>
  <c r="L3429" i="1"/>
  <c r="M3429" i="1" s="1" a="1"/>
  <c r="M3429" i="1" s="1"/>
  <c r="L3430" i="1"/>
  <c r="M3430" i="1" s="1" a="1"/>
  <c r="M3430" i="1" s="1"/>
  <c r="L3431" i="1"/>
  <c r="M3431" i="1" s="1" a="1"/>
  <c r="M3431" i="1" s="1"/>
  <c r="L3432" i="1"/>
  <c r="M3432" i="1" s="1" a="1"/>
  <c r="M3432" i="1" s="1"/>
  <c r="L3433" i="1"/>
  <c r="M3433" i="1" s="1" a="1"/>
  <c r="M3433" i="1" s="1"/>
  <c r="L3434" i="1"/>
  <c r="M3434" i="1" s="1" a="1"/>
  <c r="M3434" i="1" s="1"/>
  <c r="L3435" i="1"/>
  <c r="M3435" i="1" s="1" a="1"/>
  <c r="M3435" i="1" s="1"/>
  <c r="L3436" i="1"/>
  <c r="M3436" i="1" s="1" a="1"/>
  <c r="M3436" i="1" s="1"/>
  <c r="L3437" i="1"/>
  <c r="M3437" i="1" s="1" a="1"/>
  <c r="M3437" i="1" s="1"/>
  <c r="L3438" i="1"/>
  <c r="M3438" i="1" s="1" a="1"/>
  <c r="M3438" i="1" s="1"/>
  <c r="L3439" i="1"/>
  <c r="M3439" i="1" s="1" a="1"/>
  <c r="M3439" i="1" s="1"/>
  <c r="L3440" i="1"/>
  <c r="M3440" i="1" s="1" a="1"/>
  <c r="M3440" i="1" s="1"/>
  <c r="L3441" i="1"/>
  <c r="M3441" i="1" s="1" a="1"/>
  <c r="M3441" i="1" s="1"/>
  <c r="L3442" i="1"/>
  <c r="M3442" i="1" s="1" a="1"/>
  <c r="M3442" i="1" s="1"/>
  <c r="L3443" i="1"/>
  <c r="M3443" i="1" s="1" a="1"/>
  <c r="M3443" i="1" s="1"/>
  <c r="L3444" i="1"/>
  <c r="M3444" i="1" s="1" a="1"/>
  <c r="M3444" i="1" s="1"/>
  <c r="L3445" i="1"/>
  <c r="M3445" i="1" s="1" a="1"/>
  <c r="M3445" i="1" s="1"/>
  <c r="L3446" i="1"/>
  <c r="M3446" i="1" s="1" a="1"/>
  <c r="M3446" i="1" s="1"/>
  <c r="L3447" i="1"/>
  <c r="M3447" i="1" s="1" a="1"/>
  <c r="M3447" i="1" s="1"/>
  <c r="L3448" i="1"/>
  <c r="M3448" i="1" s="1" a="1"/>
  <c r="M3448" i="1" s="1"/>
  <c r="L3449" i="1"/>
  <c r="M3449" i="1" s="1" a="1"/>
  <c r="M3449" i="1" s="1"/>
  <c r="L3450" i="1"/>
  <c r="M3450" i="1" s="1" a="1"/>
  <c r="M3450" i="1" s="1"/>
  <c r="L3451" i="1"/>
  <c r="M3451" i="1" s="1" a="1"/>
  <c r="M3451" i="1" s="1"/>
  <c r="L3452" i="1"/>
  <c r="M3452" i="1" s="1" a="1"/>
  <c r="M3452" i="1" s="1"/>
  <c r="L3453" i="1"/>
  <c r="M3453" i="1" s="1" a="1"/>
  <c r="M3453" i="1" s="1"/>
  <c r="L3454" i="1"/>
  <c r="M3454" i="1" s="1" a="1"/>
  <c r="M3454" i="1" s="1"/>
  <c r="L3455" i="1"/>
  <c r="M3455" i="1" s="1" a="1"/>
  <c r="M3455" i="1" s="1"/>
  <c r="L3456" i="1"/>
  <c r="M3456" i="1" s="1" a="1"/>
  <c r="M3456" i="1" s="1"/>
  <c r="L3457" i="1"/>
  <c r="M3457" i="1" s="1" a="1"/>
  <c r="M3457" i="1" s="1"/>
  <c r="L3458" i="1"/>
  <c r="M3458" i="1" s="1" a="1"/>
  <c r="M3458" i="1" s="1"/>
  <c r="L3459" i="1"/>
  <c r="M3459" i="1" s="1" a="1"/>
  <c r="M3459" i="1" s="1"/>
  <c r="L3460" i="1"/>
  <c r="M3460" i="1" s="1" a="1"/>
  <c r="M3460" i="1" s="1"/>
  <c r="L3461" i="1"/>
  <c r="M3461" i="1" s="1" a="1"/>
  <c r="M3461" i="1" s="1"/>
  <c r="L3462" i="1"/>
  <c r="M3462" i="1" s="1" a="1"/>
  <c r="M3462" i="1" s="1"/>
  <c r="L3463" i="1"/>
  <c r="M3463" i="1" s="1" a="1"/>
  <c r="M3463" i="1" s="1"/>
  <c r="L3464" i="1"/>
  <c r="M3464" i="1" s="1" a="1"/>
  <c r="M3464" i="1" s="1"/>
  <c r="L3465" i="1"/>
  <c r="M3465" i="1" s="1" a="1"/>
  <c r="M3465" i="1" s="1"/>
  <c r="L3466" i="1"/>
  <c r="M3466" i="1" s="1" a="1"/>
  <c r="M3466" i="1" s="1"/>
  <c r="L3467" i="1"/>
  <c r="M3467" i="1" s="1" a="1"/>
  <c r="M3467" i="1" s="1"/>
  <c r="L3468" i="1"/>
  <c r="M3468" i="1" s="1" a="1"/>
  <c r="M3468" i="1" s="1"/>
  <c r="L3469" i="1"/>
  <c r="M3469" i="1" s="1" a="1"/>
  <c r="M3469" i="1" s="1"/>
  <c r="L3470" i="1"/>
  <c r="M3470" i="1" s="1" a="1"/>
  <c r="M3470" i="1" s="1"/>
  <c r="L3471" i="1"/>
  <c r="M3471" i="1" s="1" a="1"/>
  <c r="M3471" i="1" s="1"/>
  <c r="L3472" i="1"/>
  <c r="M3472" i="1" s="1" a="1"/>
  <c r="M3472" i="1" s="1"/>
  <c r="L3473" i="1"/>
  <c r="M3473" i="1" s="1" a="1"/>
  <c r="M3473" i="1" s="1"/>
  <c r="L3474" i="1"/>
  <c r="M3474" i="1" s="1" a="1"/>
  <c r="M3474" i="1" s="1"/>
  <c r="L3475" i="1"/>
  <c r="M3475" i="1" s="1" a="1"/>
  <c r="M3475" i="1" s="1"/>
  <c r="L3476" i="1"/>
  <c r="M3476" i="1" s="1" a="1"/>
  <c r="M3476" i="1" s="1"/>
  <c r="L3477" i="1"/>
  <c r="M3477" i="1" s="1" a="1"/>
  <c r="M3477" i="1" s="1"/>
  <c r="L3478" i="1"/>
  <c r="M3478" i="1" s="1" a="1"/>
  <c r="M3478" i="1" s="1"/>
  <c r="L3479" i="1"/>
  <c r="M3479" i="1" s="1" a="1"/>
  <c r="M3479" i="1" s="1"/>
  <c r="L3480" i="1"/>
  <c r="M3480" i="1" s="1" a="1"/>
  <c r="M3480" i="1" s="1"/>
  <c r="L3481" i="1"/>
  <c r="M3481" i="1" s="1" a="1"/>
  <c r="M3481" i="1" s="1"/>
  <c r="L3482" i="1"/>
  <c r="M3482" i="1" s="1" a="1"/>
  <c r="M3482" i="1" s="1"/>
  <c r="L3483" i="1"/>
  <c r="M3483" i="1" s="1" a="1"/>
  <c r="M3483" i="1" s="1"/>
  <c r="L3484" i="1"/>
  <c r="M3484" i="1" s="1" a="1"/>
  <c r="M3484" i="1" s="1"/>
  <c r="L3485" i="1"/>
  <c r="M3485" i="1" s="1" a="1"/>
  <c r="M3485" i="1" s="1"/>
  <c r="L3486" i="1"/>
  <c r="M3486" i="1" s="1" a="1"/>
  <c r="M3486" i="1" s="1"/>
  <c r="L3487" i="1"/>
  <c r="M3487" i="1" s="1" a="1"/>
  <c r="M3487" i="1" s="1"/>
  <c r="L3488" i="1"/>
  <c r="M3488" i="1" s="1" a="1"/>
  <c r="M3488" i="1" s="1"/>
  <c r="L3489" i="1"/>
  <c r="M3489" i="1" s="1" a="1"/>
  <c r="M3489" i="1" s="1"/>
  <c r="L3490" i="1"/>
  <c r="M3490" i="1" s="1" a="1"/>
  <c r="M3490" i="1" s="1"/>
  <c r="L3491" i="1"/>
  <c r="M3491" i="1" s="1" a="1"/>
  <c r="M3491" i="1" s="1"/>
  <c r="L3492" i="1"/>
  <c r="M3492" i="1" s="1" a="1"/>
  <c r="M3492" i="1" s="1"/>
  <c r="L3493" i="1"/>
  <c r="M3493" i="1" s="1" a="1"/>
  <c r="M3493" i="1" s="1"/>
  <c r="L3494" i="1"/>
  <c r="M3494" i="1" s="1" a="1"/>
  <c r="M3494" i="1" s="1"/>
  <c r="L3495" i="1"/>
  <c r="M3495" i="1" s="1" a="1"/>
  <c r="M3495" i="1" s="1"/>
  <c r="L3496" i="1"/>
  <c r="M3496" i="1" s="1" a="1"/>
  <c r="M3496" i="1" s="1"/>
  <c r="L3497" i="1"/>
  <c r="M3497" i="1" s="1" a="1"/>
  <c r="M3497" i="1" s="1"/>
  <c r="L3498" i="1"/>
  <c r="M3498" i="1" s="1" a="1"/>
  <c r="M3498" i="1" s="1"/>
  <c r="L3499" i="1"/>
  <c r="M3499" i="1" s="1" a="1"/>
  <c r="M3499" i="1" s="1"/>
  <c r="L3500" i="1"/>
  <c r="M3500" i="1" s="1" a="1"/>
  <c r="M3500" i="1" s="1"/>
  <c r="L3501" i="1"/>
  <c r="M3501" i="1" s="1" a="1"/>
  <c r="M3501" i="1" s="1"/>
  <c r="L3502" i="1"/>
  <c r="M3502" i="1" s="1" a="1"/>
  <c r="M3502" i="1" s="1"/>
  <c r="L3503" i="1"/>
  <c r="M3503" i="1" s="1" a="1"/>
  <c r="M3503" i="1" s="1"/>
  <c r="L3504" i="1"/>
  <c r="M3504" i="1" s="1" a="1"/>
  <c r="M3504" i="1" s="1"/>
  <c r="L3505" i="1"/>
  <c r="M3505" i="1" s="1" a="1"/>
  <c r="M3505" i="1" s="1"/>
  <c r="L3506" i="1"/>
  <c r="M3506" i="1" s="1" a="1"/>
  <c r="M3506" i="1" s="1"/>
  <c r="L3507" i="1"/>
  <c r="M3507" i="1" s="1" a="1"/>
  <c r="M3507" i="1" s="1"/>
  <c r="L3508" i="1"/>
  <c r="M3508" i="1" s="1" a="1"/>
  <c r="M3508" i="1" s="1"/>
  <c r="L3509" i="1"/>
  <c r="M3509" i="1" s="1" a="1"/>
  <c r="M3509" i="1" s="1"/>
  <c r="L3510" i="1"/>
  <c r="M3510" i="1" s="1" a="1"/>
  <c r="M3510" i="1" s="1"/>
  <c r="L3511" i="1"/>
  <c r="M3511" i="1" s="1" a="1"/>
  <c r="M3511" i="1" s="1"/>
  <c r="L3512" i="1"/>
  <c r="M3512" i="1" s="1" a="1"/>
  <c r="M3512" i="1" s="1"/>
  <c r="L3513" i="1"/>
  <c r="M3513" i="1" s="1" a="1"/>
  <c r="M3513" i="1" s="1"/>
  <c r="L3514" i="1"/>
  <c r="M3514" i="1" s="1" a="1"/>
  <c r="M3514" i="1" s="1"/>
  <c r="L3515" i="1"/>
  <c r="M3515" i="1" s="1" a="1"/>
  <c r="M3515" i="1" s="1"/>
  <c r="L3516" i="1"/>
  <c r="M3516" i="1" s="1" a="1"/>
  <c r="M3516" i="1" s="1"/>
  <c r="L3517" i="1"/>
  <c r="M3517" i="1" s="1" a="1"/>
  <c r="M3517" i="1" s="1"/>
  <c r="L3518" i="1"/>
  <c r="M3518" i="1" s="1" a="1"/>
  <c r="M3518" i="1" s="1"/>
  <c r="L3519" i="1"/>
  <c r="M3519" i="1" s="1" a="1"/>
  <c r="M3519" i="1" s="1"/>
  <c r="L3520" i="1"/>
  <c r="M3520" i="1" s="1" a="1"/>
  <c r="M3520" i="1" s="1"/>
  <c r="L3521" i="1"/>
  <c r="M3521" i="1" s="1" a="1"/>
  <c r="M3521" i="1" s="1"/>
  <c r="L3522" i="1"/>
  <c r="M3522" i="1" s="1" a="1"/>
  <c r="M3522" i="1" s="1"/>
  <c r="L3523" i="1"/>
  <c r="M3523" i="1" s="1" a="1"/>
  <c r="M3523" i="1" s="1"/>
  <c r="L3524" i="1"/>
  <c r="M3524" i="1" s="1" a="1"/>
  <c r="M3524" i="1" s="1"/>
  <c r="L3525" i="1"/>
  <c r="M3525" i="1" s="1" a="1"/>
  <c r="M3525" i="1" s="1"/>
  <c r="L3526" i="1"/>
  <c r="M3526" i="1" s="1" a="1"/>
  <c r="M3526" i="1" s="1"/>
  <c r="L3527" i="1"/>
  <c r="M3527" i="1" s="1" a="1"/>
  <c r="M3527" i="1" s="1"/>
  <c r="L3528" i="1"/>
  <c r="M3528" i="1" s="1" a="1"/>
  <c r="M3528" i="1" s="1"/>
  <c r="L3529" i="1"/>
  <c r="M3529" i="1" s="1" a="1"/>
  <c r="M3529" i="1" s="1"/>
  <c r="L3530" i="1"/>
  <c r="M3530" i="1" s="1" a="1"/>
  <c r="M3530" i="1" s="1"/>
  <c r="L3531" i="1"/>
  <c r="M3531" i="1" s="1" a="1"/>
  <c r="M3531" i="1" s="1"/>
  <c r="L3532" i="1"/>
  <c r="M3532" i="1" s="1" a="1"/>
  <c r="M3532" i="1" s="1"/>
  <c r="L3533" i="1"/>
  <c r="M3533" i="1" s="1" a="1"/>
  <c r="M3533" i="1" s="1"/>
  <c r="L3534" i="1"/>
  <c r="M3534" i="1" s="1" a="1"/>
  <c r="M3534" i="1" s="1"/>
  <c r="L3535" i="1"/>
  <c r="M3535" i="1" s="1" a="1"/>
  <c r="M3535" i="1" s="1"/>
  <c r="L3536" i="1"/>
  <c r="M3536" i="1" s="1" a="1"/>
  <c r="M3536" i="1" s="1"/>
  <c r="L3537" i="1"/>
  <c r="M3537" i="1" s="1" a="1"/>
  <c r="M3537" i="1" s="1"/>
  <c r="L3538" i="1"/>
  <c r="M3538" i="1" s="1" a="1"/>
  <c r="M3538" i="1" s="1"/>
  <c r="L3539" i="1"/>
  <c r="M3539" i="1" s="1" a="1"/>
  <c r="M3539" i="1" s="1"/>
  <c r="L3540" i="1"/>
  <c r="M3540" i="1" s="1" a="1"/>
  <c r="M3540" i="1" s="1"/>
  <c r="L3541" i="1"/>
  <c r="M3541" i="1" s="1" a="1"/>
  <c r="M3541" i="1" s="1"/>
  <c r="L3542" i="1"/>
  <c r="M3542" i="1" s="1" a="1"/>
  <c r="M3542" i="1" s="1"/>
  <c r="L3543" i="1"/>
  <c r="M3543" i="1" s="1" a="1"/>
  <c r="M3543" i="1" s="1"/>
  <c r="L3544" i="1"/>
  <c r="M3544" i="1" s="1" a="1"/>
  <c r="M3544" i="1" s="1"/>
  <c r="L3545" i="1"/>
  <c r="M3545" i="1" s="1" a="1"/>
  <c r="M3545" i="1" s="1"/>
  <c r="L3546" i="1"/>
  <c r="M3546" i="1" s="1" a="1"/>
  <c r="M3546" i="1" s="1"/>
  <c r="L3547" i="1"/>
  <c r="M3547" i="1" s="1" a="1"/>
  <c r="M3547" i="1" s="1"/>
  <c r="L3548" i="1"/>
  <c r="M3548" i="1" s="1" a="1"/>
  <c r="M3548" i="1" s="1"/>
  <c r="L3549" i="1"/>
  <c r="M3549" i="1" s="1" a="1"/>
  <c r="M3549" i="1" s="1"/>
  <c r="L3550" i="1"/>
  <c r="M3550" i="1" s="1" a="1"/>
  <c r="M3550" i="1" s="1"/>
  <c r="L3551" i="1"/>
  <c r="M3551" i="1" s="1" a="1"/>
  <c r="M3551" i="1" s="1"/>
  <c r="L3552" i="1"/>
  <c r="M3552" i="1" s="1" a="1"/>
  <c r="M3552" i="1" s="1"/>
  <c r="L3553" i="1"/>
  <c r="M3553" i="1" s="1" a="1"/>
  <c r="M3553" i="1" s="1"/>
  <c r="L3554" i="1"/>
  <c r="M3554" i="1" s="1" a="1"/>
  <c r="M3554" i="1" s="1"/>
  <c r="L3555" i="1"/>
  <c r="M3555" i="1" s="1" a="1"/>
  <c r="M3555" i="1" s="1"/>
  <c r="L3556" i="1"/>
  <c r="M3556" i="1" s="1" a="1"/>
  <c r="M3556" i="1" s="1"/>
  <c r="L3557" i="1"/>
  <c r="M3557" i="1" s="1" a="1"/>
  <c r="M3557" i="1" s="1"/>
  <c r="L3558" i="1"/>
  <c r="M3558" i="1" s="1" a="1"/>
  <c r="M3558" i="1" s="1"/>
  <c r="L3559" i="1"/>
  <c r="M3559" i="1" s="1" a="1"/>
  <c r="M3559" i="1" s="1"/>
  <c r="L3560" i="1"/>
  <c r="M3560" i="1" s="1" a="1"/>
  <c r="M3560" i="1" s="1"/>
  <c r="L3561" i="1"/>
  <c r="M3561" i="1" s="1" a="1"/>
  <c r="M3561" i="1" s="1"/>
  <c r="L3562" i="1"/>
  <c r="M3562" i="1" s="1" a="1"/>
  <c r="M3562" i="1" s="1"/>
  <c r="L3563" i="1"/>
  <c r="M3563" i="1" s="1" a="1"/>
  <c r="M3563" i="1" s="1"/>
  <c r="L3564" i="1"/>
  <c r="M3564" i="1" s="1" a="1"/>
  <c r="M3564" i="1" s="1"/>
  <c r="L3565" i="1"/>
  <c r="M3565" i="1" s="1" a="1"/>
  <c r="M3565" i="1" s="1"/>
  <c r="L3566" i="1"/>
  <c r="M3566" i="1" s="1" a="1"/>
  <c r="M3566" i="1" s="1"/>
  <c r="L3567" i="1"/>
  <c r="M3567" i="1" s="1" a="1"/>
  <c r="M3567" i="1" s="1"/>
  <c r="L3568" i="1"/>
  <c r="M3568" i="1" s="1" a="1"/>
  <c r="M3568" i="1" s="1"/>
  <c r="L3569" i="1"/>
  <c r="M3569" i="1" s="1" a="1"/>
  <c r="M3569" i="1" s="1"/>
  <c r="L3570" i="1"/>
  <c r="M3570" i="1" s="1" a="1"/>
  <c r="M3570" i="1" s="1"/>
  <c r="L3571" i="1"/>
  <c r="M3571" i="1" s="1" a="1"/>
  <c r="M3571" i="1" s="1"/>
  <c r="L3572" i="1"/>
  <c r="M3572" i="1" s="1" a="1"/>
  <c r="M3572" i="1" s="1"/>
  <c r="L3573" i="1"/>
  <c r="M3573" i="1" s="1" a="1"/>
  <c r="M3573" i="1" s="1"/>
  <c r="L3574" i="1"/>
  <c r="M3574" i="1" s="1" a="1"/>
  <c r="M3574" i="1" s="1"/>
  <c r="L3575" i="1"/>
  <c r="M3575" i="1" s="1" a="1"/>
  <c r="M3575" i="1" s="1"/>
  <c r="L3576" i="1"/>
  <c r="M3576" i="1" s="1" a="1"/>
  <c r="M3576" i="1" s="1"/>
  <c r="L3577" i="1"/>
  <c r="M3577" i="1" s="1" a="1"/>
  <c r="M3577" i="1" s="1"/>
  <c r="L3578" i="1"/>
  <c r="M3578" i="1" s="1" a="1"/>
  <c r="M3578" i="1" s="1"/>
  <c r="L3579" i="1"/>
  <c r="M3579" i="1" s="1" a="1"/>
  <c r="M3579" i="1" s="1"/>
  <c r="L3580" i="1"/>
  <c r="M3580" i="1" s="1" a="1"/>
  <c r="M3580" i="1" s="1"/>
  <c r="L3581" i="1"/>
  <c r="M3581" i="1" s="1" a="1"/>
  <c r="M3581" i="1" s="1"/>
  <c r="L3582" i="1"/>
  <c r="M3582" i="1" s="1" a="1"/>
  <c r="M3582" i="1" s="1"/>
  <c r="L3583" i="1"/>
  <c r="M3583" i="1" s="1" a="1"/>
  <c r="M3583" i="1" s="1"/>
  <c r="L3584" i="1"/>
  <c r="M3584" i="1" s="1" a="1"/>
  <c r="M3584" i="1" s="1"/>
  <c r="L3585" i="1"/>
  <c r="M3585" i="1" s="1" a="1"/>
  <c r="M3585" i="1" s="1"/>
  <c r="L3586" i="1"/>
  <c r="M3586" i="1" s="1" a="1"/>
  <c r="M3586" i="1" s="1"/>
  <c r="L3587" i="1"/>
  <c r="M3587" i="1" s="1" a="1"/>
  <c r="M3587" i="1" s="1"/>
  <c r="L3588" i="1"/>
  <c r="M3588" i="1" s="1" a="1"/>
  <c r="M3588" i="1" s="1"/>
  <c r="L3589" i="1"/>
  <c r="M3589" i="1" s="1" a="1"/>
  <c r="M3589" i="1" s="1"/>
  <c r="L3590" i="1"/>
  <c r="M3590" i="1" s="1" a="1"/>
  <c r="M3590" i="1" s="1"/>
  <c r="L3591" i="1"/>
  <c r="M3591" i="1" s="1" a="1"/>
  <c r="M3591" i="1" s="1"/>
  <c r="L3592" i="1"/>
  <c r="M3592" i="1" s="1" a="1"/>
  <c r="M3592" i="1" s="1"/>
  <c r="L3593" i="1"/>
  <c r="M3593" i="1" s="1" a="1"/>
  <c r="M3593" i="1" s="1"/>
  <c r="L3594" i="1"/>
  <c r="M3594" i="1" s="1" a="1"/>
  <c r="M3594" i="1" s="1"/>
  <c r="L3595" i="1"/>
  <c r="M3595" i="1" s="1" a="1"/>
  <c r="M3595" i="1" s="1"/>
  <c r="L3596" i="1"/>
  <c r="M3596" i="1" s="1" a="1"/>
  <c r="M3596" i="1" s="1"/>
  <c r="L3597" i="1"/>
  <c r="M3597" i="1" s="1" a="1"/>
  <c r="M3597" i="1" s="1"/>
  <c r="L3598" i="1"/>
  <c r="M3598" i="1" s="1" a="1"/>
  <c r="M3598" i="1" s="1"/>
  <c r="L3599" i="1"/>
  <c r="M3599" i="1" s="1" a="1"/>
  <c r="M3599" i="1" s="1"/>
  <c r="L3600" i="1"/>
  <c r="M3600" i="1" s="1" a="1"/>
  <c r="M3600" i="1" s="1"/>
  <c r="L3601" i="1"/>
  <c r="M3601" i="1" s="1" a="1"/>
  <c r="M3601" i="1" s="1"/>
  <c r="L3602" i="1"/>
  <c r="M3602" i="1" s="1" a="1"/>
  <c r="M3602" i="1" s="1"/>
  <c r="L3603" i="1"/>
  <c r="M3603" i="1" s="1" a="1"/>
  <c r="M3603" i="1" s="1"/>
  <c r="L3604" i="1"/>
  <c r="M3604" i="1" s="1" a="1"/>
  <c r="M3604" i="1" s="1"/>
  <c r="L3605" i="1"/>
  <c r="M3605" i="1" s="1" a="1"/>
  <c r="M3605" i="1" s="1"/>
  <c r="L3606" i="1"/>
  <c r="M3606" i="1" s="1" a="1"/>
  <c r="M3606" i="1" s="1"/>
  <c r="L3607" i="1"/>
  <c r="M3607" i="1" s="1" a="1"/>
  <c r="M3607" i="1" s="1"/>
  <c r="L3608" i="1"/>
  <c r="M3608" i="1" s="1" a="1"/>
  <c r="M3608" i="1" s="1"/>
  <c r="L3609" i="1"/>
  <c r="M3609" i="1" s="1" a="1"/>
  <c r="M3609" i="1" s="1"/>
  <c r="L3610" i="1"/>
  <c r="M3610" i="1" s="1" a="1"/>
  <c r="M3610" i="1" s="1"/>
  <c r="L3611" i="1"/>
  <c r="M3611" i="1" s="1" a="1"/>
  <c r="M3611" i="1" s="1"/>
  <c r="L3612" i="1"/>
  <c r="M3612" i="1" s="1" a="1"/>
  <c r="M3612" i="1" s="1"/>
  <c r="L3613" i="1"/>
  <c r="M3613" i="1" s="1" a="1"/>
  <c r="M3613" i="1" s="1"/>
  <c r="L3614" i="1"/>
  <c r="M3614" i="1" s="1" a="1"/>
  <c r="M3614" i="1" s="1"/>
  <c r="L3615" i="1"/>
  <c r="M3615" i="1" s="1" a="1"/>
  <c r="M3615" i="1" s="1"/>
  <c r="L3616" i="1"/>
  <c r="M3616" i="1" s="1" a="1"/>
  <c r="M3616" i="1" s="1"/>
  <c r="L3617" i="1"/>
  <c r="M3617" i="1" s="1" a="1"/>
  <c r="M3617" i="1" s="1"/>
  <c r="L3618" i="1"/>
  <c r="M3618" i="1" s="1" a="1"/>
  <c r="M3618" i="1" s="1"/>
  <c r="L3619" i="1"/>
  <c r="M3619" i="1" s="1" a="1"/>
  <c r="M3619" i="1" s="1"/>
  <c r="L3620" i="1"/>
  <c r="M3620" i="1" s="1" a="1"/>
  <c r="M3620" i="1" s="1"/>
  <c r="L3621" i="1"/>
  <c r="M3621" i="1" s="1" a="1"/>
  <c r="M3621" i="1" s="1"/>
  <c r="L3622" i="1"/>
  <c r="M3622" i="1" s="1" a="1"/>
  <c r="M3622" i="1" s="1"/>
  <c r="L3623" i="1"/>
  <c r="M3623" i="1" s="1" a="1"/>
  <c r="M3623" i="1" s="1"/>
  <c r="L3624" i="1"/>
  <c r="M3624" i="1" s="1" a="1"/>
  <c r="M3624" i="1" s="1"/>
  <c r="L3625" i="1"/>
  <c r="M3625" i="1" s="1" a="1"/>
  <c r="M3625" i="1" s="1"/>
  <c r="L3626" i="1"/>
  <c r="M3626" i="1" s="1" a="1"/>
  <c r="M3626" i="1" s="1"/>
  <c r="L3627" i="1"/>
  <c r="M3627" i="1" s="1" a="1"/>
  <c r="M3627" i="1" s="1"/>
  <c r="L3628" i="1"/>
  <c r="M3628" i="1" s="1" a="1"/>
  <c r="M3628" i="1" s="1"/>
  <c r="L3629" i="1"/>
  <c r="M3629" i="1" s="1" a="1"/>
  <c r="M3629" i="1" s="1"/>
  <c r="L3630" i="1"/>
  <c r="M3630" i="1" s="1" a="1"/>
  <c r="M3630" i="1" s="1"/>
  <c r="L3631" i="1"/>
  <c r="M3631" i="1" s="1" a="1"/>
  <c r="M3631" i="1" s="1"/>
  <c r="L3632" i="1"/>
  <c r="M3632" i="1" s="1" a="1"/>
  <c r="M3632" i="1" s="1"/>
  <c r="L3633" i="1"/>
  <c r="M3633" i="1" s="1" a="1"/>
  <c r="M3633" i="1" s="1"/>
  <c r="L3634" i="1"/>
  <c r="M3634" i="1" s="1" a="1"/>
  <c r="M3634" i="1" s="1"/>
  <c r="L3635" i="1"/>
  <c r="M3635" i="1" s="1" a="1"/>
  <c r="M3635" i="1" s="1"/>
  <c r="L3636" i="1"/>
  <c r="M3636" i="1" s="1" a="1"/>
  <c r="M3636" i="1" s="1"/>
  <c r="L3637" i="1"/>
  <c r="M3637" i="1" s="1" a="1"/>
  <c r="M3637" i="1" s="1"/>
  <c r="L3638" i="1"/>
  <c r="M3638" i="1" s="1" a="1"/>
  <c r="M3638" i="1" s="1"/>
  <c r="L3639" i="1"/>
  <c r="M3639" i="1" s="1" a="1"/>
  <c r="M3639" i="1" s="1"/>
  <c r="L3640" i="1"/>
  <c r="M3640" i="1" s="1" a="1"/>
  <c r="M3640" i="1" s="1"/>
  <c r="L3641" i="1"/>
  <c r="M3641" i="1" s="1" a="1"/>
  <c r="M3641" i="1" s="1"/>
  <c r="L3642" i="1"/>
  <c r="M3642" i="1" s="1" a="1"/>
  <c r="M3642" i="1" s="1"/>
  <c r="L3643" i="1"/>
  <c r="M3643" i="1" s="1" a="1"/>
  <c r="M3643" i="1" s="1"/>
  <c r="L3644" i="1"/>
  <c r="M3644" i="1" s="1" a="1"/>
  <c r="M3644" i="1" s="1"/>
  <c r="L3645" i="1"/>
  <c r="M3645" i="1" s="1" a="1"/>
  <c r="M3645" i="1" s="1"/>
  <c r="L3646" i="1"/>
  <c r="M3646" i="1" s="1" a="1"/>
  <c r="M3646" i="1" s="1"/>
  <c r="L3647" i="1"/>
  <c r="M3647" i="1" s="1" a="1"/>
  <c r="M3647" i="1" s="1"/>
  <c r="L3648" i="1"/>
  <c r="M3648" i="1" s="1" a="1"/>
  <c r="M3648" i="1" s="1"/>
  <c r="L3649" i="1"/>
  <c r="M3649" i="1" s="1" a="1"/>
  <c r="M3649" i="1" s="1"/>
  <c r="L3650" i="1"/>
  <c r="M3650" i="1" s="1" a="1"/>
  <c r="M3650" i="1" s="1"/>
  <c r="L3651" i="1"/>
  <c r="M3651" i="1" s="1" a="1"/>
  <c r="M3651" i="1" s="1"/>
  <c r="L3652" i="1"/>
  <c r="M3652" i="1" s="1" a="1"/>
  <c r="M3652" i="1" s="1"/>
  <c r="L3653" i="1"/>
  <c r="M3653" i="1" s="1" a="1"/>
  <c r="M3653" i="1" s="1"/>
  <c r="L3654" i="1"/>
  <c r="M3654" i="1" s="1" a="1"/>
  <c r="M3654" i="1" s="1"/>
  <c r="L3655" i="1"/>
  <c r="M3655" i="1" s="1" a="1"/>
  <c r="M3655" i="1" s="1"/>
  <c r="L3656" i="1"/>
  <c r="M3656" i="1" s="1" a="1"/>
  <c r="M3656" i="1" s="1"/>
  <c r="L3657" i="1"/>
  <c r="M3657" i="1" s="1" a="1"/>
  <c r="M3657" i="1" s="1"/>
  <c r="L3658" i="1"/>
  <c r="M3658" i="1" s="1" a="1"/>
  <c r="M3658" i="1" s="1"/>
  <c r="L3659" i="1"/>
  <c r="M3659" i="1" s="1" a="1"/>
  <c r="M3659" i="1" s="1"/>
  <c r="L3660" i="1"/>
  <c r="M3660" i="1" s="1" a="1"/>
  <c r="M3660" i="1" s="1"/>
  <c r="L3661" i="1"/>
  <c r="M3661" i="1" s="1" a="1"/>
  <c r="M3661" i="1" s="1"/>
  <c r="L3662" i="1"/>
  <c r="M3662" i="1" s="1" a="1"/>
  <c r="M3662" i="1" s="1"/>
  <c r="L3663" i="1"/>
  <c r="M3663" i="1" s="1" a="1"/>
  <c r="M3663" i="1" s="1"/>
  <c r="L3664" i="1"/>
  <c r="M3664" i="1" s="1" a="1"/>
  <c r="M3664" i="1" s="1"/>
  <c r="L3665" i="1"/>
  <c r="M3665" i="1" s="1" a="1"/>
  <c r="M3665" i="1" s="1"/>
  <c r="L3666" i="1"/>
  <c r="M3666" i="1" s="1" a="1"/>
  <c r="M3666" i="1" s="1"/>
  <c r="L3667" i="1"/>
  <c r="M3667" i="1" s="1" a="1"/>
  <c r="M3667" i="1" s="1"/>
  <c r="L3668" i="1"/>
  <c r="M3668" i="1" s="1" a="1"/>
  <c r="M3668" i="1" s="1"/>
  <c r="L3669" i="1"/>
  <c r="M3669" i="1" s="1" a="1"/>
  <c r="M3669" i="1" s="1"/>
  <c r="L3670" i="1"/>
  <c r="M3670" i="1" s="1" a="1"/>
  <c r="M3670" i="1" s="1"/>
  <c r="L3671" i="1"/>
  <c r="M3671" i="1" s="1" a="1"/>
  <c r="M3671" i="1" s="1"/>
  <c r="L3672" i="1"/>
  <c r="M3672" i="1" s="1" a="1"/>
  <c r="M3672" i="1" s="1"/>
  <c r="L3673" i="1"/>
  <c r="M3673" i="1" s="1" a="1"/>
  <c r="M3673" i="1" s="1"/>
  <c r="L3674" i="1"/>
  <c r="M3674" i="1" s="1" a="1"/>
  <c r="M3674" i="1" s="1"/>
  <c r="L3675" i="1"/>
  <c r="M3675" i="1" s="1" a="1"/>
  <c r="M3675" i="1" s="1"/>
  <c r="L3676" i="1"/>
  <c r="M3676" i="1" s="1" a="1"/>
  <c r="M3676" i="1" s="1"/>
  <c r="L3677" i="1"/>
  <c r="M3677" i="1" s="1" a="1"/>
  <c r="M3677" i="1" s="1"/>
  <c r="L3678" i="1"/>
  <c r="M3678" i="1" s="1" a="1"/>
  <c r="M3678" i="1" s="1"/>
  <c r="L3679" i="1"/>
  <c r="M3679" i="1" s="1" a="1"/>
  <c r="M3679" i="1" s="1"/>
  <c r="L3680" i="1"/>
  <c r="M3680" i="1" s="1" a="1"/>
  <c r="M3680" i="1" s="1"/>
  <c r="L3681" i="1"/>
  <c r="M3681" i="1" s="1" a="1"/>
  <c r="M3681" i="1" s="1"/>
  <c r="L3682" i="1"/>
  <c r="M3682" i="1" s="1" a="1"/>
  <c r="M3682" i="1" s="1"/>
  <c r="L3683" i="1"/>
  <c r="M3683" i="1" s="1" a="1"/>
  <c r="M3683" i="1" s="1"/>
  <c r="L3684" i="1"/>
  <c r="M3684" i="1" s="1" a="1"/>
  <c r="M3684" i="1" s="1"/>
  <c r="L3685" i="1"/>
  <c r="M3685" i="1" s="1" a="1"/>
  <c r="M3685" i="1" s="1"/>
  <c r="L3686" i="1"/>
  <c r="M3686" i="1" s="1" a="1"/>
  <c r="M3686" i="1" s="1"/>
  <c r="L3687" i="1"/>
  <c r="M3687" i="1" s="1" a="1"/>
  <c r="M3687" i="1" s="1"/>
  <c r="L3688" i="1"/>
  <c r="M3688" i="1" s="1" a="1"/>
  <c r="M3688" i="1" s="1"/>
  <c r="L3689" i="1"/>
  <c r="M3689" i="1" s="1" a="1"/>
  <c r="M3689" i="1" s="1"/>
  <c r="L3690" i="1"/>
  <c r="M3690" i="1" s="1" a="1"/>
  <c r="M3690" i="1" s="1"/>
  <c r="L3691" i="1"/>
  <c r="M3691" i="1" s="1" a="1"/>
  <c r="M3691" i="1" s="1"/>
  <c r="L3692" i="1"/>
  <c r="M3692" i="1" s="1" a="1"/>
  <c r="M3692" i="1" s="1"/>
  <c r="L3693" i="1"/>
  <c r="M3693" i="1" s="1" a="1"/>
  <c r="M3693" i="1" s="1"/>
  <c r="L3694" i="1"/>
  <c r="M3694" i="1" s="1" a="1"/>
  <c r="M3694" i="1" s="1"/>
  <c r="L3695" i="1"/>
  <c r="M3695" i="1" s="1" a="1"/>
  <c r="M3695" i="1" s="1"/>
  <c r="L3696" i="1"/>
  <c r="M3696" i="1" s="1" a="1"/>
  <c r="M3696" i="1" s="1"/>
  <c r="L3697" i="1"/>
  <c r="M3697" i="1" s="1" a="1"/>
  <c r="M3697" i="1" s="1"/>
  <c r="L3698" i="1"/>
  <c r="M3698" i="1" s="1" a="1"/>
  <c r="M3698" i="1" s="1"/>
  <c r="L3699" i="1"/>
  <c r="M3699" i="1" s="1" a="1"/>
  <c r="M3699" i="1" s="1"/>
  <c r="L3700" i="1"/>
  <c r="M3700" i="1" s="1" a="1"/>
  <c r="M3700" i="1" s="1"/>
  <c r="L3701" i="1"/>
  <c r="M3701" i="1" s="1" a="1"/>
  <c r="M3701" i="1" s="1"/>
  <c r="L3702" i="1"/>
  <c r="M3702" i="1" s="1" a="1"/>
  <c r="M3702" i="1" s="1"/>
  <c r="L3703" i="1"/>
  <c r="M3703" i="1" s="1" a="1"/>
  <c r="M3703" i="1" s="1"/>
  <c r="L3704" i="1"/>
  <c r="M3704" i="1" s="1" a="1"/>
  <c r="M3704" i="1" s="1"/>
  <c r="L3705" i="1"/>
  <c r="M3705" i="1" s="1" a="1"/>
  <c r="M3705" i="1" s="1"/>
  <c r="L3706" i="1"/>
  <c r="M3706" i="1" s="1" a="1"/>
  <c r="M3706" i="1" s="1"/>
  <c r="L3707" i="1"/>
  <c r="M3707" i="1" s="1" a="1"/>
  <c r="M3707" i="1" s="1"/>
  <c r="L3708" i="1"/>
  <c r="M3708" i="1" s="1" a="1"/>
  <c r="M3708" i="1" s="1"/>
  <c r="L3709" i="1"/>
  <c r="M3709" i="1" s="1" a="1"/>
  <c r="M3709" i="1" s="1"/>
  <c r="L3710" i="1"/>
  <c r="M3710" i="1" s="1" a="1"/>
  <c r="M3710" i="1" s="1"/>
  <c r="L3711" i="1"/>
  <c r="M3711" i="1" s="1" a="1"/>
  <c r="M3711" i="1" s="1"/>
  <c r="L3712" i="1"/>
  <c r="M3712" i="1" s="1" a="1"/>
  <c r="M3712" i="1" s="1"/>
  <c r="L3713" i="1"/>
  <c r="M3713" i="1" s="1" a="1"/>
  <c r="M3713" i="1" s="1"/>
  <c r="L3714" i="1"/>
  <c r="M3714" i="1" s="1" a="1"/>
  <c r="M3714" i="1" s="1"/>
  <c r="L3715" i="1"/>
  <c r="M3715" i="1" s="1" a="1"/>
  <c r="M3715" i="1" s="1"/>
  <c r="L3716" i="1"/>
  <c r="M3716" i="1" s="1" a="1"/>
  <c r="M3716" i="1" s="1"/>
  <c r="L3717" i="1"/>
  <c r="M3717" i="1" s="1" a="1"/>
  <c r="M3717" i="1" s="1"/>
  <c r="L3718" i="1"/>
  <c r="M3718" i="1" s="1" a="1"/>
  <c r="M3718" i="1" s="1"/>
  <c r="L3719" i="1"/>
  <c r="M3719" i="1" s="1" a="1"/>
  <c r="M3719" i="1" s="1"/>
  <c r="L3720" i="1"/>
  <c r="M3720" i="1" s="1" a="1"/>
  <c r="M3720" i="1" s="1"/>
  <c r="L3721" i="1"/>
  <c r="M3721" i="1" s="1" a="1"/>
  <c r="M3721" i="1" s="1"/>
  <c r="L3722" i="1"/>
  <c r="M3722" i="1" s="1" a="1"/>
  <c r="M3722" i="1" s="1"/>
  <c r="L3723" i="1"/>
  <c r="M3723" i="1" s="1" a="1"/>
  <c r="M3723" i="1" s="1"/>
  <c r="L3724" i="1"/>
  <c r="M3724" i="1" s="1" a="1"/>
  <c r="M3724" i="1" s="1"/>
  <c r="L3725" i="1"/>
  <c r="M3725" i="1" s="1" a="1"/>
  <c r="M3725" i="1" s="1"/>
  <c r="L3726" i="1"/>
  <c r="M3726" i="1" s="1" a="1"/>
  <c r="M3726" i="1" s="1"/>
  <c r="L3727" i="1"/>
  <c r="M3727" i="1" s="1" a="1"/>
  <c r="M3727" i="1" s="1"/>
  <c r="L3728" i="1"/>
  <c r="M3728" i="1" s="1" a="1"/>
  <c r="M3728" i="1" s="1"/>
  <c r="L3729" i="1"/>
  <c r="M3729" i="1" s="1" a="1"/>
  <c r="M3729" i="1" s="1"/>
  <c r="L3730" i="1"/>
  <c r="M3730" i="1" s="1" a="1"/>
  <c r="M3730" i="1" s="1"/>
  <c r="L3731" i="1"/>
  <c r="M3731" i="1" s="1" a="1"/>
  <c r="M3731" i="1" s="1"/>
  <c r="L3732" i="1"/>
  <c r="M3732" i="1" s="1" a="1"/>
  <c r="M3732" i="1" s="1"/>
  <c r="L3733" i="1"/>
  <c r="M3733" i="1" s="1" a="1"/>
  <c r="M3733" i="1" s="1"/>
  <c r="L3734" i="1"/>
  <c r="M3734" i="1" s="1" a="1"/>
  <c r="M3734" i="1" s="1"/>
  <c r="L3735" i="1"/>
  <c r="M3735" i="1" s="1" a="1"/>
  <c r="M3735" i="1" s="1"/>
  <c r="L3736" i="1"/>
  <c r="M3736" i="1" s="1" a="1"/>
  <c r="M3736" i="1" s="1"/>
  <c r="L3737" i="1"/>
  <c r="M3737" i="1" s="1" a="1"/>
  <c r="M3737" i="1" s="1"/>
  <c r="L3738" i="1"/>
  <c r="M3738" i="1" s="1" a="1"/>
  <c r="M3738" i="1" s="1"/>
  <c r="L3739" i="1"/>
  <c r="M3739" i="1" s="1" a="1"/>
  <c r="M3739" i="1" s="1"/>
  <c r="L3740" i="1"/>
  <c r="M3740" i="1" s="1" a="1"/>
  <c r="M3740" i="1" s="1"/>
  <c r="L3741" i="1"/>
  <c r="M3741" i="1" s="1" a="1"/>
  <c r="M3741" i="1" s="1"/>
  <c r="L3742" i="1"/>
  <c r="M3742" i="1" s="1" a="1"/>
  <c r="M3742" i="1" s="1"/>
  <c r="L3743" i="1"/>
  <c r="M3743" i="1" s="1" a="1"/>
  <c r="M3743" i="1" s="1"/>
  <c r="L3744" i="1"/>
  <c r="M3744" i="1" s="1" a="1"/>
  <c r="M3744" i="1" s="1"/>
  <c r="L3745" i="1"/>
  <c r="M3745" i="1" s="1" a="1"/>
  <c r="M3745" i="1" s="1"/>
  <c r="L3746" i="1"/>
  <c r="M3746" i="1" s="1" a="1"/>
  <c r="M3746" i="1" s="1"/>
  <c r="L3747" i="1"/>
  <c r="M3747" i="1" s="1" a="1"/>
  <c r="M3747" i="1" s="1"/>
  <c r="L3748" i="1"/>
  <c r="M3748" i="1" s="1" a="1"/>
  <c r="M3748" i="1" s="1"/>
  <c r="L3749" i="1"/>
  <c r="M3749" i="1" s="1" a="1"/>
  <c r="M3749" i="1" s="1"/>
  <c r="L3750" i="1"/>
  <c r="M3750" i="1" s="1" a="1"/>
  <c r="M3750" i="1" s="1"/>
  <c r="L3751" i="1"/>
  <c r="M3751" i="1" s="1" a="1"/>
  <c r="M3751" i="1" s="1"/>
  <c r="L3752" i="1"/>
  <c r="M3752" i="1" s="1" a="1"/>
  <c r="M3752" i="1" s="1"/>
  <c r="L3753" i="1"/>
  <c r="M3753" i="1" s="1" a="1"/>
  <c r="M3753" i="1" s="1"/>
  <c r="L3754" i="1"/>
  <c r="M3754" i="1" s="1" a="1"/>
  <c r="M3754" i="1" s="1"/>
  <c r="L3755" i="1"/>
  <c r="M3755" i="1" s="1" a="1"/>
  <c r="M3755" i="1" s="1"/>
  <c r="L3756" i="1"/>
  <c r="M3756" i="1" s="1" a="1"/>
  <c r="M3756" i="1" s="1"/>
  <c r="L3757" i="1"/>
  <c r="M3757" i="1" s="1" a="1"/>
  <c r="M3757" i="1" s="1"/>
  <c r="L3758" i="1"/>
  <c r="M3758" i="1" s="1" a="1"/>
  <c r="M3758" i="1" s="1"/>
  <c r="L3759" i="1"/>
  <c r="M3759" i="1" s="1" a="1"/>
  <c r="M3759" i="1" s="1"/>
  <c r="L3760" i="1"/>
  <c r="M3760" i="1" s="1" a="1"/>
  <c r="M3760" i="1" s="1"/>
  <c r="L3761" i="1"/>
  <c r="M3761" i="1" s="1" a="1"/>
  <c r="M3761" i="1" s="1"/>
  <c r="L3762" i="1"/>
  <c r="M3762" i="1" s="1" a="1"/>
  <c r="M3762" i="1" s="1"/>
  <c r="L3763" i="1"/>
  <c r="M3763" i="1" s="1" a="1"/>
  <c r="M3763" i="1" s="1"/>
  <c r="L3764" i="1"/>
  <c r="M3764" i="1" s="1" a="1"/>
  <c r="M3764" i="1" s="1"/>
  <c r="L3765" i="1"/>
  <c r="M3765" i="1" s="1" a="1"/>
  <c r="M3765" i="1" s="1"/>
  <c r="L3766" i="1"/>
  <c r="M3766" i="1" s="1" a="1"/>
  <c r="M3766" i="1" s="1"/>
  <c r="L3767" i="1"/>
  <c r="M3767" i="1" s="1" a="1"/>
  <c r="M3767" i="1" s="1"/>
  <c r="L3768" i="1"/>
  <c r="M3768" i="1" s="1" a="1"/>
  <c r="M3768" i="1" s="1"/>
  <c r="L3769" i="1"/>
  <c r="M3769" i="1" s="1" a="1"/>
  <c r="M3769" i="1" s="1"/>
  <c r="L3770" i="1"/>
  <c r="M3770" i="1" s="1" a="1"/>
  <c r="M3770" i="1" s="1"/>
  <c r="L3771" i="1"/>
  <c r="M3771" i="1" s="1" a="1"/>
  <c r="M3771" i="1" s="1"/>
  <c r="L3772" i="1"/>
  <c r="M3772" i="1" s="1" a="1"/>
  <c r="M3772" i="1" s="1"/>
  <c r="L3773" i="1"/>
  <c r="M3773" i="1" s="1" a="1"/>
  <c r="M3773" i="1" s="1"/>
  <c r="L3774" i="1"/>
  <c r="M3774" i="1" s="1" a="1"/>
  <c r="M3774" i="1" s="1"/>
  <c r="L3775" i="1"/>
  <c r="M3775" i="1" s="1" a="1"/>
  <c r="M3775" i="1" s="1"/>
  <c r="L3776" i="1"/>
  <c r="M3776" i="1" s="1" a="1"/>
  <c r="M3776" i="1" s="1"/>
  <c r="L3777" i="1"/>
  <c r="M3777" i="1" s="1" a="1"/>
  <c r="M3777" i="1" s="1"/>
  <c r="L3778" i="1"/>
  <c r="M3778" i="1" s="1" a="1"/>
  <c r="M3778" i="1" s="1"/>
  <c r="L3779" i="1"/>
  <c r="M3779" i="1" s="1" a="1"/>
  <c r="M3779" i="1" s="1"/>
  <c r="L3780" i="1"/>
  <c r="M3780" i="1" s="1" a="1"/>
  <c r="M3780" i="1" s="1"/>
  <c r="L3781" i="1"/>
  <c r="M3781" i="1" s="1" a="1"/>
  <c r="M3781" i="1" s="1"/>
  <c r="L3782" i="1"/>
  <c r="M3782" i="1" s="1" a="1"/>
  <c r="M3782" i="1" s="1"/>
  <c r="L3783" i="1"/>
  <c r="M3783" i="1" s="1" a="1"/>
  <c r="M3783" i="1" s="1"/>
  <c r="L3784" i="1"/>
  <c r="M3784" i="1" s="1" a="1"/>
  <c r="M3784" i="1" s="1"/>
  <c r="L3785" i="1"/>
  <c r="M3785" i="1" s="1" a="1"/>
  <c r="M3785" i="1" s="1"/>
  <c r="L3786" i="1"/>
  <c r="M3786" i="1" s="1" a="1"/>
  <c r="M3786" i="1" s="1"/>
  <c r="L3787" i="1"/>
  <c r="M3787" i="1" s="1" a="1"/>
  <c r="M3787" i="1" s="1"/>
  <c r="L3788" i="1"/>
  <c r="M3788" i="1" s="1" a="1"/>
  <c r="M3788" i="1" s="1"/>
  <c r="L3789" i="1"/>
  <c r="M3789" i="1" s="1" a="1"/>
  <c r="M3789" i="1" s="1"/>
  <c r="L3790" i="1"/>
  <c r="M3790" i="1" s="1" a="1"/>
  <c r="M3790" i="1" s="1"/>
  <c r="L3791" i="1"/>
  <c r="M3791" i="1" s="1" a="1"/>
  <c r="M3791" i="1" s="1"/>
  <c r="L3792" i="1"/>
  <c r="M3792" i="1" s="1" a="1"/>
  <c r="M3792" i="1" s="1"/>
  <c r="L3793" i="1"/>
  <c r="M3793" i="1" s="1" a="1"/>
  <c r="M3793" i="1" s="1"/>
  <c r="L3794" i="1"/>
  <c r="M3794" i="1" s="1" a="1"/>
  <c r="M3794" i="1" s="1"/>
  <c r="L3795" i="1"/>
  <c r="M3795" i="1" s="1" a="1"/>
  <c r="M3795" i="1" s="1"/>
  <c r="L3796" i="1"/>
  <c r="M3796" i="1" s="1" a="1"/>
  <c r="M3796" i="1" s="1"/>
  <c r="L3797" i="1"/>
  <c r="M3797" i="1" s="1" a="1"/>
  <c r="M3797" i="1" s="1"/>
  <c r="L3798" i="1"/>
  <c r="M3798" i="1" s="1" a="1"/>
  <c r="M3798" i="1" s="1"/>
  <c r="L3799" i="1"/>
  <c r="M3799" i="1" s="1" a="1"/>
  <c r="M3799" i="1" s="1"/>
  <c r="L3800" i="1"/>
  <c r="M3800" i="1" s="1" a="1"/>
  <c r="M3800" i="1" s="1"/>
  <c r="L3801" i="1"/>
  <c r="M3801" i="1" s="1" a="1"/>
  <c r="M3801" i="1" s="1"/>
  <c r="L3802" i="1"/>
  <c r="M3802" i="1" s="1" a="1"/>
  <c r="M3802" i="1" s="1"/>
  <c r="L3803" i="1"/>
  <c r="M3803" i="1" s="1" a="1"/>
  <c r="M3803" i="1" s="1"/>
  <c r="L3804" i="1"/>
  <c r="M3804" i="1" s="1" a="1"/>
  <c r="M3804" i="1" s="1"/>
  <c r="L3805" i="1"/>
  <c r="M3805" i="1" s="1" a="1"/>
  <c r="M3805" i="1" s="1"/>
  <c r="L3806" i="1"/>
  <c r="M3806" i="1" s="1" a="1"/>
  <c r="M3806" i="1" s="1"/>
  <c r="L3807" i="1"/>
  <c r="M3807" i="1" s="1" a="1"/>
  <c r="M3807" i="1" s="1"/>
  <c r="L3808" i="1"/>
  <c r="M3808" i="1" s="1" a="1"/>
  <c r="M3808" i="1" s="1"/>
  <c r="L3809" i="1"/>
  <c r="M3809" i="1" s="1" a="1"/>
  <c r="M3809" i="1" s="1"/>
  <c r="L3810" i="1"/>
  <c r="M3810" i="1" s="1" a="1"/>
  <c r="M3810" i="1" s="1"/>
  <c r="L3811" i="1"/>
  <c r="M3811" i="1" s="1" a="1"/>
  <c r="M3811" i="1" s="1"/>
  <c r="L3812" i="1"/>
  <c r="M3812" i="1" s="1" a="1"/>
  <c r="M3812" i="1" s="1"/>
  <c r="L3813" i="1"/>
  <c r="M3813" i="1" s="1" a="1"/>
  <c r="M3813" i="1" s="1"/>
  <c r="L3814" i="1"/>
  <c r="M3814" i="1" s="1" a="1"/>
  <c r="M3814" i="1" s="1"/>
  <c r="L3815" i="1"/>
  <c r="M3815" i="1" s="1" a="1"/>
  <c r="M3815" i="1" s="1"/>
  <c r="L3816" i="1"/>
  <c r="M3816" i="1" s="1" a="1"/>
  <c r="M3816" i="1" s="1"/>
  <c r="L3817" i="1"/>
  <c r="M3817" i="1" s="1" a="1"/>
  <c r="M3817" i="1" s="1"/>
  <c r="L3818" i="1"/>
  <c r="M3818" i="1" s="1" a="1"/>
  <c r="M3818" i="1" s="1"/>
  <c r="L3819" i="1"/>
  <c r="M3819" i="1" s="1" a="1"/>
  <c r="M3819" i="1" s="1"/>
  <c r="L3820" i="1"/>
  <c r="M3820" i="1" s="1" a="1"/>
  <c r="M3820" i="1" s="1"/>
  <c r="L3821" i="1"/>
  <c r="M3821" i="1" s="1" a="1"/>
  <c r="M3821" i="1" s="1"/>
  <c r="L3822" i="1"/>
  <c r="M3822" i="1" s="1" a="1"/>
  <c r="M3822" i="1" s="1"/>
  <c r="L3823" i="1"/>
  <c r="M3823" i="1" s="1" a="1"/>
  <c r="M3823" i="1" s="1"/>
  <c r="L3824" i="1"/>
  <c r="M3824" i="1" s="1" a="1"/>
  <c r="M3824" i="1" s="1"/>
  <c r="L3825" i="1"/>
  <c r="M3825" i="1" s="1" a="1"/>
  <c r="M3825" i="1" s="1"/>
  <c r="L3826" i="1"/>
  <c r="M3826" i="1" s="1" a="1"/>
  <c r="M3826" i="1" s="1"/>
  <c r="L3827" i="1"/>
  <c r="M3827" i="1" s="1" a="1"/>
  <c r="M3827" i="1" s="1"/>
  <c r="L3828" i="1"/>
  <c r="M3828" i="1" s="1" a="1"/>
  <c r="M3828" i="1" s="1"/>
  <c r="L3829" i="1"/>
  <c r="M3829" i="1" s="1" a="1"/>
  <c r="M3829" i="1" s="1"/>
  <c r="L3830" i="1"/>
  <c r="M3830" i="1" s="1" a="1"/>
  <c r="M3830" i="1" s="1"/>
  <c r="L3831" i="1"/>
  <c r="M3831" i="1" s="1" a="1"/>
  <c r="M3831" i="1" s="1"/>
  <c r="L3832" i="1"/>
  <c r="M3832" i="1" s="1" a="1"/>
  <c r="M3832" i="1" s="1"/>
  <c r="L3833" i="1"/>
  <c r="M3833" i="1" s="1" a="1"/>
  <c r="M3833" i="1" s="1"/>
  <c r="L3834" i="1"/>
  <c r="M3834" i="1" s="1" a="1"/>
  <c r="M3834" i="1" s="1"/>
  <c r="L3835" i="1"/>
  <c r="M3835" i="1" s="1" a="1"/>
  <c r="M3835" i="1" s="1"/>
  <c r="L3836" i="1"/>
  <c r="M3836" i="1" s="1" a="1"/>
  <c r="M3836" i="1" s="1"/>
  <c r="L3837" i="1"/>
  <c r="M3837" i="1" s="1" a="1"/>
  <c r="M3837" i="1" s="1"/>
  <c r="L3838" i="1"/>
  <c r="M3838" i="1" s="1" a="1"/>
  <c r="M3838" i="1" s="1"/>
  <c r="L3839" i="1"/>
  <c r="M3839" i="1" s="1" a="1"/>
  <c r="M3839" i="1" s="1"/>
  <c r="L3840" i="1"/>
  <c r="M3840" i="1" s="1" a="1"/>
  <c r="M3840" i="1" s="1"/>
  <c r="L3841" i="1"/>
  <c r="M3841" i="1" s="1" a="1"/>
  <c r="M3841" i="1" s="1"/>
  <c r="L3842" i="1"/>
  <c r="M3842" i="1" s="1" a="1"/>
  <c r="M3842" i="1" s="1"/>
  <c r="L3843" i="1"/>
  <c r="M3843" i="1" s="1" a="1"/>
  <c r="M3843" i="1" s="1"/>
  <c r="L3844" i="1"/>
  <c r="M3844" i="1" s="1" a="1"/>
  <c r="M3844" i="1" s="1"/>
  <c r="L3845" i="1"/>
  <c r="M3845" i="1" s="1" a="1"/>
  <c r="M3845" i="1" s="1"/>
  <c r="L3846" i="1"/>
  <c r="M3846" i="1" s="1" a="1"/>
  <c r="M3846" i="1" s="1"/>
  <c r="L3847" i="1"/>
  <c r="M3847" i="1" s="1" a="1"/>
  <c r="M3847" i="1" s="1"/>
  <c r="L3848" i="1"/>
  <c r="M3848" i="1" s="1" a="1"/>
  <c r="M3848" i="1" s="1"/>
  <c r="L3849" i="1"/>
  <c r="M3849" i="1" s="1" a="1"/>
  <c r="M3849" i="1" s="1"/>
  <c r="L3850" i="1"/>
  <c r="M3850" i="1" s="1" a="1"/>
  <c r="M3850" i="1" s="1"/>
  <c r="L3851" i="1"/>
  <c r="M3851" i="1" s="1" a="1"/>
  <c r="M3851" i="1" s="1"/>
  <c r="L3852" i="1"/>
  <c r="M3852" i="1" s="1" a="1"/>
  <c r="M3852" i="1" s="1"/>
  <c r="L3853" i="1"/>
  <c r="M3853" i="1" s="1" a="1"/>
  <c r="M3853" i="1" s="1"/>
  <c r="L3854" i="1"/>
  <c r="M3854" i="1" s="1" a="1"/>
  <c r="M3854" i="1" s="1"/>
  <c r="L3855" i="1"/>
  <c r="M3855" i="1" s="1" a="1"/>
  <c r="M3855" i="1" s="1"/>
  <c r="L3856" i="1"/>
  <c r="M3856" i="1" s="1" a="1"/>
  <c r="M3856" i="1" s="1"/>
  <c r="L3857" i="1"/>
  <c r="M3857" i="1" s="1" a="1"/>
  <c r="M3857" i="1" s="1"/>
  <c r="L3858" i="1"/>
  <c r="M3858" i="1" s="1" a="1"/>
  <c r="M3858" i="1" s="1"/>
  <c r="L3859" i="1"/>
  <c r="M3859" i="1" s="1" a="1"/>
  <c r="M3859" i="1" s="1"/>
  <c r="L3860" i="1"/>
  <c r="M3860" i="1" s="1" a="1"/>
  <c r="M3860" i="1" s="1"/>
  <c r="L3861" i="1"/>
  <c r="M3861" i="1" s="1" a="1"/>
  <c r="M3861" i="1" s="1"/>
  <c r="L3862" i="1"/>
  <c r="M3862" i="1" s="1" a="1"/>
  <c r="M3862" i="1" s="1"/>
  <c r="L3863" i="1"/>
  <c r="M3863" i="1" s="1" a="1"/>
  <c r="M3863" i="1" s="1"/>
  <c r="L3864" i="1"/>
  <c r="M3864" i="1" s="1" a="1"/>
  <c r="M3864" i="1" s="1"/>
  <c r="L3865" i="1"/>
  <c r="M3865" i="1" s="1" a="1"/>
  <c r="M3865" i="1" s="1"/>
  <c r="L3866" i="1"/>
  <c r="M3866" i="1" s="1" a="1"/>
  <c r="M3866" i="1" s="1"/>
  <c r="L3867" i="1"/>
  <c r="M3867" i="1" s="1" a="1"/>
  <c r="M3867" i="1" s="1"/>
  <c r="L3868" i="1"/>
  <c r="M3868" i="1" s="1" a="1"/>
  <c r="M3868" i="1" s="1"/>
  <c r="L3869" i="1"/>
  <c r="M3869" i="1" s="1" a="1"/>
  <c r="M3869" i="1" s="1"/>
  <c r="L3870" i="1"/>
  <c r="M3870" i="1" s="1" a="1"/>
  <c r="M3870" i="1" s="1"/>
  <c r="L3871" i="1"/>
  <c r="M3871" i="1" s="1" a="1"/>
  <c r="M3871" i="1" s="1"/>
  <c r="L3872" i="1"/>
  <c r="M3872" i="1" s="1" a="1"/>
  <c r="M3872" i="1" s="1"/>
  <c r="L3873" i="1"/>
  <c r="M3873" i="1" s="1" a="1"/>
  <c r="M3873" i="1" s="1"/>
  <c r="L3874" i="1"/>
  <c r="M3874" i="1" s="1" a="1"/>
  <c r="M3874" i="1" s="1"/>
  <c r="L3875" i="1"/>
  <c r="M3875" i="1" s="1" a="1"/>
  <c r="M3875" i="1" s="1"/>
  <c r="L3876" i="1"/>
  <c r="M3876" i="1" s="1" a="1"/>
  <c r="M3876" i="1" s="1"/>
  <c r="L3877" i="1"/>
  <c r="M3877" i="1" s="1" a="1"/>
  <c r="M3877" i="1" s="1"/>
  <c r="L3878" i="1"/>
  <c r="M3878" i="1" s="1" a="1"/>
  <c r="M3878" i="1" s="1"/>
  <c r="L3879" i="1"/>
  <c r="M3879" i="1" s="1" a="1"/>
  <c r="M3879" i="1" s="1"/>
  <c r="L3880" i="1"/>
  <c r="M3880" i="1" s="1" a="1"/>
  <c r="M3880" i="1" s="1"/>
  <c r="L3881" i="1"/>
  <c r="M3881" i="1" s="1" a="1"/>
  <c r="M3881" i="1" s="1"/>
  <c r="L3882" i="1"/>
  <c r="M3882" i="1" s="1" a="1"/>
  <c r="M3882" i="1" s="1"/>
  <c r="L3883" i="1"/>
  <c r="M3883" i="1" s="1" a="1"/>
  <c r="M3883" i="1" s="1"/>
  <c r="L3884" i="1"/>
  <c r="M3884" i="1" s="1" a="1"/>
  <c r="M3884" i="1" s="1"/>
  <c r="L3885" i="1"/>
  <c r="M3885" i="1" s="1" a="1"/>
  <c r="M3885" i="1" s="1"/>
  <c r="L3886" i="1"/>
  <c r="M3886" i="1" s="1" a="1"/>
  <c r="M3886" i="1" s="1"/>
  <c r="L3887" i="1"/>
  <c r="M3887" i="1" s="1" a="1"/>
  <c r="M3887" i="1" s="1"/>
  <c r="L3888" i="1"/>
  <c r="M3888" i="1" s="1" a="1"/>
  <c r="M3888" i="1" s="1"/>
  <c r="L3889" i="1"/>
  <c r="M3889" i="1" s="1" a="1"/>
  <c r="M3889" i="1" s="1"/>
  <c r="L3890" i="1"/>
  <c r="M3890" i="1" s="1" a="1"/>
  <c r="M3890" i="1" s="1"/>
  <c r="L3891" i="1"/>
  <c r="M3891" i="1" s="1" a="1"/>
  <c r="M3891" i="1" s="1"/>
  <c r="L3892" i="1"/>
  <c r="M3892" i="1" s="1" a="1"/>
  <c r="M3892" i="1" s="1"/>
  <c r="L3893" i="1"/>
  <c r="M3893" i="1" s="1" a="1"/>
  <c r="M3893" i="1" s="1"/>
  <c r="L3894" i="1"/>
  <c r="M3894" i="1" s="1" a="1"/>
  <c r="M3894" i="1" s="1"/>
  <c r="L3895" i="1"/>
  <c r="M3895" i="1" s="1" a="1"/>
  <c r="M3895" i="1" s="1"/>
  <c r="L3896" i="1"/>
  <c r="M3896" i="1" s="1" a="1"/>
  <c r="M3896" i="1" s="1"/>
  <c r="L3897" i="1"/>
  <c r="M3897" i="1" s="1" a="1"/>
  <c r="M3897" i="1" s="1"/>
  <c r="L3898" i="1"/>
  <c r="M3898" i="1" s="1" a="1"/>
  <c r="M3898" i="1" s="1"/>
  <c r="L3899" i="1"/>
  <c r="M3899" i="1" s="1" a="1"/>
  <c r="M3899" i="1" s="1"/>
  <c r="L3900" i="1"/>
  <c r="M3900" i="1" s="1" a="1"/>
  <c r="M3900" i="1" s="1"/>
  <c r="L3901" i="1"/>
  <c r="M3901" i="1" s="1" a="1"/>
  <c r="M3901" i="1" s="1"/>
  <c r="L3902" i="1"/>
  <c r="M3902" i="1" s="1" a="1"/>
  <c r="M3902" i="1" s="1"/>
  <c r="L3903" i="1"/>
  <c r="M3903" i="1" s="1" a="1"/>
  <c r="M3903" i="1" s="1"/>
  <c r="L3904" i="1"/>
  <c r="M3904" i="1" s="1" a="1"/>
  <c r="M3904" i="1" s="1"/>
  <c r="L3905" i="1"/>
  <c r="M3905" i="1" s="1" a="1"/>
  <c r="M3905" i="1" s="1"/>
  <c r="L3906" i="1"/>
  <c r="M3906" i="1" s="1" a="1"/>
  <c r="M3906" i="1" s="1"/>
  <c r="L3907" i="1"/>
  <c r="M3907" i="1" s="1" a="1"/>
  <c r="M3907" i="1" s="1"/>
  <c r="L3908" i="1"/>
  <c r="M3908" i="1" s="1" a="1"/>
  <c r="M3908" i="1" s="1"/>
  <c r="L3909" i="1"/>
  <c r="M3909" i="1" s="1" a="1"/>
  <c r="M3909" i="1" s="1"/>
  <c r="L3910" i="1"/>
  <c r="M3910" i="1" s="1" a="1"/>
  <c r="M3910" i="1" s="1"/>
  <c r="L3911" i="1"/>
  <c r="M3911" i="1" s="1" a="1"/>
  <c r="M3911" i="1" s="1"/>
  <c r="L3912" i="1"/>
  <c r="M3912" i="1" s="1" a="1"/>
  <c r="M3912" i="1" s="1"/>
  <c r="L3913" i="1"/>
  <c r="M3913" i="1" s="1" a="1"/>
  <c r="M3913" i="1" s="1"/>
  <c r="L3914" i="1"/>
  <c r="M3914" i="1" s="1" a="1"/>
  <c r="M3914" i="1" s="1"/>
  <c r="L3915" i="1"/>
  <c r="M3915" i="1" s="1" a="1"/>
  <c r="M3915" i="1" s="1"/>
  <c r="L3916" i="1"/>
  <c r="M3916" i="1" s="1" a="1"/>
  <c r="M3916" i="1" s="1"/>
  <c r="L3917" i="1"/>
  <c r="M3917" i="1" s="1" a="1"/>
  <c r="M3917" i="1" s="1"/>
  <c r="L3918" i="1"/>
  <c r="M3918" i="1" s="1" a="1"/>
  <c r="M3918" i="1" s="1"/>
  <c r="L3919" i="1"/>
  <c r="M3919" i="1" s="1" a="1"/>
  <c r="M3919" i="1" s="1"/>
  <c r="L3920" i="1"/>
  <c r="M3920" i="1" s="1" a="1"/>
  <c r="M3920" i="1" s="1"/>
  <c r="L3921" i="1"/>
  <c r="M3921" i="1" s="1" a="1"/>
  <c r="M3921" i="1" s="1"/>
  <c r="L3922" i="1"/>
  <c r="M3922" i="1" s="1" a="1"/>
  <c r="M3922" i="1" s="1"/>
  <c r="L3923" i="1"/>
  <c r="M3923" i="1" s="1" a="1"/>
  <c r="M3923" i="1" s="1"/>
  <c r="L3924" i="1"/>
  <c r="M3924" i="1" s="1" a="1"/>
  <c r="M3924" i="1" s="1"/>
  <c r="L3925" i="1"/>
  <c r="M3925" i="1" s="1" a="1"/>
  <c r="M3925" i="1" s="1"/>
  <c r="L3926" i="1"/>
  <c r="M3926" i="1" s="1" a="1"/>
  <c r="M3926" i="1" s="1"/>
  <c r="L3927" i="1"/>
  <c r="M3927" i="1" s="1" a="1"/>
  <c r="M3927" i="1" s="1"/>
  <c r="L3928" i="1"/>
  <c r="M3928" i="1" s="1" a="1"/>
  <c r="M3928" i="1" s="1"/>
  <c r="L3929" i="1"/>
  <c r="M3929" i="1" s="1" a="1"/>
  <c r="M3929" i="1" s="1"/>
  <c r="L3930" i="1"/>
  <c r="M3930" i="1" s="1" a="1"/>
  <c r="M3930" i="1" s="1"/>
  <c r="L3931" i="1"/>
  <c r="M3931" i="1" s="1" a="1"/>
  <c r="M3931" i="1" s="1"/>
  <c r="L3932" i="1"/>
  <c r="M3932" i="1" s="1" a="1"/>
  <c r="M3932" i="1" s="1"/>
  <c r="L3933" i="1"/>
  <c r="M3933" i="1" s="1" a="1"/>
  <c r="M3933" i="1" s="1"/>
  <c r="L3934" i="1"/>
  <c r="M3934" i="1" s="1" a="1"/>
  <c r="M3934" i="1" s="1"/>
  <c r="L3935" i="1"/>
  <c r="M3935" i="1" s="1" a="1"/>
  <c r="M3935" i="1" s="1"/>
  <c r="L3936" i="1"/>
  <c r="M3936" i="1" s="1" a="1"/>
  <c r="M3936" i="1" s="1"/>
  <c r="L3937" i="1"/>
  <c r="M3937" i="1" s="1" a="1"/>
  <c r="M3937" i="1" s="1"/>
  <c r="L3938" i="1"/>
  <c r="M3938" i="1" s="1" a="1"/>
  <c r="M3938" i="1" s="1"/>
  <c r="L3939" i="1"/>
  <c r="M3939" i="1" s="1" a="1"/>
  <c r="M3939" i="1" s="1"/>
  <c r="L3940" i="1"/>
  <c r="M3940" i="1" s="1" a="1"/>
  <c r="M3940" i="1" s="1"/>
  <c r="L3941" i="1"/>
  <c r="M3941" i="1" s="1" a="1"/>
  <c r="M3941" i="1" s="1"/>
  <c r="L3942" i="1"/>
  <c r="M3942" i="1" s="1" a="1"/>
  <c r="M3942" i="1" s="1"/>
  <c r="L3943" i="1"/>
  <c r="M3943" i="1" s="1" a="1"/>
  <c r="M3943" i="1" s="1"/>
  <c r="L3944" i="1"/>
  <c r="M3944" i="1" s="1" a="1"/>
  <c r="M3944" i="1" s="1"/>
  <c r="L3945" i="1"/>
  <c r="M3945" i="1" s="1" a="1"/>
  <c r="M3945" i="1" s="1"/>
  <c r="L3946" i="1"/>
  <c r="M3946" i="1" s="1" a="1"/>
  <c r="M3946" i="1" s="1"/>
  <c r="L3947" i="1"/>
  <c r="M3947" i="1" s="1" a="1"/>
  <c r="M3947" i="1" s="1"/>
  <c r="L3948" i="1"/>
  <c r="M3948" i="1" s="1" a="1"/>
  <c r="M3948" i="1" s="1"/>
  <c r="L3949" i="1"/>
  <c r="M3949" i="1" s="1" a="1"/>
  <c r="M3949" i="1" s="1"/>
  <c r="L3950" i="1"/>
  <c r="M3950" i="1" s="1" a="1"/>
  <c r="M3950" i="1" s="1"/>
  <c r="L3951" i="1"/>
  <c r="M3951" i="1" s="1" a="1"/>
  <c r="M3951" i="1" s="1"/>
  <c r="L3952" i="1"/>
  <c r="M3952" i="1" s="1" a="1"/>
  <c r="M3952" i="1" s="1"/>
  <c r="L3953" i="1"/>
  <c r="M3953" i="1" s="1" a="1"/>
  <c r="M3953" i="1" s="1"/>
  <c r="L3954" i="1"/>
  <c r="M3954" i="1" s="1" a="1"/>
  <c r="M3954" i="1" s="1"/>
  <c r="L3955" i="1"/>
  <c r="M3955" i="1" s="1" a="1"/>
  <c r="M3955" i="1" s="1"/>
  <c r="L3956" i="1"/>
  <c r="M3956" i="1" s="1" a="1"/>
  <c r="M3956" i="1" s="1"/>
  <c r="L3957" i="1"/>
  <c r="M3957" i="1" s="1" a="1"/>
  <c r="M3957" i="1" s="1"/>
  <c r="L3958" i="1"/>
  <c r="M3958" i="1" s="1" a="1"/>
  <c r="M3958" i="1" s="1"/>
  <c r="L3959" i="1"/>
  <c r="M3959" i="1" s="1" a="1"/>
  <c r="M3959" i="1" s="1"/>
  <c r="L3960" i="1"/>
  <c r="M3960" i="1" s="1" a="1"/>
  <c r="M3960" i="1" s="1"/>
  <c r="L3961" i="1"/>
  <c r="M3961" i="1" s="1" a="1"/>
  <c r="M3961" i="1" s="1"/>
  <c r="L3962" i="1"/>
  <c r="M3962" i="1" s="1" a="1"/>
  <c r="M3962" i="1" s="1"/>
  <c r="L3963" i="1"/>
  <c r="M3963" i="1" s="1" a="1"/>
  <c r="M3963" i="1" s="1"/>
  <c r="L3964" i="1"/>
  <c r="M3964" i="1" s="1" a="1"/>
  <c r="M3964" i="1" s="1"/>
  <c r="L3965" i="1"/>
  <c r="M3965" i="1" s="1" a="1"/>
  <c r="M3965" i="1" s="1"/>
  <c r="L3966" i="1"/>
  <c r="M3966" i="1" s="1" a="1"/>
  <c r="M3966" i="1" s="1"/>
  <c r="L3967" i="1"/>
  <c r="M3967" i="1" s="1" a="1"/>
  <c r="M3967" i="1" s="1"/>
  <c r="L3968" i="1"/>
  <c r="M3968" i="1" s="1" a="1"/>
  <c r="M3968" i="1" s="1"/>
  <c r="L3969" i="1"/>
  <c r="M3969" i="1" s="1" a="1"/>
  <c r="M3969" i="1" s="1"/>
  <c r="L3970" i="1"/>
  <c r="M3970" i="1" s="1" a="1"/>
  <c r="M3970" i="1" s="1"/>
  <c r="L3971" i="1"/>
  <c r="M3971" i="1" s="1" a="1"/>
  <c r="M3971" i="1" s="1"/>
  <c r="L3972" i="1"/>
  <c r="M3972" i="1" s="1" a="1"/>
  <c r="M3972" i="1" s="1"/>
  <c r="L3973" i="1"/>
  <c r="M3973" i="1" s="1" a="1"/>
  <c r="M3973" i="1" s="1"/>
  <c r="L3974" i="1"/>
  <c r="M3974" i="1" s="1" a="1"/>
  <c r="M3974" i="1" s="1"/>
  <c r="L3975" i="1"/>
  <c r="M3975" i="1" s="1" a="1"/>
  <c r="M3975" i="1" s="1"/>
  <c r="L3976" i="1"/>
  <c r="M3976" i="1" s="1" a="1"/>
  <c r="M3976" i="1" s="1"/>
  <c r="L3977" i="1"/>
  <c r="M3977" i="1" s="1" a="1"/>
  <c r="M3977" i="1" s="1"/>
  <c r="L3978" i="1"/>
  <c r="M3978" i="1" s="1" a="1"/>
  <c r="M3978" i="1" s="1"/>
  <c r="L3979" i="1"/>
  <c r="M3979" i="1" s="1" a="1"/>
  <c r="M3979" i="1" s="1"/>
  <c r="L3980" i="1"/>
  <c r="M3980" i="1" s="1" a="1"/>
  <c r="M3980" i="1" s="1"/>
  <c r="L3981" i="1"/>
  <c r="M3981" i="1" s="1" a="1"/>
  <c r="M3981" i="1" s="1"/>
  <c r="L3982" i="1"/>
  <c r="M3982" i="1" s="1" a="1"/>
  <c r="M3982" i="1" s="1"/>
  <c r="L3983" i="1"/>
  <c r="M3983" i="1" s="1" a="1"/>
  <c r="M3983" i="1" s="1"/>
  <c r="L3984" i="1"/>
  <c r="M3984" i="1" s="1" a="1"/>
  <c r="M3984" i="1" s="1"/>
  <c r="L3985" i="1"/>
  <c r="M3985" i="1" s="1" a="1"/>
  <c r="M3985" i="1" s="1"/>
  <c r="L3986" i="1"/>
  <c r="M3986" i="1" s="1" a="1"/>
  <c r="M3986" i="1" s="1"/>
  <c r="L3987" i="1"/>
  <c r="M3987" i="1" s="1" a="1"/>
  <c r="M3987" i="1" s="1"/>
  <c r="L3988" i="1"/>
  <c r="M3988" i="1" s="1" a="1"/>
  <c r="M3988" i="1" s="1"/>
  <c r="L3989" i="1"/>
  <c r="M3989" i="1" s="1" a="1"/>
  <c r="M3989" i="1" s="1"/>
  <c r="L3990" i="1"/>
  <c r="M3990" i="1" s="1" a="1"/>
  <c r="M3990" i="1" s="1"/>
  <c r="L3991" i="1"/>
  <c r="M3991" i="1" s="1" a="1"/>
  <c r="M3991" i="1" s="1"/>
  <c r="L3992" i="1"/>
  <c r="M3992" i="1" s="1" a="1"/>
  <c r="M3992" i="1" s="1"/>
  <c r="L3993" i="1"/>
  <c r="M3993" i="1" s="1" a="1"/>
  <c r="M3993" i="1" s="1"/>
  <c r="L3994" i="1"/>
  <c r="M3994" i="1" s="1" a="1"/>
  <c r="M3994" i="1" s="1"/>
  <c r="L3995" i="1"/>
  <c r="M3995" i="1" s="1" a="1"/>
  <c r="M3995" i="1" s="1"/>
  <c r="L3996" i="1"/>
  <c r="M3996" i="1" s="1" a="1"/>
  <c r="M3996" i="1" s="1"/>
  <c r="L3997" i="1"/>
  <c r="M3997" i="1" s="1" a="1"/>
  <c r="M3997" i="1" s="1"/>
  <c r="L3998" i="1"/>
  <c r="M3998" i="1" s="1" a="1"/>
  <c r="M3998" i="1" s="1"/>
  <c r="L3999" i="1"/>
  <c r="M3999" i="1" s="1" a="1"/>
  <c r="M3999" i="1" s="1"/>
  <c r="L4000" i="1"/>
  <c r="M4000" i="1" s="1" a="1"/>
  <c r="M4000" i="1" s="1"/>
  <c r="L4001" i="1"/>
  <c r="M4001" i="1" s="1" a="1"/>
  <c r="M4001" i="1" s="1"/>
  <c r="L4002" i="1"/>
  <c r="M4002" i="1" s="1" a="1"/>
  <c r="M4002" i="1" s="1"/>
  <c r="L4003" i="1"/>
  <c r="M4003" i="1" s="1" a="1"/>
  <c r="M4003" i="1" s="1"/>
  <c r="L4004" i="1"/>
  <c r="M4004" i="1" s="1" a="1"/>
  <c r="M4004" i="1" s="1"/>
  <c r="L4005" i="1"/>
  <c r="M4005" i="1" s="1" a="1"/>
  <c r="M4005" i="1" s="1"/>
  <c r="L4006" i="1"/>
  <c r="M4006" i="1" s="1" a="1"/>
  <c r="M4006" i="1" s="1"/>
  <c r="L4007" i="1"/>
  <c r="M4007" i="1" s="1" a="1"/>
  <c r="M4007" i="1" s="1"/>
  <c r="L4008" i="1"/>
  <c r="M4008" i="1" s="1" a="1"/>
  <c r="M4008" i="1" s="1"/>
  <c r="L4009" i="1"/>
  <c r="M4009" i="1" s="1" a="1"/>
  <c r="M4009" i="1" s="1"/>
  <c r="L4010" i="1"/>
  <c r="M4010" i="1" s="1" a="1"/>
  <c r="M4010" i="1" s="1"/>
  <c r="L4011" i="1"/>
  <c r="M4011" i="1" s="1" a="1"/>
  <c r="M4011" i="1" s="1"/>
  <c r="L4012" i="1"/>
  <c r="M4012" i="1" s="1" a="1"/>
  <c r="M4012" i="1" s="1"/>
  <c r="L4013" i="1"/>
  <c r="M4013" i="1" s="1" a="1"/>
  <c r="M4013" i="1" s="1"/>
  <c r="L4014" i="1"/>
  <c r="M4014" i="1" s="1" a="1"/>
  <c r="M4014" i="1" s="1"/>
  <c r="L4015" i="1"/>
  <c r="M4015" i="1" s="1" a="1"/>
  <c r="M4015" i="1" s="1"/>
  <c r="L4016" i="1"/>
  <c r="M4016" i="1" s="1" a="1"/>
  <c r="M4016" i="1" s="1"/>
  <c r="L4017" i="1"/>
  <c r="M4017" i="1" s="1" a="1"/>
  <c r="M4017" i="1" s="1"/>
  <c r="L4018" i="1"/>
  <c r="M4018" i="1" s="1" a="1"/>
  <c r="M4018" i="1" s="1"/>
  <c r="L4019" i="1"/>
  <c r="M4019" i="1" s="1" a="1"/>
  <c r="M4019" i="1" s="1"/>
  <c r="L4020" i="1"/>
  <c r="M4020" i="1" s="1" a="1"/>
  <c r="M4020" i="1" s="1"/>
  <c r="L4021" i="1"/>
  <c r="M4021" i="1" s="1" a="1"/>
  <c r="M4021" i="1" s="1"/>
  <c r="L4022" i="1"/>
  <c r="M4022" i="1" s="1" a="1"/>
  <c r="M4022" i="1" s="1"/>
  <c r="L4023" i="1"/>
  <c r="M4023" i="1" s="1" a="1"/>
  <c r="M4023" i="1" s="1"/>
  <c r="L4024" i="1"/>
  <c r="M4024" i="1" s="1" a="1"/>
  <c r="M4024" i="1" s="1"/>
  <c r="L4025" i="1"/>
  <c r="M4025" i="1" s="1" a="1"/>
  <c r="M4025" i="1" s="1"/>
  <c r="L4026" i="1"/>
  <c r="M4026" i="1" s="1" a="1"/>
  <c r="M4026" i="1" s="1"/>
  <c r="L4027" i="1"/>
  <c r="M4027" i="1" s="1" a="1"/>
  <c r="M4027" i="1" s="1"/>
  <c r="L4028" i="1"/>
  <c r="M4028" i="1" s="1" a="1"/>
  <c r="M4028" i="1" s="1"/>
  <c r="L4029" i="1"/>
  <c r="M4029" i="1" s="1" a="1"/>
  <c r="M4029" i="1" s="1"/>
  <c r="L4030" i="1"/>
  <c r="M4030" i="1" s="1" a="1"/>
  <c r="M4030" i="1" s="1"/>
  <c r="L4031" i="1"/>
  <c r="M4031" i="1" s="1" a="1"/>
  <c r="M4031" i="1" s="1"/>
  <c r="L4032" i="1"/>
  <c r="M4032" i="1" s="1" a="1"/>
  <c r="M4032" i="1" s="1"/>
  <c r="L4033" i="1"/>
  <c r="M4033" i="1" s="1" a="1"/>
  <c r="M4033" i="1" s="1"/>
  <c r="L4034" i="1"/>
  <c r="M4034" i="1" s="1" a="1"/>
  <c r="M4034" i="1" s="1"/>
  <c r="L4035" i="1"/>
  <c r="M4035" i="1" s="1" a="1"/>
  <c r="M4035" i="1" s="1"/>
  <c r="L4036" i="1"/>
  <c r="M4036" i="1" s="1" a="1"/>
  <c r="M4036" i="1" s="1"/>
  <c r="L4037" i="1"/>
  <c r="M4037" i="1" s="1" a="1"/>
  <c r="M4037" i="1" s="1"/>
  <c r="L4038" i="1"/>
  <c r="M4038" i="1" s="1" a="1"/>
  <c r="M4038" i="1" s="1"/>
  <c r="L4039" i="1"/>
  <c r="M4039" i="1" s="1" a="1"/>
  <c r="M4039" i="1" s="1"/>
  <c r="L4040" i="1"/>
  <c r="M4040" i="1" s="1" a="1"/>
  <c r="M4040" i="1" s="1"/>
  <c r="L4041" i="1"/>
  <c r="M4041" i="1" s="1" a="1"/>
  <c r="M4041" i="1" s="1"/>
  <c r="L4042" i="1"/>
  <c r="M4042" i="1" s="1" a="1"/>
  <c r="M4042" i="1" s="1"/>
  <c r="L4043" i="1"/>
  <c r="M4043" i="1" s="1" a="1"/>
  <c r="M4043" i="1" s="1"/>
  <c r="L4044" i="1"/>
  <c r="M4044" i="1" s="1" a="1"/>
  <c r="M4044" i="1" s="1"/>
  <c r="L4045" i="1"/>
  <c r="M4045" i="1" s="1" a="1"/>
  <c r="M4045" i="1" s="1"/>
  <c r="L4046" i="1"/>
  <c r="M4046" i="1" s="1" a="1"/>
  <c r="M4046" i="1" s="1"/>
  <c r="L4047" i="1"/>
  <c r="M4047" i="1" s="1" a="1"/>
  <c r="M4047" i="1" s="1"/>
  <c r="L4048" i="1"/>
  <c r="M4048" i="1" s="1" a="1"/>
  <c r="M4048" i="1" s="1"/>
  <c r="L4049" i="1"/>
  <c r="M4049" i="1" s="1" a="1"/>
  <c r="M4049" i="1" s="1"/>
  <c r="L4050" i="1"/>
  <c r="M4050" i="1" s="1" a="1"/>
  <c r="M4050" i="1" s="1"/>
  <c r="L4051" i="1"/>
  <c r="M4051" i="1" s="1" a="1"/>
  <c r="M4051" i="1" s="1"/>
  <c r="L4052" i="1"/>
  <c r="M4052" i="1" s="1" a="1"/>
  <c r="M4052" i="1" s="1"/>
  <c r="L4053" i="1"/>
  <c r="M4053" i="1" s="1" a="1"/>
  <c r="M4053" i="1" s="1"/>
  <c r="L4054" i="1"/>
  <c r="M4054" i="1" s="1" a="1"/>
  <c r="M4054" i="1" s="1"/>
  <c r="L4055" i="1"/>
  <c r="M4055" i="1" s="1" a="1"/>
  <c r="M4055" i="1" s="1"/>
  <c r="L4056" i="1"/>
  <c r="M4056" i="1" s="1" a="1"/>
  <c r="M4056" i="1" s="1"/>
  <c r="L4057" i="1"/>
  <c r="M4057" i="1" s="1" a="1"/>
  <c r="M4057" i="1" s="1"/>
  <c r="L4058" i="1"/>
  <c r="M4058" i="1" s="1" a="1"/>
  <c r="M4058" i="1" s="1"/>
  <c r="L4059" i="1"/>
  <c r="M4059" i="1" s="1" a="1"/>
  <c r="M4059" i="1" s="1"/>
  <c r="L4060" i="1"/>
  <c r="M4060" i="1" s="1" a="1"/>
  <c r="M4060" i="1" s="1"/>
  <c r="L4061" i="1"/>
  <c r="M4061" i="1" s="1" a="1"/>
  <c r="M4061" i="1" s="1"/>
  <c r="L4062" i="1"/>
  <c r="M4062" i="1" s="1" a="1"/>
  <c r="M4062" i="1" s="1"/>
  <c r="L4063" i="1"/>
  <c r="M4063" i="1" s="1" a="1"/>
  <c r="M4063" i="1" s="1"/>
  <c r="L4064" i="1"/>
  <c r="M4064" i="1" s="1" a="1"/>
  <c r="M4064" i="1" s="1"/>
  <c r="L4065" i="1"/>
  <c r="M4065" i="1" s="1" a="1"/>
  <c r="M4065" i="1" s="1"/>
  <c r="L4066" i="1"/>
  <c r="M4066" i="1" s="1" a="1"/>
  <c r="M4066" i="1" s="1"/>
  <c r="L4067" i="1"/>
  <c r="M4067" i="1" s="1" a="1"/>
  <c r="M4067" i="1" s="1"/>
  <c r="L4068" i="1"/>
  <c r="M4068" i="1" s="1" a="1"/>
  <c r="M4068" i="1" s="1"/>
  <c r="L4069" i="1"/>
  <c r="M4069" i="1" s="1" a="1"/>
  <c r="M4069" i="1" s="1"/>
  <c r="L4070" i="1"/>
  <c r="M4070" i="1" s="1" a="1"/>
  <c r="M4070" i="1" s="1"/>
  <c r="L4071" i="1"/>
  <c r="M4071" i="1" s="1" a="1"/>
  <c r="M4071" i="1" s="1"/>
  <c r="L4072" i="1"/>
  <c r="M4072" i="1" s="1" a="1"/>
  <c r="M4072" i="1" s="1"/>
  <c r="L4073" i="1"/>
  <c r="M4073" i="1" s="1" a="1"/>
  <c r="M4073" i="1" s="1"/>
  <c r="L4074" i="1"/>
  <c r="M4074" i="1" s="1" a="1"/>
  <c r="M4074" i="1" s="1"/>
  <c r="L4075" i="1"/>
  <c r="M4075" i="1" s="1" a="1"/>
  <c r="M4075" i="1" s="1"/>
  <c r="L4076" i="1"/>
  <c r="M4076" i="1" s="1" a="1"/>
  <c r="M4076" i="1" s="1"/>
  <c r="L4077" i="1"/>
  <c r="M4077" i="1" s="1" a="1"/>
  <c r="M4077" i="1" s="1"/>
  <c r="L4078" i="1"/>
  <c r="M4078" i="1" s="1" a="1"/>
  <c r="M4078" i="1" s="1"/>
  <c r="L4079" i="1"/>
  <c r="M4079" i="1" s="1" a="1"/>
  <c r="M4079" i="1" s="1"/>
  <c r="L4080" i="1"/>
  <c r="M4080" i="1" s="1" a="1"/>
  <c r="M4080" i="1" s="1"/>
  <c r="L4081" i="1"/>
  <c r="M4081" i="1" s="1" a="1"/>
  <c r="M4081" i="1" s="1"/>
  <c r="L4082" i="1"/>
  <c r="M4082" i="1" s="1" a="1"/>
  <c r="M4082" i="1" s="1"/>
  <c r="L4083" i="1"/>
  <c r="M4083" i="1" s="1" a="1"/>
  <c r="M4083" i="1" s="1"/>
  <c r="L4084" i="1"/>
  <c r="M4084" i="1" s="1" a="1"/>
  <c r="M4084" i="1" s="1"/>
  <c r="L4085" i="1"/>
  <c r="M4085" i="1" s="1" a="1"/>
  <c r="M4085" i="1" s="1"/>
  <c r="L4086" i="1"/>
  <c r="M4086" i="1" s="1" a="1"/>
  <c r="M4086" i="1" s="1"/>
  <c r="L4087" i="1"/>
  <c r="M4087" i="1" s="1" a="1"/>
  <c r="M4087" i="1" s="1"/>
  <c r="L4088" i="1"/>
  <c r="M4088" i="1" s="1" a="1"/>
  <c r="M4088" i="1" s="1"/>
  <c r="L4089" i="1"/>
  <c r="M4089" i="1" s="1" a="1"/>
  <c r="M4089" i="1" s="1"/>
  <c r="L4090" i="1"/>
  <c r="M4090" i="1" s="1" a="1"/>
  <c r="M4090" i="1" s="1"/>
  <c r="L4091" i="1"/>
  <c r="M4091" i="1" s="1" a="1"/>
  <c r="M4091" i="1" s="1"/>
  <c r="L4092" i="1"/>
  <c r="M4092" i="1" s="1" a="1"/>
  <c r="M4092" i="1" s="1"/>
  <c r="L4093" i="1"/>
  <c r="M4093" i="1" s="1" a="1"/>
  <c r="M4093" i="1" s="1"/>
  <c r="L4094" i="1"/>
  <c r="M4094" i="1" s="1" a="1"/>
  <c r="M4094" i="1" s="1"/>
  <c r="L4095" i="1"/>
  <c r="M4095" i="1" s="1" a="1"/>
  <c r="M4095" i="1" s="1"/>
  <c r="L4096" i="1"/>
  <c r="M4096" i="1" s="1" a="1"/>
  <c r="M4096" i="1" s="1"/>
  <c r="L4097" i="1"/>
  <c r="M4097" i="1" s="1" a="1"/>
  <c r="M4097" i="1" s="1"/>
  <c r="L4098" i="1"/>
  <c r="M4098" i="1" s="1" a="1"/>
  <c r="M4098" i="1" s="1"/>
  <c r="L4099" i="1"/>
  <c r="M4099" i="1" s="1" a="1"/>
  <c r="M4099" i="1" s="1"/>
  <c r="L4100" i="1"/>
  <c r="M4100" i="1" s="1" a="1"/>
  <c r="M4100" i="1" s="1"/>
  <c r="L4101" i="1"/>
  <c r="M4101" i="1" s="1" a="1"/>
  <c r="M4101" i="1" s="1"/>
  <c r="L4102" i="1"/>
  <c r="M4102" i="1" s="1" a="1"/>
  <c r="M4102" i="1" s="1"/>
  <c r="L4103" i="1"/>
  <c r="M4103" i="1" s="1" a="1"/>
  <c r="M4103" i="1" s="1"/>
  <c r="L4104" i="1"/>
  <c r="M4104" i="1" s="1" a="1"/>
  <c r="M4104" i="1" s="1"/>
  <c r="L4105" i="1"/>
  <c r="M4105" i="1" s="1" a="1"/>
  <c r="M4105" i="1" s="1"/>
  <c r="L4106" i="1"/>
  <c r="M4106" i="1" s="1" a="1"/>
  <c r="M4106" i="1" s="1"/>
  <c r="L4107" i="1"/>
  <c r="M4107" i="1" s="1" a="1"/>
  <c r="M4107" i="1" s="1"/>
  <c r="L4108" i="1"/>
  <c r="M4108" i="1" s="1" a="1"/>
  <c r="M4108" i="1" s="1"/>
  <c r="L4109" i="1"/>
  <c r="M4109" i="1" s="1" a="1"/>
  <c r="M4109" i="1" s="1"/>
  <c r="L4110" i="1"/>
  <c r="M4110" i="1" s="1" a="1"/>
  <c r="M4110" i="1" s="1"/>
  <c r="L4111" i="1"/>
  <c r="M4111" i="1" s="1" a="1"/>
  <c r="M4111" i="1" s="1"/>
  <c r="L4112" i="1"/>
  <c r="M4112" i="1" s="1" a="1"/>
  <c r="M4112" i="1" s="1"/>
  <c r="L4113" i="1"/>
  <c r="M4113" i="1" s="1" a="1"/>
  <c r="M4113" i="1" s="1"/>
  <c r="L4114" i="1"/>
  <c r="M4114" i="1" s="1" a="1"/>
  <c r="M4114" i="1" s="1"/>
  <c r="L4115" i="1"/>
  <c r="M4115" i="1" s="1" a="1"/>
  <c r="M4115" i="1" s="1"/>
  <c r="L4116" i="1"/>
  <c r="M4116" i="1" s="1" a="1"/>
  <c r="M4116" i="1" s="1"/>
  <c r="L4117" i="1"/>
  <c r="M4117" i="1" s="1" a="1"/>
  <c r="M4117" i="1" s="1"/>
  <c r="L4118" i="1"/>
  <c r="M4118" i="1" s="1" a="1"/>
  <c r="M4118" i="1" s="1"/>
  <c r="L4119" i="1"/>
  <c r="M4119" i="1" s="1" a="1"/>
  <c r="M4119" i="1" s="1"/>
  <c r="L4120" i="1"/>
  <c r="M4120" i="1" s="1" a="1"/>
  <c r="M4120" i="1" s="1"/>
  <c r="L4121" i="1"/>
  <c r="M4121" i="1" s="1" a="1"/>
  <c r="M4121" i="1" s="1"/>
  <c r="L4122" i="1"/>
  <c r="M4122" i="1" s="1" a="1"/>
  <c r="M4122" i="1" s="1"/>
  <c r="L4123" i="1"/>
  <c r="M4123" i="1" s="1" a="1"/>
  <c r="M4123" i="1" s="1"/>
  <c r="L4124" i="1"/>
  <c r="M4124" i="1" s="1" a="1"/>
  <c r="M4124" i="1" s="1"/>
  <c r="L4125" i="1"/>
  <c r="M4125" i="1" s="1" a="1"/>
  <c r="M4125" i="1" s="1"/>
  <c r="L4126" i="1"/>
  <c r="M4126" i="1" s="1" a="1"/>
  <c r="M4126" i="1" s="1"/>
  <c r="L4127" i="1"/>
  <c r="M4127" i="1" s="1" a="1"/>
  <c r="M4127" i="1" s="1"/>
  <c r="L4128" i="1"/>
  <c r="M4128" i="1" s="1" a="1"/>
  <c r="M4128" i="1" s="1"/>
  <c r="L4129" i="1"/>
  <c r="M4129" i="1" s="1" a="1"/>
  <c r="M4129" i="1" s="1"/>
  <c r="L4130" i="1"/>
  <c r="M4130" i="1" s="1" a="1"/>
  <c r="M4130" i="1" s="1"/>
  <c r="L4131" i="1"/>
  <c r="M4131" i="1" s="1" a="1"/>
  <c r="M4131" i="1" s="1"/>
  <c r="L4132" i="1"/>
  <c r="M4132" i="1" s="1" a="1"/>
  <c r="M4132" i="1" s="1"/>
  <c r="L4133" i="1"/>
  <c r="M4133" i="1" s="1" a="1"/>
  <c r="M4133" i="1" s="1"/>
  <c r="L4134" i="1"/>
  <c r="M4134" i="1" s="1" a="1"/>
  <c r="M4134" i="1" s="1"/>
  <c r="L4135" i="1"/>
  <c r="M4135" i="1" s="1" a="1"/>
  <c r="M4135" i="1" s="1"/>
  <c r="L4136" i="1"/>
  <c r="M4136" i="1" s="1" a="1"/>
  <c r="M4136" i="1" s="1"/>
  <c r="L4137" i="1"/>
  <c r="M4137" i="1" s="1" a="1"/>
  <c r="M4137" i="1" s="1"/>
  <c r="L4138" i="1"/>
  <c r="M4138" i="1" s="1" a="1"/>
  <c r="M4138" i="1" s="1"/>
  <c r="L4139" i="1"/>
  <c r="M4139" i="1" s="1" a="1"/>
  <c r="M4139" i="1" s="1"/>
  <c r="L4140" i="1"/>
  <c r="M4140" i="1" s="1" a="1"/>
  <c r="M4140" i="1" s="1"/>
  <c r="L4141" i="1"/>
  <c r="M4141" i="1" s="1" a="1"/>
  <c r="M4141" i="1" s="1"/>
  <c r="L4142" i="1"/>
  <c r="M4142" i="1" s="1" a="1"/>
  <c r="M4142" i="1" s="1"/>
  <c r="L4143" i="1"/>
  <c r="M4143" i="1" s="1" a="1"/>
  <c r="M4143" i="1" s="1"/>
  <c r="L4144" i="1"/>
  <c r="M4144" i="1" s="1" a="1"/>
  <c r="M4144" i="1" s="1"/>
  <c r="L4145" i="1"/>
  <c r="M4145" i="1" s="1" a="1"/>
  <c r="M4145" i="1" s="1"/>
  <c r="L4146" i="1"/>
  <c r="M4146" i="1" s="1" a="1"/>
  <c r="M4146" i="1" s="1"/>
  <c r="L4147" i="1"/>
  <c r="M4147" i="1" s="1" a="1"/>
  <c r="M4147" i="1" s="1"/>
  <c r="L4148" i="1"/>
  <c r="M4148" i="1" s="1" a="1"/>
  <c r="M4148" i="1" s="1"/>
  <c r="L4149" i="1"/>
  <c r="M4149" i="1" s="1" a="1"/>
  <c r="M4149" i="1" s="1"/>
  <c r="L4150" i="1"/>
  <c r="M4150" i="1" s="1" a="1"/>
  <c r="M4150" i="1" s="1"/>
  <c r="L4151" i="1"/>
  <c r="M4151" i="1" s="1" a="1"/>
  <c r="M4151" i="1" s="1"/>
  <c r="L4152" i="1"/>
  <c r="M4152" i="1" s="1" a="1"/>
  <c r="M4152" i="1" s="1"/>
  <c r="L4153" i="1"/>
  <c r="M4153" i="1" s="1" a="1"/>
  <c r="M4153" i="1" s="1"/>
  <c r="L4154" i="1"/>
  <c r="M4154" i="1" s="1" a="1"/>
  <c r="M4154" i="1" s="1"/>
  <c r="L4155" i="1"/>
  <c r="M4155" i="1" s="1" a="1"/>
  <c r="M4155" i="1" s="1"/>
  <c r="L4156" i="1"/>
  <c r="M4156" i="1" s="1" a="1"/>
  <c r="M4156" i="1" s="1"/>
  <c r="L4157" i="1"/>
  <c r="M4157" i="1" s="1" a="1"/>
  <c r="M4157" i="1" s="1"/>
  <c r="L4158" i="1"/>
  <c r="M4158" i="1" s="1" a="1"/>
  <c r="M4158" i="1" s="1"/>
  <c r="L4159" i="1"/>
  <c r="M4159" i="1" s="1" a="1"/>
  <c r="M4159" i="1" s="1"/>
  <c r="L4160" i="1"/>
  <c r="M4160" i="1" s="1" a="1"/>
  <c r="M4160" i="1" s="1"/>
  <c r="L4161" i="1"/>
  <c r="M4161" i="1" s="1" a="1"/>
  <c r="M4161" i="1" s="1"/>
  <c r="L4162" i="1"/>
  <c r="M4162" i="1" s="1" a="1"/>
  <c r="M4162" i="1" s="1"/>
  <c r="L4163" i="1"/>
  <c r="M4163" i="1" s="1" a="1"/>
  <c r="M4163" i="1" s="1"/>
  <c r="L4164" i="1"/>
  <c r="M4164" i="1" s="1" a="1"/>
  <c r="M4164" i="1" s="1"/>
  <c r="L4165" i="1"/>
  <c r="M4165" i="1" s="1" a="1"/>
  <c r="M4165" i="1" s="1"/>
  <c r="L4166" i="1"/>
  <c r="M4166" i="1" s="1" a="1"/>
  <c r="M4166" i="1" s="1"/>
  <c r="L4167" i="1"/>
  <c r="M4167" i="1" s="1" a="1"/>
  <c r="M4167" i="1" s="1"/>
  <c r="L4168" i="1"/>
  <c r="M4168" i="1" s="1" a="1"/>
  <c r="M4168" i="1" s="1"/>
  <c r="L4169" i="1"/>
  <c r="M4169" i="1" s="1" a="1"/>
  <c r="M4169" i="1" s="1"/>
  <c r="L4170" i="1"/>
  <c r="M4170" i="1" s="1" a="1"/>
  <c r="M4170" i="1" s="1"/>
  <c r="L4171" i="1"/>
  <c r="M4171" i="1" s="1" a="1"/>
  <c r="M4171" i="1" s="1"/>
  <c r="L4172" i="1"/>
  <c r="M4172" i="1" s="1" a="1"/>
  <c r="M4172" i="1" s="1"/>
  <c r="L4173" i="1"/>
  <c r="M4173" i="1" s="1" a="1"/>
  <c r="M4173" i="1" s="1"/>
  <c r="L4174" i="1"/>
  <c r="M4174" i="1" s="1" a="1"/>
  <c r="M4174" i="1" s="1"/>
  <c r="L4175" i="1"/>
  <c r="M4175" i="1" s="1" a="1"/>
  <c r="M4175" i="1" s="1"/>
  <c r="L4176" i="1"/>
  <c r="M4176" i="1" s="1" a="1"/>
  <c r="M4176" i="1" s="1"/>
  <c r="L4177" i="1"/>
  <c r="M4177" i="1" s="1" a="1"/>
  <c r="M4177" i="1" s="1"/>
  <c r="L4178" i="1"/>
  <c r="M4178" i="1" s="1" a="1"/>
  <c r="M4178" i="1" s="1"/>
  <c r="L4179" i="1"/>
  <c r="M4179" i="1" s="1" a="1"/>
  <c r="M4179" i="1" s="1"/>
  <c r="L4180" i="1"/>
  <c r="M4180" i="1" s="1" a="1"/>
  <c r="M4180" i="1" s="1"/>
  <c r="L4181" i="1"/>
  <c r="M4181" i="1" s="1" a="1"/>
  <c r="M4181" i="1" s="1"/>
  <c r="L4182" i="1"/>
  <c r="M4182" i="1" s="1" a="1"/>
  <c r="M4182" i="1" s="1"/>
  <c r="L4183" i="1"/>
  <c r="M4183" i="1" s="1" a="1"/>
  <c r="M4183" i="1" s="1"/>
  <c r="L4184" i="1"/>
  <c r="M4184" i="1" s="1" a="1"/>
  <c r="M4184" i="1" s="1"/>
  <c r="L4185" i="1"/>
  <c r="M4185" i="1" s="1" a="1"/>
  <c r="M4185" i="1" s="1"/>
  <c r="L4186" i="1"/>
  <c r="M4186" i="1" s="1" a="1"/>
  <c r="M4186" i="1" s="1"/>
  <c r="L4187" i="1"/>
  <c r="M4187" i="1" s="1" a="1"/>
  <c r="M4187" i="1" s="1"/>
  <c r="L4188" i="1"/>
  <c r="M4188" i="1" s="1" a="1"/>
  <c r="M4188" i="1" s="1"/>
  <c r="L4189" i="1"/>
  <c r="M4189" i="1" s="1" a="1"/>
  <c r="M4189" i="1" s="1"/>
  <c r="L4190" i="1"/>
  <c r="M4190" i="1" s="1" a="1"/>
  <c r="M4190" i="1" s="1"/>
  <c r="L4191" i="1"/>
  <c r="M4191" i="1" s="1" a="1"/>
  <c r="M4191" i="1" s="1"/>
  <c r="L4192" i="1"/>
  <c r="M4192" i="1" s="1" a="1"/>
  <c r="M4192" i="1" s="1"/>
  <c r="L4193" i="1"/>
  <c r="M4193" i="1" s="1" a="1"/>
  <c r="M4193" i="1" s="1"/>
  <c r="L4194" i="1"/>
  <c r="M4194" i="1" s="1" a="1"/>
  <c r="M4194" i="1" s="1"/>
  <c r="L4195" i="1"/>
  <c r="M4195" i="1" s="1" a="1"/>
  <c r="M4195" i="1" s="1"/>
  <c r="L4196" i="1"/>
  <c r="M4196" i="1" s="1" a="1"/>
  <c r="M4196" i="1" s="1"/>
  <c r="L4197" i="1"/>
  <c r="M4197" i="1" s="1" a="1"/>
  <c r="M4197" i="1" s="1"/>
  <c r="L4198" i="1"/>
  <c r="M4198" i="1" s="1" a="1"/>
  <c r="M4198" i="1" s="1"/>
  <c r="L4199" i="1"/>
  <c r="M4199" i="1" s="1" a="1"/>
  <c r="M4199" i="1" s="1"/>
  <c r="L4200" i="1"/>
  <c r="M4200" i="1" s="1" a="1"/>
  <c r="M4200" i="1" s="1"/>
  <c r="L4201" i="1"/>
  <c r="M4201" i="1" s="1" a="1"/>
  <c r="M4201" i="1" s="1"/>
  <c r="L4202" i="1"/>
  <c r="M4202" i="1" s="1" a="1"/>
  <c r="M4202" i="1" s="1"/>
  <c r="L4203" i="1"/>
  <c r="M4203" i="1" s="1" a="1"/>
  <c r="M4203" i="1" s="1"/>
  <c r="L4204" i="1"/>
  <c r="M4204" i="1" s="1" a="1"/>
  <c r="M4204" i="1" s="1"/>
  <c r="L4205" i="1"/>
  <c r="M4205" i="1" s="1" a="1"/>
  <c r="M4205" i="1" s="1"/>
  <c r="L4206" i="1"/>
  <c r="M4206" i="1" s="1" a="1"/>
  <c r="M4206" i="1" s="1"/>
  <c r="L4207" i="1"/>
  <c r="M4207" i="1" s="1" a="1"/>
  <c r="M4207" i="1" s="1"/>
  <c r="L4208" i="1"/>
  <c r="M4208" i="1" s="1" a="1"/>
  <c r="M4208" i="1" s="1"/>
  <c r="L4209" i="1"/>
  <c r="M4209" i="1" s="1" a="1"/>
  <c r="M4209" i="1" s="1"/>
  <c r="L4210" i="1"/>
  <c r="M4210" i="1" s="1" a="1"/>
  <c r="M4210" i="1" s="1"/>
  <c r="L4211" i="1"/>
  <c r="M4211" i="1" s="1" a="1"/>
  <c r="M4211" i="1" s="1"/>
  <c r="L4212" i="1"/>
  <c r="M4212" i="1" s="1" a="1"/>
  <c r="M4212" i="1" s="1"/>
  <c r="L4213" i="1"/>
  <c r="M4213" i="1" s="1" a="1"/>
  <c r="M4213" i="1" s="1"/>
  <c r="L4214" i="1"/>
  <c r="M4214" i="1" s="1" a="1"/>
  <c r="M4214" i="1" s="1"/>
  <c r="L4215" i="1"/>
  <c r="M4215" i="1" s="1" a="1"/>
  <c r="M4215" i="1" s="1"/>
  <c r="L4216" i="1"/>
  <c r="M4216" i="1" s="1" a="1"/>
  <c r="M4216" i="1" s="1"/>
  <c r="L4217" i="1"/>
  <c r="M4217" i="1" s="1" a="1"/>
  <c r="M4217" i="1" s="1"/>
  <c r="L4218" i="1"/>
  <c r="M4218" i="1" s="1" a="1"/>
  <c r="M4218" i="1" s="1"/>
  <c r="L4219" i="1"/>
  <c r="M4219" i="1" s="1" a="1"/>
  <c r="M4219" i="1" s="1"/>
  <c r="L4220" i="1"/>
  <c r="M4220" i="1" s="1" a="1"/>
  <c r="M4220" i="1" s="1"/>
  <c r="L4221" i="1"/>
  <c r="M4221" i="1" s="1" a="1"/>
  <c r="M4221" i="1" s="1"/>
  <c r="L4222" i="1"/>
  <c r="M4222" i="1" s="1" a="1"/>
  <c r="M4222" i="1" s="1"/>
  <c r="L4223" i="1"/>
  <c r="M4223" i="1" s="1" a="1"/>
  <c r="M4223" i="1" s="1"/>
  <c r="L4224" i="1"/>
  <c r="M4224" i="1" s="1" a="1"/>
  <c r="M4224" i="1" s="1"/>
  <c r="L4225" i="1"/>
  <c r="M4225" i="1" s="1" a="1"/>
  <c r="M4225" i="1" s="1"/>
  <c r="L4226" i="1"/>
  <c r="M4226" i="1" s="1" a="1"/>
  <c r="M4226" i="1" s="1"/>
  <c r="L4227" i="1"/>
  <c r="M4227" i="1" s="1" a="1"/>
  <c r="M4227" i="1" s="1"/>
  <c r="L4228" i="1"/>
  <c r="M4228" i="1" s="1" a="1"/>
  <c r="M4228" i="1" s="1"/>
  <c r="L4229" i="1"/>
  <c r="M4229" i="1" s="1" a="1"/>
  <c r="M4229" i="1" s="1"/>
  <c r="L4230" i="1"/>
  <c r="M4230" i="1" s="1" a="1"/>
  <c r="M4230" i="1" s="1"/>
  <c r="L4231" i="1"/>
  <c r="M4231" i="1" s="1" a="1"/>
  <c r="M4231" i="1" s="1"/>
  <c r="L4232" i="1"/>
  <c r="M4232" i="1" s="1" a="1"/>
  <c r="M4232" i="1" s="1"/>
  <c r="L4233" i="1"/>
  <c r="M4233" i="1" s="1" a="1"/>
  <c r="M4233" i="1" s="1"/>
  <c r="L4234" i="1"/>
  <c r="M4234" i="1" s="1" a="1"/>
  <c r="M4234" i="1" s="1"/>
  <c r="L4235" i="1"/>
  <c r="M4235" i="1" s="1" a="1"/>
  <c r="M4235" i="1" s="1"/>
  <c r="L4236" i="1"/>
  <c r="M4236" i="1" s="1" a="1"/>
  <c r="M4236" i="1" s="1"/>
  <c r="L4237" i="1"/>
  <c r="M4237" i="1" s="1" a="1"/>
  <c r="M4237" i="1" s="1"/>
  <c r="L4238" i="1"/>
  <c r="M4238" i="1" s="1" a="1"/>
  <c r="M4238" i="1" s="1"/>
  <c r="L4239" i="1"/>
  <c r="M4239" i="1" s="1" a="1"/>
  <c r="M4239" i="1" s="1"/>
  <c r="L4240" i="1"/>
  <c r="M4240" i="1" s="1" a="1"/>
  <c r="M4240" i="1" s="1"/>
  <c r="L4241" i="1"/>
  <c r="M4241" i="1" s="1" a="1"/>
  <c r="M4241" i="1" s="1"/>
  <c r="L4242" i="1"/>
  <c r="M4242" i="1" s="1" a="1"/>
  <c r="M4242" i="1" s="1"/>
  <c r="L4243" i="1"/>
  <c r="M4243" i="1" s="1" a="1"/>
  <c r="M4243" i="1" s="1"/>
  <c r="L4244" i="1"/>
  <c r="M4244" i="1" s="1" a="1"/>
  <c r="M4244" i="1" s="1"/>
  <c r="L4245" i="1"/>
  <c r="M4245" i="1" s="1" a="1"/>
  <c r="M4245" i="1" s="1"/>
  <c r="L4246" i="1"/>
  <c r="M4246" i="1" s="1" a="1"/>
  <c r="M4246" i="1" s="1"/>
  <c r="L4247" i="1"/>
  <c r="M4247" i="1" s="1" a="1"/>
  <c r="M4247" i="1" s="1"/>
  <c r="L4248" i="1"/>
  <c r="M4248" i="1" s="1" a="1"/>
  <c r="M4248" i="1" s="1"/>
  <c r="L4249" i="1"/>
  <c r="M4249" i="1" s="1" a="1"/>
  <c r="M4249" i="1" s="1"/>
  <c r="L4250" i="1"/>
  <c r="M4250" i="1" s="1" a="1"/>
  <c r="M4250" i="1" s="1"/>
  <c r="L4251" i="1"/>
  <c r="M4251" i="1" s="1" a="1"/>
  <c r="M4251" i="1" s="1"/>
  <c r="L4252" i="1"/>
  <c r="M4252" i="1" s="1" a="1"/>
  <c r="M4252" i="1" s="1"/>
  <c r="L4253" i="1"/>
  <c r="M4253" i="1" s="1" a="1"/>
  <c r="M4253" i="1" s="1"/>
  <c r="L4254" i="1"/>
  <c r="M4254" i="1" s="1" a="1"/>
  <c r="M4254" i="1" s="1"/>
  <c r="L4255" i="1"/>
  <c r="M4255" i="1" s="1" a="1"/>
  <c r="M4255" i="1" s="1"/>
  <c r="L4256" i="1"/>
  <c r="M4256" i="1" s="1" a="1"/>
  <c r="M4256" i="1" s="1"/>
  <c r="L4257" i="1"/>
  <c r="M4257" i="1" s="1" a="1"/>
  <c r="M4257" i="1" s="1"/>
  <c r="L4258" i="1"/>
  <c r="M4258" i="1" s="1" a="1"/>
  <c r="M4258" i="1" s="1"/>
  <c r="L4259" i="1"/>
  <c r="M4259" i="1" s="1" a="1"/>
  <c r="M4259" i="1" s="1"/>
  <c r="L4260" i="1"/>
  <c r="M4260" i="1" s="1" a="1"/>
  <c r="M4260" i="1" s="1"/>
  <c r="L4261" i="1"/>
  <c r="M4261" i="1" s="1" a="1"/>
  <c r="M4261" i="1" s="1"/>
  <c r="L4262" i="1"/>
  <c r="M4262" i="1" s="1" a="1"/>
  <c r="M4262" i="1" s="1"/>
  <c r="L4263" i="1"/>
  <c r="M4263" i="1" s="1" a="1"/>
  <c r="M4263" i="1" s="1"/>
  <c r="L4264" i="1"/>
  <c r="M4264" i="1" s="1" a="1"/>
  <c r="M4264" i="1" s="1"/>
  <c r="L4265" i="1"/>
  <c r="M4265" i="1" s="1" a="1"/>
  <c r="M4265" i="1" s="1"/>
  <c r="L4266" i="1"/>
  <c r="M4266" i="1" s="1" a="1"/>
  <c r="M4266" i="1" s="1"/>
  <c r="L4267" i="1"/>
  <c r="M4267" i="1" s="1" a="1"/>
  <c r="M4267" i="1" s="1"/>
  <c r="L4268" i="1"/>
  <c r="M4268" i="1" s="1" a="1"/>
  <c r="M4268" i="1" s="1"/>
  <c r="L4269" i="1"/>
  <c r="M4269" i="1" s="1" a="1"/>
  <c r="M4269" i="1" s="1"/>
  <c r="L4270" i="1"/>
  <c r="M4270" i="1" s="1" a="1"/>
  <c r="M4270" i="1" s="1"/>
  <c r="L4271" i="1"/>
  <c r="M4271" i="1" s="1" a="1"/>
  <c r="M4271" i="1" s="1"/>
  <c r="L4272" i="1"/>
  <c r="M4272" i="1" s="1" a="1"/>
  <c r="M4272" i="1" s="1"/>
  <c r="L4273" i="1"/>
  <c r="M4273" i="1" s="1" a="1"/>
  <c r="M4273" i="1" s="1"/>
  <c r="L4274" i="1"/>
  <c r="M4274" i="1" s="1" a="1"/>
  <c r="M4274" i="1" s="1"/>
  <c r="L4275" i="1"/>
  <c r="M4275" i="1" s="1" a="1"/>
  <c r="M4275" i="1" s="1"/>
  <c r="L4276" i="1"/>
  <c r="M4276" i="1" s="1" a="1"/>
  <c r="M4276" i="1" s="1"/>
  <c r="L4277" i="1"/>
  <c r="M4277" i="1" s="1" a="1"/>
  <c r="M4277" i="1" s="1"/>
  <c r="L4278" i="1"/>
  <c r="M4278" i="1" s="1" a="1"/>
  <c r="M4278" i="1" s="1"/>
  <c r="L4279" i="1"/>
  <c r="M4279" i="1" s="1" a="1"/>
  <c r="M4279" i="1" s="1"/>
  <c r="L4280" i="1"/>
  <c r="M4280" i="1" s="1" a="1"/>
  <c r="M4280" i="1" s="1"/>
  <c r="L4281" i="1"/>
  <c r="M4281" i="1" s="1" a="1"/>
  <c r="M4281" i="1" s="1"/>
  <c r="L4282" i="1"/>
  <c r="M4282" i="1" s="1" a="1"/>
  <c r="M4282" i="1" s="1"/>
  <c r="L4283" i="1"/>
  <c r="M4283" i="1" s="1" a="1"/>
  <c r="M4283" i="1" s="1"/>
  <c r="L4284" i="1"/>
  <c r="M4284" i="1" s="1" a="1"/>
  <c r="M4284" i="1" s="1"/>
  <c r="L4285" i="1"/>
  <c r="M4285" i="1" s="1" a="1"/>
  <c r="M4285" i="1" s="1"/>
  <c r="L4286" i="1"/>
  <c r="M4286" i="1" s="1" a="1"/>
  <c r="M4286" i="1" s="1"/>
  <c r="L4287" i="1"/>
  <c r="M4287" i="1" s="1" a="1"/>
  <c r="M4287" i="1" s="1"/>
  <c r="L4288" i="1"/>
  <c r="M4288" i="1" s="1" a="1"/>
  <c r="M4288" i="1" s="1"/>
  <c r="L4289" i="1"/>
  <c r="M4289" i="1" s="1" a="1"/>
  <c r="M4289" i="1" s="1"/>
  <c r="L4290" i="1"/>
  <c r="M4290" i="1" s="1" a="1"/>
  <c r="M4290" i="1" s="1"/>
  <c r="L4291" i="1"/>
  <c r="M4291" i="1" s="1" a="1"/>
  <c r="M4291" i="1" s="1"/>
  <c r="L4292" i="1"/>
  <c r="M4292" i="1" s="1" a="1"/>
  <c r="M4292" i="1" s="1"/>
  <c r="L4293" i="1"/>
  <c r="M4293" i="1" s="1" a="1"/>
  <c r="M4293" i="1" s="1"/>
  <c r="L4294" i="1"/>
  <c r="M4294" i="1" s="1" a="1"/>
  <c r="M4294" i="1" s="1"/>
  <c r="L4295" i="1"/>
  <c r="M4295" i="1" s="1" a="1"/>
  <c r="M4295" i="1" s="1"/>
  <c r="L4296" i="1"/>
  <c r="M4296" i="1" s="1" a="1"/>
  <c r="M4296" i="1" s="1"/>
  <c r="L4297" i="1"/>
  <c r="M4297" i="1" s="1" a="1"/>
  <c r="M4297" i="1" s="1"/>
  <c r="L4298" i="1"/>
  <c r="M4298" i="1" s="1" a="1"/>
  <c r="M4298" i="1" s="1"/>
  <c r="L4299" i="1"/>
  <c r="M4299" i="1" s="1" a="1"/>
  <c r="M4299" i="1" s="1"/>
  <c r="L4300" i="1"/>
  <c r="M4300" i="1" s="1" a="1"/>
  <c r="M4300" i="1" s="1"/>
  <c r="L4301" i="1"/>
  <c r="M4301" i="1" s="1" a="1"/>
  <c r="M4301" i="1" s="1"/>
  <c r="L4302" i="1"/>
  <c r="M4302" i="1" s="1" a="1"/>
  <c r="M4302" i="1" s="1"/>
  <c r="L4303" i="1"/>
  <c r="M4303" i="1" s="1" a="1"/>
  <c r="M4303" i="1" s="1"/>
  <c r="L4304" i="1"/>
  <c r="M4304" i="1" s="1" a="1"/>
  <c r="M4304" i="1" s="1"/>
  <c r="L4305" i="1"/>
  <c r="M4305" i="1" s="1" a="1"/>
  <c r="M4305" i="1" s="1"/>
  <c r="L4306" i="1"/>
  <c r="M4306" i="1" s="1" a="1"/>
  <c r="M4306" i="1" s="1"/>
  <c r="L4307" i="1"/>
  <c r="M4307" i="1" s="1" a="1"/>
  <c r="M4307" i="1" s="1"/>
  <c r="L4308" i="1"/>
  <c r="M4308" i="1" s="1" a="1"/>
  <c r="M4308" i="1" s="1"/>
  <c r="L4309" i="1"/>
  <c r="M4309" i="1" s="1" a="1"/>
  <c r="M4309" i="1" s="1"/>
  <c r="L4310" i="1"/>
  <c r="M4310" i="1" s="1" a="1"/>
  <c r="M4310" i="1" s="1"/>
  <c r="L4311" i="1"/>
  <c r="M4311" i="1" s="1" a="1"/>
  <c r="M4311" i="1" s="1"/>
  <c r="L4312" i="1"/>
  <c r="M4312" i="1" s="1" a="1"/>
  <c r="M4312" i="1" s="1"/>
  <c r="L4313" i="1"/>
  <c r="M4313" i="1" s="1" a="1"/>
  <c r="M4313" i="1" s="1"/>
  <c r="L4314" i="1"/>
  <c r="M4314" i="1" s="1" a="1"/>
  <c r="M4314" i="1" s="1"/>
  <c r="L4315" i="1"/>
  <c r="M4315" i="1" s="1" a="1"/>
  <c r="M4315" i="1" s="1"/>
  <c r="L4316" i="1"/>
  <c r="M4316" i="1" s="1" a="1"/>
  <c r="M4316" i="1" s="1"/>
  <c r="L4317" i="1"/>
  <c r="M4317" i="1" s="1" a="1"/>
  <c r="M4317" i="1" s="1"/>
  <c r="L4318" i="1"/>
  <c r="M4318" i="1" s="1" a="1"/>
  <c r="M4318" i="1" s="1"/>
  <c r="L4319" i="1"/>
  <c r="M4319" i="1" s="1" a="1"/>
  <c r="M4319" i="1" s="1"/>
  <c r="L4320" i="1"/>
  <c r="M4320" i="1" s="1" a="1"/>
  <c r="M4320" i="1" s="1"/>
  <c r="L4321" i="1"/>
  <c r="M4321" i="1" s="1" a="1"/>
  <c r="M4321" i="1" s="1"/>
  <c r="L4322" i="1"/>
  <c r="M4322" i="1" s="1" a="1"/>
  <c r="M4322" i="1" s="1"/>
  <c r="L4323" i="1"/>
  <c r="M4323" i="1" s="1" a="1"/>
  <c r="M4323" i="1" s="1"/>
  <c r="L4324" i="1"/>
  <c r="M4324" i="1" s="1" a="1"/>
  <c r="M4324" i="1" s="1"/>
  <c r="L4325" i="1"/>
  <c r="M4325" i="1" s="1" a="1"/>
  <c r="M4325" i="1" s="1"/>
  <c r="L4326" i="1"/>
  <c r="M4326" i="1" s="1" a="1"/>
  <c r="M4326" i="1" s="1"/>
  <c r="L4327" i="1"/>
  <c r="M4327" i="1" s="1" a="1"/>
  <c r="M4327" i="1" s="1"/>
  <c r="L4328" i="1"/>
  <c r="M4328" i="1" s="1" a="1"/>
  <c r="M4328" i="1" s="1"/>
  <c r="L4329" i="1"/>
  <c r="M4329" i="1" s="1" a="1"/>
  <c r="M4329" i="1" s="1"/>
  <c r="L4330" i="1"/>
  <c r="M4330" i="1" s="1" a="1"/>
  <c r="M4330" i="1" s="1"/>
  <c r="L4331" i="1"/>
  <c r="M4331" i="1" s="1" a="1"/>
  <c r="M4331" i="1" s="1"/>
  <c r="L4332" i="1"/>
  <c r="M4332" i="1" s="1" a="1"/>
  <c r="M4332" i="1" s="1"/>
  <c r="L4333" i="1"/>
  <c r="M4333" i="1" s="1" a="1"/>
  <c r="M4333" i="1" s="1"/>
  <c r="L4334" i="1"/>
  <c r="M4334" i="1" s="1" a="1"/>
  <c r="M4334" i="1" s="1"/>
  <c r="L4335" i="1"/>
  <c r="M4335" i="1" s="1" a="1"/>
  <c r="M4335" i="1" s="1"/>
  <c r="L4336" i="1"/>
  <c r="M4336" i="1" s="1" a="1"/>
  <c r="M4336" i="1" s="1"/>
  <c r="L4337" i="1"/>
  <c r="M4337" i="1" s="1" a="1"/>
  <c r="M4337" i="1" s="1"/>
  <c r="L4338" i="1"/>
  <c r="M4338" i="1" s="1" a="1"/>
  <c r="M4338" i="1" s="1"/>
  <c r="L4339" i="1"/>
  <c r="M4339" i="1" s="1" a="1"/>
  <c r="M4339" i="1" s="1"/>
  <c r="L4340" i="1"/>
  <c r="M4340" i="1" s="1" a="1"/>
  <c r="M4340" i="1" s="1"/>
  <c r="L4341" i="1"/>
  <c r="M4341" i="1" s="1" a="1"/>
  <c r="M4341" i="1" s="1"/>
  <c r="L4342" i="1"/>
  <c r="M4342" i="1" s="1" a="1"/>
  <c r="M4342" i="1" s="1"/>
  <c r="L4343" i="1"/>
  <c r="M4343" i="1" s="1" a="1"/>
  <c r="M4343" i="1" s="1"/>
  <c r="L4344" i="1"/>
  <c r="M4344" i="1" s="1" a="1"/>
  <c r="M4344" i="1" s="1"/>
  <c r="L4345" i="1"/>
  <c r="M4345" i="1" s="1" a="1"/>
  <c r="M4345" i="1" s="1"/>
  <c r="L4346" i="1"/>
  <c r="M4346" i="1" s="1" a="1"/>
  <c r="M4346" i="1" s="1"/>
  <c r="L4347" i="1"/>
  <c r="M4347" i="1" s="1" a="1"/>
  <c r="M4347" i="1" s="1"/>
  <c r="L4348" i="1"/>
  <c r="M4348" i="1" s="1" a="1"/>
  <c r="M4348" i="1" s="1"/>
  <c r="L4349" i="1"/>
  <c r="M4349" i="1" s="1" a="1"/>
  <c r="M4349" i="1" s="1"/>
  <c r="L4350" i="1"/>
  <c r="M4350" i="1" s="1" a="1"/>
  <c r="M4350" i="1" s="1"/>
  <c r="L4351" i="1"/>
  <c r="M4351" i="1" s="1" a="1"/>
  <c r="M4351" i="1" s="1"/>
  <c r="L4352" i="1"/>
  <c r="M4352" i="1" s="1" a="1"/>
  <c r="M4352" i="1" s="1"/>
  <c r="L4353" i="1"/>
  <c r="M4353" i="1" s="1" a="1"/>
  <c r="M4353" i="1" s="1"/>
  <c r="L4354" i="1"/>
  <c r="M4354" i="1" s="1" a="1"/>
  <c r="M4354" i="1" s="1"/>
  <c r="L4355" i="1"/>
  <c r="M4355" i="1" s="1" a="1"/>
  <c r="M4355" i="1" s="1"/>
  <c r="L4356" i="1"/>
  <c r="M4356" i="1" s="1" a="1"/>
  <c r="M4356" i="1" s="1"/>
  <c r="L4357" i="1"/>
  <c r="M4357" i="1" s="1" a="1"/>
  <c r="M4357" i="1" s="1"/>
  <c r="L4358" i="1"/>
  <c r="M4358" i="1" s="1" a="1"/>
  <c r="M4358" i="1" s="1"/>
  <c r="L4359" i="1"/>
  <c r="M4359" i="1" s="1" a="1"/>
  <c r="M4359" i="1" s="1"/>
  <c r="L4360" i="1"/>
  <c r="M4360" i="1" s="1" a="1"/>
  <c r="M4360" i="1" s="1"/>
  <c r="L4361" i="1"/>
  <c r="M4361" i="1" s="1" a="1"/>
  <c r="M4361" i="1" s="1"/>
  <c r="L4362" i="1"/>
  <c r="M4362" i="1" s="1" a="1"/>
  <c r="M4362" i="1" s="1"/>
  <c r="L4363" i="1"/>
  <c r="M4363" i="1" s="1" a="1"/>
  <c r="M4363" i="1" s="1"/>
  <c r="L4364" i="1"/>
  <c r="M4364" i="1" s="1" a="1"/>
  <c r="M4364" i="1" s="1"/>
  <c r="L4365" i="1"/>
  <c r="M4365" i="1" s="1" a="1"/>
  <c r="M4365" i="1" s="1"/>
  <c r="L4366" i="1"/>
  <c r="M4366" i="1" s="1" a="1"/>
  <c r="M4366" i="1" s="1"/>
  <c r="L4367" i="1"/>
  <c r="M4367" i="1" s="1" a="1"/>
  <c r="M4367" i="1" s="1"/>
  <c r="L4368" i="1"/>
  <c r="M4368" i="1" s="1" a="1"/>
  <c r="M4368" i="1" s="1"/>
  <c r="L4369" i="1"/>
  <c r="M4369" i="1" s="1" a="1"/>
  <c r="M4369" i="1" s="1"/>
  <c r="L4370" i="1"/>
  <c r="M4370" i="1" s="1" a="1"/>
  <c r="M4370" i="1" s="1"/>
  <c r="L4371" i="1"/>
  <c r="M4371" i="1" s="1" a="1"/>
  <c r="M4371" i="1" s="1"/>
  <c r="L4372" i="1"/>
  <c r="M4372" i="1" s="1" a="1"/>
  <c r="M4372" i="1" s="1"/>
  <c r="L4373" i="1"/>
  <c r="M4373" i="1" s="1" a="1"/>
  <c r="M4373" i="1" s="1"/>
  <c r="L4374" i="1"/>
  <c r="M4374" i="1" s="1" a="1"/>
  <c r="M4374" i="1" s="1"/>
  <c r="L4375" i="1"/>
  <c r="M4375" i="1" s="1" a="1"/>
  <c r="M4375" i="1" s="1"/>
  <c r="L4376" i="1"/>
  <c r="M4376" i="1" s="1" a="1"/>
  <c r="M4376" i="1" s="1"/>
  <c r="L4377" i="1"/>
  <c r="M4377" i="1" s="1" a="1"/>
  <c r="M4377" i="1" s="1"/>
  <c r="L4378" i="1"/>
  <c r="M4378" i="1" s="1" a="1"/>
  <c r="M4378" i="1" s="1"/>
  <c r="L4379" i="1"/>
  <c r="M4379" i="1" s="1" a="1"/>
  <c r="M4379" i="1" s="1"/>
  <c r="L4380" i="1"/>
  <c r="M4380" i="1" s="1" a="1"/>
  <c r="M4380" i="1" s="1"/>
  <c r="L4381" i="1"/>
  <c r="M4381" i="1" s="1" a="1"/>
  <c r="M4381" i="1" s="1"/>
  <c r="L4382" i="1"/>
  <c r="M4382" i="1" s="1" a="1"/>
  <c r="M4382" i="1" s="1"/>
  <c r="L4383" i="1"/>
  <c r="M4383" i="1" s="1" a="1"/>
  <c r="M4383" i="1" s="1"/>
  <c r="L4384" i="1"/>
  <c r="M4384" i="1" s="1" a="1"/>
  <c r="M4384" i="1" s="1"/>
  <c r="L4385" i="1"/>
  <c r="M4385" i="1" s="1" a="1"/>
  <c r="M4385" i="1" s="1"/>
  <c r="L4386" i="1"/>
  <c r="M4386" i="1" s="1" a="1"/>
  <c r="M4386" i="1" s="1"/>
  <c r="L4387" i="1"/>
  <c r="M4387" i="1" s="1" a="1"/>
  <c r="M4387" i="1" s="1"/>
  <c r="L4388" i="1"/>
  <c r="M4388" i="1" s="1" a="1"/>
  <c r="M4388" i="1" s="1"/>
  <c r="L4389" i="1"/>
  <c r="M4389" i="1" s="1" a="1"/>
  <c r="M4389" i="1" s="1"/>
  <c r="L4390" i="1"/>
  <c r="M4390" i="1" s="1" a="1"/>
  <c r="M4390" i="1" s="1"/>
  <c r="L4391" i="1"/>
  <c r="M4391" i="1" s="1" a="1"/>
  <c r="M4391" i="1" s="1"/>
  <c r="L4392" i="1"/>
  <c r="M4392" i="1" s="1" a="1"/>
  <c r="M4392" i="1" s="1"/>
  <c r="L4393" i="1"/>
  <c r="M4393" i="1" s="1" a="1"/>
  <c r="M4393" i="1" s="1"/>
  <c r="L4394" i="1"/>
  <c r="M4394" i="1" s="1" a="1"/>
  <c r="M4394" i="1" s="1"/>
  <c r="L4395" i="1"/>
  <c r="M4395" i="1" s="1" a="1"/>
  <c r="M4395" i="1" s="1"/>
  <c r="L4396" i="1"/>
  <c r="M4396" i="1" s="1" a="1"/>
  <c r="M4396" i="1" s="1"/>
  <c r="L4397" i="1"/>
  <c r="M4397" i="1" s="1" a="1"/>
  <c r="M4397" i="1" s="1"/>
  <c r="L4398" i="1"/>
  <c r="M4398" i="1" s="1" a="1"/>
  <c r="M4398" i="1" s="1"/>
  <c r="L4399" i="1"/>
  <c r="M4399" i="1" s="1" a="1"/>
  <c r="M4399" i="1" s="1"/>
  <c r="L4400" i="1"/>
  <c r="M4400" i="1" s="1" a="1"/>
  <c r="M4400" i="1" s="1"/>
  <c r="L4401" i="1"/>
  <c r="M4401" i="1" s="1" a="1"/>
  <c r="M4401" i="1" s="1"/>
  <c r="L4402" i="1"/>
  <c r="M4402" i="1" s="1" a="1"/>
  <c r="M4402" i="1" s="1"/>
  <c r="L4403" i="1"/>
  <c r="M4403" i="1" s="1" a="1"/>
  <c r="M4403" i="1" s="1"/>
  <c r="L4404" i="1"/>
  <c r="M4404" i="1" s="1" a="1"/>
  <c r="M4404" i="1" s="1"/>
  <c r="L4405" i="1"/>
  <c r="M4405" i="1" s="1" a="1"/>
  <c r="M4405" i="1" s="1"/>
  <c r="L4406" i="1"/>
  <c r="M4406" i="1" s="1" a="1"/>
  <c r="M4406" i="1" s="1"/>
  <c r="L4407" i="1"/>
  <c r="M4407" i="1" s="1" a="1"/>
  <c r="M4407" i="1" s="1"/>
  <c r="L4408" i="1"/>
  <c r="M4408" i="1" s="1" a="1"/>
  <c r="M4408" i="1" s="1"/>
  <c r="L4409" i="1"/>
  <c r="M4409" i="1" s="1" a="1"/>
  <c r="M4409" i="1" s="1"/>
  <c r="L4410" i="1"/>
  <c r="M4410" i="1" s="1" a="1"/>
  <c r="M4410" i="1" s="1"/>
  <c r="L4411" i="1"/>
  <c r="M4411" i="1" s="1" a="1"/>
  <c r="M4411" i="1" s="1"/>
  <c r="L4412" i="1"/>
  <c r="M4412" i="1" s="1" a="1"/>
  <c r="M4412" i="1" s="1"/>
  <c r="L4413" i="1"/>
  <c r="M4413" i="1" s="1" a="1"/>
  <c r="M4413" i="1" s="1"/>
  <c r="L4414" i="1"/>
  <c r="M4414" i="1" s="1" a="1"/>
  <c r="M4414" i="1" s="1"/>
  <c r="L4415" i="1"/>
  <c r="M4415" i="1" s="1" a="1"/>
  <c r="M4415" i="1" s="1"/>
  <c r="L4416" i="1"/>
  <c r="M4416" i="1" s="1" a="1"/>
  <c r="M4416" i="1" s="1"/>
  <c r="L4417" i="1"/>
  <c r="M4417" i="1" s="1" a="1"/>
  <c r="M4417" i="1" s="1"/>
  <c r="L4418" i="1"/>
  <c r="M4418" i="1" s="1" a="1"/>
  <c r="M4418" i="1" s="1"/>
  <c r="L4419" i="1"/>
  <c r="M4419" i="1" s="1" a="1"/>
  <c r="M4419" i="1" s="1"/>
  <c r="L4420" i="1"/>
  <c r="M4420" i="1" s="1" a="1"/>
  <c r="M4420" i="1" s="1"/>
  <c r="L4421" i="1"/>
  <c r="M4421" i="1" s="1" a="1"/>
  <c r="M4421" i="1" s="1"/>
  <c r="L4422" i="1"/>
  <c r="M4422" i="1" s="1" a="1"/>
  <c r="M4422" i="1" s="1"/>
  <c r="L4423" i="1"/>
  <c r="M4423" i="1" s="1" a="1"/>
  <c r="M4423" i="1" s="1"/>
  <c r="L4424" i="1"/>
  <c r="M4424" i="1" s="1" a="1"/>
  <c r="M4424" i="1" s="1"/>
  <c r="L4425" i="1"/>
  <c r="M4425" i="1" s="1" a="1"/>
  <c r="M4425" i="1" s="1"/>
  <c r="L4426" i="1"/>
  <c r="M4426" i="1" s="1" a="1"/>
  <c r="M4426" i="1" s="1"/>
  <c r="L4427" i="1"/>
  <c r="M4427" i="1" s="1" a="1"/>
  <c r="M4427" i="1" s="1"/>
  <c r="L4428" i="1"/>
  <c r="M4428" i="1" s="1" a="1"/>
  <c r="M4428" i="1" s="1"/>
  <c r="L4429" i="1"/>
  <c r="M4429" i="1" s="1" a="1"/>
  <c r="M4429" i="1" s="1"/>
  <c r="L4430" i="1"/>
  <c r="M4430" i="1" s="1" a="1"/>
  <c r="M4430" i="1" s="1"/>
  <c r="L4431" i="1"/>
  <c r="M4431" i="1" s="1" a="1"/>
  <c r="M4431" i="1" s="1"/>
  <c r="L4432" i="1"/>
  <c r="M4432" i="1" s="1" a="1"/>
  <c r="M4432" i="1" s="1"/>
  <c r="L4433" i="1"/>
  <c r="M4433" i="1" s="1" a="1"/>
  <c r="M4433" i="1" s="1"/>
  <c r="L4434" i="1"/>
  <c r="M4434" i="1" s="1" a="1"/>
  <c r="M4434" i="1" s="1"/>
  <c r="L4435" i="1"/>
  <c r="M4435" i="1" s="1" a="1"/>
  <c r="M4435" i="1" s="1"/>
  <c r="L4436" i="1"/>
  <c r="M4436" i="1" s="1" a="1"/>
  <c r="M4436" i="1" s="1"/>
  <c r="L4437" i="1"/>
  <c r="M4437" i="1" s="1" a="1"/>
  <c r="M4437" i="1" s="1"/>
  <c r="L4438" i="1"/>
  <c r="M4438" i="1" s="1" a="1"/>
  <c r="M4438" i="1" s="1"/>
  <c r="L4439" i="1"/>
  <c r="M4439" i="1" s="1" a="1"/>
  <c r="M4439" i="1" s="1"/>
  <c r="L4440" i="1"/>
  <c r="M4440" i="1" s="1" a="1"/>
  <c r="M4440" i="1" s="1"/>
  <c r="L4441" i="1"/>
  <c r="M4441" i="1" s="1" a="1"/>
  <c r="M4441" i="1" s="1"/>
  <c r="L4442" i="1"/>
  <c r="M4442" i="1" s="1" a="1"/>
  <c r="M4442" i="1" s="1"/>
  <c r="L4443" i="1"/>
  <c r="M4443" i="1" s="1" a="1"/>
  <c r="M4443" i="1" s="1"/>
  <c r="L4444" i="1"/>
  <c r="M4444" i="1" s="1" a="1"/>
  <c r="M4444" i="1" s="1"/>
  <c r="L4445" i="1"/>
  <c r="M4445" i="1" s="1" a="1"/>
  <c r="M4445" i="1" s="1"/>
  <c r="L4446" i="1"/>
  <c r="M4446" i="1" s="1" a="1"/>
  <c r="M4446" i="1" s="1"/>
  <c r="L4447" i="1"/>
  <c r="M4447" i="1" s="1" a="1"/>
  <c r="M4447" i="1" s="1"/>
  <c r="L4448" i="1"/>
  <c r="M4448" i="1" s="1" a="1"/>
  <c r="M4448" i="1" s="1"/>
  <c r="L4449" i="1"/>
  <c r="M4449" i="1" s="1" a="1"/>
  <c r="M4449" i="1" s="1"/>
  <c r="L4450" i="1"/>
  <c r="M4450" i="1" s="1" a="1"/>
  <c r="M4450" i="1" s="1"/>
  <c r="L4451" i="1"/>
  <c r="M4451" i="1" s="1" a="1"/>
  <c r="M4451" i="1" s="1"/>
  <c r="L4452" i="1"/>
  <c r="M4452" i="1" s="1" a="1"/>
  <c r="M4452" i="1" s="1"/>
  <c r="L4453" i="1"/>
  <c r="M4453" i="1" s="1" a="1"/>
  <c r="M4453" i="1" s="1"/>
  <c r="L4454" i="1"/>
  <c r="M4454" i="1" s="1" a="1"/>
  <c r="M4454" i="1" s="1"/>
  <c r="L4455" i="1"/>
  <c r="M4455" i="1" s="1" a="1"/>
  <c r="M4455" i="1" s="1"/>
  <c r="L4456" i="1"/>
  <c r="M4456" i="1" s="1" a="1"/>
  <c r="M4456" i="1" s="1"/>
  <c r="L4457" i="1"/>
  <c r="M4457" i="1" s="1" a="1"/>
  <c r="M4457" i="1" s="1"/>
  <c r="L4458" i="1"/>
  <c r="M4458" i="1" s="1" a="1"/>
  <c r="M4458" i="1" s="1"/>
  <c r="L4459" i="1"/>
  <c r="M4459" i="1" s="1" a="1"/>
  <c r="M4459" i="1" s="1"/>
  <c r="L4460" i="1"/>
  <c r="M4460" i="1" s="1" a="1"/>
  <c r="M4460" i="1" s="1"/>
  <c r="L4461" i="1"/>
  <c r="M4461" i="1" s="1" a="1"/>
  <c r="M4461" i="1" s="1"/>
  <c r="L4462" i="1"/>
  <c r="M4462" i="1" s="1" a="1"/>
  <c r="M4462" i="1" s="1"/>
  <c r="L4463" i="1"/>
  <c r="M4463" i="1" s="1" a="1"/>
  <c r="M4463" i="1" s="1"/>
  <c r="L4464" i="1"/>
  <c r="M4464" i="1" s="1" a="1"/>
  <c r="M4464" i="1" s="1"/>
  <c r="L4465" i="1"/>
  <c r="M4465" i="1" s="1" a="1"/>
  <c r="M4465" i="1" s="1"/>
  <c r="L4466" i="1"/>
  <c r="M4466" i="1" s="1" a="1"/>
  <c r="M4466" i="1" s="1"/>
  <c r="L4467" i="1"/>
  <c r="M4467" i="1" s="1" a="1"/>
  <c r="M4467" i="1" s="1"/>
  <c r="L4468" i="1"/>
  <c r="M4468" i="1" s="1" a="1"/>
  <c r="M4468" i="1" s="1"/>
  <c r="L4469" i="1"/>
  <c r="M4469" i="1" s="1" a="1"/>
  <c r="M4469" i="1" s="1"/>
  <c r="L4470" i="1"/>
  <c r="M4470" i="1" s="1" a="1"/>
  <c r="M4470" i="1" s="1"/>
  <c r="L4471" i="1"/>
  <c r="M4471" i="1" s="1" a="1"/>
  <c r="M4471" i="1" s="1"/>
  <c r="L4472" i="1"/>
  <c r="M4472" i="1" s="1" a="1"/>
  <c r="M4472" i="1" s="1"/>
  <c r="L4473" i="1"/>
  <c r="M4473" i="1" s="1" a="1"/>
  <c r="M4473" i="1" s="1"/>
  <c r="L4474" i="1"/>
  <c r="M4474" i="1" s="1" a="1"/>
  <c r="M4474" i="1" s="1"/>
  <c r="L4475" i="1"/>
  <c r="M4475" i="1" s="1" a="1"/>
  <c r="M4475" i="1" s="1"/>
  <c r="L4476" i="1"/>
  <c r="M4476" i="1" s="1" a="1"/>
  <c r="M4476" i="1" s="1"/>
  <c r="L4477" i="1"/>
  <c r="M4477" i="1" s="1" a="1"/>
  <c r="M4477" i="1" s="1"/>
  <c r="L4478" i="1"/>
  <c r="M4478" i="1" s="1" a="1"/>
  <c r="M4478" i="1" s="1"/>
  <c r="L4479" i="1"/>
  <c r="M4479" i="1" s="1" a="1"/>
  <c r="M4479" i="1" s="1"/>
  <c r="L4480" i="1"/>
  <c r="M4480" i="1" s="1" a="1"/>
  <c r="M4480" i="1" s="1"/>
  <c r="L4481" i="1"/>
  <c r="M4481" i="1" s="1" a="1"/>
  <c r="M4481" i="1" s="1"/>
  <c r="L4482" i="1"/>
  <c r="M4482" i="1" s="1" a="1"/>
  <c r="M4482" i="1" s="1"/>
  <c r="L4483" i="1"/>
  <c r="M4483" i="1" s="1" a="1"/>
  <c r="M4483" i="1" s="1"/>
  <c r="L4484" i="1"/>
  <c r="M4484" i="1" s="1" a="1"/>
  <c r="M4484" i="1" s="1"/>
  <c r="L4485" i="1"/>
  <c r="M4485" i="1" s="1" a="1"/>
  <c r="M4485" i="1" s="1"/>
  <c r="L4486" i="1"/>
  <c r="M4486" i="1" s="1" a="1"/>
  <c r="M4486" i="1" s="1"/>
  <c r="L4487" i="1"/>
  <c r="M4487" i="1" s="1" a="1"/>
  <c r="M4487" i="1" s="1"/>
  <c r="L4488" i="1"/>
  <c r="M4488" i="1" s="1" a="1"/>
  <c r="M4488" i="1" s="1"/>
  <c r="L4489" i="1"/>
  <c r="M4489" i="1" s="1" a="1"/>
  <c r="M4489" i="1" s="1"/>
  <c r="L4490" i="1"/>
  <c r="M4490" i="1" s="1" a="1"/>
  <c r="M4490" i="1" s="1"/>
  <c r="L4491" i="1"/>
  <c r="M4491" i="1" s="1" a="1"/>
  <c r="M4491" i="1" s="1"/>
  <c r="L4492" i="1"/>
  <c r="M4492" i="1" s="1" a="1"/>
  <c r="M4492" i="1" s="1"/>
  <c r="L4493" i="1"/>
  <c r="M4493" i="1" s="1" a="1"/>
  <c r="M4493" i="1" s="1"/>
  <c r="L4494" i="1"/>
  <c r="M4494" i="1" s="1" a="1"/>
  <c r="M4494" i="1" s="1"/>
  <c r="L4495" i="1"/>
  <c r="M4495" i="1" s="1" a="1"/>
  <c r="M4495" i="1" s="1"/>
  <c r="L4496" i="1"/>
  <c r="M4496" i="1" s="1" a="1"/>
  <c r="M4496" i="1" s="1"/>
  <c r="L4497" i="1"/>
  <c r="M4497" i="1" s="1" a="1"/>
  <c r="M4497" i="1" s="1"/>
  <c r="L4498" i="1"/>
  <c r="M4498" i="1" s="1" a="1"/>
  <c r="M4498" i="1" s="1"/>
  <c r="L4499" i="1"/>
  <c r="M4499" i="1" s="1" a="1"/>
  <c r="M4499" i="1" s="1"/>
  <c r="L4500" i="1"/>
  <c r="M4500" i="1" s="1" a="1"/>
  <c r="M4500" i="1" s="1"/>
  <c r="L4501" i="1"/>
  <c r="M4501" i="1" s="1" a="1"/>
  <c r="M4501" i="1" s="1"/>
  <c r="L4502" i="1"/>
  <c r="M4502" i="1" s="1" a="1"/>
  <c r="M4502" i="1" s="1"/>
  <c r="L4503" i="1"/>
  <c r="M4503" i="1" s="1" a="1"/>
  <c r="M4503" i="1" s="1"/>
  <c r="L4504" i="1"/>
  <c r="M4504" i="1" s="1" a="1"/>
  <c r="M4504" i="1" s="1"/>
  <c r="L4505" i="1"/>
  <c r="M4505" i="1" s="1" a="1"/>
  <c r="M4505" i="1" s="1"/>
  <c r="L4506" i="1"/>
  <c r="M4506" i="1" s="1" a="1"/>
  <c r="M4506" i="1" s="1"/>
  <c r="L4507" i="1"/>
  <c r="M4507" i="1" s="1" a="1"/>
  <c r="M4507" i="1" s="1"/>
  <c r="L4508" i="1"/>
  <c r="M4508" i="1" s="1" a="1"/>
  <c r="M4508" i="1" s="1"/>
  <c r="L4509" i="1"/>
  <c r="M4509" i="1" s="1" a="1"/>
  <c r="M4509" i="1" s="1"/>
  <c r="L4510" i="1"/>
  <c r="M4510" i="1" s="1" a="1"/>
  <c r="M4510" i="1" s="1"/>
  <c r="L4511" i="1"/>
  <c r="M4511" i="1" s="1" a="1"/>
  <c r="M4511" i="1" s="1"/>
  <c r="L4512" i="1"/>
  <c r="M4512" i="1" s="1" a="1"/>
  <c r="M4512" i="1" s="1"/>
  <c r="L4513" i="1"/>
  <c r="M4513" i="1" s="1" a="1"/>
  <c r="M4513" i="1" s="1"/>
  <c r="L4514" i="1"/>
  <c r="M4514" i="1" s="1" a="1"/>
  <c r="M4514" i="1" s="1"/>
  <c r="L4515" i="1"/>
  <c r="M4515" i="1" s="1" a="1"/>
  <c r="M4515" i="1" s="1"/>
  <c r="L4516" i="1"/>
  <c r="M4516" i="1" s="1" a="1"/>
  <c r="M4516" i="1" s="1"/>
  <c r="L4517" i="1"/>
  <c r="M4517" i="1" s="1" a="1"/>
  <c r="M4517" i="1" s="1"/>
  <c r="L4518" i="1"/>
  <c r="M4518" i="1" s="1" a="1"/>
  <c r="M4518" i="1" s="1"/>
  <c r="L4519" i="1"/>
  <c r="M4519" i="1" s="1" a="1"/>
  <c r="M4519" i="1" s="1"/>
  <c r="L4520" i="1"/>
  <c r="M4520" i="1" s="1" a="1"/>
  <c r="M4520" i="1" s="1"/>
  <c r="L4521" i="1"/>
  <c r="M4521" i="1" s="1" a="1"/>
  <c r="M4521" i="1" s="1"/>
  <c r="L4522" i="1"/>
  <c r="M4522" i="1" s="1" a="1"/>
  <c r="M4522" i="1" s="1"/>
  <c r="L4523" i="1"/>
  <c r="M4523" i="1" s="1" a="1"/>
  <c r="M4523" i="1" s="1"/>
  <c r="L4524" i="1"/>
  <c r="M4524" i="1" s="1" a="1"/>
  <c r="M4524" i="1" s="1"/>
  <c r="L4525" i="1"/>
  <c r="M4525" i="1" s="1" a="1"/>
  <c r="M4525" i="1" s="1"/>
  <c r="L4526" i="1"/>
  <c r="M4526" i="1" s="1" a="1"/>
  <c r="M4526" i="1" s="1"/>
  <c r="L4527" i="1"/>
  <c r="M4527" i="1" s="1" a="1"/>
  <c r="M4527" i="1" s="1"/>
  <c r="L4528" i="1"/>
  <c r="M4528" i="1" s="1" a="1"/>
  <c r="M4528" i="1" s="1"/>
  <c r="L4529" i="1"/>
  <c r="M4529" i="1" s="1" a="1"/>
  <c r="M4529" i="1" s="1"/>
  <c r="L4530" i="1"/>
  <c r="M4530" i="1" s="1" a="1"/>
  <c r="M4530" i="1" s="1"/>
  <c r="L4531" i="1"/>
  <c r="M4531" i="1" s="1" a="1"/>
  <c r="M4531" i="1" s="1"/>
  <c r="L4532" i="1"/>
  <c r="M4532" i="1" s="1" a="1"/>
  <c r="M4532" i="1" s="1"/>
  <c r="L4533" i="1"/>
  <c r="M4533" i="1" s="1" a="1"/>
  <c r="M4533" i="1" s="1"/>
  <c r="L4534" i="1"/>
  <c r="M4534" i="1" s="1" a="1"/>
  <c r="M4534" i="1" s="1"/>
  <c r="L4535" i="1"/>
  <c r="M4535" i="1" s="1" a="1"/>
  <c r="M4535" i="1" s="1"/>
  <c r="L4536" i="1"/>
  <c r="M4536" i="1" s="1" a="1"/>
  <c r="M4536" i="1" s="1"/>
  <c r="L4537" i="1"/>
  <c r="M4537" i="1" s="1" a="1"/>
  <c r="M4537" i="1" s="1"/>
  <c r="L4538" i="1"/>
  <c r="M4538" i="1" s="1" a="1"/>
  <c r="M4538" i="1" s="1"/>
  <c r="L4539" i="1"/>
  <c r="M4539" i="1" s="1" a="1"/>
  <c r="M4539" i="1" s="1"/>
  <c r="L4540" i="1"/>
  <c r="M4540" i="1" s="1" a="1"/>
  <c r="M4540" i="1" s="1"/>
  <c r="L4541" i="1"/>
  <c r="M4541" i="1" s="1" a="1"/>
  <c r="M4541" i="1" s="1"/>
  <c r="L4542" i="1"/>
  <c r="M4542" i="1" s="1" a="1"/>
  <c r="M4542" i="1" s="1"/>
  <c r="L4543" i="1"/>
  <c r="M4543" i="1" s="1" a="1"/>
  <c r="M4543" i="1" s="1"/>
  <c r="L4544" i="1"/>
  <c r="M4544" i="1" s="1" a="1"/>
  <c r="M4544" i="1" s="1"/>
  <c r="L4545" i="1"/>
  <c r="M4545" i="1" s="1" a="1"/>
  <c r="M4545" i="1" s="1"/>
  <c r="L4546" i="1"/>
  <c r="M4546" i="1" s="1" a="1"/>
  <c r="M4546" i="1" s="1"/>
  <c r="L4547" i="1"/>
  <c r="M4547" i="1" s="1" a="1"/>
  <c r="M4547" i="1" s="1"/>
  <c r="L4548" i="1"/>
  <c r="M4548" i="1" s="1" a="1"/>
  <c r="M4548" i="1" s="1"/>
  <c r="L4549" i="1"/>
  <c r="M4549" i="1" s="1" a="1"/>
  <c r="M4549" i="1" s="1"/>
  <c r="L4550" i="1"/>
  <c r="M4550" i="1" s="1" a="1"/>
  <c r="M4550" i="1" s="1"/>
  <c r="L4551" i="1"/>
  <c r="M4551" i="1" s="1" a="1"/>
  <c r="M4551" i="1" s="1"/>
  <c r="L4552" i="1"/>
  <c r="M4552" i="1" s="1" a="1"/>
  <c r="M4552" i="1" s="1"/>
  <c r="L4553" i="1"/>
  <c r="M4553" i="1" s="1" a="1"/>
  <c r="M4553" i="1" s="1"/>
  <c r="L4554" i="1"/>
  <c r="M4554" i="1" s="1" a="1"/>
  <c r="M4554" i="1" s="1"/>
  <c r="L4555" i="1"/>
  <c r="M4555" i="1" s="1" a="1"/>
  <c r="M4555" i="1" s="1"/>
  <c r="L4556" i="1"/>
  <c r="M4556" i="1" s="1" a="1"/>
  <c r="M4556" i="1" s="1"/>
  <c r="L4557" i="1"/>
  <c r="M4557" i="1" s="1" a="1"/>
  <c r="M4557" i="1" s="1"/>
  <c r="L4558" i="1"/>
  <c r="M4558" i="1" s="1" a="1"/>
  <c r="M4558" i="1" s="1"/>
  <c r="L4559" i="1"/>
  <c r="M4559" i="1" s="1" a="1"/>
  <c r="M4559" i="1" s="1"/>
  <c r="L4560" i="1"/>
  <c r="M4560" i="1" s="1" a="1"/>
  <c r="M4560" i="1" s="1"/>
  <c r="L4561" i="1"/>
  <c r="M4561" i="1" s="1" a="1"/>
  <c r="M4561" i="1" s="1"/>
  <c r="L4562" i="1"/>
  <c r="M4562" i="1" s="1" a="1"/>
  <c r="M4562" i="1" s="1"/>
  <c r="L4563" i="1"/>
  <c r="M4563" i="1" s="1" a="1"/>
  <c r="M4563" i="1" s="1"/>
  <c r="L4564" i="1"/>
  <c r="M4564" i="1" s="1" a="1"/>
  <c r="M4564" i="1" s="1"/>
  <c r="L4565" i="1"/>
  <c r="M4565" i="1" s="1" a="1"/>
  <c r="M4565" i="1" s="1"/>
  <c r="L4566" i="1"/>
  <c r="M4566" i="1" s="1" a="1"/>
  <c r="M4566" i="1" s="1"/>
  <c r="L4567" i="1"/>
  <c r="M4567" i="1" s="1" a="1"/>
  <c r="M4567" i="1" s="1"/>
  <c r="L4568" i="1"/>
  <c r="M4568" i="1" s="1" a="1"/>
  <c r="M4568" i="1" s="1"/>
  <c r="L4569" i="1"/>
  <c r="M4569" i="1" s="1" a="1"/>
  <c r="M4569" i="1" s="1"/>
  <c r="L4570" i="1"/>
  <c r="M4570" i="1" s="1" a="1"/>
  <c r="M4570" i="1" s="1"/>
  <c r="L4571" i="1"/>
  <c r="M4571" i="1" s="1" a="1"/>
  <c r="M4571" i="1" s="1"/>
  <c r="L4572" i="1"/>
  <c r="M4572" i="1" s="1" a="1"/>
  <c r="M4572" i="1" s="1"/>
  <c r="L4573" i="1"/>
  <c r="M4573" i="1" s="1" a="1"/>
  <c r="M4573" i="1" s="1"/>
  <c r="L4574" i="1"/>
  <c r="M4574" i="1" s="1" a="1"/>
  <c r="M4574" i="1" s="1"/>
  <c r="L4575" i="1"/>
  <c r="M4575" i="1" s="1" a="1"/>
  <c r="M4575" i="1" s="1"/>
  <c r="L4576" i="1"/>
  <c r="M4576" i="1" s="1" a="1"/>
  <c r="M4576" i="1" s="1"/>
  <c r="L4577" i="1"/>
  <c r="M4577" i="1" s="1" a="1"/>
  <c r="M4577" i="1" s="1"/>
  <c r="L4578" i="1"/>
  <c r="M4578" i="1" s="1" a="1"/>
  <c r="M4578" i="1" s="1"/>
  <c r="L4579" i="1"/>
  <c r="M4579" i="1" s="1" a="1"/>
  <c r="M4579" i="1" s="1"/>
  <c r="L4580" i="1"/>
  <c r="M4580" i="1" s="1" a="1"/>
  <c r="M4580" i="1" s="1"/>
  <c r="L4581" i="1"/>
  <c r="M4581" i="1" s="1" a="1"/>
  <c r="M4581" i="1" s="1"/>
  <c r="L4582" i="1"/>
  <c r="M4582" i="1" s="1" a="1"/>
  <c r="M4582" i="1" s="1"/>
  <c r="L4583" i="1"/>
  <c r="M4583" i="1" s="1" a="1"/>
  <c r="M4583" i="1" s="1"/>
  <c r="L4584" i="1"/>
  <c r="M4584" i="1" s="1" a="1"/>
  <c r="M4584" i="1" s="1"/>
  <c r="L4585" i="1"/>
  <c r="M4585" i="1" s="1" a="1"/>
  <c r="M4585" i="1" s="1"/>
  <c r="L4586" i="1"/>
  <c r="M4586" i="1" s="1" a="1"/>
  <c r="M4586" i="1" s="1"/>
  <c r="L4587" i="1"/>
  <c r="M4587" i="1" s="1" a="1"/>
  <c r="M4587" i="1" s="1"/>
  <c r="L4588" i="1"/>
  <c r="M4588" i="1" s="1" a="1"/>
  <c r="M4588" i="1" s="1"/>
  <c r="L4589" i="1"/>
  <c r="M4589" i="1" s="1" a="1"/>
  <c r="M4589" i="1" s="1"/>
  <c r="L4590" i="1"/>
  <c r="M4590" i="1" s="1" a="1"/>
  <c r="M4590" i="1" s="1"/>
  <c r="L4591" i="1"/>
  <c r="M4591" i="1" s="1" a="1"/>
  <c r="M4591" i="1" s="1"/>
  <c r="L4592" i="1"/>
  <c r="M4592" i="1" s="1" a="1"/>
  <c r="M4592" i="1" s="1"/>
  <c r="L4593" i="1"/>
  <c r="M4593" i="1" s="1" a="1"/>
  <c r="M4593" i="1" s="1"/>
  <c r="L4594" i="1"/>
  <c r="M4594" i="1" s="1" a="1"/>
  <c r="M4594" i="1" s="1"/>
  <c r="L4595" i="1"/>
  <c r="M4595" i="1" s="1" a="1"/>
  <c r="M4595" i="1" s="1"/>
  <c r="L4596" i="1"/>
  <c r="M4596" i="1" s="1" a="1"/>
  <c r="M4596" i="1" s="1"/>
  <c r="L4597" i="1"/>
  <c r="M4597" i="1" s="1" a="1"/>
  <c r="M4597" i="1" s="1"/>
  <c r="L4598" i="1"/>
  <c r="M4598" i="1" s="1" a="1"/>
  <c r="M4598" i="1" s="1"/>
  <c r="L4599" i="1"/>
  <c r="M4599" i="1" s="1" a="1"/>
  <c r="M4599" i="1" s="1"/>
  <c r="L4600" i="1"/>
  <c r="M4600" i="1" s="1" a="1"/>
  <c r="M4600" i="1" s="1"/>
  <c r="L4601" i="1"/>
  <c r="M4601" i="1" s="1" a="1"/>
  <c r="M4601" i="1" s="1"/>
  <c r="L4602" i="1"/>
  <c r="M4602" i="1" s="1" a="1"/>
  <c r="M4602" i="1" s="1"/>
  <c r="L4603" i="1"/>
  <c r="M4603" i="1" s="1" a="1"/>
  <c r="M4603" i="1" s="1"/>
  <c r="L4604" i="1"/>
  <c r="M4604" i="1" s="1" a="1"/>
  <c r="M4604" i="1" s="1"/>
  <c r="L4605" i="1"/>
  <c r="M4605" i="1" s="1" a="1"/>
  <c r="M4605" i="1" s="1"/>
  <c r="L4606" i="1"/>
  <c r="M4606" i="1" s="1" a="1"/>
  <c r="M4606" i="1" s="1"/>
  <c r="L4607" i="1"/>
  <c r="M4607" i="1" s="1" a="1"/>
  <c r="M4607" i="1" s="1"/>
  <c r="L4608" i="1"/>
  <c r="M4608" i="1" s="1" a="1"/>
  <c r="M4608" i="1" s="1"/>
  <c r="L4609" i="1"/>
  <c r="M4609" i="1" s="1" a="1"/>
  <c r="M4609" i="1" s="1"/>
  <c r="L4610" i="1"/>
  <c r="M4610" i="1" s="1" a="1"/>
  <c r="M4610" i="1" s="1"/>
  <c r="L4611" i="1"/>
  <c r="M4611" i="1" s="1" a="1"/>
  <c r="M4611" i="1" s="1"/>
  <c r="L4612" i="1"/>
  <c r="M4612" i="1" s="1" a="1"/>
  <c r="M4612" i="1" s="1"/>
  <c r="L4613" i="1"/>
  <c r="M4613" i="1" s="1" a="1"/>
  <c r="M4613" i="1" s="1"/>
  <c r="L4614" i="1"/>
  <c r="M4614" i="1" s="1" a="1"/>
  <c r="M4614" i="1" s="1"/>
  <c r="L4615" i="1"/>
  <c r="M4615" i="1" s="1" a="1"/>
  <c r="M4615" i="1" s="1"/>
  <c r="L4616" i="1"/>
  <c r="M4616" i="1" s="1" a="1"/>
  <c r="M4616" i="1" s="1"/>
  <c r="L4617" i="1"/>
  <c r="M4617" i="1" s="1" a="1"/>
  <c r="M4617" i="1" s="1"/>
  <c r="L4618" i="1"/>
  <c r="M4618" i="1" s="1" a="1"/>
  <c r="M4618" i="1" s="1"/>
  <c r="L4619" i="1"/>
  <c r="M4619" i="1" s="1" a="1"/>
  <c r="M4619" i="1" s="1"/>
  <c r="L4620" i="1"/>
  <c r="M4620" i="1" s="1" a="1"/>
  <c r="M4620" i="1" s="1"/>
  <c r="L4621" i="1"/>
  <c r="M4621" i="1" s="1" a="1"/>
  <c r="M4621" i="1" s="1"/>
  <c r="L4622" i="1"/>
  <c r="M4622" i="1" s="1" a="1"/>
  <c r="M4622" i="1" s="1"/>
  <c r="L4623" i="1"/>
  <c r="M4623" i="1" s="1" a="1"/>
  <c r="M4623" i="1" s="1"/>
  <c r="L4624" i="1"/>
  <c r="M4624" i="1" s="1" a="1"/>
  <c r="M4624" i="1" s="1"/>
  <c r="L4625" i="1"/>
  <c r="M4625" i="1" s="1" a="1"/>
  <c r="M4625" i="1" s="1"/>
  <c r="L4626" i="1"/>
  <c r="M4626" i="1" s="1" a="1"/>
  <c r="M4626" i="1" s="1"/>
  <c r="L4627" i="1"/>
  <c r="M4627" i="1" s="1" a="1"/>
  <c r="M4627" i="1" s="1"/>
  <c r="L4628" i="1"/>
  <c r="M4628" i="1" s="1" a="1"/>
  <c r="M4628" i="1" s="1"/>
  <c r="L4629" i="1"/>
  <c r="M4629" i="1" s="1" a="1"/>
  <c r="M4629" i="1" s="1"/>
  <c r="L4630" i="1"/>
  <c r="M4630" i="1" s="1" a="1"/>
  <c r="M4630" i="1" s="1"/>
  <c r="L4631" i="1"/>
  <c r="M4631" i="1" s="1" a="1"/>
  <c r="M4631" i="1" s="1"/>
  <c r="L4632" i="1"/>
  <c r="M4632" i="1" s="1" a="1"/>
  <c r="M4632" i="1" s="1"/>
  <c r="L4633" i="1"/>
  <c r="M4633" i="1" s="1" a="1"/>
  <c r="M4633" i="1" s="1"/>
  <c r="L4634" i="1"/>
  <c r="M4634" i="1" s="1" a="1"/>
  <c r="M4634" i="1" s="1"/>
  <c r="L4635" i="1"/>
  <c r="M4635" i="1" s="1" a="1"/>
  <c r="M4635" i="1" s="1"/>
  <c r="L4636" i="1"/>
  <c r="M4636" i="1" s="1" a="1"/>
  <c r="M4636" i="1" s="1"/>
  <c r="L4637" i="1"/>
  <c r="M4637" i="1" s="1" a="1"/>
  <c r="M4637" i="1" s="1"/>
  <c r="L4638" i="1"/>
  <c r="M4638" i="1" s="1" a="1"/>
  <c r="M4638" i="1" s="1"/>
  <c r="L4639" i="1"/>
  <c r="M4639" i="1" s="1" a="1"/>
  <c r="M4639" i="1" s="1"/>
  <c r="L4640" i="1"/>
  <c r="M4640" i="1" s="1" a="1"/>
  <c r="M4640" i="1" s="1"/>
  <c r="L4641" i="1"/>
  <c r="M4641" i="1" s="1" a="1"/>
  <c r="M4641" i="1" s="1"/>
  <c r="L4642" i="1"/>
  <c r="M4642" i="1" s="1" a="1"/>
  <c r="M4642" i="1" s="1"/>
  <c r="L4643" i="1"/>
  <c r="M4643" i="1" s="1" a="1"/>
  <c r="M4643" i="1" s="1"/>
  <c r="L4644" i="1"/>
  <c r="M4644" i="1" s="1" a="1"/>
  <c r="M4644" i="1" s="1"/>
  <c r="L4645" i="1"/>
  <c r="M4645" i="1" s="1" a="1"/>
  <c r="M4645" i="1" s="1"/>
  <c r="L4646" i="1"/>
  <c r="M4646" i="1" s="1" a="1"/>
  <c r="M4646" i="1" s="1"/>
  <c r="L4647" i="1"/>
  <c r="M4647" i="1" s="1" a="1"/>
  <c r="M4647" i="1" s="1"/>
  <c r="L4648" i="1"/>
  <c r="M4648" i="1" s="1" a="1"/>
  <c r="M4648" i="1" s="1"/>
  <c r="L4649" i="1"/>
  <c r="M4649" i="1" s="1" a="1"/>
  <c r="M4649" i="1" s="1"/>
  <c r="L4650" i="1"/>
  <c r="M4650" i="1" s="1" a="1"/>
  <c r="M4650" i="1" s="1"/>
  <c r="L4651" i="1"/>
  <c r="M4651" i="1" s="1" a="1"/>
  <c r="M4651" i="1" s="1"/>
  <c r="L4652" i="1"/>
  <c r="M4652" i="1" s="1" a="1"/>
  <c r="M4652" i="1" s="1"/>
  <c r="L4653" i="1"/>
  <c r="M4653" i="1" s="1" a="1"/>
  <c r="M4653" i="1" s="1"/>
  <c r="L4654" i="1"/>
  <c r="M4654" i="1" s="1" a="1"/>
  <c r="M4654" i="1" s="1"/>
  <c r="L4655" i="1"/>
  <c r="M4655" i="1" s="1" a="1"/>
  <c r="M4655" i="1" s="1"/>
  <c r="L4656" i="1"/>
  <c r="M4656" i="1" s="1" a="1"/>
  <c r="M4656" i="1" s="1"/>
  <c r="L4657" i="1"/>
  <c r="M4657" i="1" s="1" a="1"/>
  <c r="M4657" i="1" s="1"/>
  <c r="L4658" i="1"/>
  <c r="M4658" i="1" s="1" a="1"/>
  <c r="M4658" i="1" s="1"/>
  <c r="L4659" i="1"/>
  <c r="M4659" i="1" s="1" a="1"/>
  <c r="M4659" i="1" s="1"/>
  <c r="L4660" i="1"/>
  <c r="M4660" i="1" s="1" a="1"/>
  <c r="M4660" i="1" s="1"/>
  <c r="L4661" i="1"/>
  <c r="M4661" i="1" s="1" a="1"/>
  <c r="M4661" i="1" s="1"/>
  <c r="L4662" i="1"/>
  <c r="M4662" i="1" s="1" a="1"/>
  <c r="M4662" i="1" s="1"/>
  <c r="L4663" i="1"/>
  <c r="M4663" i="1" s="1" a="1"/>
  <c r="M4663" i="1" s="1"/>
  <c r="L4664" i="1"/>
  <c r="M4664" i="1" s="1" a="1"/>
  <c r="M4664" i="1" s="1"/>
  <c r="L4665" i="1"/>
  <c r="M4665" i="1" s="1" a="1"/>
  <c r="M4665" i="1" s="1"/>
  <c r="L4666" i="1"/>
  <c r="M4666" i="1" s="1" a="1"/>
  <c r="M4666" i="1" s="1"/>
  <c r="L4667" i="1"/>
  <c r="M4667" i="1" s="1" a="1"/>
  <c r="M4667" i="1" s="1"/>
  <c r="L4668" i="1"/>
  <c r="M4668" i="1" s="1" a="1"/>
  <c r="M4668" i="1" s="1"/>
  <c r="L4669" i="1"/>
  <c r="M4669" i="1" s="1" a="1"/>
  <c r="M4669" i="1" s="1"/>
  <c r="L4670" i="1"/>
  <c r="M4670" i="1" s="1" a="1"/>
  <c r="M4670" i="1" s="1"/>
  <c r="L4671" i="1"/>
  <c r="M4671" i="1" s="1" a="1"/>
  <c r="M4671" i="1" s="1"/>
  <c r="L4672" i="1"/>
  <c r="M4672" i="1" s="1" a="1"/>
  <c r="M4672" i="1" s="1"/>
  <c r="L4673" i="1"/>
  <c r="M4673" i="1" s="1" a="1"/>
  <c r="M4673" i="1" s="1"/>
  <c r="L4674" i="1"/>
  <c r="M4674" i="1" s="1" a="1"/>
  <c r="M4674" i="1" s="1"/>
  <c r="L4675" i="1"/>
  <c r="M4675" i="1" s="1" a="1"/>
  <c r="M4675" i="1" s="1"/>
  <c r="L4676" i="1"/>
  <c r="M4676" i="1" s="1" a="1"/>
  <c r="M4676" i="1" s="1"/>
  <c r="L4677" i="1"/>
  <c r="M4677" i="1" s="1" a="1"/>
  <c r="M4677" i="1" s="1"/>
  <c r="L4678" i="1"/>
  <c r="M4678" i="1" s="1" a="1"/>
  <c r="M4678" i="1" s="1"/>
  <c r="L4679" i="1"/>
  <c r="M4679" i="1" s="1" a="1"/>
  <c r="M4679" i="1" s="1"/>
  <c r="L4680" i="1"/>
  <c r="M4680" i="1" s="1" a="1"/>
  <c r="M4680" i="1" s="1"/>
  <c r="L4681" i="1"/>
  <c r="M4681" i="1" s="1" a="1"/>
  <c r="M4681" i="1" s="1"/>
  <c r="L4682" i="1"/>
  <c r="M4682" i="1" s="1" a="1"/>
  <c r="M4682" i="1" s="1"/>
  <c r="L4683" i="1"/>
  <c r="M4683" i="1" s="1" a="1"/>
  <c r="M4683" i="1" s="1"/>
  <c r="L4684" i="1"/>
  <c r="M4684" i="1" s="1" a="1"/>
  <c r="M4684" i="1" s="1"/>
  <c r="L4685" i="1"/>
  <c r="M4685" i="1" s="1" a="1"/>
  <c r="M4685" i="1" s="1"/>
  <c r="L4686" i="1"/>
  <c r="M4686" i="1" s="1" a="1"/>
  <c r="M4686" i="1" s="1"/>
  <c r="L4687" i="1"/>
  <c r="M4687" i="1" s="1" a="1"/>
  <c r="M4687" i="1" s="1"/>
  <c r="L4688" i="1"/>
  <c r="M4688" i="1" s="1" a="1"/>
  <c r="M4688" i="1" s="1"/>
  <c r="L4689" i="1"/>
  <c r="M4689" i="1" s="1" a="1"/>
  <c r="M4689" i="1" s="1"/>
  <c r="L4690" i="1"/>
  <c r="M4690" i="1" s="1" a="1"/>
  <c r="M4690" i="1" s="1"/>
  <c r="L4691" i="1"/>
  <c r="M4691" i="1" s="1" a="1"/>
  <c r="M4691" i="1" s="1"/>
  <c r="L4692" i="1"/>
  <c r="M4692" i="1" s="1" a="1"/>
  <c r="M4692" i="1" s="1"/>
  <c r="L4693" i="1"/>
  <c r="M4693" i="1" s="1" a="1"/>
  <c r="M4693" i="1" s="1"/>
  <c r="L4694" i="1"/>
  <c r="M4694" i="1" s="1" a="1"/>
  <c r="M4694" i="1" s="1"/>
  <c r="L4695" i="1"/>
  <c r="M4695" i="1" s="1" a="1"/>
  <c r="M4695" i="1" s="1"/>
  <c r="L4696" i="1"/>
  <c r="M4696" i="1" s="1" a="1"/>
  <c r="M4696" i="1" s="1"/>
  <c r="L4697" i="1"/>
  <c r="M4697" i="1" s="1" a="1"/>
  <c r="M4697" i="1" s="1"/>
  <c r="L4698" i="1"/>
  <c r="M4698" i="1" s="1" a="1"/>
  <c r="M4698" i="1" s="1"/>
  <c r="L4699" i="1"/>
  <c r="M4699" i="1" s="1" a="1"/>
  <c r="M4699" i="1" s="1"/>
  <c r="L4700" i="1"/>
  <c r="M4700" i="1" s="1" a="1"/>
  <c r="M4700" i="1" s="1"/>
  <c r="L4701" i="1"/>
  <c r="M4701" i="1" s="1" a="1"/>
  <c r="M4701" i="1" s="1"/>
  <c r="L4702" i="1"/>
  <c r="M4702" i="1" s="1" a="1"/>
  <c r="M4702" i="1" s="1"/>
  <c r="L4703" i="1"/>
  <c r="M4703" i="1" s="1" a="1"/>
  <c r="M4703" i="1" s="1"/>
  <c r="L4704" i="1"/>
  <c r="M4704" i="1" s="1" a="1"/>
  <c r="M4704" i="1" s="1"/>
  <c r="L4705" i="1"/>
  <c r="M4705" i="1" s="1" a="1"/>
  <c r="M4705" i="1" s="1"/>
  <c r="L4706" i="1"/>
  <c r="M4706" i="1" s="1" a="1"/>
  <c r="M4706" i="1" s="1"/>
  <c r="L4707" i="1"/>
  <c r="M4707" i="1" s="1" a="1"/>
  <c r="M4707" i="1" s="1"/>
  <c r="L4708" i="1"/>
  <c r="M4708" i="1" s="1" a="1"/>
  <c r="M4708" i="1" s="1"/>
  <c r="L4709" i="1"/>
  <c r="M4709" i="1" s="1" a="1"/>
  <c r="M4709" i="1" s="1"/>
  <c r="L4710" i="1"/>
  <c r="M4710" i="1" s="1" a="1"/>
  <c r="M4710" i="1" s="1"/>
  <c r="L4711" i="1"/>
  <c r="M4711" i="1" s="1" a="1"/>
  <c r="M4711" i="1" s="1"/>
  <c r="L4712" i="1"/>
  <c r="M4712" i="1" s="1" a="1"/>
  <c r="M4712" i="1" s="1"/>
  <c r="L4713" i="1"/>
  <c r="M4713" i="1" s="1" a="1"/>
  <c r="M4713" i="1" s="1"/>
  <c r="L4714" i="1"/>
  <c r="M4714" i="1" s="1" a="1"/>
  <c r="M4714" i="1" s="1"/>
  <c r="L4715" i="1"/>
  <c r="M4715" i="1" s="1" a="1"/>
  <c r="M4715" i="1" s="1"/>
  <c r="L4716" i="1"/>
  <c r="M4716" i="1" s="1" a="1"/>
  <c r="M4716" i="1" s="1"/>
  <c r="L4717" i="1"/>
  <c r="M4717" i="1" s="1" a="1"/>
  <c r="M4717" i="1" s="1"/>
  <c r="L4718" i="1"/>
  <c r="M4718" i="1" s="1" a="1"/>
  <c r="M4718" i="1" s="1"/>
  <c r="L4719" i="1"/>
  <c r="M4719" i="1" s="1" a="1"/>
  <c r="M4719" i="1" s="1"/>
  <c r="L4720" i="1"/>
  <c r="M4720" i="1" s="1" a="1"/>
  <c r="M4720" i="1" s="1"/>
  <c r="L4721" i="1"/>
  <c r="M4721" i="1" s="1" a="1"/>
  <c r="M4721" i="1" s="1"/>
  <c r="L4722" i="1"/>
  <c r="M4722" i="1" s="1" a="1"/>
  <c r="M4722" i="1" s="1"/>
  <c r="L4723" i="1"/>
  <c r="M4723" i="1" s="1" a="1"/>
  <c r="M4723" i="1" s="1"/>
  <c r="L4724" i="1"/>
  <c r="M4724" i="1" s="1" a="1"/>
  <c r="M4724" i="1" s="1"/>
  <c r="L4725" i="1"/>
  <c r="M4725" i="1" s="1" a="1"/>
  <c r="M4725" i="1" s="1"/>
  <c r="L4726" i="1"/>
  <c r="M4726" i="1" s="1" a="1"/>
  <c r="M4726" i="1" s="1"/>
  <c r="L4727" i="1"/>
  <c r="M4727" i="1" s="1" a="1"/>
  <c r="M4727" i="1" s="1"/>
  <c r="L4728" i="1"/>
  <c r="M4728" i="1" s="1" a="1"/>
  <c r="M4728" i="1" s="1"/>
  <c r="L4729" i="1"/>
  <c r="M4729" i="1" s="1" a="1"/>
  <c r="M4729" i="1" s="1"/>
  <c r="L4730" i="1"/>
  <c r="M4730" i="1" s="1" a="1"/>
  <c r="M4730" i="1" s="1"/>
  <c r="L4731" i="1"/>
  <c r="M4731" i="1" s="1" a="1"/>
  <c r="M4731" i="1" s="1"/>
  <c r="L4732" i="1"/>
  <c r="M4732" i="1" s="1" a="1"/>
  <c r="M4732" i="1" s="1"/>
  <c r="L4733" i="1"/>
  <c r="M4733" i="1" s="1" a="1"/>
  <c r="M4733" i="1" s="1"/>
  <c r="L4734" i="1"/>
  <c r="M4734" i="1" s="1" a="1"/>
  <c r="M4734" i="1" s="1"/>
  <c r="L4735" i="1"/>
  <c r="M4735" i="1" s="1" a="1"/>
  <c r="M4735" i="1" s="1"/>
  <c r="L4736" i="1"/>
  <c r="M4736" i="1" s="1" a="1"/>
  <c r="M4736" i="1" s="1"/>
  <c r="L4737" i="1"/>
  <c r="M4737" i="1" s="1" a="1"/>
  <c r="M4737" i="1" s="1"/>
  <c r="L4738" i="1"/>
  <c r="M4738" i="1" s="1" a="1"/>
  <c r="M4738" i="1" s="1"/>
  <c r="L4739" i="1"/>
  <c r="M4739" i="1" s="1" a="1"/>
  <c r="M4739" i="1" s="1"/>
  <c r="L4740" i="1"/>
  <c r="M4740" i="1" s="1" a="1"/>
  <c r="M4740" i="1" s="1"/>
  <c r="L4741" i="1"/>
  <c r="M4741" i="1" s="1" a="1"/>
  <c r="M4741" i="1" s="1"/>
  <c r="L4742" i="1"/>
  <c r="M4742" i="1" s="1" a="1"/>
  <c r="M4742" i="1" s="1"/>
  <c r="L4743" i="1"/>
  <c r="M4743" i="1" s="1" a="1"/>
  <c r="M4743" i="1" s="1"/>
  <c r="L4744" i="1"/>
  <c r="M4744" i="1" s="1" a="1"/>
  <c r="M4744" i="1" s="1"/>
  <c r="L4745" i="1"/>
  <c r="M4745" i="1" s="1" a="1"/>
  <c r="M4745" i="1" s="1"/>
  <c r="L4746" i="1"/>
  <c r="M4746" i="1" s="1" a="1"/>
  <c r="M4746" i="1" s="1"/>
  <c r="L4747" i="1"/>
  <c r="M4747" i="1" s="1" a="1"/>
  <c r="M4747" i="1" s="1"/>
  <c r="L4748" i="1"/>
  <c r="M4748" i="1" s="1" a="1"/>
  <c r="M4748" i="1" s="1"/>
  <c r="L4749" i="1"/>
  <c r="M4749" i="1" s="1" a="1"/>
  <c r="M4749" i="1" s="1"/>
  <c r="L4750" i="1"/>
  <c r="M4750" i="1" s="1" a="1"/>
  <c r="M4750" i="1" s="1"/>
  <c r="L4751" i="1"/>
  <c r="M4751" i="1" s="1" a="1"/>
  <c r="M4751" i="1" s="1"/>
  <c r="L4752" i="1"/>
  <c r="M4752" i="1" s="1" a="1"/>
  <c r="M4752" i="1" s="1"/>
  <c r="L4753" i="1"/>
  <c r="M4753" i="1" s="1" a="1"/>
  <c r="M4753" i="1" s="1"/>
  <c r="L4754" i="1"/>
  <c r="M4754" i="1" s="1" a="1"/>
  <c r="M4754" i="1" s="1"/>
  <c r="L4755" i="1"/>
  <c r="M4755" i="1" s="1" a="1"/>
  <c r="M4755" i="1" s="1"/>
  <c r="L4756" i="1"/>
  <c r="M4756" i="1" s="1" a="1"/>
  <c r="M4756" i="1" s="1"/>
  <c r="L4757" i="1"/>
  <c r="M4757" i="1" s="1" a="1"/>
  <c r="M4757" i="1" s="1"/>
  <c r="L4758" i="1"/>
  <c r="M4758" i="1" s="1" a="1"/>
  <c r="M4758" i="1" s="1"/>
  <c r="L4759" i="1"/>
  <c r="M4759" i="1" s="1" a="1"/>
  <c r="M4759" i="1" s="1"/>
  <c r="L4760" i="1"/>
  <c r="M4760" i="1" s="1" a="1"/>
  <c r="M4760" i="1" s="1"/>
  <c r="L4761" i="1"/>
  <c r="M4761" i="1" s="1" a="1"/>
  <c r="M4761" i="1" s="1"/>
  <c r="L4762" i="1"/>
  <c r="M4762" i="1" s="1" a="1"/>
  <c r="M4762" i="1" s="1"/>
  <c r="L4763" i="1"/>
  <c r="M4763" i="1" s="1" a="1"/>
  <c r="M4763" i="1" s="1"/>
  <c r="L4764" i="1"/>
  <c r="M4764" i="1" s="1" a="1"/>
  <c r="M4764" i="1" s="1"/>
  <c r="L4765" i="1"/>
  <c r="M4765" i="1" s="1" a="1"/>
  <c r="M4765" i="1" s="1"/>
  <c r="L4766" i="1"/>
  <c r="M4766" i="1" s="1" a="1"/>
  <c r="M4766" i="1" s="1"/>
  <c r="L4767" i="1"/>
  <c r="M4767" i="1" s="1" a="1"/>
  <c r="M4767" i="1" s="1"/>
  <c r="L4768" i="1"/>
  <c r="M4768" i="1" s="1" a="1"/>
  <c r="M4768" i="1" s="1"/>
  <c r="L4769" i="1"/>
  <c r="M4769" i="1" s="1" a="1"/>
  <c r="M4769" i="1" s="1"/>
  <c r="L4770" i="1"/>
  <c r="M4770" i="1" s="1" a="1"/>
  <c r="M4770" i="1" s="1"/>
  <c r="L4771" i="1"/>
  <c r="M4771" i="1" s="1" a="1"/>
  <c r="M4771" i="1" s="1"/>
  <c r="L4772" i="1"/>
  <c r="M4772" i="1" s="1" a="1"/>
  <c r="M4772" i="1" s="1"/>
  <c r="L4773" i="1"/>
  <c r="M4773" i="1" s="1" a="1"/>
  <c r="M4773" i="1" s="1"/>
  <c r="L4774" i="1"/>
  <c r="M4774" i="1" s="1" a="1"/>
  <c r="M4774" i="1" s="1"/>
  <c r="L4775" i="1"/>
  <c r="M4775" i="1" s="1" a="1"/>
  <c r="M4775" i="1" s="1"/>
  <c r="L4776" i="1"/>
  <c r="M4776" i="1" s="1" a="1"/>
  <c r="M4776" i="1" s="1"/>
  <c r="L4777" i="1"/>
  <c r="M4777" i="1" s="1" a="1"/>
  <c r="M4777" i="1" s="1"/>
  <c r="L4778" i="1"/>
  <c r="M4778" i="1" s="1" a="1"/>
  <c r="M4778" i="1" s="1"/>
  <c r="L4779" i="1"/>
  <c r="M4779" i="1" s="1" a="1"/>
  <c r="M4779" i="1" s="1"/>
  <c r="L4780" i="1"/>
  <c r="M4780" i="1" s="1" a="1"/>
  <c r="M4780" i="1" s="1"/>
  <c r="L4781" i="1"/>
  <c r="M4781" i="1" s="1" a="1"/>
  <c r="M4781" i="1" s="1"/>
  <c r="L4782" i="1"/>
  <c r="M4782" i="1" s="1" a="1"/>
  <c r="M4782" i="1" s="1"/>
  <c r="L4783" i="1"/>
  <c r="M4783" i="1" s="1" a="1"/>
  <c r="M4783" i="1" s="1"/>
  <c r="L4784" i="1"/>
  <c r="M4784" i="1" s="1" a="1"/>
  <c r="M4784" i="1" s="1"/>
  <c r="L4785" i="1"/>
  <c r="M4785" i="1" s="1" a="1"/>
  <c r="M4785" i="1" s="1"/>
  <c r="L4786" i="1"/>
  <c r="M4786" i="1" s="1" a="1"/>
  <c r="M4786" i="1" s="1"/>
  <c r="L4787" i="1"/>
  <c r="M4787" i="1" s="1" a="1"/>
  <c r="M4787" i="1" s="1"/>
  <c r="L4788" i="1"/>
  <c r="M4788" i="1" s="1" a="1"/>
  <c r="M4788" i="1" s="1"/>
  <c r="L4789" i="1"/>
  <c r="M4789" i="1" s="1" a="1"/>
  <c r="M4789" i="1" s="1"/>
  <c r="L4790" i="1"/>
  <c r="M4790" i="1" s="1" a="1"/>
  <c r="M4790" i="1" s="1"/>
  <c r="L4791" i="1"/>
  <c r="M4791" i="1" s="1" a="1"/>
  <c r="M4791" i="1" s="1"/>
  <c r="L4792" i="1"/>
  <c r="M4792" i="1" s="1" a="1"/>
  <c r="M4792" i="1" s="1"/>
  <c r="L4793" i="1"/>
  <c r="M4793" i="1" s="1" a="1"/>
  <c r="M4793" i="1" s="1"/>
  <c r="L4794" i="1"/>
  <c r="M4794" i="1" s="1" a="1"/>
  <c r="M4794" i="1" s="1"/>
  <c r="L4795" i="1"/>
  <c r="M4795" i="1" s="1" a="1"/>
  <c r="M4795" i="1" s="1"/>
  <c r="L4796" i="1"/>
  <c r="M4796" i="1" s="1" a="1"/>
  <c r="M4796" i="1" s="1"/>
  <c r="L4797" i="1"/>
  <c r="M4797" i="1" s="1" a="1"/>
  <c r="M4797" i="1" s="1"/>
  <c r="L4798" i="1"/>
  <c r="M4798" i="1" s="1" a="1"/>
  <c r="M4798" i="1" s="1"/>
  <c r="L4799" i="1"/>
  <c r="M4799" i="1" s="1" a="1"/>
  <c r="M4799" i="1" s="1"/>
  <c r="L4800" i="1"/>
  <c r="M4800" i="1" s="1" a="1"/>
  <c r="M4800" i="1" s="1"/>
  <c r="L4801" i="1"/>
  <c r="M4801" i="1" s="1" a="1"/>
  <c r="M4801" i="1" s="1"/>
  <c r="L4802" i="1"/>
  <c r="M4802" i="1" s="1" a="1"/>
  <c r="M4802" i="1" s="1"/>
  <c r="L4803" i="1"/>
  <c r="M4803" i="1" s="1" a="1"/>
  <c r="M4803" i="1" s="1"/>
  <c r="L4804" i="1"/>
  <c r="M4804" i="1" s="1" a="1"/>
  <c r="M4804" i="1" s="1"/>
  <c r="L4805" i="1"/>
  <c r="M4805" i="1" s="1" a="1"/>
  <c r="M4805" i="1" s="1"/>
  <c r="L4806" i="1"/>
  <c r="M4806" i="1" s="1" a="1"/>
  <c r="M4806" i="1" s="1"/>
  <c r="L4807" i="1"/>
  <c r="M4807" i="1" s="1" a="1"/>
  <c r="M4807" i="1" s="1"/>
  <c r="L4808" i="1"/>
  <c r="M4808" i="1" s="1" a="1"/>
  <c r="M4808" i="1" s="1"/>
  <c r="L4809" i="1"/>
  <c r="M4809" i="1" s="1" a="1"/>
  <c r="M4809" i="1" s="1"/>
  <c r="L4810" i="1"/>
  <c r="M4810" i="1" s="1" a="1"/>
  <c r="M4810" i="1" s="1"/>
  <c r="L4811" i="1"/>
  <c r="M4811" i="1" s="1" a="1"/>
  <c r="M4811" i="1" s="1"/>
  <c r="L4812" i="1"/>
  <c r="M4812" i="1" s="1" a="1"/>
  <c r="M4812" i="1" s="1"/>
  <c r="L4813" i="1"/>
  <c r="M4813" i="1" s="1" a="1"/>
  <c r="M4813" i="1" s="1"/>
  <c r="L4814" i="1"/>
  <c r="M4814" i="1" s="1" a="1"/>
  <c r="M4814" i="1" s="1"/>
  <c r="L4815" i="1"/>
  <c r="M4815" i="1" s="1" a="1"/>
  <c r="M4815" i="1" s="1"/>
  <c r="L4816" i="1"/>
  <c r="M4816" i="1" s="1" a="1"/>
  <c r="M4816" i="1" s="1"/>
  <c r="L4817" i="1"/>
  <c r="M4817" i="1" s="1" a="1"/>
  <c r="M4817" i="1" s="1"/>
  <c r="L4818" i="1"/>
  <c r="M4818" i="1" s="1" a="1"/>
  <c r="M4818" i="1" s="1"/>
  <c r="L4819" i="1"/>
  <c r="M4819" i="1" s="1" a="1"/>
  <c r="M4819" i="1" s="1"/>
  <c r="L4820" i="1"/>
  <c r="M4820" i="1" s="1" a="1"/>
  <c r="M4820" i="1" s="1"/>
  <c r="L4821" i="1"/>
  <c r="M4821" i="1" s="1" a="1"/>
  <c r="M4821" i="1" s="1"/>
  <c r="L4822" i="1"/>
  <c r="M4822" i="1" s="1" a="1"/>
  <c r="M4822" i="1" s="1"/>
  <c r="L4823" i="1"/>
  <c r="M4823" i="1" s="1" a="1"/>
  <c r="M4823" i="1" s="1"/>
  <c r="L4824" i="1"/>
  <c r="M4824" i="1" s="1" a="1"/>
  <c r="M4824" i="1" s="1"/>
  <c r="L4825" i="1"/>
  <c r="M4825" i="1" s="1" a="1"/>
  <c r="M4825" i="1" s="1"/>
  <c r="L4826" i="1"/>
  <c r="M4826" i="1" s="1" a="1"/>
  <c r="M4826" i="1" s="1"/>
  <c r="L4827" i="1"/>
  <c r="M4827" i="1" s="1" a="1"/>
  <c r="M4827" i="1" s="1"/>
  <c r="L4828" i="1"/>
  <c r="M4828" i="1" s="1" a="1"/>
  <c r="M4828" i="1" s="1"/>
  <c r="L4829" i="1"/>
  <c r="M4829" i="1" s="1" a="1"/>
  <c r="M4829" i="1" s="1"/>
  <c r="L4830" i="1"/>
  <c r="M4830" i="1" s="1" a="1"/>
  <c r="M4830" i="1" s="1"/>
  <c r="L4831" i="1"/>
  <c r="M4831" i="1" s="1" a="1"/>
  <c r="M4831" i="1" s="1"/>
  <c r="L4832" i="1"/>
  <c r="M4832" i="1" s="1" a="1"/>
  <c r="M4832" i="1" s="1"/>
  <c r="L4833" i="1"/>
  <c r="M4833" i="1" s="1" a="1"/>
  <c r="M4833" i="1" s="1"/>
  <c r="L4834" i="1"/>
  <c r="M4834" i="1" s="1" a="1"/>
  <c r="M4834" i="1" s="1"/>
  <c r="L4835" i="1"/>
  <c r="M4835" i="1" s="1" a="1"/>
  <c r="M4835" i="1" s="1"/>
  <c r="L4836" i="1"/>
  <c r="M4836" i="1" s="1" a="1"/>
  <c r="M4836" i="1" s="1"/>
  <c r="L4837" i="1"/>
  <c r="M4837" i="1" s="1" a="1"/>
  <c r="M4837" i="1" s="1"/>
  <c r="L4838" i="1"/>
  <c r="M4838" i="1" s="1" a="1"/>
  <c r="M4838" i="1" s="1"/>
  <c r="L4839" i="1"/>
  <c r="M4839" i="1" s="1" a="1"/>
  <c r="M4839" i="1" s="1"/>
  <c r="L4840" i="1"/>
  <c r="M4840" i="1" s="1" a="1"/>
  <c r="M4840" i="1" s="1"/>
  <c r="L4841" i="1"/>
  <c r="M4841" i="1" s="1" a="1"/>
  <c r="M4841" i="1" s="1"/>
  <c r="L4842" i="1"/>
  <c r="M4842" i="1" s="1" a="1"/>
  <c r="M4842" i="1" s="1"/>
  <c r="L4843" i="1"/>
  <c r="M4843" i="1" s="1" a="1"/>
  <c r="M4843" i="1" s="1"/>
  <c r="L4844" i="1"/>
  <c r="M4844" i="1" s="1" a="1"/>
  <c r="M4844" i="1" s="1"/>
  <c r="L4845" i="1"/>
  <c r="M4845" i="1" s="1" a="1"/>
  <c r="M4845" i="1" s="1"/>
  <c r="L4846" i="1"/>
  <c r="M4846" i="1" s="1" a="1"/>
  <c r="M4846" i="1" s="1"/>
  <c r="L4847" i="1"/>
  <c r="M4847" i="1" s="1" a="1"/>
  <c r="M4847" i="1" s="1"/>
  <c r="L4848" i="1"/>
  <c r="M4848" i="1" s="1" a="1"/>
  <c r="M4848" i="1" s="1"/>
  <c r="L4849" i="1"/>
  <c r="M4849" i="1" s="1" a="1"/>
  <c r="M4849" i="1" s="1"/>
  <c r="L4850" i="1"/>
  <c r="M4850" i="1" s="1" a="1"/>
  <c r="M4850" i="1" s="1"/>
  <c r="L4851" i="1"/>
  <c r="M4851" i="1" s="1" a="1"/>
  <c r="M4851" i="1" s="1"/>
  <c r="L4852" i="1"/>
  <c r="M4852" i="1" s="1" a="1"/>
  <c r="M4852" i="1" s="1"/>
  <c r="L4853" i="1"/>
  <c r="M4853" i="1" s="1" a="1"/>
  <c r="M4853" i="1" s="1"/>
  <c r="L4854" i="1"/>
  <c r="M4854" i="1" s="1" a="1"/>
  <c r="M4854" i="1" s="1"/>
  <c r="L4855" i="1"/>
  <c r="M4855" i="1" s="1" a="1"/>
  <c r="M4855" i="1" s="1"/>
  <c r="L4856" i="1"/>
  <c r="M4856" i="1" s="1" a="1"/>
  <c r="M4856" i="1" s="1"/>
  <c r="L4857" i="1"/>
  <c r="M4857" i="1" s="1" a="1"/>
  <c r="M4857" i="1" s="1"/>
  <c r="L4858" i="1"/>
  <c r="M4858" i="1" s="1" a="1"/>
  <c r="M4858" i="1" s="1"/>
  <c r="L4859" i="1"/>
  <c r="M4859" i="1" s="1" a="1"/>
  <c r="M4859" i="1" s="1"/>
  <c r="L4860" i="1"/>
  <c r="M4860" i="1" s="1" a="1"/>
  <c r="M4860" i="1" s="1"/>
  <c r="L4861" i="1"/>
  <c r="M4861" i="1" s="1" a="1"/>
  <c r="M4861" i="1" s="1"/>
  <c r="L4862" i="1"/>
  <c r="M4862" i="1" s="1" a="1"/>
  <c r="M4862" i="1" s="1"/>
  <c r="L4863" i="1"/>
  <c r="M4863" i="1" s="1" a="1"/>
  <c r="M4863" i="1" s="1"/>
  <c r="L4864" i="1"/>
  <c r="M4864" i="1" s="1" a="1"/>
  <c r="M4864" i="1" s="1"/>
  <c r="L4865" i="1"/>
  <c r="M4865" i="1" s="1" a="1"/>
  <c r="M4865" i="1" s="1"/>
  <c r="L4866" i="1"/>
  <c r="M4866" i="1" s="1" a="1"/>
  <c r="M4866" i="1" s="1"/>
  <c r="L4867" i="1"/>
  <c r="M4867" i="1" s="1" a="1"/>
  <c r="M4867" i="1" s="1"/>
  <c r="L4868" i="1"/>
  <c r="M4868" i="1" s="1" a="1"/>
  <c r="M4868" i="1" s="1"/>
  <c r="L4869" i="1"/>
  <c r="M4869" i="1" s="1" a="1"/>
  <c r="M4869" i="1" s="1"/>
  <c r="L4870" i="1"/>
  <c r="M4870" i="1" s="1" a="1"/>
  <c r="M4870" i="1" s="1"/>
  <c r="L4871" i="1"/>
  <c r="M4871" i="1" s="1" a="1"/>
  <c r="M4871" i="1" s="1"/>
  <c r="L4872" i="1"/>
  <c r="M4872" i="1" s="1" a="1"/>
  <c r="M4872" i="1" s="1"/>
  <c r="L4873" i="1"/>
  <c r="M4873" i="1" s="1" a="1"/>
  <c r="M4873" i="1" s="1"/>
  <c r="L4874" i="1"/>
  <c r="M4874" i="1" s="1" a="1"/>
  <c r="M4874" i="1" s="1"/>
  <c r="L4875" i="1"/>
  <c r="M4875" i="1" s="1" a="1"/>
  <c r="M4875" i="1" s="1"/>
  <c r="L4876" i="1"/>
  <c r="M4876" i="1" s="1" a="1"/>
  <c r="M4876" i="1" s="1"/>
  <c r="L4877" i="1"/>
  <c r="M4877" i="1" s="1" a="1"/>
  <c r="M4877" i="1" s="1"/>
  <c r="L4878" i="1"/>
  <c r="M4878" i="1" s="1" a="1"/>
  <c r="M4878" i="1" s="1"/>
  <c r="L4879" i="1"/>
  <c r="M4879" i="1" s="1" a="1"/>
  <c r="M4879" i="1" s="1"/>
  <c r="L4880" i="1"/>
  <c r="M4880" i="1" s="1" a="1"/>
  <c r="M4880" i="1" s="1"/>
  <c r="L4881" i="1"/>
  <c r="M4881" i="1" s="1" a="1"/>
  <c r="M4881" i="1" s="1"/>
  <c r="L4882" i="1"/>
  <c r="M4882" i="1" s="1" a="1"/>
  <c r="M4882" i="1" s="1"/>
  <c r="L4883" i="1"/>
  <c r="M4883" i="1" s="1" a="1"/>
  <c r="M4883" i="1" s="1"/>
  <c r="L4884" i="1"/>
  <c r="M4884" i="1" s="1" a="1"/>
  <c r="M4884" i="1" s="1"/>
  <c r="L4885" i="1"/>
  <c r="M4885" i="1" s="1" a="1"/>
  <c r="M4885" i="1" s="1"/>
  <c r="L4886" i="1"/>
  <c r="M4886" i="1" s="1" a="1"/>
  <c r="M4886" i="1" s="1"/>
  <c r="L4887" i="1"/>
  <c r="M4887" i="1" s="1" a="1"/>
  <c r="M4887" i="1" s="1"/>
  <c r="L4888" i="1"/>
  <c r="M4888" i="1" s="1" a="1"/>
  <c r="M4888" i="1" s="1"/>
  <c r="L4889" i="1"/>
  <c r="M4889" i="1" s="1" a="1"/>
  <c r="M4889" i="1" s="1"/>
  <c r="L4890" i="1"/>
  <c r="M4890" i="1" s="1" a="1"/>
  <c r="M4890" i="1" s="1"/>
  <c r="L4891" i="1"/>
  <c r="M4891" i="1" s="1" a="1"/>
  <c r="M4891" i="1" s="1"/>
  <c r="L4892" i="1"/>
  <c r="M4892" i="1" s="1" a="1"/>
  <c r="M4892" i="1" s="1"/>
  <c r="L4893" i="1"/>
  <c r="M4893" i="1" s="1" a="1"/>
  <c r="M4893" i="1" s="1"/>
  <c r="L4894" i="1"/>
  <c r="M4894" i="1" s="1" a="1"/>
  <c r="M4894" i="1" s="1"/>
  <c r="L4895" i="1"/>
  <c r="M4895" i="1" s="1" a="1"/>
  <c r="M4895" i="1" s="1"/>
  <c r="L4896" i="1"/>
  <c r="M4896" i="1" s="1" a="1"/>
  <c r="M4896" i="1" s="1"/>
  <c r="L4897" i="1"/>
  <c r="M4897" i="1" s="1" a="1"/>
  <c r="M4897" i="1" s="1"/>
  <c r="L4898" i="1"/>
  <c r="M4898" i="1" s="1" a="1"/>
  <c r="M4898" i="1" s="1"/>
  <c r="L4899" i="1"/>
  <c r="M4899" i="1" s="1" a="1"/>
  <c r="M4899" i="1" s="1"/>
  <c r="L4900" i="1"/>
  <c r="M4900" i="1" s="1" a="1"/>
  <c r="M4900" i="1" s="1"/>
  <c r="L4901" i="1"/>
  <c r="M4901" i="1" s="1" a="1"/>
  <c r="M4901" i="1" s="1"/>
  <c r="L4902" i="1"/>
  <c r="M4902" i="1" s="1" a="1"/>
  <c r="M4902" i="1" s="1"/>
  <c r="L4903" i="1"/>
  <c r="M4903" i="1" s="1" a="1"/>
  <c r="M4903" i="1" s="1"/>
  <c r="L4904" i="1"/>
  <c r="M4904" i="1" s="1" a="1"/>
  <c r="M4904" i="1" s="1"/>
  <c r="L4905" i="1"/>
  <c r="M4905" i="1" s="1" a="1"/>
  <c r="M4905" i="1" s="1"/>
  <c r="L4906" i="1"/>
  <c r="M4906" i="1" s="1" a="1"/>
  <c r="M4906" i="1" s="1"/>
  <c r="L4907" i="1"/>
  <c r="M4907" i="1" s="1" a="1"/>
  <c r="M4907" i="1" s="1"/>
  <c r="L4908" i="1"/>
  <c r="M4908" i="1" s="1" a="1"/>
  <c r="M4908" i="1" s="1"/>
  <c r="L4909" i="1"/>
  <c r="M4909" i="1" s="1" a="1"/>
  <c r="M4909" i="1" s="1"/>
  <c r="L4910" i="1"/>
  <c r="M4910" i="1" s="1" a="1"/>
  <c r="M4910" i="1" s="1"/>
  <c r="L4911" i="1"/>
  <c r="M4911" i="1" s="1" a="1"/>
  <c r="M4911" i="1" s="1"/>
  <c r="L4912" i="1"/>
  <c r="M4912" i="1" s="1" a="1"/>
  <c r="M4912" i="1" s="1"/>
  <c r="L4913" i="1"/>
  <c r="M4913" i="1" s="1" a="1"/>
  <c r="M4913" i="1" s="1"/>
  <c r="L4914" i="1"/>
  <c r="M4914" i="1" s="1" a="1"/>
  <c r="M4914" i="1" s="1"/>
  <c r="L4915" i="1"/>
  <c r="M4915" i="1" s="1" a="1"/>
  <c r="M4915" i="1" s="1"/>
  <c r="L4916" i="1"/>
  <c r="M4916" i="1" s="1" a="1"/>
  <c r="M4916" i="1" s="1"/>
  <c r="L4917" i="1"/>
  <c r="M4917" i="1" s="1" a="1"/>
  <c r="M4917" i="1" s="1"/>
  <c r="L4918" i="1"/>
  <c r="M4918" i="1" s="1" a="1"/>
  <c r="M4918" i="1" s="1"/>
  <c r="L4919" i="1"/>
  <c r="M4919" i="1" s="1" a="1"/>
  <c r="M4919" i="1" s="1"/>
  <c r="L4920" i="1"/>
  <c r="M4920" i="1" s="1" a="1"/>
  <c r="M4920" i="1" s="1"/>
  <c r="L4921" i="1"/>
  <c r="M4921" i="1" s="1" a="1"/>
  <c r="M4921" i="1" s="1"/>
  <c r="L4922" i="1"/>
  <c r="M4922" i="1" s="1" a="1"/>
  <c r="M4922" i="1" s="1"/>
  <c r="L4923" i="1"/>
  <c r="M4923" i="1" s="1" a="1"/>
  <c r="M4923" i="1" s="1"/>
  <c r="L4924" i="1"/>
  <c r="M4924" i="1" s="1" a="1"/>
  <c r="M4924" i="1" s="1"/>
  <c r="L4925" i="1"/>
  <c r="M4925" i="1" s="1" a="1"/>
  <c r="M4925" i="1" s="1"/>
  <c r="L4926" i="1"/>
  <c r="M4926" i="1" s="1" a="1"/>
  <c r="M4926" i="1" s="1"/>
  <c r="L4927" i="1"/>
  <c r="M4927" i="1" s="1" a="1"/>
  <c r="M4927" i="1" s="1"/>
  <c r="L4928" i="1"/>
  <c r="M4928" i="1" s="1" a="1"/>
  <c r="M4928" i="1" s="1"/>
  <c r="L4929" i="1"/>
  <c r="M4929" i="1" s="1" a="1"/>
  <c r="M4929" i="1" s="1"/>
  <c r="L4930" i="1"/>
  <c r="M4930" i="1" s="1" a="1"/>
  <c r="M4930" i="1" s="1"/>
  <c r="L4931" i="1"/>
  <c r="M4931" i="1" s="1" a="1"/>
  <c r="M4931" i="1" s="1"/>
  <c r="L4932" i="1"/>
  <c r="M4932" i="1" s="1" a="1"/>
  <c r="M4932" i="1" s="1"/>
  <c r="L4933" i="1"/>
  <c r="M4933" i="1" s="1" a="1"/>
  <c r="M4933" i="1" s="1"/>
  <c r="L4934" i="1"/>
  <c r="M4934" i="1" s="1" a="1"/>
  <c r="M4934" i="1" s="1"/>
  <c r="L4935" i="1"/>
  <c r="M4935" i="1" s="1" a="1"/>
  <c r="M4935" i="1" s="1"/>
  <c r="L4936" i="1"/>
  <c r="M4936" i="1" s="1" a="1"/>
  <c r="M4936" i="1" s="1"/>
  <c r="L4937" i="1"/>
  <c r="M4937" i="1" s="1" a="1"/>
  <c r="M4937" i="1" s="1"/>
  <c r="L4938" i="1"/>
  <c r="M4938" i="1" s="1" a="1"/>
  <c r="M4938" i="1" s="1"/>
  <c r="L4939" i="1"/>
  <c r="M4939" i="1" s="1" a="1"/>
  <c r="M4939" i="1" s="1"/>
  <c r="L4940" i="1"/>
  <c r="M4940" i="1" s="1" a="1"/>
  <c r="M4940" i="1" s="1"/>
  <c r="L4941" i="1"/>
  <c r="M4941" i="1" s="1" a="1"/>
  <c r="M4941" i="1" s="1"/>
  <c r="L4942" i="1"/>
  <c r="M4942" i="1" s="1" a="1"/>
  <c r="M4942" i="1" s="1"/>
  <c r="L4943" i="1"/>
  <c r="M4943" i="1" s="1" a="1"/>
  <c r="M4943" i="1" s="1"/>
  <c r="L4944" i="1"/>
  <c r="M4944" i="1" s="1" a="1"/>
  <c r="M4944" i="1" s="1"/>
  <c r="L4945" i="1"/>
  <c r="M4945" i="1" s="1" a="1"/>
  <c r="M4945" i="1" s="1"/>
  <c r="L4946" i="1"/>
  <c r="M4946" i="1" s="1" a="1"/>
  <c r="M4946" i="1" s="1"/>
  <c r="L4947" i="1"/>
  <c r="M4947" i="1" s="1" a="1"/>
  <c r="M4947" i="1" s="1"/>
  <c r="L4948" i="1"/>
  <c r="M4948" i="1" s="1" a="1"/>
  <c r="M4948" i="1" s="1"/>
  <c r="L4949" i="1"/>
  <c r="M4949" i="1" s="1" a="1"/>
  <c r="M4949" i="1" s="1"/>
  <c r="L4950" i="1"/>
  <c r="M4950" i="1" s="1" a="1"/>
  <c r="M4950" i="1" s="1"/>
  <c r="L4951" i="1"/>
  <c r="M4951" i="1" s="1" a="1"/>
  <c r="M4951" i="1" s="1"/>
  <c r="L4952" i="1"/>
  <c r="M4952" i="1" s="1" a="1"/>
  <c r="M4952" i="1" s="1"/>
  <c r="L4953" i="1"/>
  <c r="M4953" i="1" s="1" a="1"/>
  <c r="M4953" i="1" s="1"/>
  <c r="L4954" i="1"/>
  <c r="M4954" i="1" s="1" a="1"/>
  <c r="M4954" i="1" s="1"/>
  <c r="L4955" i="1"/>
  <c r="M4955" i="1" s="1" a="1"/>
  <c r="M4955" i="1" s="1"/>
  <c r="L4956" i="1"/>
  <c r="M4956" i="1" s="1" a="1"/>
  <c r="M4956" i="1" s="1"/>
  <c r="L4957" i="1"/>
  <c r="M4957" i="1" s="1" a="1"/>
  <c r="M4957" i="1" s="1"/>
  <c r="L4958" i="1"/>
  <c r="M4958" i="1" s="1" a="1"/>
  <c r="M4958" i="1" s="1"/>
  <c r="L4959" i="1"/>
  <c r="M4959" i="1" s="1" a="1"/>
  <c r="M4959" i="1" s="1"/>
  <c r="L4960" i="1"/>
  <c r="M4960" i="1" s="1" a="1"/>
  <c r="M4960" i="1" s="1"/>
  <c r="L4961" i="1"/>
  <c r="M4961" i="1" s="1" a="1"/>
  <c r="M4961" i="1" s="1"/>
  <c r="L4962" i="1"/>
  <c r="M4962" i="1" s="1" a="1"/>
  <c r="M4962" i="1" s="1"/>
  <c r="L4963" i="1"/>
  <c r="M4963" i="1" s="1" a="1"/>
  <c r="M4963" i="1" s="1"/>
  <c r="L4964" i="1"/>
  <c r="M4964" i="1" s="1" a="1"/>
  <c r="M4964" i="1" s="1"/>
  <c r="L4965" i="1"/>
  <c r="M4965" i="1" s="1" a="1"/>
  <c r="M4965" i="1" s="1"/>
  <c r="L4966" i="1"/>
  <c r="M4966" i="1" s="1" a="1"/>
  <c r="M4966" i="1" s="1"/>
  <c r="L4967" i="1"/>
  <c r="M4967" i="1" s="1" a="1"/>
  <c r="M4967" i="1" s="1"/>
  <c r="L4968" i="1"/>
  <c r="M4968" i="1" s="1" a="1"/>
  <c r="M4968" i="1" s="1"/>
  <c r="L4969" i="1"/>
  <c r="M4969" i="1" s="1" a="1"/>
  <c r="M4969" i="1" s="1"/>
  <c r="L4970" i="1"/>
  <c r="M4970" i="1" s="1" a="1"/>
  <c r="M4970" i="1" s="1"/>
  <c r="L4971" i="1"/>
  <c r="M4971" i="1" s="1" a="1"/>
  <c r="M4971" i="1" s="1"/>
  <c r="L4972" i="1"/>
  <c r="M4972" i="1" s="1" a="1"/>
  <c r="M4972" i="1" s="1"/>
  <c r="L4973" i="1"/>
  <c r="M4973" i="1" s="1" a="1"/>
  <c r="M4973" i="1" s="1"/>
  <c r="L4974" i="1"/>
  <c r="M4974" i="1" s="1" a="1"/>
  <c r="M4974" i="1" s="1"/>
  <c r="L4975" i="1"/>
  <c r="M4975" i="1" s="1" a="1"/>
  <c r="M4975" i="1" s="1"/>
  <c r="L4976" i="1"/>
  <c r="M4976" i="1" s="1" a="1"/>
  <c r="M4976" i="1" s="1"/>
  <c r="L4977" i="1"/>
  <c r="M4977" i="1" s="1" a="1"/>
  <c r="M4977" i="1" s="1"/>
  <c r="L4978" i="1"/>
  <c r="M4978" i="1" s="1" a="1"/>
  <c r="M4978" i="1" s="1"/>
  <c r="L4979" i="1"/>
  <c r="M4979" i="1" s="1" a="1"/>
  <c r="M4979" i="1" s="1"/>
  <c r="L4980" i="1"/>
  <c r="M4980" i="1" s="1" a="1"/>
  <c r="M4980" i="1" s="1"/>
  <c r="L4981" i="1"/>
  <c r="M4981" i="1" s="1" a="1"/>
  <c r="M4981" i="1" s="1"/>
  <c r="L4982" i="1"/>
  <c r="M4982" i="1" s="1" a="1"/>
  <c r="M4982" i="1" s="1"/>
  <c r="L4983" i="1"/>
  <c r="M4983" i="1" s="1" a="1"/>
  <c r="M4983" i="1" s="1"/>
  <c r="L4984" i="1"/>
  <c r="M4984" i="1" s="1" a="1"/>
  <c r="M4984" i="1" s="1"/>
  <c r="L4985" i="1"/>
  <c r="M4985" i="1" s="1" a="1"/>
  <c r="M4985" i="1" s="1"/>
  <c r="L4986" i="1"/>
  <c r="M4986" i="1" s="1" a="1"/>
  <c r="M4986" i="1" s="1"/>
  <c r="L4987" i="1"/>
  <c r="M4987" i="1" s="1" a="1"/>
  <c r="M4987" i="1" s="1"/>
  <c r="L4988" i="1"/>
  <c r="M4988" i="1" s="1" a="1"/>
  <c r="M4988" i="1" s="1"/>
  <c r="L4989" i="1"/>
  <c r="M4989" i="1" s="1" a="1"/>
  <c r="M4989" i="1" s="1"/>
  <c r="L4990" i="1"/>
  <c r="M4990" i="1" s="1" a="1"/>
  <c r="M4990" i="1" s="1"/>
  <c r="L4991" i="1"/>
  <c r="M4991" i="1" s="1" a="1"/>
  <c r="M4991" i="1" s="1"/>
  <c r="L4992" i="1"/>
  <c r="M4992" i="1" s="1" a="1"/>
  <c r="M4992" i="1" s="1"/>
  <c r="L4993" i="1"/>
  <c r="M4993" i="1" s="1" a="1"/>
  <c r="M4993" i="1" s="1"/>
  <c r="L4994" i="1"/>
  <c r="M4994" i="1" s="1" a="1"/>
  <c r="M4994" i="1" s="1"/>
  <c r="L4995" i="1"/>
  <c r="M4995" i="1" s="1" a="1"/>
  <c r="M4995" i="1" s="1"/>
  <c r="L4996" i="1"/>
  <c r="M4996" i="1" s="1" a="1"/>
  <c r="M4996" i="1" s="1"/>
  <c r="L4997" i="1"/>
  <c r="M4997" i="1" s="1" a="1"/>
  <c r="M4997" i="1" s="1"/>
  <c r="L4998" i="1"/>
  <c r="M4998" i="1" s="1" a="1"/>
  <c r="M4998" i="1" s="1"/>
  <c r="L4999" i="1"/>
  <c r="M4999" i="1" s="1" a="1"/>
  <c r="M4999" i="1" s="1"/>
  <c r="L5000" i="1"/>
  <c r="M5000" i="1" s="1" a="1"/>
  <c r="M5000" i="1" s="1"/>
  <c r="L5001" i="1"/>
  <c r="M5001" i="1" s="1" a="1"/>
  <c r="M5001" i="1" s="1"/>
  <c r="L5002" i="1"/>
  <c r="M5002" i="1" s="1" a="1"/>
  <c r="M5002" i="1" s="1"/>
  <c r="Q7" i="1" a="1"/>
  <c r="Q7" i="1" s="1"/>
  <c r="L2" i="1"/>
  <c r="M2" i="1" s="1" a="1"/>
  <c r="M2" i="1" s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2" i="1"/>
  <c r="E4" i="2" l="1"/>
  <c r="E12" i="2"/>
  <c r="E20" i="2"/>
  <c r="E28" i="2"/>
  <c r="E8" i="2"/>
  <c r="E17" i="2"/>
  <c r="E18" i="2"/>
  <c r="E19" i="2"/>
  <c r="E13" i="2"/>
  <c r="E21" i="2"/>
  <c r="E29" i="2"/>
  <c r="E16" i="2"/>
  <c r="E10" i="2"/>
  <c r="E27" i="2"/>
  <c r="E6" i="2"/>
  <c r="E14" i="2"/>
  <c r="E22" i="2"/>
  <c r="E30" i="2"/>
  <c r="E3" i="2"/>
  <c r="E26" i="2"/>
  <c r="E7" i="2"/>
  <c r="E15" i="2"/>
  <c r="E23" i="2"/>
  <c r="E31" i="2"/>
  <c r="E24" i="2"/>
  <c r="E25" i="2"/>
  <c r="E11" i="2"/>
  <c r="E9" i="2"/>
  <c r="C3" i="2"/>
  <c r="M6" i="1" a="1"/>
  <c r="M6" i="1" s="1"/>
  <c r="M9" i="1" a="1"/>
  <c r="M9" i="1" s="1"/>
  <c r="M8" i="1" a="1"/>
  <c r="M8" i="1" s="1"/>
  <c r="M4" i="1" a="1"/>
  <c r="M4" i="1" s="1"/>
  <c r="D32" i="2"/>
  <c r="M2" i="3" s="1"/>
  <c r="M27" i="3"/>
  <c r="H4" i="2" l="1" a="1"/>
  <c r="H4" i="2" s="1"/>
  <c r="AO2" i="2" a="1"/>
  <c r="AO2" i="2" s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2" i="1"/>
  <c r="B25" i="3"/>
  <c r="C61" i="2" l="1" a="1"/>
  <c r="C61" i="2" s="1"/>
  <c r="I1" i="2" s="1"/>
  <c r="R77" i="2" l="1"/>
  <c r="Q77" i="2"/>
  <c r="S77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2" i="1"/>
  <c r="J3" i="1"/>
  <c r="J4" i="1"/>
  <c r="J5" i="1"/>
  <c r="H2" i="2" l="1"/>
  <c r="K3" i="3" s="1"/>
  <c r="C40" i="2" a="1"/>
  <c r="C40" i="2" s="1"/>
  <c r="C50" i="2" a="1"/>
  <c r="C50" i="2" s="1"/>
  <c r="K87" i="2" a="1"/>
  <c r="K87" i="2" s="1"/>
  <c r="R91" i="2" s="1"/>
  <c r="T91" i="2" s="1"/>
  <c r="E87" i="2" a="1"/>
  <c r="E87" i="2" s="1"/>
  <c r="R95" i="2" s="1"/>
  <c r="T95" i="2" s="1"/>
  <c r="R37" i="2"/>
  <c r="R38" i="2"/>
  <c r="Q38" i="2"/>
  <c r="Q37" i="2"/>
  <c r="R14" i="2"/>
  <c r="Q14" i="2"/>
  <c r="L87" i="2" a="1"/>
  <c r="L87" i="2" s="1"/>
  <c r="R89" i="2" s="1"/>
  <c r="T89" i="2" s="1"/>
  <c r="D87" i="2" a="1"/>
  <c r="D87" i="2" s="1"/>
  <c r="R96" i="2" s="1"/>
  <c r="T96" i="2" s="1"/>
  <c r="H87" i="2" a="1"/>
  <c r="H87" i="2" s="1"/>
  <c r="R93" i="2" s="1"/>
  <c r="T93" i="2" s="1"/>
  <c r="M87" i="2" a="1"/>
  <c r="M87" i="2" s="1"/>
  <c r="R87" i="2" s="1"/>
  <c r="T87" i="2" s="1"/>
  <c r="N87" i="2" a="1"/>
  <c r="N87" i="2" s="1"/>
  <c r="G87" i="2" a="1"/>
  <c r="G87" i="2" s="1"/>
  <c r="R88" i="2" s="1"/>
  <c r="T88" i="2" s="1"/>
  <c r="I87" i="2" a="1"/>
  <c r="I87" i="2" s="1"/>
  <c r="R90" i="2" s="1"/>
  <c r="T90" i="2" s="1"/>
  <c r="F87" i="2" a="1"/>
  <c r="F87" i="2" s="1"/>
  <c r="R94" i="2" s="1"/>
  <c r="T94" i="2" s="1"/>
  <c r="J87" i="2" a="1"/>
  <c r="J87" i="2" s="1"/>
  <c r="R92" i="2" s="1"/>
  <c r="T92" i="2" s="1"/>
  <c r="M31" i="3" l="1"/>
  <c r="U94" i="2" a="1"/>
  <c r="U94" i="2" s="1"/>
  <c r="U95" i="2" a="1"/>
  <c r="U95" i="2" s="1"/>
  <c r="U88" i="2" a="1"/>
  <c r="U88" i="2" s="1"/>
  <c r="B55" i="3" s="1"/>
  <c r="A55" i="3" s="1"/>
  <c r="U96" i="2" a="1"/>
  <c r="U96" i="2" s="1"/>
  <c r="U89" i="2" a="1"/>
  <c r="U89" i="2" s="1"/>
  <c r="B57" i="3" s="1"/>
  <c r="A57" i="3" s="1"/>
  <c r="U87" i="2" a="1"/>
  <c r="U87" i="2" s="1"/>
  <c r="B53" i="3" s="1"/>
  <c r="A53" i="3" s="1"/>
  <c r="U90" i="2" a="1"/>
  <c r="U90" i="2" s="1"/>
  <c r="B59" i="3" s="1"/>
  <c r="A59" i="3" s="1"/>
  <c r="U91" i="2" a="1"/>
  <c r="U91" i="2" s="1"/>
  <c r="U92" i="2" a="1"/>
  <c r="U92" i="2" s="1"/>
  <c r="U93" i="2" a="1"/>
  <c r="U93" i="2" s="1"/>
  <c r="G46" i="2" l="1"/>
  <c r="E46" i="2"/>
  <c r="F46" i="2"/>
  <c r="E56" i="2"/>
  <c r="H56" i="2"/>
  <c r="F56" i="2" l="1"/>
  <c r="G56" i="2"/>
  <c r="B27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<sst xmlns="http://schemas.openxmlformats.org/spreadsheetml/2006/main" count="747" uniqueCount="234">
  <si>
    <t>violation_timestamp</t>
  </si>
  <si>
    <t>violation_name</t>
  </si>
  <si>
    <t>Location</t>
  </si>
  <si>
    <t>Camera Name</t>
  </si>
  <si>
    <t>Action Status</t>
  </si>
  <si>
    <t>image_url</t>
  </si>
  <si>
    <t>week_num</t>
  </si>
  <si>
    <t>Date</t>
  </si>
  <si>
    <t>Shift</t>
  </si>
  <si>
    <t>Buttons</t>
  </si>
  <si>
    <t>images</t>
  </si>
  <si>
    <t>Violation type</t>
  </si>
  <si>
    <t>Count of violations</t>
  </si>
  <si>
    <t>Top Two</t>
  </si>
  <si>
    <t>Week_num</t>
  </si>
  <si>
    <t>Week</t>
  </si>
  <si>
    <t>Daily Avg</t>
  </si>
  <si>
    <t>No of days</t>
  </si>
  <si>
    <t xml:space="preserve">Morning </t>
  </si>
  <si>
    <t>Evening</t>
  </si>
  <si>
    <t xml:space="preserve">camera_name </t>
  </si>
  <si>
    <t xml:space="preserve">COUNTS </t>
  </si>
  <si>
    <t>Resolved</t>
  </si>
  <si>
    <t>Unresolved</t>
  </si>
  <si>
    <t>Rejected</t>
  </si>
  <si>
    <t xml:space="preserve">locations </t>
  </si>
  <si>
    <t>PPE</t>
  </si>
  <si>
    <t>Phone At Work</t>
  </si>
  <si>
    <t>Welding / Gas cutting</t>
  </si>
  <si>
    <t>Lifting and Hoisting</t>
  </si>
  <si>
    <t>Unconscious/Resting</t>
  </si>
  <si>
    <t>Crowd Gathering</t>
  </si>
  <si>
    <t>Smoking</t>
  </si>
  <si>
    <t>Unauthorized Access</t>
  </si>
  <si>
    <t>Vehicle Reverse Flagman</t>
  </si>
  <si>
    <t>Work At Height</t>
  </si>
  <si>
    <t>Violence</t>
  </si>
  <si>
    <t xml:space="preserve">Top Locations </t>
  </si>
  <si>
    <t>ppe</t>
  </si>
  <si>
    <t>TOTAL</t>
  </si>
  <si>
    <t>Insights on major areas</t>
  </si>
  <si>
    <t>Safety Inspection at a glance</t>
  </si>
  <si>
    <t xml:space="preserve">Unnoticed today, near-miss tomorrow, may lead to incident any day </t>
  </si>
  <si>
    <t>Monthly Captured Violations:</t>
  </si>
  <si>
    <t>FROM</t>
  </si>
  <si>
    <t>Location-wise overview</t>
  </si>
  <si>
    <t>Insights for customized action-plan</t>
  </si>
  <si>
    <t>Total number of cameras</t>
  </si>
  <si>
    <t xml:space="preserve"> </t>
  </si>
  <si>
    <t xml:space="preserve">Morning: </t>
  </si>
  <si>
    <t>8:00 AM – 3:59 PM</t>
  </si>
  <si>
    <t>Evening:</t>
  </si>
  <si>
    <t xml:space="preserve"> 4:00 PM – 11:59 PM</t>
  </si>
  <si>
    <t xml:space="preserve">Night: </t>
  </si>
  <si>
    <t>12:00 AM – 7:59 AM</t>
  </si>
  <si>
    <t xml:space="preserve">     Insights on major areas			</t>
  </si>
  <si>
    <t>Moving towards improvements</t>
  </si>
  <si>
    <t>Corrective actions &amp; closures of unsafe condition</t>
  </si>
  <si>
    <t>Weekly Progress of Shift-Wise</t>
  </si>
  <si>
    <t>Actions taken on the violation</t>
  </si>
  <si>
    <t>Reolved, Unresolved or Rejected</t>
  </si>
  <si>
    <t>image</t>
  </si>
  <si>
    <t>number of cameras</t>
  </si>
  <si>
    <t>Critical violations like Fall Protection &amp; Hit by Object/Vehicle needs training</t>
  </si>
  <si>
    <t>Action Status-1</t>
  </si>
  <si>
    <t>Off</t>
  </si>
  <si>
    <t>Guwahati</t>
  </si>
  <si>
    <t>Ahmedabad</t>
  </si>
  <si>
    <t>Mangalore</t>
  </si>
  <si>
    <t>Jaipur</t>
  </si>
  <si>
    <t>Trivandrum</t>
  </si>
  <si>
    <t>Lucknow</t>
  </si>
  <si>
    <t>Mumbai</t>
  </si>
  <si>
    <t>Mundra</t>
  </si>
  <si>
    <t>Bhabalpur</t>
  </si>
  <si>
    <t>Mild</t>
  </si>
  <si>
    <t>PPE- No Vest</t>
  </si>
  <si>
    <t>PPE- No Helmet</t>
  </si>
  <si>
    <t>Welding / Gas cutting - Leather &amp; Cotton Hand Gloves</t>
  </si>
  <si>
    <t>Severe</t>
  </si>
  <si>
    <t>Welding / Gas cutting - Welding Glasses/Shield</t>
  </si>
  <si>
    <t>Fire  Detections</t>
  </si>
  <si>
    <t>Work At Height - Safety Net</t>
  </si>
  <si>
    <t>Work At Height - Safety Belt</t>
  </si>
  <si>
    <t>Work At Height - Guardrails</t>
  </si>
  <si>
    <t>Unauthorized Access - Work at Height Barricading</t>
  </si>
  <si>
    <t>Unauthorized Access - HMV Barricading</t>
  </si>
  <si>
    <t>Unauthorized Access - Pit Barricading</t>
  </si>
  <si>
    <t>night</t>
  </si>
  <si>
    <t>Time</t>
  </si>
  <si>
    <t>Critical</t>
  </si>
  <si>
    <t xml:space="preserve">Severity </t>
  </si>
  <si>
    <t>Vizag</t>
  </si>
  <si>
    <t>0</t>
  </si>
  <si>
    <t>Navimumbai</t>
  </si>
  <si>
    <t>22-May-2025 09:16:13</t>
  </si>
  <si>
    <t>International</t>
  </si>
  <si>
    <t>https://smile-ai-test.s3.ap-south-1.amazonaws.com/content/violation/wah/frame/74857_20250522T034612_wah_p.jpg</t>
  </si>
  <si>
    <t>22-May-2025 09:16:30</t>
  </si>
  <si>
    <t>https://smile-ai-test.s3.ap-south-1.amazonaws.com/content/violation/wah/frame/39277_20250522T034629_wah_p.jpg</t>
  </si>
  <si>
    <t>22-May-2025 09:19:23</t>
  </si>
  <si>
    <t>City Side Overbridge 1</t>
  </si>
  <si>
    <t>https://smile-ai-test.s3.ap-south-1.amazonaws.com/content/violation/ppe/frame/66843_20250522T034921_ppe_p.jpg</t>
  </si>
  <si>
    <t>22-May-2025 09:20:54</t>
  </si>
  <si>
    <t>Front Office</t>
  </si>
  <si>
    <t>https://smile-ai-test.s3.ap-south-1.amazonaws.com/content/violation/ppe/frame/65601_20250522T035050_ppe_p.jpg</t>
  </si>
  <si>
    <t>22-May-2025 09:30:59</t>
  </si>
  <si>
    <t>https://smile-ai-test.s3.ap-south-1.amazonaws.com/content/violation/ppe/frame/87181_20250522T040056_ppe_p.jpg</t>
  </si>
  <si>
    <t>22-May-2025 09:40:11</t>
  </si>
  <si>
    <t>https://smile-ai-test.s3.ap-south-1.amazonaws.com/content/violation/ppe/frame/28508_20250522T041009_ppe_p.jpg</t>
  </si>
  <si>
    <t>22-May-2025 09:41:05</t>
  </si>
  <si>
    <t>https://smile-ai-test.s3.ap-south-1.amazonaws.com/content/violation/ppe/frame/66132_20250522T041102_ppe_p.jpg</t>
  </si>
  <si>
    <t>22-May-2025 09:56:33</t>
  </si>
  <si>
    <t>AirSide</t>
  </si>
  <si>
    <t>https://smile-ai-test.s3.ap-south-1.amazonaws.com/content/violation/ppe/frame/90296_20250522T042630_ppe_p.jpg</t>
  </si>
  <si>
    <t>22-May-2025 10:13:02</t>
  </si>
  <si>
    <t>https://smile-ai-test.s3.ap-south-1.amazonaws.com/content/violation/fire/frame/88693_20250522T044300_fire_p.jpg</t>
  </si>
  <si>
    <t>22-May-2025 10:20:56</t>
  </si>
  <si>
    <t>https://smile-ai-test.s3.ap-south-1.amazonaws.com/content/violation/ppe/frame/12955_20250522T045053_ppe_p.jpg</t>
  </si>
  <si>
    <t>22-May-2025 10:21:09</t>
  </si>
  <si>
    <t>https://smile-ai-test.s3.ap-south-1.amazonaws.com/content/violation/ppe/frame/41480_20250522T045106_ppe_p.jpg</t>
  </si>
  <si>
    <t>22-May-2025 12:40:51</t>
  </si>
  <si>
    <t>Departure, Zone 5</t>
  </si>
  <si>
    <t>https://smile-ai-test.s3.ap-south-1.amazonaws.com/content/violation/flagman/frame/63722_20250522T071048_flagman_p.jpg</t>
  </si>
  <si>
    <t>22-May-2025 12:46:25</t>
  </si>
  <si>
    <t>City Side Overbridge 2</t>
  </si>
  <si>
    <t>https://smile-ai-test.s3.ap-south-1.amazonaws.com/content/violation/ppe/frame/18843_20250522T071622_ppe_p.jpg</t>
  </si>
  <si>
    <t>22-May-2025 13:59:12</t>
  </si>
  <si>
    <t>https://smile-ai-test.s3.ap-south-1.amazonaws.com/content/violation/fall/frame/34440_20250522T082910_fall_p.jpg</t>
  </si>
  <si>
    <t>22-May-2025 14:07:22</t>
  </si>
  <si>
    <t>https://smile-ai-test.s3.ap-south-1.amazonaws.com/content/violation/flagman/frame/23444_20250522T083719_flagman_p.jpg</t>
  </si>
  <si>
    <t>22-May-2025 14:08:02</t>
  </si>
  <si>
    <t>https://smile-ai-test.s3.ap-south-1.amazonaws.com/content/violation/ppe/frame/36242_20250522T083800_ppe_p.jpg</t>
  </si>
  <si>
    <t>22-May-2025 14:08:19</t>
  </si>
  <si>
    <t>https://smile-ai-test.s3.ap-south-1.amazonaws.com/content/violation/ppe/frame/42401_20250522T083817_ppe_p.jpg</t>
  </si>
  <si>
    <t>22-May-2025 14:09:08</t>
  </si>
  <si>
    <t>https://smile-ai-test.s3.ap-south-1.amazonaws.com/content/violation/fall/frame/97580_20250522T083905_fall_p.jpg</t>
  </si>
  <si>
    <t>22-May-2025 14:21:05</t>
  </si>
  <si>
    <t>https://smile-ai-test.s3.ap-south-1.amazonaws.com/content/violation/ppe/frame/64945_20250522T085103_ppe_p.jpg</t>
  </si>
  <si>
    <t>22-May-2025 14:41:49</t>
  </si>
  <si>
    <t>https://smile-ai-test.s3.ap-south-1.amazonaws.com/content/violation/flagman/frame/57320_20250522T091146_flagman_p.jpg</t>
  </si>
  <si>
    <t>22-May-2025 14:48:48</t>
  </si>
  <si>
    <t>https://smile-ai-test.s3.ap-south-1.amazonaws.com/content/violation/fire/frame/92930_20250522T091847_fire_p.jpg</t>
  </si>
  <si>
    <t>22-May-2025 15:19:01</t>
  </si>
  <si>
    <t>City Side HM</t>
  </si>
  <si>
    <t>https://smile-ai-test.s3.ap-south-1.amazonaws.com/content/violation/ppe/frame/59574_20250522T094859_ppe_p.jpg</t>
  </si>
  <si>
    <t>22-May-2025 15:19:18</t>
  </si>
  <si>
    <t>https://smile-ai-test.s3.ap-south-1.amazonaws.com/content/violation/ppe/frame/88871_20250522T094917_ppe_p.jpg</t>
  </si>
  <si>
    <t>22-May-2025 15:22:23</t>
  </si>
  <si>
    <t>https://smile-ai-test.s3.ap-south-1.amazonaws.com/content/violation/flagman/frame/13244_20250522T095221_flagman_p.jpg</t>
  </si>
  <si>
    <t>22-May-2025 15:56:17</t>
  </si>
  <si>
    <t>https://smile-ai-test.s3.ap-south-1.amazonaws.com/content/violation/unsafe/frame/59390_20250522T102614_unsafe_p.jpg</t>
  </si>
  <si>
    <t>22-May-2025 16:20:02</t>
  </si>
  <si>
    <t>https://smile-ai-test.s3.ap-south-1.amazonaws.com/content/violation/fire/frame/59776_20250522T105000_fire_p.jpg</t>
  </si>
  <si>
    <t>22-May-2025 20:51:01</t>
  </si>
  <si>
    <t>https://smile-ai-test.s3.ap-south-1.amazonaws.com/content/violation/ppe/frame/76805_20250522T152100_ppe_p.jpg</t>
  </si>
  <si>
    <t>22-May-2025 20:51:22</t>
  </si>
  <si>
    <t>https://smile-ai-test.s3.ap-south-1.amazonaws.com/content/violation/ppe/frame/99642_20250522T152121_ppe_p.jpg</t>
  </si>
  <si>
    <t>22-May-2025 23:12:06</t>
  </si>
  <si>
    <t>https://smile-ai-test.s3.ap-south-1.amazonaws.com/content/violation/ppe/frame/92982_20250522T174205_ppe_p.jpg</t>
  </si>
  <si>
    <t>23-May-2025 09:19:09</t>
  </si>
  <si>
    <t>https://smile-ai-test.s3.ap-south-1.amazonaws.com/content/violation/ppe/frame/58782_20250523T034906_ppe_p.jpg</t>
  </si>
  <si>
    <t>23-May-2025 09:29:03</t>
  </si>
  <si>
    <t>https://smile-ai-test.s3.ap-south-1.amazonaws.com/content/violation/wah/frame/48850_20250523T035902_wah_p.jpg</t>
  </si>
  <si>
    <t>23-May-2025 09:55:04</t>
  </si>
  <si>
    <t>https://smile-ai-test.s3.ap-south-1.amazonaws.com/content/violation/unsafe/frame/13879_20250523T042502_unsafe_p.jpg</t>
  </si>
  <si>
    <t>23-May-2025 10:00:33</t>
  </si>
  <si>
    <t>https://smile-ai-test.s3.ap-south-1.amazonaws.com/content/violation/ppe/frame/65056_20250523T043032_ppe_p.jpg</t>
  </si>
  <si>
    <t>23-May-2025 10:08:47</t>
  </si>
  <si>
    <t>https://smile-ai-test.s3.ap-south-1.amazonaws.com/content/violation/ppe/frame/34817_20250523T043844_ppe_p.jpg</t>
  </si>
  <si>
    <t>23-May-2025 10:34:32</t>
  </si>
  <si>
    <t>https://smile-ai-test.s3.ap-south-1.amazonaws.com/content/violation/flagman/frame/30667_20250523T050430_flagman_p.jpg</t>
  </si>
  <si>
    <t>23-May-2025 10:56:38</t>
  </si>
  <si>
    <t>https://smile-ai-test.s3.ap-south-1.amazonaws.com/content/violation/wah/frame/65573_20250523T052636_wah_p.jpg</t>
  </si>
  <si>
    <t>23-May-2025 10:57:20</t>
  </si>
  <si>
    <t>https://smile-ai-test.s3.ap-south-1.amazonaws.com/content/violation/wah/frame/39086_20250523T052718_wah_p.jpg</t>
  </si>
  <si>
    <t>23-May-2025 11:08:36</t>
  </si>
  <si>
    <t>https://smile-ai-test.s3.ap-south-1.amazonaws.com/content/violation/ppe/frame/24491_20250523T053833_ppe_p.jpg</t>
  </si>
  <si>
    <t>23-May-2025 11:09:27</t>
  </si>
  <si>
    <t>https://smile-ai-test.s3.ap-south-1.amazonaws.com/content/violation/fire/frame/16910_20250523T053926_fire_p.jpg</t>
  </si>
  <si>
    <t>23-May-2025 11:13:31</t>
  </si>
  <si>
    <t>https://smile-ai-test.s3.ap-south-1.amazonaws.com/content/violation/ppe/frame/77304_20250523T054328_ppe_p.jpg</t>
  </si>
  <si>
    <t>23-May-2025 11:33:24</t>
  </si>
  <si>
    <t>Sky forest</t>
  </si>
  <si>
    <t>https://smile-ai-test.s3.ap-south-1.amazonaws.com/content/violation/flagman/frame/87738_20250523T060323_flagman_p.jpg</t>
  </si>
  <si>
    <t>23-May-2025 12:59:31</t>
  </si>
  <si>
    <t>https://smile-ai-test.s3.ap-south-1.amazonaws.com/content/violation/ppe/frame/98041_20250523T072929_ppe_p.jpg</t>
  </si>
  <si>
    <t>23-May-2025 14:14:30</t>
  </si>
  <si>
    <t>https://smile-ai-test.s3.ap-south-1.amazonaws.com/content/violation/ppe/frame/50154_20250523T084428_ppe_p.jpg</t>
  </si>
  <si>
    <t>23-May-2025 14:24:04</t>
  </si>
  <si>
    <t>https://smile-ai-test.s3.ap-south-1.amazonaws.com/content/violation/fire/frame/68233_20250523T085402_fire_p.jpg</t>
  </si>
  <si>
    <t>23-May-2025 14:24:34</t>
  </si>
  <si>
    <t>https://smile-ai-test.s3.ap-south-1.amazonaws.com/content/violation/ppe/frame/82360_20250523T085430_ppe_p.jpg</t>
  </si>
  <si>
    <t>23-May-2025 14:39:01</t>
  </si>
  <si>
    <t>https://smile-ai-test.s3.ap-south-1.amazonaws.com/content/violation/fire/frame/46571_20250523T090859_fire_p.jpg</t>
  </si>
  <si>
    <t>23-May-2025 15:10:46</t>
  </si>
  <si>
    <t>https://smile-ai-test.s3.ap-south-1.amazonaws.com/content/violation/wah/frame/81385_20250523T094045_wah_p.jpg</t>
  </si>
  <si>
    <t>23-May-2025 15:13:47</t>
  </si>
  <si>
    <t>https://smile-ai-test.s3.ap-south-1.amazonaws.com/content/violation/fire/frame/43092_20250523T094346_fire_p.jpg</t>
  </si>
  <si>
    <t>23-May-2025 15:30:31</t>
  </si>
  <si>
    <t>https://smile-ai-test.s3.ap-south-1.amazonaws.com/content/violation/ppe/frame/63798_20250523T100029_ppe_p.jpg</t>
  </si>
  <si>
    <t>23-May-2025 15:30:46</t>
  </si>
  <si>
    <t>https://smile-ai-test.s3.ap-south-1.amazonaws.com/content/violation/ppe/frame/30131_20250523T100044_ppe_p.jpg</t>
  </si>
  <si>
    <t>23-May-2025 15:59:19</t>
  </si>
  <si>
    <t>https://smile-ai-test.s3.ap-south-1.amazonaws.com/content/violation/fire/frame/80595_20250523T102917_fire_p.jpg</t>
  </si>
  <si>
    <t>23-May-2025 16:03:00</t>
  </si>
  <si>
    <t>https://smile-ai-test.s3.ap-south-1.amazonaws.com/content/violation/ppe/frame/11914_20250523T103257_ppe_p.jpg</t>
  </si>
  <si>
    <t>23-May-2025 16:04:21</t>
  </si>
  <si>
    <t>Arrival Zone 4</t>
  </si>
  <si>
    <t>https://smile-ai-test.s3.ap-south-1.amazonaws.com/content/violation/fire/frame/50855_20250523T103420_fire_p.jpg</t>
  </si>
  <si>
    <t>23-May-2025 16:06:15</t>
  </si>
  <si>
    <t>https://smile-ai-test.s3.ap-south-1.amazonaws.com/content/violation/ppe/frame/66115_20250523T103612_ppe_p.jpg</t>
  </si>
  <si>
    <t>23-May-2025 16:14:36</t>
  </si>
  <si>
    <t>https://smile-ai-test.s3.ap-south-1.amazonaws.com/content/violation/ppe/frame/80555_20250523T104434_ppe_p.jpg</t>
  </si>
  <si>
    <t>23-May-2025 16:20:41</t>
  </si>
  <si>
    <t>https://smile-ai-test.s3.ap-south-1.amazonaws.com/content/violation/ppe/frame/88904_20250523T105039_ppe_p.jpg</t>
  </si>
  <si>
    <t>23-May-2025 16:23:32</t>
  </si>
  <si>
    <t>https://smile-ai-test.s3.ap-south-1.amazonaws.com/content/violation/fire/frame/38892_20250523T105330_fire_p.jpg</t>
  </si>
  <si>
    <t>23-May-2025 16:29:59</t>
  </si>
  <si>
    <t>https://smile-ai-test.s3.ap-south-1.amazonaws.com/content/violation/wah/frame/42846_20250523T105958_wah_p.jpg</t>
  </si>
  <si>
    <t>23-May-2025 18:41:08</t>
  </si>
  <si>
    <t>https://smile-ai-test.s3.ap-south-1.amazonaws.com/content/violation/fire/frame/81868_20250523T131107_fire_p.jpg</t>
  </si>
  <si>
    <t>23-May-2025 18:47:20</t>
  </si>
  <si>
    <t>https://smile-ai-test.s3.ap-south-1.amazonaws.com/content/violation/fire/frame/10405_20250523T131719_fire_p.jpg</t>
  </si>
  <si>
    <t>23-May-2025 18:57:36</t>
  </si>
  <si>
    <t>https://smile-ai-test.s3.ap-south-1.amazonaws.com/content/violation/fire/frame/71800_20250523T132735_fire_p.jpg</t>
  </si>
  <si>
    <t>23-May-2025 19:56:20</t>
  </si>
  <si>
    <t>https://smile-ai-test.s3.ap-south-1.amazonaws.com/content/violation/ppe/frame/86907_20250523T142619_ppe_p.jpg</t>
  </si>
  <si>
    <t>23-May-2025 20:02:53</t>
  </si>
  <si>
    <t>https://smile-ai-test.s3.ap-south-1.amazonaws.com/content/violation/wah/frame/69299_20250523T143253_wah_p.jpg</t>
  </si>
  <si>
    <t>23-May-2025 20:04:00</t>
  </si>
  <si>
    <t>https://smile-ai-test.s3.ap-south-1.amazonaws.com/content/violation/wah/frame/19435_20250523T143359_wah_p.jpg</t>
  </si>
  <si>
    <t>24-May-2025 09:21:14</t>
  </si>
  <si>
    <t>https://smile-ai-test.s3.ap-south-1.amazonaws.com/content/violation/ppe/frame/33761_20250524T035112_ppe_p.jpg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</si>
</sst>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h:mm;@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Aptos Narrow"/>
      <family val="2"/>
    </font>
    <font>
      <sz val="12"/>
      <color theme="0"/>
      <name val="Aptos"/>
      <family val="2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4E9A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44D6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2" fillId="0" borderId="1" xfId="0" applyFont="1" applyBorder="1"/>
    <xf numFmtId="0" fontId="0" fillId="5" borderId="0" xfId="0" applyFill="1"/>
    <xf numFmtId="0" fontId="0" fillId="6" borderId="0" xfId="0" applyFill="1"/>
    <xf numFmtId="0" fontId="0" fillId="3" borderId="0" xfId="0" applyFill="1"/>
    <xf numFmtId="0" fontId="3" fillId="5" borderId="0" xfId="0" applyFont="1" applyFill="1"/>
    <xf numFmtId="0" fontId="4" fillId="5" borderId="0" xfId="0" applyFont="1" applyFill="1"/>
    <xf numFmtId="0" fontId="5" fillId="5" borderId="0" xfId="0" applyFont="1" applyFill="1"/>
    <xf numFmtId="0" fontId="1" fillId="5" borderId="0" xfId="0" applyFont="1" applyFill="1"/>
    <xf numFmtId="0" fontId="2" fillId="0" borderId="0" xfId="0" applyFont="1"/>
    <xf numFmtId="0" fontId="3" fillId="5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2" fillId="3" borderId="0" xfId="0" applyFont="1" applyFill="1"/>
    <xf numFmtId="0" fontId="6" fillId="5" borderId="0" xfId="0" applyFont="1" applyFill="1"/>
    <xf numFmtId="0" fontId="8" fillId="3" borderId="1" xfId="0" applyFont="1" applyFill="1" applyBorder="1" applyAlignment="1">
      <alignment horizontal="center"/>
    </xf>
    <xf numFmtId="0" fontId="9" fillId="3" borderId="0" xfId="0" applyFont="1" applyFill="1" applyAlignment="1">
      <alignment horizontal="right"/>
    </xf>
    <xf numFmtId="0" fontId="9" fillId="3" borderId="0" xfId="0" applyFont="1" applyFill="1"/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6" fillId="5" borderId="0" xfId="0" applyFont="1" applyFill="1" applyAlignment="1">
      <alignment horizontal="left" vertical="top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/>
    <xf numFmtId="0" fontId="0" fillId="3" borderId="0" xfId="0" applyFill="1" applyAlignment="1">
      <alignment horizontal="right"/>
    </xf>
    <xf numFmtId="14" fontId="0" fillId="0" borderId="0" xfId="0" applyNumberFormat="1"/>
    <xf numFmtId="0" fontId="2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/>
    <xf numFmtId="0" fontId="1" fillId="5" borderId="0" xfId="0" applyFont="1" applyFill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11" fillId="0" borderId="1" xfId="0" applyFont="1" applyBorder="1" applyAlignment="1">
      <alignment vertical="center"/>
    </xf>
    <xf numFmtId="0" fontId="10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0" fillId="0" borderId="0" xfId="0" applyNumberFormat="1"/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2" fontId="0" fillId="0" borderId="0" xfId="0" applyNumberFormat="1"/>
    <xf numFmtId="49" fontId="0" fillId="0" borderId="0" xfId="0" applyNumberFormat="1"/>
    <xf numFmtId="0" fontId="2" fillId="3" borderId="1" xfId="0" applyFont="1" applyFill="1" applyBorder="1" applyAlignment="1">
      <alignment horizontal="center" vertical="top"/>
    </xf>
    <xf numFmtId="0" fontId="7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0A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74006634587344"/>
          <c:y val="3.6666666666666667E-2"/>
          <c:w val="0.80145302475211433"/>
          <c:h val="0.74605564304461947"/>
        </c:manualLayout>
      </c:layout>
      <c:barChart>
        <c:barDir val="col"/>
        <c:grouping val="clustered"/>
        <c:varyColors val="0"/>
        <c:ser>
          <c:idx val="0"/>
          <c:order val="0"/>
          <c:tx>
            <c:v>cameras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[0]!cameras</c:f>
              <c:strCache>
                <c:ptCount val="9"/>
                <c:pt idx="0">
                  <c:v>AirSide</c:v>
                </c:pt>
                <c:pt idx="1">
                  <c:v>Arrival Zone 4</c:v>
                </c:pt>
                <c:pt idx="2">
                  <c:v>City Side HM</c:v>
                </c:pt>
                <c:pt idx="3">
                  <c:v>City Side Overbridge 1</c:v>
                </c:pt>
                <c:pt idx="4">
                  <c:v>City Side Overbridge 2</c:v>
                </c:pt>
                <c:pt idx="5">
                  <c:v>Departure, Zone 5</c:v>
                </c:pt>
                <c:pt idx="6">
                  <c:v>Front Office</c:v>
                </c:pt>
                <c:pt idx="7">
                  <c:v>International</c:v>
                </c:pt>
                <c:pt idx="8">
                  <c:v>Sky forest</c:v>
                </c:pt>
              </c:strCache>
            </c:strRef>
          </c:cat>
          <c:val>
            <c:numRef>
              <c:f>[0]!cameras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A-47D7-AFFE-F758325E8F54}"/>
            </c:ext>
          </c:extLst>
        </c:ser>
        <c:ser>
          <c:idx val="1"/>
          <c:order val="1"/>
          <c:tx>
            <c:v>resolve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[0]!cameras</c:f>
              <c:strCache>
                <c:ptCount val="9"/>
                <c:pt idx="0">
                  <c:v>AirSide</c:v>
                </c:pt>
                <c:pt idx="1">
                  <c:v>Arrival Zone 4</c:v>
                </c:pt>
                <c:pt idx="2">
                  <c:v>City Side HM</c:v>
                </c:pt>
                <c:pt idx="3">
                  <c:v>City Side Overbridge 1</c:v>
                </c:pt>
                <c:pt idx="4">
                  <c:v>City Side Overbridge 2</c:v>
                </c:pt>
                <c:pt idx="5">
                  <c:v>Departure, Zone 5</c:v>
                </c:pt>
                <c:pt idx="6">
                  <c:v>Front Office</c:v>
                </c:pt>
                <c:pt idx="7">
                  <c:v>International</c:v>
                </c:pt>
                <c:pt idx="8">
                  <c:v>Sky forest</c:v>
                </c:pt>
              </c:strCache>
            </c:strRef>
          </c:cat>
          <c:val>
            <c:numRef>
              <c:f>[0]!Resolved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7A-47D7-AFFE-F758325E8F54}"/>
            </c:ext>
          </c:extLst>
        </c:ser>
        <c:ser>
          <c:idx val="2"/>
          <c:order val="2"/>
          <c:tx>
            <c:v>unresolve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[0]!cameras</c:f>
              <c:strCache>
                <c:ptCount val="9"/>
                <c:pt idx="0">
                  <c:v>AirSide</c:v>
                </c:pt>
                <c:pt idx="1">
                  <c:v>Arrival Zone 4</c:v>
                </c:pt>
                <c:pt idx="2">
                  <c:v>City Side HM</c:v>
                </c:pt>
                <c:pt idx="3">
                  <c:v>City Side Overbridge 1</c:v>
                </c:pt>
                <c:pt idx="4">
                  <c:v>City Side Overbridge 2</c:v>
                </c:pt>
                <c:pt idx="5">
                  <c:v>Departure, Zone 5</c:v>
                </c:pt>
                <c:pt idx="6">
                  <c:v>Front Office</c:v>
                </c:pt>
                <c:pt idx="7">
                  <c:v>International</c:v>
                </c:pt>
                <c:pt idx="8">
                  <c:v>Sky forest</c:v>
                </c:pt>
              </c:strCache>
            </c:strRef>
          </c:cat>
          <c:val>
            <c:numRef>
              <c:f>[0]!Unresolved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19</c:v>
                </c:pt>
                <c:pt idx="4">
                  <c:v>6</c:v>
                </c:pt>
                <c:pt idx="5">
                  <c:v>3</c:v>
                </c:pt>
                <c:pt idx="6">
                  <c:v>14</c:v>
                </c:pt>
                <c:pt idx="7">
                  <c:v>6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7A-47D7-AFFE-F758325E8F54}"/>
            </c:ext>
          </c:extLst>
        </c:ser>
        <c:ser>
          <c:idx val="3"/>
          <c:order val="3"/>
          <c:tx>
            <c:v>reject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[0]!cameras</c:f>
              <c:strCache>
                <c:ptCount val="9"/>
                <c:pt idx="0">
                  <c:v>AirSide</c:v>
                </c:pt>
                <c:pt idx="1">
                  <c:v>Arrival Zone 4</c:v>
                </c:pt>
                <c:pt idx="2">
                  <c:v>City Side HM</c:v>
                </c:pt>
                <c:pt idx="3">
                  <c:v>City Side Overbridge 1</c:v>
                </c:pt>
                <c:pt idx="4">
                  <c:v>City Side Overbridge 2</c:v>
                </c:pt>
                <c:pt idx="5">
                  <c:v>Departure, Zone 5</c:v>
                </c:pt>
                <c:pt idx="6">
                  <c:v>Front Office</c:v>
                </c:pt>
                <c:pt idx="7">
                  <c:v>International</c:v>
                </c:pt>
                <c:pt idx="8">
                  <c:v>Sky forest</c:v>
                </c:pt>
              </c:strCache>
            </c:strRef>
          </c:cat>
          <c:val>
            <c:numRef>
              <c:f>[0]!Rejected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7A-47D7-AFFE-F758325E8F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4215455"/>
        <c:axId val="1924199135"/>
      </c:barChart>
      <c:catAx>
        <c:axId val="192421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99135"/>
        <c:crosses val="autoZero"/>
        <c:auto val="1"/>
        <c:lblAlgn val="ctr"/>
        <c:lblOffset val="100"/>
        <c:noMultiLvlLbl val="0"/>
      </c:catAx>
      <c:valAx>
        <c:axId val="1924199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31778750637941089"/>
          <c:y val="0.93039613719171177"/>
          <c:w val="0.27772901409983397"/>
          <c:h val="4.55631970054376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12599070079387E-2"/>
          <c:y val="2.6041666666666668E-2"/>
          <c:w val="0.80771763173337974"/>
          <c:h val="0.81250751859142611"/>
        </c:manualLayout>
      </c:layout>
      <c:barChart>
        <c:barDir val="col"/>
        <c:grouping val="clustered"/>
        <c:varyColors val="0"/>
        <c:ser>
          <c:idx val="0"/>
          <c:order val="0"/>
          <c:tx>
            <c:v>week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[0]!week</c:f>
              <c:strCache>
                <c:ptCount val="1"/>
                <c:pt idx="0">
                  <c:v>Week-01</c:v>
                </c:pt>
              </c:strCache>
            </c:strRef>
          </c:cat>
          <c:val>
            <c:numRef>
              <c:f>[0]!week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9-42E1-8E9D-D4DBF837B145}"/>
            </c:ext>
          </c:extLst>
        </c:ser>
        <c:ser>
          <c:idx val="1"/>
          <c:order val="1"/>
          <c:tx>
            <c:v>morning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[0]!week</c:f>
              <c:strCache>
                <c:ptCount val="1"/>
                <c:pt idx="0">
                  <c:v>Week-01</c:v>
                </c:pt>
              </c:strCache>
            </c:strRef>
          </c:cat>
          <c:val>
            <c:numRef>
              <c:f>[0]!Morning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9-42E1-8E9D-D4DBF837B145}"/>
            </c:ext>
          </c:extLst>
        </c:ser>
        <c:ser>
          <c:idx val="2"/>
          <c:order val="2"/>
          <c:tx>
            <c:v>evening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[0]!week</c:f>
              <c:strCache>
                <c:ptCount val="1"/>
                <c:pt idx="0">
                  <c:v>Week-01</c:v>
                </c:pt>
              </c:strCache>
            </c:strRef>
          </c:cat>
          <c:val>
            <c:numRef>
              <c:f>[0]!Evening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C9-42E1-8E9D-D4DBF837B145}"/>
            </c:ext>
          </c:extLst>
        </c:ser>
        <c:ser>
          <c:idx val="3"/>
          <c:order val="3"/>
          <c:tx>
            <c:v>night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[0]!week</c:f>
              <c:strCache>
                <c:ptCount val="1"/>
                <c:pt idx="0">
                  <c:v>Week-01</c:v>
                </c:pt>
              </c:strCache>
            </c:strRef>
          </c:cat>
          <c:val>
            <c:numRef>
              <c:f>[0]!Night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C9-42E1-8E9D-D4DBF837B1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0672479"/>
        <c:axId val="1750670559"/>
      </c:barChart>
      <c:catAx>
        <c:axId val="175067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70559"/>
        <c:crosses val="autoZero"/>
        <c:auto val="1"/>
        <c:lblAlgn val="ctr"/>
        <c:lblOffset val="100"/>
        <c:noMultiLvlLbl val="0"/>
      </c:catAx>
      <c:valAx>
        <c:axId val="1750670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7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23480414917422793"/>
          <c:y val="0.91530956091426074"/>
          <c:w val="0.47445056008048136"/>
          <c:h val="7.2158655949256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camera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[0]!cameras</c:f>
              <c:strCache>
                <c:ptCount val="9"/>
                <c:pt idx="0">
                  <c:v>AirSide</c:v>
                </c:pt>
                <c:pt idx="1">
                  <c:v>Arrival Zone 4</c:v>
                </c:pt>
                <c:pt idx="2">
                  <c:v>City Side HM</c:v>
                </c:pt>
                <c:pt idx="3">
                  <c:v>City Side Overbridge 1</c:v>
                </c:pt>
                <c:pt idx="4">
                  <c:v>City Side Overbridge 2</c:v>
                </c:pt>
                <c:pt idx="5">
                  <c:v>Departure, Zone 5</c:v>
                </c:pt>
                <c:pt idx="6">
                  <c:v>Front Office</c:v>
                </c:pt>
                <c:pt idx="7">
                  <c:v>International</c:v>
                </c:pt>
                <c:pt idx="8">
                  <c:v>Sky forest</c:v>
                </c:pt>
              </c:strCache>
            </c:strRef>
          </c:cat>
          <c:val>
            <c:numRef>
              <c:f>[0]!cameras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E-4107-B172-36B7DB3F7A8D}"/>
            </c:ext>
          </c:extLst>
        </c:ser>
        <c:ser>
          <c:idx val="1"/>
          <c:order val="1"/>
          <c:tx>
            <c:v>count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[0]!cameras</c:f>
              <c:strCache>
                <c:ptCount val="9"/>
                <c:pt idx="0">
                  <c:v>AirSide</c:v>
                </c:pt>
                <c:pt idx="1">
                  <c:v>Arrival Zone 4</c:v>
                </c:pt>
                <c:pt idx="2">
                  <c:v>City Side HM</c:v>
                </c:pt>
                <c:pt idx="3">
                  <c:v>City Side Overbridge 1</c:v>
                </c:pt>
                <c:pt idx="4">
                  <c:v>City Side Overbridge 2</c:v>
                </c:pt>
                <c:pt idx="5">
                  <c:v>Departure, Zone 5</c:v>
                </c:pt>
                <c:pt idx="6">
                  <c:v>Front Office</c:v>
                </c:pt>
                <c:pt idx="7">
                  <c:v>International</c:v>
                </c:pt>
                <c:pt idx="8">
                  <c:v>Sky forest</c:v>
                </c:pt>
              </c:strCache>
            </c:strRef>
          </c:cat>
          <c:val>
            <c:numRef>
              <c:f>[0]!counts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19</c:v>
                </c:pt>
                <c:pt idx="4">
                  <c:v>6</c:v>
                </c:pt>
                <c:pt idx="5">
                  <c:v>3</c:v>
                </c:pt>
                <c:pt idx="6">
                  <c:v>14</c:v>
                </c:pt>
                <c:pt idx="7">
                  <c:v>6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5E-4107-B172-36B7DB3F7A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7118719"/>
        <c:axId val="1577119199"/>
      </c:barChart>
      <c:catAx>
        <c:axId val="157711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19199"/>
        <c:crosses val="autoZero"/>
        <c:auto val="1"/>
        <c:lblAlgn val="ctr"/>
        <c:lblOffset val="100"/>
        <c:noMultiLvlLbl val="0"/>
      </c:catAx>
      <c:valAx>
        <c:axId val="157711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1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681694199989702E-2"/>
          <c:y val="0.11598352289297172"/>
          <c:w val="0.78558246826669886"/>
          <c:h val="0.554598279381744"/>
        </c:manualLayout>
      </c:layout>
      <c:barChart>
        <c:barDir val="col"/>
        <c:grouping val="stacked"/>
        <c:varyColors val="0"/>
        <c:ser>
          <c:idx val="0"/>
          <c:order val="0"/>
          <c:tx>
            <c:v>week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[0]!week</c:f>
              <c:strCache>
                <c:ptCount val="1"/>
                <c:pt idx="0">
                  <c:v>Week-01</c:v>
                </c:pt>
              </c:strCache>
            </c:strRef>
          </c:cat>
          <c:val>
            <c:numRef>
              <c:f>[0]!week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8-4971-B318-CF31248CC2AC}"/>
            </c:ext>
          </c:extLst>
        </c:ser>
        <c:ser>
          <c:idx val="1"/>
          <c:order val="1"/>
          <c:tx>
            <c:v>less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[0]!week</c:f>
              <c:strCache>
                <c:ptCount val="1"/>
                <c:pt idx="0">
                  <c:v>Week-01</c:v>
                </c:pt>
              </c:strCache>
            </c:strRef>
          </c:cat>
          <c:val>
            <c:numRef>
              <c:f>[0]!LessSevere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A8-4971-B318-CF31248CC2AC}"/>
            </c:ext>
          </c:extLst>
        </c:ser>
        <c:ser>
          <c:idx val="2"/>
          <c:order val="2"/>
          <c:tx>
            <c:v>more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[0]!week</c:f>
              <c:strCache>
                <c:ptCount val="1"/>
                <c:pt idx="0">
                  <c:v>Week-01</c:v>
                </c:pt>
              </c:strCache>
            </c:strRef>
          </c:cat>
          <c:val>
            <c:numRef>
              <c:f>[0]!MoreSevere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A8-4971-B318-CF31248CC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71397711"/>
        <c:axId val="1671391471"/>
      </c:barChart>
      <c:lineChart>
        <c:grouping val="standard"/>
        <c:varyColors val="0"/>
        <c:ser>
          <c:idx val="3"/>
          <c:order val="3"/>
          <c:tx>
            <c:v>daily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[0]!week</c:f>
              <c:strCache>
                <c:ptCount val="1"/>
                <c:pt idx="0">
                  <c:v>Week-01</c:v>
                </c:pt>
              </c:strCache>
            </c:strRef>
          </c:cat>
          <c:val>
            <c:numRef>
              <c:f>[0]!DailyAvg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A8-4971-B318-CF31248CC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076671"/>
        <c:axId val="1809078591"/>
      </c:lineChart>
      <c:catAx>
        <c:axId val="1671397711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Daily avergae</a:t>
                </a:r>
              </a:p>
            </c:rich>
          </c:tx>
          <c:layout>
            <c:manualLayout>
              <c:xMode val="edge"/>
              <c:yMode val="edge"/>
              <c:x val="0.94203115861944076"/>
              <c:y val="0.276132011276368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91471"/>
        <c:crosses val="autoZero"/>
        <c:auto val="1"/>
        <c:lblAlgn val="ctr"/>
        <c:lblOffset val="100"/>
        <c:noMultiLvlLbl val="0"/>
      </c:catAx>
      <c:valAx>
        <c:axId val="1671391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Count of violations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97711"/>
        <c:crosses val="autoZero"/>
        <c:crossBetween val="between"/>
      </c:valAx>
      <c:valAx>
        <c:axId val="18090785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076671"/>
        <c:crosses val="max"/>
        <c:crossBetween val="between"/>
      </c:valAx>
      <c:catAx>
        <c:axId val="1809076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09078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3704973152865693"/>
          <c:y val="0.89756415864683581"/>
          <c:w val="0.86120730342984486"/>
          <c:h val="0.102435907719425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pie"/>
        <c:varyColors val="1"/>
        <c:ser>
          <c:idx val="0"/>
          <c:order val="0"/>
          <c:tx>
            <c:v>VIOLATATIONS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8B-4C08-B7A7-720B89F741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8B-4C08-B7A7-720B89F741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8B-4C08-B7A7-720B89F741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8B-4C08-B7A7-720B89F741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8B-4C08-B7A7-720B89F741D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48B-4C08-B7A7-720B89F741D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48B-4C08-B7A7-720B89F741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[0]!VIO</c:f>
              <c:strCache>
                <c:ptCount val="6"/>
                <c:pt idx="0">
                  <c:v>PPE</c:v>
                </c:pt>
                <c:pt idx="1">
                  <c:v>Welding / Gas cutting</c:v>
                </c:pt>
                <c:pt idx="2">
                  <c:v>Work At Height</c:v>
                </c:pt>
                <c:pt idx="3">
                  <c:v>Vehicle Reverse Flagman</c:v>
                </c:pt>
                <c:pt idx="4">
                  <c:v>Unconscious/Resting</c:v>
                </c:pt>
                <c:pt idx="5">
                  <c:v>Unauthorized Access</c:v>
                </c:pt>
              </c:strCache>
            </c:strRef>
          </c:cat>
          <c:val>
            <c:numRef>
              <c:f>[0]!COUNTVIO</c:f>
              <c:numCache>
                <c:formatCode>General</c:formatCode>
                <c:ptCount val="6"/>
                <c:pt idx="0">
                  <c:v>33</c:v>
                </c:pt>
                <c:pt idx="1">
                  <c:v>13</c:v>
                </c:pt>
                <c:pt idx="2">
                  <c:v>9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48B-4C08-B7A7-720B89F741D2}"/>
            </c:ext>
          </c:extLst>
        </c:ser>
        <c:ser>
          <c:idx val="1"/>
          <c:order val="1"/>
          <c:tx>
            <c:v>COUNTS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48B-4C08-B7A7-720B89F741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48B-4C08-B7A7-720B89F741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48B-4C08-B7A7-720B89F741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448B-4C08-B7A7-720B89F741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448B-4C08-B7A7-720B89F741D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448B-4C08-B7A7-720B89F741D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448B-4C08-B7A7-720B89F741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[0]!VIO</c:f>
              <c:strCache>
                <c:ptCount val="6"/>
                <c:pt idx="0">
                  <c:v>PPE</c:v>
                </c:pt>
                <c:pt idx="1">
                  <c:v>Welding / Gas cutting</c:v>
                </c:pt>
                <c:pt idx="2">
                  <c:v>Work At Height</c:v>
                </c:pt>
                <c:pt idx="3">
                  <c:v>Vehicle Reverse Flagman</c:v>
                </c:pt>
                <c:pt idx="4">
                  <c:v>Unconscious/Resting</c:v>
                </c:pt>
                <c:pt idx="5">
                  <c:v>Unauthorized Access</c:v>
                </c:pt>
              </c:strCache>
            </c:strRef>
          </c:cat>
          <c:val>
            <c:numRef>
              <c:f>[0]!COUNTVIO</c:f>
              <c:numCache>
                <c:formatCode>General</c:formatCode>
                <c:ptCount val="6"/>
                <c:pt idx="0">
                  <c:v>33</c:v>
                </c:pt>
                <c:pt idx="1">
                  <c:v>13</c:v>
                </c:pt>
                <c:pt idx="2">
                  <c:v>9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48B-4C08-B7A7-720B89F741D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128</xdr:row>
      <xdr:rowOff>76200</xdr:rowOff>
    </xdr:from>
    <xdr:to>
      <xdr:col>12</xdr:col>
      <xdr:colOff>1135380</xdr:colOff>
      <xdr:row>152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CBEA8-AC47-4AEA-A98B-3D5D7DACE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</xdr:colOff>
      <xdr:row>99</xdr:row>
      <xdr:rowOff>175260</xdr:rowOff>
    </xdr:from>
    <xdr:to>
      <xdr:col>12</xdr:col>
      <xdr:colOff>129540</xdr:colOff>
      <xdr:row>118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D93DFC-EAFD-4D3D-B2E7-F207C8F99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548640</xdr:colOff>
      <xdr:row>34</xdr:row>
      <xdr:rowOff>45720</xdr:rowOff>
    </xdr:from>
    <xdr:to>
      <xdr:col>12</xdr:col>
      <xdr:colOff>822960</xdr:colOff>
      <xdr:row>49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D009C3-ED05-443D-BF5E-1FE981B8C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219075</xdr:colOff>
      <xdr:row>66</xdr:row>
      <xdr:rowOff>28575</xdr:rowOff>
    </xdr:from>
    <xdr:to>
      <xdr:col>12</xdr:col>
      <xdr:colOff>504826</xdr:colOff>
      <xdr:row>87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5BEB29-8BC4-4C24-8B83-AD46B0E1B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66674</xdr:colOff>
      <xdr:row>8</xdr:row>
      <xdr:rowOff>76200</xdr:rowOff>
    </xdr:from>
    <xdr:to>
      <xdr:col>10</xdr:col>
      <xdr:colOff>390524</xdr:colOff>
      <xdr:row>21</xdr:row>
      <xdr:rowOff>95249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21C9C8F-E0A6-4CD0-9516-745F1936D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2"/>
  <sheetViews>
    <sheetView tabSelected="1" workbookViewId="0">
      <pane ySplit="1" topLeftCell="A2" activePane="bottomLeft" state="frozen"/>
      <selection pane="bottomLeft" activeCell="A2" sqref="A2:F66"/>
    </sheetView>
  </sheetViews>
  <sheetFormatPr defaultRowHeight="15" x14ac:dyDescent="0.25"/>
  <cols>
    <col min="1" max="1" width="18.5703125" bestFit="1" customWidth="1"/>
    <col min="2" max="2" width="21.28515625" bestFit="1" customWidth="1"/>
    <col min="3" max="3" width="9.7109375" bestFit="1" customWidth="1"/>
    <col min="4" max="4" width="18.140625" bestFit="1" customWidth="1"/>
    <col min="5" max="5" width="108.28515625" bestFit="1" customWidth="1"/>
    <col min="6" max="6" width="12.5703125" bestFit="1" customWidth="1"/>
    <col min="7" max="7" width="14.42578125" bestFit="1" customWidth="1"/>
    <col min="8" max="8" width="9.28515625" customWidth="1"/>
    <col min="9" max="9" width="8.28515625" bestFit="1" customWidth="1"/>
    <col min="10" max="11" width="10.28515625" bestFit="1" customWidth="1"/>
    <col min="12" max="12" width="5.5703125" bestFit="1" customWidth="1"/>
    <col min="13" max="13" width="7.7109375" bestFit="1" customWidth="1"/>
    <col min="15" max="15" width="12.140625" bestFit="1" customWidth="1"/>
    <col min="16" max="16" width="13.140625" bestFit="1" customWidth="1"/>
    <col min="17" max="17" width="23.28515625" bestFit="1" customWidth="1"/>
    <col min="18" max="18" width="23.28515625" customWidth="1"/>
  </cols>
  <sheetData>
    <row r="1" spans="1:17" x14ac:dyDescent="0.25">
      <c r="A1" s="47" t="s">
        <v>0</v>
      </c>
      <c r="B1" s="47" t="s">
        <v>1</v>
      </c>
      <c r="C1" s="47" t="s">
        <v>2</v>
      </c>
      <c r="D1" s="47" t="s">
        <v>3</v>
      </c>
      <c r="E1" s="47" t="s">
        <v>5</v>
      </c>
      <c r="F1" s="47" t="s">
        <v>4</v>
      </c>
      <c r="G1" s="47" t="s">
        <v>64</v>
      </c>
      <c r="H1" s="48" t="s">
        <v>61</v>
      </c>
      <c r="I1" s="48" t="s">
        <v>91</v>
      </c>
      <c r="J1" s="48" t="s">
        <v>6</v>
      </c>
      <c r="K1" s="48" t="s">
        <v>7</v>
      </c>
      <c r="L1" s="48" t="s">
        <v>89</v>
      </c>
      <c r="M1" s="48" t="s">
        <v>8</v>
      </c>
      <c r="N1" s="48" t="s">
        <v>9</v>
      </c>
      <c r="O1" s="48" t="s">
        <v>10</v>
      </c>
    </row>
    <row r="2" spans="1:17" x14ac:dyDescent="0.25">
      <c r="A2" s="49" t="s">
        <v>95</v>
      </c>
      <c r="B2" t="s">
        <v>35</v>
      </c>
      <c r="C2" t="s">
        <v>66</v>
      </c>
      <c r="D2" t="s">
        <v>96</v>
      </c>
      <c r="E2" t="s">
        <v>97</v>
      </c>
      <c r="F2" t="s">
        <v>93</v>
      </c>
      <c r="G2" t="str">
        <f t="shared" ref="G2:G65" si="0">IF(ISBLANK(A2), "", IF(ISBLANK(F2), 0, F2))</f>
        <v>0</v>
      </c>
      <c r="H2" s="13" t="str">
        <f>IF(ISBLANK(E2),"",HYPERLINK(E2,"Click here"))</f>
        <v>Click here</v>
      </c>
      <c r="I2" t="str">
        <f>IFERROR(INDEX(Analysis!$D$116:$N$137, MATCH(B2, Analysis!$C$116:$C$137, 0), MATCH(C2, Analysis!$D$115:$N$115, 0)), "")</f>
        <v>Severe</v>
      </c>
      <c r="J2">
        <f>IF(ISBLANK(A2),"",WEEKNUM(A2))</f>
        <v>21</v>
      </c>
      <c r="K2" s="28">
        <f t="shared" ref="K2:K65" si="1">IF(ISBLANK(A2),"",DATE(YEAR(A2),MONTH(A2),DAY(A2)))</f>
        <v>45799</v>
      </c>
      <c r="L2" s="46">
        <f>IF(A2="", "", A2 - INT(A2))</f>
        <v>0.38626157407270512</v>
      </c>
      <c r="M2" t="str" cm="1">
        <f t="array" ref="M2">IF(L2="","",_xlfn.IFS(
  AND(L2&gt;=TIME(9,0,0), L2&lt;TIME(16,0,0)),"Morning",
  AND(L2&gt;=TIME(16,0,0), L2&lt;TIME(23,59,0)),"Evening",
  L2&gt;=TIME(23,59,0),"Night",
  L2&lt;TIME(9,0,0),"Night"
))</f>
        <v>Morning</v>
      </c>
      <c r="N2" t="s">
        <v>65</v>
      </c>
      <c r="O2" t="str">
        <f t="shared" ref="O2:O65" si="2">IF(N2="ON", _xlfn.IMAGE(E2, 1), "")</f>
        <v/>
      </c>
    </row>
    <row r="3" spans="1:17" x14ac:dyDescent="0.25">
      <c r="A3" s="49" t="s">
        <v>98</v>
      </c>
      <c r="B3" t="s">
        <v>35</v>
      </c>
      <c r="C3" t="s">
        <v>66</v>
      </c>
      <c r="D3" t="s">
        <v>96</v>
      </c>
      <c r="E3" t="s">
        <v>99</v>
      </c>
      <c r="F3" t="s">
        <v>93</v>
      </c>
      <c r="G3" t="str">
        <f t="shared" si="0"/>
        <v>0</v>
      </c>
      <c r="H3" s="13" t="str">
        <f t="shared" ref="H3:H66" si="3">IF(ISBLANK(E3),"",HYPERLINK(E3,"Click here"))</f>
        <v>Click here</v>
      </c>
      <c r="I3" t="str">
        <f>IFERROR(INDEX(Analysis!$D$116:$N$137, MATCH(B3, Analysis!$C$116:$C$137, 0), MATCH(C3, Analysis!$D$115:$N$115, 0)), "")</f>
        <v>Severe</v>
      </c>
      <c r="J3">
        <f t="shared" ref="J3:J66" si="4">IF(ISBLANK(A3),"",WEEKNUM(A3))</f>
        <v>21</v>
      </c>
      <c r="K3" s="28">
        <f t="shared" si="1"/>
        <v>45799</v>
      </c>
      <c r="L3" s="46">
        <f t="shared" ref="L3:L66" si="5">IF(A3="", "", A3 - INT(A3))</f>
        <v>0.38645833333430346</v>
      </c>
      <c r="M3" t="str" cm="1">
        <f t="array" ref="M3">IF(L3="","",_xlfn.IFS(
  AND(L3&gt;=TIME(9,0,0), L3&lt;TIME(16,0,0)),"Morning",
  AND(L3&gt;=TIME(16,0,0), L3&lt;TIME(23,59,0)),"Evening",
  L3&gt;=TIME(23,59,0),"Night",
  L3&lt;TIME(9,0,0),"Night"
))</f>
        <v>Morning</v>
      </c>
      <c r="N3" t="s">
        <v>65</v>
      </c>
      <c r="O3" t="str">
        <f t="shared" si="2"/>
        <v/>
      </c>
    </row>
    <row r="4" spans="1:17" x14ac:dyDescent="0.25">
      <c r="A4" s="49" t="s">
        <v>100</v>
      </c>
      <c r="B4" t="s">
        <v>26</v>
      </c>
      <c r="C4" t="s">
        <v>66</v>
      </c>
      <c r="D4" t="s">
        <v>101</v>
      </c>
      <c r="E4" t="s">
        <v>102</v>
      </c>
      <c r="F4" t="s">
        <v>93</v>
      </c>
      <c r="G4" t="str">
        <f t="shared" si="0"/>
        <v>0</v>
      </c>
      <c r="H4" s="13" t="str">
        <f t="shared" si="3"/>
        <v>Click here</v>
      </c>
      <c r="I4" t="str">
        <f>IFERROR(INDEX(Analysis!$D$116:$N$137, MATCH(B4, Analysis!$C$116:$C$137, 0), MATCH(C4, Analysis!$D$115:$N$115, 0)), "")</f>
        <v>Mild</v>
      </c>
      <c r="J4">
        <f t="shared" si="4"/>
        <v>21</v>
      </c>
      <c r="K4" s="28">
        <f t="shared" si="1"/>
        <v>45799</v>
      </c>
      <c r="L4" s="46">
        <f t="shared" si="5"/>
        <v>0.38846064815152204</v>
      </c>
      <c r="M4" t="str" cm="1">
        <f t="array" ref="M4">IF(L4="","",_xlfn.IFS(
  AND(L4&gt;=TIME(9,0,0), L4&lt;TIME(16,0,0)),"Morning",
  AND(L4&gt;=TIME(16,0,0), L4&lt;TIME(23,59,0)),"Evening",
  L4&gt;=TIME(23,59,0),"Night",
  L4&lt;TIME(9,0,0),"Night"
))</f>
        <v>Morning</v>
      </c>
      <c r="N4" t="s">
        <v>65</v>
      </c>
      <c r="O4" t="str">
        <f t="shared" si="2"/>
        <v/>
      </c>
    </row>
    <row r="5" spans="1:17" x14ac:dyDescent="0.25">
      <c r="A5" s="49" t="s">
        <v>103</v>
      </c>
      <c r="B5" t="s">
        <v>26</v>
      </c>
      <c r="C5" t="s">
        <v>66</v>
      </c>
      <c r="D5" t="s">
        <v>104</v>
      </c>
      <c r="E5" t="s">
        <v>105</v>
      </c>
      <c r="F5" t="s">
        <v>93</v>
      </c>
      <c r="G5" t="str">
        <f t="shared" si="0"/>
        <v>0</v>
      </c>
      <c r="H5" s="13" t="str">
        <f t="shared" si="3"/>
        <v>Click here</v>
      </c>
      <c r="I5" t="str">
        <f>IFERROR(INDEX(Analysis!$D$116:$N$137, MATCH(B5, Analysis!$C$116:$C$137, 0), MATCH(C5, Analysis!$D$115:$N$115, 0)), "")</f>
        <v>Mild</v>
      </c>
      <c r="J5">
        <f t="shared" si="4"/>
        <v>21</v>
      </c>
      <c r="K5" s="28">
        <f t="shared" si="1"/>
        <v>45799</v>
      </c>
      <c r="L5" s="46">
        <f t="shared" si="5"/>
        <v>0.38951388889108784</v>
      </c>
      <c r="M5" t="str" cm="1">
        <f t="array" ref="M5">IF(L5="","",_xlfn.IFS(
  AND(L5&gt;=TIME(9,0,0), L5&lt;TIME(16,0,0)),"Morning",
  AND(L5&gt;=TIME(16,0,0), L5&lt;TIME(23,59,0)),"Evening",
  L5&gt;=TIME(23,59,0),"Night",
  L5&lt;TIME(9,0,0),"Night"
))</f>
        <v>Morning</v>
      </c>
      <c r="O5" t="str">
        <f t="shared" si="2"/>
        <v/>
      </c>
    </row>
    <row r="6" spans="1:17" x14ac:dyDescent="0.25">
      <c r="A6" s="49" t="s">
        <v>106</v>
      </c>
      <c r="B6" t="s">
        <v>26</v>
      </c>
      <c r="C6" t="s">
        <v>66</v>
      </c>
      <c r="D6" t="s">
        <v>104</v>
      </c>
      <c r="E6" t="s">
        <v>107</v>
      </c>
      <c r="F6" t="s">
        <v>93</v>
      </c>
      <c r="G6" t="str">
        <f t="shared" si="0"/>
        <v>0</v>
      </c>
      <c r="H6" s="13" t="str">
        <f t="shared" si="3"/>
        <v>Click here</v>
      </c>
      <c r="I6" t="str">
        <f>IFERROR(INDEX(Analysis!$D$116:$N$137, MATCH(B6, Analysis!$C$116:$C$137, 0), MATCH(C6, Analysis!$D$115:$N$115, 0)), "")</f>
        <v>Mild</v>
      </c>
      <c r="J6">
        <f t="shared" si="4"/>
        <v>21</v>
      </c>
      <c r="K6" s="28">
        <f t="shared" si="1"/>
        <v>45799</v>
      </c>
      <c r="L6" s="46">
        <f t="shared" si="5"/>
        <v>0.39651620370568708</v>
      </c>
      <c r="M6" t="str" cm="1">
        <f t="array" ref="M6">IF(L6="","",_xlfn.IFS(
  AND(L6&gt;=TIME(9,0,0), L6&lt;TIME(16,0,0)),"Morning",
  AND(L6&gt;=TIME(16,0,0), L6&lt;TIME(23,59,0)),"Evening",
  L6&gt;=TIME(23,59,0),"Night",
  L6&lt;TIME(9,0,0),"Night"
))</f>
        <v>Morning</v>
      </c>
      <c r="O6" t="str">
        <f t="shared" si="2"/>
        <v/>
      </c>
    </row>
    <row r="7" spans="1:17" x14ac:dyDescent="0.25">
      <c r="A7" s="49" t="s">
        <v>108</v>
      </c>
      <c r="B7" t="s">
        <v>26</v>
      </c>
      <c r="C7" t="s">
        <v>66</v>
      </c>
      <c r="D7" t="s">
        <v>101</v>
      </c>
      <c r="E7" t="s">
        <v>109</v>
      </c>
      <c r="F7" t="s">
        <v>93</v>
      </c>
      <c r="G7" t="str">
        <f t="shared" si="0"/>
        <v>0</v>
      </c>
      <c r="H7" s="13" t="str">
        <f t="shared" si="3"/>
        <v>Click here</v>
      </c>
      <c r="I7" t="str">
        <f>IFERROR(INDEX(Analysis!$D$116:$N$137, MATCH(B7, Analysis!$C$116:$C$137, 0), MATCH(C7, Analysis!$D$115:$N$115, 0)), "")</f>
        <v>Mild</v>
      </c>
      <c r="J7">
        <f t="shared" si="4"/>
        <v>21</v>
      </c>
      <c r="K7" s="28">
        <f t="shared" si="1"/>
        <v>45799</v>
      </c>
      <c r="L7" s="46">
        <f t="shared" si="5"/>
        <v>0.40290509258920792</v>
      </c>
      <c r="M7" t="str" cm="1">
        <f t="array" ref="M7">IF(L7="","",_xlfn.IFS(
  AND(L7&gt;=TIME(9,0,0), L7&lt;TIME(16,0,0)),"Morning",
  AND(L7&gt;=TIME(16,0,0), L7&lt;TIME(23,59,0)),"Evening",
  L7&gt;=TIME(23,59,0),"Night",
  L7&lt;TIME(9,0,0),"Night"
))</f>
        <v>Morning</v>
      </c>
      <c r="O7" t="str">
        <f t="shared" si="2"/>
        <v/>
      </c>
      <c r="P7" s="46"/>
      <c r="Q7" t="str" cm="1">
        <f t="array" ref="Q7">IF(P7="","",_xlfn.IFS(
  AND(P7&gt;=TIME(9,0,0), P7&lt;TIME(16,0,0)),"Morning",
  AND(P7&gt;=TIME(16,0,0), P7&lt;TIME(23,59,0)),"Evening",
  P7&gt;=TIME(23,59,0),"Night",
  P7&lt;TIME(9,0,0),"Night"
))</f>
        <v/>
      </c>
    </row>
    <row r="8" spans="1:17" x14ac:dyDescent="0.25">
      <c r="A8" s="49" t="s">
        <v>110</v>
      </c>
      <c r="B8" t="s">
        <v>26</v>
      </c>
      <c r="C8" t="s">
        <v>66</v>
      </c>
      <c r="D8" t="s">
        <v>104</v>
      </c>
      <c r="E8" t="s">
        <v>111</v>
      </c>
      <c r="F8" t="s">
        <v>93</v>
      </c>
      <c r="G8" t="str">
        <f t="shared" si="0"/>
        <v>0</v>
      </c>
      <c r="H8" s="13" t="str">
        <f t="shared" si="3"/>
        <v>Click here</v>
      </c>
      <c r="I8" t="str">
        <f>IFERROR(INDEX(Analysis!$D$116:$N$137, MATCH(B8, Analysis!$C$116:$C$137, 0), MATCH(C8, Analysis!$D$115:$N$115, 0)), "")</f>
        <v>Mild</v>
      </c>
      <c r="J8">
        <f t="shared" si="4"/>
        <v>21</v>
      </c>
      <c r="K8" s="28">
        <f t="shared" si="1"/>
        <v>45799</v>
      </c>
      <c r="L8" s="46">
        <f t="shared" si="5"/>
        <v>0.40353009258979</v>
      </c>
      <c r="M8" t="str" cm="1">
        <f t="array" ref="M8">IF(L8="","",_xlfn.IFS(
  AND(L8&gt;=TIME(9,0,0), L8&lt;TIME(16,0,0)),"Morning",
  AND(L8&gt;=TIME(16,0,0), L8&lt;TIME(23,59,0)),"Evening",
  L8&gt;=TIME(23,59,0),"Night",
  L8&lt;TIME(9,0,0),"Night"
))</f>
        <v>Morning</v>
      </c>
      <c r="O8" t="str">
        <f t="shared" si="2"/>
        <v/>
      </c>
    </row>
    <row r="9" spans="1:17" x14ac:dyDescent="0.25">
      <c r="A9" s="49" t="s">
        <v>112</v>
      </c>
      <c r="B9" t="s">
        <v>26</v>
      </c>
      <c r="C9" t="s">
        <v>66</v>
      </c>
      <c r="D9" t="s">
        <v>113</v>
      </c>
      <c r="E9" t="s">
        <v>114</v>
      </c>
      <c r="F9" t="s">
        <v>93</v>
      </c>
      <c r="G9" t="str">
        <f t="shared" si="0"/>
        <v>0</v>
      </c>
      <c r="H9" s="13" t="str">
        <f t="shared" si="3"/>
        <v>Click here</v>
      </c>
      <c r="I9" t="str">
        <f>IFERROR(INDEX(Analysis!$D$116:$N$137, MATCH(B9, Analysis!$C$116:$C$137, 0), MATCH(C9, Analysis!$D$115:$N$115, 0)), "")</f>
        <v>Mild</v>
      </c>
      <c r="J9">
        <f t="shared" si="4"/>
        <v>21</v>
      </c>
      <c r="K9" s="28">
        <f t="shared" si="1"/>
        <v>45799</v>
      </c>
      <c r="L9" s="46">
        <f t="shared" si="5"/>
        <v>0.41427083333110204</v>
      </c>
      <c r="M9" t="str" cm="1">
        <f t="array" ref="M9">IF(L9="","",_xlfn.IFS(
  AND(L9&gt;=TIME(9,0,0), L9&lt;TIME(16,0,0)),"Morning",
  AND(L9&gt;=TIME(16,0,0), L9&lt;TIME(23,59,0)),"Evening",
  L9&gt;=TIME(23,59,0),"Night",
  L9&lt;TIME(9,0,0),"Night"
))</f>
        <v>Morning</v>
      </c>
      <c r="O9" t="str">
        <f t="shared" si="2"/>
        <v/>
      </c>
    </row>
    <row r="10" spans="1:17" x14ac:dyDescent="0.25">
      <c r="A10" s="49" t="s">
        <v>115</v>
      </c>
      <c r="B10" t="s">
        <v>28</v>
      </c>
      <c r="C10" t="s">
        <v>66</v>
      </c>
      <c r="D10" t="s">
        <v>101</v>
      </c>
      <c r="E10" t="s">
        <v>116</v>
      </c>
      <c r="F10" t="s">
        <v>93</v>
      </c>
      <c r="G10" t="str">
        <f t="shared" si="0"/>
        <v>0</v>
      </c>
      <c r="H10" s="13" t="str">
        <f t="shared" si="3"/>
        <v>Click here</v>
      </c>
      <c r="I10" t="str">
        <f>IFERROR(INDEX(Analysis!$D$116:$N$137, MATCH(B10, Analysis!$C$116:$C$137, 0), MATCH(C10, Analysis!$D$115:$N$115, 0)), "")</f>
        <v>Mild</v>
      </c>
      <c r="J10">
        <f t="shared" si="4"/>
        <v>21</v>
      </c>
      <c r="K10" s="28">
        <f t="shared" si="1"/>
        <v>45799</v>
      </c>
      <c r="L10" s="46">
        <f t="shared" si="5"/>
        <v>0.42571759259590181</v>
      </c>
      <c r="M10" t="str" cm="1">
        <f t="array" ref="M10">IF(L10="","",_xlfn.IFS(
  AND(L10&gt;=TIME(9,0,0), L10&lt;TIME(16,0,0)),"Morning",
  AND(L10&gt;=TIME(16,0,0), L10&lt;TIME(23,59,0)),"Evening",
  L10&gt;=TIME(23,59,0),"Night",
  L10&lt;TIME(9,0,0),"Night"
))</f>
        <v>Morning</v>
      </c>
      <c r="N10" t="s">
        <v>65</v>
      </c>
      <c r="O10" t="str">
        <f t="shared" si="2"/>
        <v/>
      </c>
    </row>
    <row r="11" spans="1:17" x14ac:dyDescent="0.25">
      <c r="A11" s="49" t="s">
        <v>117</v>
      </c>
      <c r="B11" t="s">
        <v>26</v>
      </c>
      <c r="C11" t="s">
        <v>66</v>
      </c>
      <c r="D11" t="s">
        <v>104</v>
      </c>
      <c r="E11" t="s">
        <v>118</v>
      </c>
      <c r="F11" t="s">
        <v>93</v>
      </c>
      <c r="G11" t="str">
        <f t="shared" si="0"/>
        <v>0</v>
      </c>
      <c r="H11" s="13" t="str">
        <f t="shared" si="3"/>
        <v>Click here</v>
      </c>
      <c r="I11" t="str">
        <f>IFERROR(INDEX(Analysis!$D$116:$N$137, MATCH(B11, Analysis!$C$116:$C$137, 0), MATCH(C11, Analysis!$D$115:$N$115, 0)), "")</f>
        <v>Mild</v>
      </c>
      <c r="J11">
        <f t="shared" si="4"/>
        <v>21</v>
      </c>
      <c r="K11" s="28">
        <f t="shared" si="1"/>
        <v>45799</v>
      </c>
      <c r="L11" s="46">
        <f t="shared" si="5"/>
        <v>0.43120370370161254</v>
      </c>
      <c r="M11" t="str" cm="1">
        <f t="array" ref="M11">IF(L11="","",_xlfn.IFS(
  AND(L11&gt;=TIME(9,0,0), L11&lt;TIME(16,0,0)),"Morning",
  AND(L11&gt;=TIME(16,0,0), L11&lt;TIME(23,59,0)),"Evening",
  L11&gt;=TIME(23,59,0),"Night",
  L11&lt;TIME(9,0,0),"Night"
))</f>
        <v>Morning</v>
      </c>
      <c r="O11" t="str">
        <f t="shared" si="2"/>
        <v/>
      </c>
    </row>
    <row r="12" spans="1:17" x14ac:dyDescent="0.25">
      <c r="A12" s="49" t="s">
        <v>119</v>
      </c>
      <c r="B12" t="s">
        <v>26</v>
      </c>
      <c r="C12" t="s">
        <v>66</v>
      </c>
      <c r="D12" t="s">
        <v>104</v>
      </c>
      <c r="E12" t="s">
        <v>120</v>
      </c>
      <c r="F12" t="s">
        <v>93</v>
      </c>
      <c r="G12" t="str">
        <f t="shared" si="0"/>
        <v>0</v>
      </c>
      <c r="H12" s="13" t="str">
        <f t="shared" si="3"/>
        <v>Click here</v>
      </c>
      <c r="I12" t="str">
        <f>IFERROR(INDEX(Analysis!$D$116:$N$137, MATCH(B12, Analysis!$C$116:$C$137, 0), MATCH(C12, Analysis!$D$115:$N$115, 0)), "")</f>
        <v>Mild</v>
      </c>
      <c r="J12">
        <f t="shared" si="4"/>
        <v>21</v>
      </c>
      <c r="K12" s="28">
        <f t="shared" si="1"/>
        <v>45799</v>
      </c>
      <c r="L12" s="46">
        <f t="shared" si="5"/>
        <v>0.43135416666336823</v>
      </c>
      <c r="M12" t="str" cm="1">
        <f t="array" ref="M12">IF(L12="","",_xlfn.IFS(
  AND(L12&gt;=TIME(9,0,0), L12&lt;TIME(16,0,0)),"Morning",
  AND(L12&gt;=TIME(16,0,0), L12&lt;TIME(23,59,0)),"Evening",
  L12&gt;=TIME(23,59,0),"Night",
  L12&lt;TIME(9,0,0),"Night"
))</f>
        <v>Morning</v>
      </c>
      <c r="O12" t="str">
        <f t="shared" si="2"/>
        <v/>
      </c>
    </row>
    <row r="13" spans="1:17" x14ac:dyDescent="0.25">
      <c r="A13" s="49" t="s">
        <v>121</v>
      </c>
      <c r="B13" t="s">
        <v>34</v>
      </c>
      <c r="C13" t="s">
        <v>66</v>
      </c>
      <c r="D13" t="s">
        <v>122</v>
      </c>
      <c r="E13" t="s">
        <v>123</v>
      </c>
      <c r="F13" t="s">
        <v>93</v>
      </c>
      <c r="G13" t="str">
        <f t="shared" si="0"/>
        <v>0</v>
      </c>
      <c r="H13" s="13" t="str">
        <f t="shared" si="3"/>
        <v>Click here</v>
      </c>
      <c r="I13" t="str">
        <f>IFERROR(INDEX(Analysis!$D$116:$N$137, MATCH(B13, Analysis!$C$116:$C$137, 0), MATCH(C13, Analysis!$D$115:$N$115, 0)), "")</f>
        <v>Severe</v>
      </c>
      <c r="J13">
        <f t="shared" si="4"/>
        <v>21</v>
      </c>
      <c r="K13" s="28">
        <f t="shared" si="1"/>
        <v>45799</v>
      </c>
      <c r="L13" s="46">
        <f t="shared" si="5"/>
        <v>0.52836805555853061</v>
      </c>
      <c r="M13" t="str" cm="1">
        <f t="array" ref="M13">IF(L13="","",_xlfn.IFS(
  AND(L13&gt;=TIME(9,0,0), L13&lt;TIME(16,0,0)),"Morning",
  AND(L13&gt;=TIME(16,0,0), L13&lt;TIME(23,59,0)),"Evening",
  L13&gt;=TIME(23,59,0),"Night",
  L13&lt;TIME(9,0,0),"Night"
))</f>
        <v>Morning</v>
      </c>
      <c r="O13" t="str">
        <f t="shared" si="2"/>
        <v/>
      </c>
    </row>
    <row r="14" spans="1:17" x14ac:dyDescent="0.25">
      <c r="A14" s="49" t="s">
        <v>124</v>
      </c>
      <c r="B14" t="s">
        <v>26</v>
      </c>
      <c r="C14" t="s">
        <v>66</v>
      </c>
      <c r="D14" t="s">
        <v>125</v>
      </c>
      <c r="E14" t="s">
        <v>126</v>
      </c>
      <c r="F14" t="s">
        <v>93</v>
      </c>
      <c r="G14" t="str">
        <f t="shared" si="0"/>
        <v>0</v>
      </c>
      <c r="H14" s="13" t="str">
        <f t="shared" si="3"/>
        <v>Click here</v>
      </c>
      <c r="I14" t="str">
        <f>IFERROR(INDEX(Analysis!$D$116:$N$137, MATCH(B14, Analysis!$C$116:$C$137, 0), MATCH(C14, Analysis!$D$115:$N$115, 0)), "")</f>
        <v>Mild</v>
      </c>
      <c r="J14">
        <f t="shared" si="4"/>
        <v>21</v>
      </c>
      <c r="K14" s="28">
        <f t="shared" si="1"/>
        <v>45799</v>
      </c>
      <c r="L14" s="46">
        <f t="shared" si="5"/>
        <v>0.53223379629343981</v>
      </c>
      <c r="M14" t="str" cm="1">
        <f t="array" ref="M14">IF(L14="","",_xlfn.IFS(
  AND(L14&gt;=TIME(9,0,0), L14&lt;TIME(16,0,0)),"Morning",
  AND(L14&gt;=TIME(16,0,0), L14&lt;TIME(23,59,0)),"Evening",
  L14&gt;=TIME(23,59,0),"Night",
  L14&lt;TIME(9,0,0),"Night"
))</f>
        <v>Morning</v>
      </c>
      <c r="O14" t="str">
        <f t="shared" si="2"/>
        <v/>
      </c>
    </row>
    <row r="15" spans="1:17" x14ac:dyDescent="0.25">
      <c r="A15" s="49" t="s">
        <v>127</v>
      </c>
      <c r="B15" t="s">
        <v>30</v>
      </c>
      <c r="C15" t="s">
        <v>66</v>
      </c>
      <c r="D15" t="s">
        <v>101</v>
      </c>
      <c r="E15" t="s">
        <v>128</v>
      </c>
      <c r="F15" t="s">
        <v>93</v>
      </c>
      <c r="G15" t="str">
        <f t="shared" si="0"/>
        <v>0</v>
      </c>
      <c r="H15" s="13" t="str">
        <f t="shared" si="3"/>
        <v>Click here</v>
      </c>
      <c r="I15" t="str">
        <f>IFERROR(INDEX(Analysis!$D$116:$N$137, MATCH(B15, Analysis!$C$116:$C$137, 0), MATCH(C15, Analysis!$D$115:$N$115, 0)), "")</f>
        <v>Severe</v>
      </c>
      <c r="J15">
        <f t="shared" si="4"/>
        <v>21</v>
      </c>
      <c r="K15" s="28">
        <f t="shared" si="1"/>
        <v>45799</v>
      </c>
      <c r="L15" s="46">
        <f t="shared" si="5"/>
        <v>0.58277777778130258</v>
      </c>
      <c r="M15" t="str" cm="1">
        <f t="array" ref="M15">IF(L15="","",_xlfn.IFS(
  AND(L15&gt;=TIME(9,0,0), L15&lt;TIME(16,0,0)),"Morning",
  AND(L15&gt;=TIME(16,0,0), L15&lt;TIME(23,59,0)),"Evening",
  L15&gt;=TIME(23,59,0),"Night",
  L15&lt;TIME(9,0,0),"Night"
))</f>
        <v>Morning</v>
      </c>
      <c r="O15" t="str">
        <f t="shared" si="2"/>
        <v/>
      </c>
    </row>
    <row r="16" spans="1:17" x14ac:dyDescent="0.25">
      <c r="A16" s="49" t="s">
        <v>129</v>
      </c>
      <c r="B16" t="s">
        <v>34</v>
      </c>
      <c r="C16" t="s">
        <v>66</v>
      </c>
      <c r="D16" t="s">
        <v>122</v>
      </c>
      <c r="E16" t="s">
        <v>130</v>
      </c>
      <c r="F16" t="s">
        <v>93</v>
      </c>
      <c r="G16" t="str">
        <f t="shared" si="0"/>
        <v>0</v>
      </c>
      <c r="H16" s="13" t="str">
        <f t="shared" si="3"/>
        <v>Click here</v>
      </c>
      <c r="I16" t="str">
        <f>IFERROR(INDEX(Analysis!$D$116:$N$137, MATCH(B16, Analysis!$C$116:$C$137, 0), MATCH(C16, Analysis!$D$115:$N$115, 0)), "")</f>
        <v>Severe</v>
      </c>
      <c r="J16">
        <f t="shared" si="4"/>
        <v>21</v>
      </c>
      <c r="K16" s="28">
        <f t="shared" si="1"/>
        <v>45799</v>
      </c>
      <c r="L16" s="46">
        <f t="shared" si="5"/>
        <v>0.588449074071832</v>
      </c>
      <c r="M16" t="str" cm="1">
        <f t="array" ref="M16">IF(L16="","",_xlfn.IFS(
  AND(L16&gt;=TIME(9,0,0), L16&lt;TIME(16,0,0)),"Morning",
  AND(L16&gt;=TIME(16,0,0), L16&lt;TIME(23,59,0)),"Evening",
  L16&gt;=TIME(23,59,0),"Night",
  L16&lt;TIME(9,0,0),"Night"
))</f>
        <v>Morning</v>
      </c>
      <c r="O16" t="str">
        <f t="shared" si="2"/>
        <v/>
      </c>
    </row>
    <row r="17" spans="1:15" x14ac:dyDescent="0.25">
      <c r="A17" s="49" t="s">
        <v>131</v>
      </c>
      <c r="B17" t="s">
        <v>26</v>
      </c>
      <c r="C17" t="s">
        <v>66</v>
      </c>
      <c r="D17" t="s">
        <v>101</v>
      </c>
      <c r="E17" t="s">
        <v>132</v>
      </c>
      <c r="F17" t="s">
        <v>93</v>
      </c>
      <c r="G17" t="str">
        <f t="shared" si="0"/>
        <v>0</v>
      </c>
      <c r="H17" s="13" t="str">
        <f t="shared" si="3"/>
        <v>Click here</v>
      </c>
      <c r="I17" t="str">
        <f>IFERROR(INDEX(Analysis!$D$116:$N$137, MATCH(B17, Analysis!$C$116:$C$137, 0), MATCH(C17, Analysis!$D$115:$N$115, 0)), "")</f>
        <v>Mild</v>
      </c>
      <c r="J17">
        <f t="shared" si="4"/>
        <v>21</v>
      </c>
      <c r="K17" s="28">
        <f t="shared" si="1"/>
        <v>45799</v>
      </c>
      <c r="L17" s="46">
        <f t="shared" si="5"/>
        <v>0.58891203703387873</v>
      </c>
      <c r="M17" t="str" cm="1">
        <f t="array" ref="M17">IF(L17="","",_xlfn.IFS(
  AND(L17&gt;=TIME(9,0,0), L17&lt;TIME(16,0,0)),"Morning",
  AND(L17&gt;=TIME(16,0,0), L17&lt;TIME(23,59,0)),"Evening",
  L17&gt;=TIME(23,59,0),"Night",
  L17&lt;TIME(9,0,0),"Night"
))</f>
        <v>Morning</v>
      </c>
      <c r="O17" t="str">
        <f t="shared" si="2"/>
        <v/>
      </c>
    </row>
    <row r="18" spans="1:15" x14ac:dyDescent="0.25">
      <c r="A18" s="49" t="s">
        <v>133</v>
      </c>
      <c r="B18" t="s">
        <v>26</v>
      </c>
      <c r="C18" t="s">
        <v>66</v>
      </c>
      <c r="D18" t="s">
        <v>101</v>
      </c>
      <c r="E18" t="s">
        <v>134</v>
      </c>
      <c r="F18" t="s">
        <v>93</v>
      </c>
      <c r="G18" t="str">
        <f t="shared" si="0"/>
        <v>0</v>
      </c>
      <c r="H18" s="13" t="str">
        <f t="shared" si="3"/>
        <v>Click here</v>
      </c>
      <c r="I18" t="str">
        <f>IFERROR(INDEX(Analysis!$D$116:$N$137, MATCH(B18, Analysis!$C$116:$C$137, 0), MATCH(C18, Analysis!$D$115:$N$115, 0)), "")</f>
        <v>Mild</v>
      </c>
      <c r="J18">
        <f t="shared" si="4"/>
        <v>21</v>
      </c>
      <c r="K18" s="28">
        <f t="shared" si="1"/>
        <v>45799</v>
      </c>
      <c r="L18" s="46">
        <f t="shared" si="5"/>
        <v>0.58910879629547708</v>
      </c>
      <c r="M18" t="str" cm="1">
        <f t="array" ref="M18">IF(L18="","",_xlfn.IFS(
  AND(L18&gt;=TIME(9,0,0), L18&lt;TIME(16,0,0)),"Morning",
  AND(L18&gt;=TIME(16,0,0), L18&lt;TIME(23,59,0)),"Evening",
  L18&gt;=TIME(23,59,0),"Night",
  L18&lt;TIME(9,0,0),"Night"
))</f>
        <v>Morning</v>
      </c>
      <c r="O18" t="str">
        <f t="shared" si="2"/>
        <v/>
      </c>
    </row>
    <row r="19" spans="1:15" x14ac:dyDescent="0.25">
      <c r="A19" s="49" t="s">
        <v>135</v>
      </c>
      <c r="B19" t="s">
        <v>30</v>
      </c>
      <c r="C19" t="s">
        <v>66</v>
      </c>
      <c r="D19" t="s">
        <v>125</v>
      </c>
      <c r="E19" t="s">
        <v>136</v>
      </c>
      <c r="F19" t="s">
        <v>93</v>
      </c>
      <c r="G19" t="str">
        <f t="shared" si="0"/>
        <v>0</v>
      </c>
      <c r="H19" s="13" t="str">
        <f t="shared" si="3"/>
        <v>Click here</v>
      </c>
      <c r="I19" t="str">
        <f>IFERROR(INDEX(Analysis!$D$116:$N$137, MATCH(B19, Analysis!$C$116:$C$137, 0), MATCH(C19, Analysis!$D$115:$N$115, 0)), "")</f>
        <v>Severe</v>
      </c>
      <c r="J19">
        <f t="shared" si="4"/>
        <v>21</v>
      </c>
      <c r="K19" s="28">
        <f t="shared" si="1"/>
        <v>45799</v>
      </c>
      <c r="L19" s="46">
        <f t="shared" si="5"/>
        <v>0.58967592592671281</v>
      </c>
      <c r="M19" t="str" cm="1">
        <f t="array" ref="M19">IF(L19="","",_xlfn.IFS(
  AND(L19&gt;=TIME(9,0,0), L19&lt;TIME(16,0,0)),"Morning",
  AND(L19&gt;=TIME(16,0,0), L19&lt;TIME(23,59,0)),"Evening",
  L19&gt;=TIME(23,59,0),"Night",
  L19&lt;TIME(9,0,0),"Night"
))</f>
        <v>Morning</v>
      </c>
      <c r="O19" t="str">
        <f t="shared" si="2"/>
        <v/>
      </c>
    </row>
    <row r="20" spans="1:15" x14ac:dyDescent="0.25">
      <c r="A20" s="49" t="s">
        <v>137</v>
      </c>
      <c r="B20" t="s">
        <v>26</v>
      </c>
      <c r="C20" t="s">
        <v>66</v>
      </c>
      <c r="D20" t="s">
        <v>113</v>
      </c>
      <c r="E20" t="s">
        <v>138</v>
      </c>
      <c r="F20" t="s">
        <v>93</v>
      </c>
      <c r="G20" t="str">
        <f t="shared" si="0"/>
        <v>0</v>
      </c>
      <c r="H20" s="13" t="str">
        <f t="shared" si="3"/>
        <v>Click here</v>
      </c>
      <c r="I20" t="str">
        <f>IFERROR(INDEX(Analysis!$D$116:$N$137, MATCH(B20, Analysis!$C$116:$C$137, 0), MATCH(C20, Analysis!$D$115:$N$115, 0)), "")</f>
        <v>Mild</v>
      </c>
      <c r="J20">
        <f t="shared" si="4"/>
        <v>21</v>
      </c>
      <c r="K20" s="28">
        <f t="shared" si="1"/>
        <v>45799</v>
      </c>
      <c r="L20" s="46">
        <f t="shared" si="5"/>
        <v>0.59797453703504289</v>
      </c>
      <c r="M20" t="str" cm="1">
        <f t="array" ref="M20">IF(L20="","",_xlfn.IFS(
  AND(L20&gt;=TIME(9,0,0), L20&lt;TIME(16,0,0)),"Morning",
  AND(L20&gt;=TIME(16,0,0), L20&lt;TIME(23,59,0)),"Evening",
  L20&gt;=TIME(23,59,0),"Night",
  L20&lt;TIME(9,0,0),"Night"
))</f>
        <v>Morning</v>
      </c>
      <c r="N20" t="s">
        <v>65</v>
      </c>
      <c r="O20" t="str">
        <f t="shared" si="2"/>
        <v/>
      </c>
    </row>
    <row r="21" spans="1:15" x14ac:dyDescent="0.25">
      <c r="A21" s="49" t="s">
        <v>139</v>
      </c>
      <c r="B21" t="s">
        <v>34</v>
      </c>
      <c r="C21" t="s">
        <v>66</v>
      </c>
      <c r="D21" t="s">
        <v>104</v>
      </c>
      <c r="E21" t="s">
        <v>140</v>
      </c>
      <c r="F21" t="s">
        <v>93</v>
      </c>
      <c r="G21" t="str">
        <f t="shared" si="0"/>
        <v>0</v>
      </c>
      <c r="H21" s="13" t="str">
        <f t="shared" si="3"/>
        <v>Click here</v>
      </c>
      <c r="I21" t="str">
        <f>IFERROR(INDEX(Analysis!$D$116:$N$137, MATCH(B21, Analysis!$C$116:$C$137, 0), MATCH(C21, Analysis!$D$115:$N$115, 0)), "")</f>
        <v>Severe</v>
      </c>
      <c r="J21">
        <f t="shared" si="4"/>
        <v>21</v>
      </c>
      <c r="K21" s="28">
        <f t="shared" si="1"/>
        <v>45799</v>
      </c>
      <c r="L21" s="46">
        <f t="shared" si="5"/>
        <v>0.61237268518743804</v>
      </c>
      <c r="M21" t="str" cm="1">
        <f t="array" ref="M21">IF(L21="","",_xlfn.IFS(
  AND(L21&gt;=TIME(9,0,0), L21&lt;TIME(16,0,0)),"Morning",
  AND(L21&gt;=TIME(16,0,0), L21&lt;TIME(23,59,0)),"Evening",
  L21&gt;=TIME(23,59,0),"Night",
  L21&lt;TIME(9,0,0),"Night"
))</f>
        <v>Morning</v>
      </c>
      <c r="O21" t="str">
        <f t="shared" si="2"/>
        <v/>
      </c>
    </row>
    <row r="22" spans="1:15" x14ac:dyDescent="0.25">
      <c r="A22" s="49" t="s">
        <v>141</v>
      </c>
      <c r="B22" t="s">
        <v>28</v>
      </c>
      <c r="C22" t="s">
        <v>66</v>
      </c>
      <c r="D22" t="s">
        <v>101</v>
      </c>
      <c r="E22" t="s">
        <v>142</v>
      </c>
      <c r="F22" t="s">
        <v>93</v>
      </c>
      <c r="G22" t="str">
        <f t="shared" si="0"/>
        <v>0</v>
      </c>
      <c r="H22" s="13" t="str">
        <f t="shared" si="3"/>
        <v>Click here</v>
      </c>
      <c r="I22" t="str">
        <f>IFERROR(INDEX(Analysis!$D$116:$N$137, MATCH(B22, Analysis!$C$116:$C$137, 0), MATCH(C22, Analysis!$D$115:$N$115, 0)), "")</f>
        <v>Mild</v>
      </c>
      <c r="J22">
        <f t="shared" si="4"/>
        <v>21</v>
      </c>
      <c r="K22" s="28">
        <f t="shared" si="1"/>
        <v>45799</v>
      </c>
      <c r="L22" s="46">
        <f t="shared" si="5"/>
        <v>0.617222222223063</v>
      </c>
      <c r="M22" t="str" cm="1">
        <f t="array" ref="M22">IF(L22="","",_xlfn.IFS(
  AND(L22&gt;=TIME(9,0,0), L22&lt;TIME(16,0,0)),"Morning",
  AND(L22&gt;=TIME(16,0,0), L22&lt;TIME(23,59,0)),"Evening",
  L22&gt;=TIME(23,59,0),"Night",
  L22&lt;TIME(9,0,0),"Night"
))</f>
        <v>Morning</v>
      </c>
      <c r="O22" t="str">
        <f t="shared" si="2"/>
        <v/>
      </c>
    </row>
    <row r="23" spans="1:15" x14ac:dyDescent="0.25">
      <c r="A23" s="49" t="s">
        <v>143</v>
      </c>
      <c r="B23" t="s">
        <v>26</v>
      </c>
      <c r="C23" t="s">
        <v>66</v>
      </c>
      <c r="D23" t="s">
        <v>144</v>
      </c>
      <c r="E23" t="s">
        <v>145</v>
      </c>
      <c r="F23" t="s">
        <v>93</v>
      </c>
      <c r="G23" t="str">
        <f t="shared" si="0"/>
        <v>0</v>
      </c>
      <c r="H23" s="13" t="str">
        <f t="shared" si="3"/>
        <v>Click here</v>
      </c>
      <c r="I23" t="str">
        <f>IFERROR(INDEX(Analysis!$D$116:$N$137, MATCH(B23, Analysis!$C$116:$C$137, 0), MATCH(C23, Analysis!$D$115:$N$115, 0)), "")</f>
        <v>Mild</v>
      </c>
      <c r="J23">
        <f t="shared" si="4"/>
        <v>21</v>
      </c>
      <c r="K23" s="28">
        <f t="shared" si="1"/>
        <v>45799</v>
      </c>
      <c r="L23" s="46">
        <f t="shared" si="5"/>
        <v>0.63820601852057735</v>
      </c>
      <c r="M23" t="str" cm="1">
        <f t="array" ref="M23">IF(L23="","",_xlfn.IFS(
  AND(L23&gt;=TIME(9,0,0), L23&lt;TIME(16,0,0)),"Morning",
  AND(L23&gt;=TIME(16,0,0), L23&lt;TIME(23,59,0)),"Evening",
  L23&gt;=TIME(23,59,0),"Night",
  L23&lt;TIME(9,0,0),"Night"
))</f>
        <v>Morning</v>
      </c>
      <c r="O23" t="str">
        <f t="shared" si="2"/>
        <v/>
      </c>
    </row>
    <row r="24" spans="1:15" x14ac:dyDescent="0.25">
      <c r="A24" s="49" t="s">
        <v>146</v>
      </c>
      <c r="B24" t="s">
        <v>26</v>
      </c>
      <c r="C24" t="s">
        <v>66</v>
      </c>
      <c r="D24" t="s">
        <v>144</v>
      </c>
      <c r="E24" t="s">
        <v>147</v>
      </c>
      <c r="F24" t="s">
        <v>93</v>
      </c>
      <c r="G24" t="str">
        <f t="shared" si="0"/>
        <v>0</v>
      </c>
      <c r="H24" s="13" t="str">
        <f t="shared" si="3"/>
        <v>Click here</v>
      </c>
      <c r="I24" t="str">
        <f>IFERROR(INDEX(Analysis!$D$116:$N$137, MATCH(B24, Analysis!$C$116:$C$137, 0), MATCH(C24, Analysis!$D$115:$N$115, 0)), "")</f>
        <v>Mild</v>
      </c>
      <c r="J24">
        <f t="shared" si="4"/>
        <v>21</v>
      </c>
      <c r="K24" s="28">
        <f t="shared" si="1"/>
        <v>45799</v>
      </c>
      <c r="L24" s="46">
        <f t="shared" si="5"/>
        <v>0.63840277777489973</v>
      </c>
      <c r="M24" t="str" cm="1">
        <f t="array" ref="M24">IF(L24="","",_xlfn.IFS(
  AND(L24&gt;=TIME(9,0,0), L24&lt;TIME(16,0,0)),"Morning",
  AND(L24&gt;=TIME(16,0,0), L24&lt;TIME(23,59,0)),"Evening",
  L24&gt;=TIME(23,59,0),"Night",
  L24&lt;TIME(9,0,0),"Night"
))</f>
        <v>Morning</v>
      </c>
      <c r="O24" t="str">
        <f t="shared" si="2"/>
        <v/>
      </c>
    </row>
    <row r="25" spans="1:15" x14ac:dyDescent="0.25">
      <c r="A25" s="49" t="s">
        <v>148</v>
      </c>
      <c r="B25" t="s">
        <v>34</v>
      </c>
      <c r="C25" t="s">
        <v>66</v>
      </c>
      <c r="D25" t="s">
        <v>96</v>
      </c>
      <c r="E25" t="s">
        <v>149</v>
      </c>
      <c r="F25" t="s">
        <v>93</v>
      </c>
      <c r="G25" t="str">
        <f t="shared" si="0"/>
        <v>0</v>
      </c>
      <c r="H25" s="13" t="str">
        <f t="shared" si="3"/>
        <v>Click here</v>
      </c>
      <c r="I25" t="str">
        <f>IFERROR(INDEX(Analysis!$D$116:$N$137, MATCH(B25, Analysis!$C$116:$C$137, 0), MATCH(C25, Analysis!$D$115:$N$115, 0)), "")</f>
        <v>Severe</v>
      </c>
      <c r="J25">
        <f t="shared" si="4"/>
        <v>21</v>
      </c>
      <c r="K25" s="28">
        <f t="shared" si="1"/>
        <v>45799</v>
      </c>
      <c r="L25" s="46">
        <f t="shared" si="5"/>
        <v>0.64054398148437031</v>
      </c>
      <c r="M25" t="str" cm="1">
        <f t="array" ref="M25">IF(L25="","",_xlfn.IFS(
  AND(L25&gt;=TIME(9,0,0), L25&lt;TIME(16,0,0)),"Morning",
  AND(L25&gt;=TIME(16,0,0), L25&lt;TIME(23,59,0)),"Evening",
  L25&gt;=TIME(23,59,0),"Night",
  L25&lt;TIME(9,0,0),"Night"
))</f>
        <v>Morning</v>
      </c>
      <c r="O25" t="str">
        <f t="shared" si="2"/>
        <v/>
      </c>
    </row>
    <row r="26" spans="1:15" x14ac:dyDescent="0.25">
      <c r="A26" s="49" t="s">
        <v>150</v>
      </c>
      <c r="B26" t="s">
        <v>33</v>
      </c>
      <c r="C26" t="s">
        <v>66</v>
      </c>
      <c r="D26" t="s">
        <v>104</v>
      </c>
      <c r="E26" t="s">
        <v>151</v>
      </c>
      <c r="F26" t="s">
        <v>93</v>
      </c>
      <c r="G26" t="str">
        <f t="shared" si="0"/>
        <v>0</v>
      </c>
      <c r="H26" s="13" t="str">
        <f t="shared" si="3"/>
        <v>Click here</v>
      </c>
      <c r="I26" t="str">
        <f>IFERROR(INDEX(Analysis!$D$116:$N$137, MATCH(B26, Analysis!$C$116:$C$137, 0), MATCH(C26, Analysis!$D$115:$N$115, 0)), "")</f>
        <v>Severe</v>
      </c>
      <c r="J26">
        <f t="shared" si="4"/>
        <v>21</v>
      </c>
      <c r="K26" s="28">
        <f t="shared" si="1"/>
        <v>45799</v>
      </c>
      <c r="L26" s="46">
        <f t="shared" si="5"/>
        <v>0.66408564814628335</v>
      </c>
      <c r="M26" t="str" cm="1">
        <f t="array" ref="M26">IF(L26="","",_xlfn.IFS(
  AND(L26&gt;=TIME(9,0,0), L26&lt;TIME(16,0,0)),"Morning",
  AND(L26&gt;=TIME(16,0,0), L26&lt;TIME(23,59,0)),"Evening",
  L26&gt;=TIME(23,59,0),"Night",
  L26&lt;TIME(9,0,0),"Night"
))</f>
        <v>Morning</v>
      </c>
      <c r="O26" t="str">
        <f t="shared" si="2"/>
        <v/>
      </c>
    </row>
    <row r="27" spans="1:15" x14ac:dyDescent="0.25">
      <c r="A27" s="49" t="s">
        <v>152</v>
      </c>
      <c r="B27" t="s">
        <v>28</v>
      </c>
      <c r="C27" t="s">
        <v>66</v>
      </c>
      <c r="D27" t="s">
        <v>101</v>
      </c>
      <c r="E27" t="s">
        <v>153</v>
      </c>
      <c r="F27" t="s">
        <v>93</v>
      </c>
      <c r="G27" t="str">
        <f t="shared" si="0"/>
        <v>0</v>
      </c>
      <c r="H27" s="13" t="str">
        <f t="shared" si="3"/>
        <v>Click here</v>
      </c>
      <c r="I27" t="str">
        <f>IFERROR(INDEX(Analysis!$D$116:$N$137, MATCH(B27, Analysis!$C$116:$C$137, 0), MATCH(C27, Analysis!$D$115:$N$115, 0)), "")</f>
        <v>Mild</v>
      </c>
      <c r="J27">
        <f t="shared" si="4"/>
        <v>21</v>
      </c>
      <c r="K27" s="28">
        <f t="shared" si="1"/>
        <v>45799</v>
      </c>
      <c r="L27" s="46">
        <f t="shared" si="5"/>
        <v>0.68057870370103046</v>
      </c>
      <c r="M27" t="str" cm="1">
        <f t="array" ref="M27">IF(L27="","",_xlfn.IFS(
  AND(L27&gt;=TIME(9,0,0), L27&lt;TIME(16,0,0)),"Morning",
  AND(L27&gt;=TIME(16,0,0), L27&lt;TIME(23,59,0)),"Evening",
  L27&gt;=TIME(23,59,0),"Night",
  L27&lt;TIME(9,0,0),"Night"
))</f>
        <v>Evening</v>
      </c>
      <c r="O27" t="str">
        <f t="shared" si="2"/>
        <v/>
      </c>
    </row>
    <row r="28" spans="1:15" x14ac:dyDescent="0.25">
      <c r="A28" s="49" t="s">
        <v>154</v>
      </c>
      <c r="B28" t="s">
        <v>26</v>
      </c>
      <c r="C28" t="s">
        <v>66</v>
      </c>
      <c r="D28" t="s">
        <v>144</v>
      </c>
      <c r="E28" t="s">
        <v>155</v>
      </c>
      <c r="F28" t="s">
        <v>93</v>
      </c>
      <c r="G28" t="str">
        <f t="shared" si="0"/>
        <v>0</v>
      </c>
      <c r="H28" s="13" t="str">
        <f t="shared" si="3"/>
        <v>Click here</v>
      </c>
      <c r="I28" t="str">
        <f>IFERROR(INDEX(Analysis!$D$116:$N$137, MATCH(B28, Analysis!$C$116:$C$137, 0), MATCH(C28, Analysis!$D$115:$N$115, 0)), "")</f>
        <v>Mild</v>
      </c>
      <c r="J28">
        <f t="shared" si="4"/>
        <v>21</v>
      </c>
      <c r="K28" s="28">
        <f t="shared" si="1"/>
        <v>45799</v>
      </c>
      <c r="L28" s="46">
        <f t="shared" si="5"/>
        <v>0.86876157407095889</v>
      </c>
      <c r="M28" t="str" cm="1">
        <f t="array" ref="M28">IF(L28="","",_xlfn.IFS(
  AND(L28&gt;=TIME(9,0,0), L28&lt;TIME(16,0,0)),"Morning",
  AND(L28&gt;=TIME(16,0,0), L28&lt;TIME(23,59,0)),"Evening",
  L28&gt;=TIME(23,59,0),"Night",
  L28&lt;TIME(9,0,0),"Night"
))</f>
        <v>Evening</v>
      </c>
      <c r="O28" t="str">
        <f t="shared" si="2"/>
        <v/>
      </c>
    </row>
    <row r="29" spans="1:15" x14ac:dyDescent="0.25">
      <c r="A29" s="49" t="s">
        <v>156</v>
      </c>
      <c r="B29" t="s">
        <v>26</v>
      </c>
      <c r="C29" t="s">
        <v>66</v>
      </c>
      <c r="D29" t="s">
        <v>144</v>
      </c>
      <c r="E29" t="s">
        <v>157</v>
      </c>
      <c r="F29" t="s">
        <v>93</v>
      </c>
      <c r="G29" t="str">
        <f t="shared" si="0"/>
        <v>0</v>
      </c>
      <c r="H29" s="13" t="str">
        <f t="shared" si="3"/>
        <v>Click here</v>
      </c>
      <c r="I29" t="str">
        <f>IFERROR(INDEX(Analysis!$D$116:$N$137, MATCH(B29, Analysis!$C$116:$C$137, 0), MATCH(C29, Analysis!$D$115:$N$115, 0)), "")</f>
        <v>Mild</v>
      </c>
      <c r="J29">
        <f t="shared" si="4"/>
        <v>21</v>
      </c>
      <c r="K29" s="28">
        <f t="shared" si="1"/>
        <v>45799</v>
      </c>
      <c r="L29" s="46">
        <f t="shared" si="5"/>
        <v>0.86900462963239988</v>
      </c>
      <c r="M29" t="str" cm="1">
        <f t="array" ref="M29">IF(L29="","",_xlfn.IFS(
  AND(L29&gt;=TIME(9,0,0), L29&lt;TIME(16,0,0)),"Morning",
  AND(L29&gt;=TIME(16,0,0), L29&lt;TIME(23,59,0)),"Evening",
  L29&gt;=TIME(23,59,0),"Night",
  L29&lt;TIME(9,0,0),"Night"
))</f>
        <v>Evening</v>
      </c>
      <c r="O29" t="str">
        <f t="shared" si="2"/>
        <v/>
      </c>
    </row>
    <row r="30" spans="1:15" x14ac:dyDescent="0.25">
      <c r="A30" s="49" t="s">
        <v>158</v>
      </c>
      <c r="B30" t="s">
        <v>26</v>
      </c>
      <c r="C30" t="s">
        <v>66</v>
      </c>
      <c r="D30" t="s">
        <v>104</v>
      </c>
      <c r="E30" t="s">
        <v>159</v>
      </c>
      <c r="F30" t="s">
        <v>93</v>
      </c>
      <c r="G30" t="str">
        <f t="shared" si="0"/>
        <v>0</v>
      </c>
      <c r="H30" s="13" t="str">
        <f t="shared" si="3"/>
        <v>Click here</v>
      </c>
      <c r="I30" t="str">
        <f>IFERROR(INDEX(Analysis!$D$116:$N$137, MATCH(B30, Analysis!$C$116:$C$137, 0), MATCH(C30, Analysis!$D$115:$N$115, 0)), "")</f>
        <v>Mild</v>
      </c>
      <c r="J30">
        <f t="shared" si="4"/>
        <v>21</v>
      </c>
      <c r="K30" s="28">
        <f t="shared" si="1"/>
        <v>45799</v>
      </c>
      <c r="L30" s="46">
        <f t="shared" si="5"/>
        <v>0.96673611111327773</v>
      </c>
      <c r="M30" t="str" cm="1">
        <f t="array" ref="M30">IF(L30="","",_xlfn.IFS(
  AND(L30&gt;=TIME(9,0,0), L30&lt;TIME(16,0,0)),"Morning",
  AND(L30&gt;=TIME(16,0,0), L30&lt;TIME(23,59,0)),"Evening",
  L30&gt;=TIME(23,59,0),"Night",
  L30&lt;TIME(9,0,0),"Night"
))</f>
        <v>Evening</v>
      </c>
      <c r="O30" t="str">
        <f t="shared" si="2"/>
        <v/>
      </c>
    </row>
    <row r="31" spans="1:15" x14ac:dyDescent="0.25">
      <c r="A31" s="49" t="s">
        <v>160</v>
      </c>
      <c r="B31" t="s">
        <v>26</v>
      </c>
      <c r="C31" t="s">
        <v>66</v>
      </c>
      <c r="D31" t="s">
        <v>125</v>
      </c>
      <c r="E31" t="s">
        <v>161</v>
      </c>
      <c r="F31" t="s">
        <v>93</v>
      </c>
      <c r="G31" t="str">
        <f t="shared" si="0"/>
        <v>0</v>
      </c>
      <c r="H31" s="13" t="str">
        <f t="shared" si="3"/>
        <v>Click here</v>
      </c>
      <c r="I31" t="str">
        <f>IFERROR(INDEX(Analysis!$D$116:$N$137, MATCH(B31, Analysis!$C$116:$C$137, 0), MATCH(C31, Analysis!$D$115:$N$115, 0)), "")</f>
        <v>Mild</v>
      </c>
      <c r="J31">
        <f t="shared" si="4"/>
        <v>21</v>
      </c>
      <c r="K31" s="28">
        <f t="shared" si="1"/>
        <v>45800</v>
      </c>
      <c r="L31" s="46">
        <f t="shared" si="5"/>
        <v>0.38829861111298669</v>
      </c>
      <c r="M31" t="str" cm="1">
        <f t="array" ref="M31">IF(L31="","",_xlfn.IFS(
  AND(L31&gt;=TIME(9,0,0), L31&lt;TIME(16,0,0)),"Morning",
  AND(L31&gt;=TIME(16,0,0), L31&lt;TIME(23,59,0)),"Evening",
  L31&gt;=TIME(23,59,0),"Night",
  L31&lt;TIME(9,0,0),"Night"
))</f>
        <v>Morning</v>
      </c>
      <c r="O31" t="str">
        <f t="shared" si="2"/>
        <v/>
      </c>
    </row>
    <row r="32" spans="1:15" x14ac:dyDescent="0.25">
      <c r="A32" s="49" t="s">
        <v>162</v>
      </c>
      <c r="B32" t="s">
        <v>35</v>
      </c>
      <c r="C32" t="s">
        <v>66</v>
      </c>
      <c r="D32" t="s">
        <v>96</v>
      </c>
      <c r="E32" t="s">
        <v>163</v>
      </c>
      <c r="F32" t="s">
        <v>93</v>
      </c>
      <c r="G32" t="str">
        <f t="shared" si="0"/>
        <v>0</v>
      </c>
      <c r="H32" s="13" t="str">
        <f t="shared" si="3"/>
        <v>Click here</v>
      </c>
      <c r="I32" t="str">
        <f>IFERROR(INDEX(Analysis!$D$116:$N$137, MATCH(B32, Analysis!$C$116:$C$137, 0), MATCH(C32, Analysis!$D$115:$N$115, 0)), "")</f>
        <v>Severe</v>
      </c>
      <c r="J32">
        <f t="shared" si="4"/>
        <v>21</v>
      </c>
      <c r="K32" s="28">
        <f t="shared" si="1"/>
        <v>45800</v>
      </c>
      <c r="L32" s="46">
        <f t="shared" si="5"/>
        <v>0.39517361111211358</v>
      </c>
      <c r="M32" t="str" cm="1">
        <f t="array" ref="M32">IF(L32="","",_xlfn.IFS(
  AND(L32&gt;=TIME(9,0,0), L32&lt;TIME(16,0,0)),"Morning",
  AND(L32&gt;=TIME(16,0,0), L32&lt;TIME(23,59,0)),"Evening",
  L32&gt;=TIME(23,59,0),"Night",
  L32&lt;TIME(9,0,0),"Night"
))</f>
        <v>Morning</v>
      </c>
      <c r="O32" t="str">
        <f t="shared" si="2"/>
        <v/>
      </c>
    </row>
    <row r="33" spans="1:15" x14ac:dyDescent="0.25">
      <c r="A33" s="49" t="s">
        <v>164</v>
      </c>
      <c r="B33" t="s">
        <v>33</v>
      </c>
      <c r="C33" t="s">
        <v>66</v>
      </c>
      <c r="D33" t="s">
        <v>104</v>
      </c>
      <c r="E33" t="s">
        <v>165</v>
      </c>
      <c r="F33" t="s">
        <v>93</v>
      </c>
      <c r="G33" t="str">
        <f t="shared" si="0"/>
        <v>0</v>
      </c>
      <c r="H33" s="13" t="str">
        <f t="shared" si="3"/>
        <v>Click here</v>
      </c>
      <c r="I33" t="str">
        <f>IFERROR(INDEX(Analysis!$D$116:$N$137, MATCH(B33, Analysis!$C$116:$C$137, 0), MATCH(C33, Analysis!$D$115:$N$115, 0)), "")</f>
        <v>Severe</v>
      </c>
      <c r="J33">
        <f t="shared" si="4"/>
        <v>21</v>
      </c>
      <c r="K33" s="28">
        <f t="shared" si="1"/>
        <v>45800</v>
      </c>
      <c r="L33" s="46">
        <f t="shared" si="5"/>
        <v>0.41324074073781958</v>
      </c>
      <c r="M33" t="str" cm="1">
        <f t="array" ref="M33">IF(L33="","",_xlfn.IFS(
  AND(L33&gt;=TIME(9,0,0), L33&lt;TIME(16,0,0)),"Morning",
  AND(L33&gt;=TIME(16,0,0), L33&lt;TIME(23,59,0)),"Evening",
  L33&gt;=TIME(23,59,0),"Night",
  L33&lt;TIME(9,0,0),"Night"
))</f>
        <v>Morning</v>
      </c>
      <c r="O33" t="str">
        <f t="shared" si="2"/>
        <v/>
      </c>
    </row>
    <row r="34" spans="1:15" x14ac:dyDescent="0.25">
      <c r="A34" s="49" t="s">
        <v>166</v>
      </c>
      <c r="B34" t="s">
        <v>26</v>
      </c>
      <c r="C34" t="s">
        <v>66</v>
      </c>
      <c r="D34" t="s">
        <v>101</v>
      </c>
      <c r="E34" t="s">
        <v>167</v>
      </c>
      <c r="F34" t="s">
        <v>93</v>
      </c>
      <c r="G34" t="str">
        <f t="shared" si="0"/>
        <v>0</v>
      </c>
      <c r="H34" s="13" t="str">
        <f t="shared" si="3"/>
        <v>Click here</v>
      </c>
      <c r="I34" t="str">
        <f>IFERROR(INDEX(Analysis!$D$116:$N$137, MATCH(B34, Analysis!$C$116:$C$137, 0), MATCH(C34, Analysis!$D$115:$N$115, 0)), "")</f>
        <v>Mild</v>
      </c>
      <c r="J34">
        <f t="shared" si="4"/>
        <v>21</v>
      </c>
      <c r="K34" s="28">
        <f t="shared" si="1"/>
        <v>45800</v>
      </c>
      <c r="L34" s="46">
        <f t="shared" si="5"/>
        <v>0.41704861111065838</v>
      </c>
      <c r="M34" t="str" cm="1">
        <f t="array" ref="M34">IF(L34="","",_xlfn.IFS(
  AND(L34&gt;=TIME(9,0,0), L34&lt;TIME(16,0,0)),"Morning",
  AND(L34&gt;=TIME(16,0,0), L34&lt;TIME(23,59,0)),"Evening",
  L34&gt;=TIME(23,59,0),"Night",
  L34&lt;TIME(9,0,0),"Night"
))</f>
        <v>Morning</v>
      </c>
      <c r="O34" t="str">
        <f t="shared" si="2"/>
        <v/>
      </c>
    </row>
    <row r="35" spans="1:15" x14ac:dyDescent="0.25">
      <c r="A35" s="49" t="s">
        <v>168</v>
      </c>
      <c r="B35" t="s">
        <v>26</v>
      </c>
      <c r="C35" t="s">
        <v>66</v>
      </c>
      <c r="D35" t="s">
        <v>104</v>
      </c>
      <c r="E35" t="s">
        <v>169</v>
      </c>
      <c r="F35" t="s">
        <v>93</v>
      </c>
      <c r="G35" t="str">
        <f t="shared" si="0"/>
        <v>0</v>
      </c>
      <c r="H35" s="13" t="str">
        <f t="shared" si="3"/>
        <v>Click here</v>
      </c>
      <c r="I35" t="str">
        <f>IFERROR(INDEX(Analysis!$D$116:$N$137, MATCH(B35, Analysis!$C$116:$C$137, 0), MATCH(C35, Analysis!$D$115:$N$115, 0)), "")</f>
        <v>Mild</v>
      </c>
      <c r="J35">
        <f t="shared" si="4"/>
        <v>21</v>
      </c>
      <c r="K35" s="28">
        <f t="shared" si="1"/>
        <v>45800</v>
      </c>
      <c r="L35" s="46">
        <f t="shared" si="5"/>
        <v>0.42276620370103046</v>
      </c>
      <c r="M35" t="str" cm="1">
        <f t="array" ref="M35">IF(L35="","",_xlfn.IFS(
  AND(L35&gt;=TIME(9,0,0), L35&lt;TIME(16,0,0)),"Morning",
  AND(L35&gt;=TIME(16,0,0), L35&lt;TIME(23,59,0)),"Evening",
  L35&gt;=TIME(23,59,0),"Night",
  L35&lt;TIME(9,0,0),"Night"
))</f>
        <v>Morning</v>
      </c>
      <c r="O35" t="str">
        <f t="shared" si="2"/>
        <v/>
      </c>
    </row>
    <row r="36" spans="1:15" x14ac:dyDescent="0.25">
      <c r="A36" s="49" t="s">
        <v>170</v>
      </c>
      <c r="B36" t="s">
        <v>34</v>
      </c>
      <c r="C36" t="s">
        <v>66</v>
      </c>
      <c r="D36" t="s">
        <v>122</v>
      </c>
      <c r="E36" t="s">
        <v>171</v>
      </c>
      <c r="F36" t="s">
        <v>93</v>
      </c>
      <c r="G36" t="str">
        <f t="shared" si="0"/>
        <v>0</v>
      </c>
      <c r="H36" s="13" t="str">
        <f t="shared" si="3"/>
        <v>Click here</v>
      </c>
      <c r="I36" t="str">
        <f>IFERROR(INDEX(Analysis!$D$116:$N$137, MATCH(B36, Analysis!$C$116:$C$137, 0), MATCH(C36, Analysis!$D$115:$N$115, 0)), "")</f>
        <v>Severe</v>
      </c>
      <c r="J36">
        <f t="shared" si="4"/>
        <v>21</v>
      </c>
      <c r="K36" s="28">
        <f t="shared" si="1"/>
        <v>45800</v>
      </c>
      <c r="L36" s="46">
        <f t="shared" si="5"/>
        <v>0.44064814814919373</v>
      </c>
      <c r="M36" t="str" cm="1">
        <f t="array" ref="M36">IF(L36="","",_xlfn.IFS(
  AND(L36&gt;=TIME(9,0,0), L36&lt;TIME(16,0,0)),"Morning",
  AND(L36&gt;=TIME(16,0,0), L36&lt;TIME(23,59,0)),"Evening",
  L36&gt;=TIME(23,59,0),"Night",
  L36&lt;TIME(9,0,0),"Night"
))</f>
        <v>Morning</v>
      </c>
      <c r="O36" t="str">
        <f t="shared" si="2"/>
        <v/>
      </c>
    </row>
    <row r="37" spans="1:15" x14ac:dyDescent="0.25">
      <c r="A37" s="49" t="s">
        <v>172</v>
      </c>
      <c r="B37" t="s">
        <v>35</v>
      </c>
      <c r="C37" t="s">
        <v>66</v>
      </c>
      <c r="D37" t="s">
        <v>104</v>
      </c>
      <c r="E37" t="s">
        <v>173</v>
      </c>
      <c r="F37" t="s">
        <v>93</v>
      </c>
      <c r="G37" t="str">
        <f t="shared" si="0"/>
        <v>0</v>
      </c>
      <c r="H37" s="13" t="str">
        <f t="shared" si="3"/>
        <v>Click here</v>
      </c>
      <c r="I37" t="str">
        <f>IFERROR(INDEX(Analysis!$D$116:$N$137, MATCH(B37, Analysis!$C$116:$C$137, 0), MATCH(C37, Analysis!$D$115:$N$115, 0)), "")</f>
        <v>Severe</v>
      </c>
      <c r="J37">
        <f t="shared" si="4"/>
        <v>21</v>
      </c>
      <c r="K37" s="28">
        <f t="shared" si="1"/>
        <v>45800</v>
      </c>
      <c r="L37" s="46">
        <f t="shared" si="5"/>
        <v>0.45599537037196569</v>
      </c>
      <c r="M37" t="str" cm="1">
        <f t="array" ref="M37">IF(L37="","",_xlfn.IFS(
  AND(L37&gt;=TIME(9,0,0), L37&lt;TIME(16,0,0)),"Morning",
  AND(L37&gt;=TIME(16,0,0), L37&lt;TIME(23,59,0)),"Evening",
  L37&gt;=TIME(23,59,0),"Night",
  L37&lt;TIME(9,0,0),"Night"
))</f>
        <v>Morning</v>
      </c>
      <c r="O37" t="str">
        <f t="shared" si="2"/>
        <v/>
      </c>
    </row>
    <row r="38" spans="1:15" x14ac:dyDescent="0.25">
      <c r="A38" s="49" t="s">
        <v>174</v>
      </c>
      <c r="B38" t="s">
        <v>35</v>
      </c>
      <c r="C38" t="s">
        <v>66</v>
      </c>
      <c r="D38" t="s">
        <v>104</v>
      </c>
      <c r="E38" t="s">
        <v>175</v>
      </c>
      <c r="F38" t="s">
        <v>93</v>
      </c>
      <c r="G38" t="str">
        <f t="shared" si="0"/>
        <v>0</v>
      </c>
      <c r="H38" s="13" t="str">
        <f t="shared" si="3"/>
        <v>Click here</v>
      </c>
      <c r="I38" t="str">
        <f>IFERROR(INDEX(Analysis!$D$116:$N$137, MATCH(B38, Analysis!$C$116:$C$137, 0), MATCH(C38, Analysis!$D$115:$N$115, 0)), "")</f>
        <v>Severe</v>
      </c>
      <c r="J38">
        <f t="shared" si="4"/>
        <v>21</v>
      </c>
      <c r="K38" s="28">
        <f t="shared" si="1"/>
        <v>45800</v>
      </c>
      <c r="L38" s="46">
        <f t="shared" si="5"/>
        <v>0.45648148148029577</v>
      </c>
      <c r="M38" t="str" cm="1">
        <f t="array" ref="M38">IF(L38="","",_xlfn.IFS(
  AND(L38&gt;=TIME(9,0,0), L38&lt;TIME(16,0,0)),"Morning",
  AND(L38&gt;=TIME(16,0,0), L38&lt;TIME(23,59,0)),"Evening",
  L38&gt;=TIME(23,59,0),"Night",
  L38&lt;TIME(9,0,0),"Night"
))</f>
        <v>Morning</v>
      </c>
      <c r="O38" t="str">
        <f t="shared" si="2"/>
        <v/>
      </c>
    </row>
    <row r="39" spans="1:15" x14ac:dyDescent="0.25">
      <c r="A39" s="49" t="s">
        <v>176</v>
      </c>
      <c r="B39" t="s">
        <v>26</v>
      </c>
      <c r="C39" t="s">
        <v>66</v>
      </c>
      <c r="D39" t="s">
        <v>125</v>
      </c>
      <c r="E39" t="s">
        <v>177</v>
      </c>
      <c r="F39" t="s">
        <v>93</v>
      </c>
      <c r="G39" t="str">
        <f t="shared" si="0"/>
        <v>0</v>
      </c>
      <c r="H39" s="13" t="str">
        <f t="shared" si="3"/>
        <v>Click here</v>
      </c>
      <c r="I39" t="str">
        <f>IFERROR(INDEX(Analysis!$D$116:$N$137, MATCH(B39, Analysis!$C$116:$C$137, 0), MATCH(C39, Analysis!$D$115:$N$115, 0)), "")</f>
        <v>Mild</v>
      </c>
      <c r="J39">
        <f t="shared" si="4"/>
        <v>21</v>
      </c>
      <c r="K39" s="28">
        <f t="shared" si="1"/>
        <v>45800</v>
      </c>
      <c r="L39" s="46">
        <f t="shared" si="5"/>
        <v>0.46430555555707542</v>
      </c>
      <c r="M39" t="str" cm="1">
        <f t="array" ref="M39">IF(L39="","",_xlfn.IFS(
  AND(L39&gt;=TIME(9,0,0), L39&lt;TIME(16,0,0)),"Morning",
  AND(L39&gt;=TIME(16,0,0), L39&lt;TIME(23,59,0)),"Evening",
  L39&gt;=TIME(23,59,0),"Night",
  L39&lt;TIME(9,0,0),"Night"
))</f>
        <v>Morning</v>
      </c>
      <c r="O39" t="str">
        <f t="shared" si="2"/>
        <v/>
      </c>
    </row>
    <row r="40" spans="1:15" x14ac:dyDescent="0.25">
      <c r="A40" s="49" t="s">
        <v>178</v>
      </c>
      <c r="B40" t="s">
        <v>28</v>
      </c>
      <c r="C40" t="s">
        <v>66</v>
      </c>
      <c r="D40" t="s">
        <v>101</v>
      </c>
      <c r="E40" t="s">
        <v>179</v>
      </c>
      <c r="F40" t="s">
        <v>93</v>
      </c>
      <c r="G40" t="str">
        <f t="shared" si="0"/>
        <v>0</v>
      </c>
      <c r="H40" s="13" t="str">
        <f t="shared" si="3"/>
        <v>Click here</v>
      </c>
      <c r="I40" t="str">
        <f>IFERROR(INDEX(Analysis!$D$116:$N$137, MATCH(B40, Analysis!$C$116:$C$137, 0), MATCH(C40, Analysis!$D$115:$N$115, 0)), "")</f>
        <v>Mild</v>
      </c>
      <c r="J40">
        <f t="shared" si="4"/>
        <v>21</v>
      </c>
      <c r="K40" s="28">
        <f t="shared" si="1"/>
        <v>45800</v>
      </c>
      <c r="L40" s="46">
        <f t="shared" si="5"/>
        <v>0.4648958333345945</v>
      </c>
      <c r="M40" t="str" cm="1">
        <f t="array" ref="M40">IF(L40="","",_xlfn.IFS(
  AND(L40&gt;=TIME(9,0,0), L40&lt;TIME(16,0,0)),"Morning",
  AND(L40&gt;=TIME(16,0,0), L40&lt;TIME(23,59,0)),"Evening",
  L40&gt;=TIME(23,59,0),"Night",
  L40&lt;TIME(9,0,0),"Night"
))</f>
        <v>Morning</v>
      </c>
      <c r="O40" t="str">
        <f t="shared" si="2"/>
        <v/>
      </c>
    </row>
    <row r="41" spans="1:15" x14ac:dyDescent="0.25">
      <c r="A41" s="49" t="s">
        <v>180</v>
      </c>
      <c r="B41" t="s">
        <v>26</v>
      </c>
      <c r="C41" t="s">
        <v>66</v>
      </c>
      <c r="D41" t="s">
        <v>125</v>
      </c>
      <c r="E41" t="s">
        <v>181</v>
      </c>
      <c r="F41" t="s">
        <v>93</v>
      </c>
      <c r="G41" t="str">
        <f t="shared" si="0"/>
        <v>0</v>
      </c>
      <c r="H41" s="13" t="str">
        <f t="shared" si="3"/>
        <v>Click here</v>
      </c>
      <c r="I41" t="str">
        <f>IFERROR(INDEX(Analysis!$D$116:$N$137, MATCH(B41, Analysis!$C$116:$C$137, 0), MATCH(C41, Analysis!$D$115:$N$115, 0)), "")</f>
        <v>Mild</v>
      </c>
      <c r="J41">
        <f t="shared" si="4"/>
        <v>21</v>
      </c>
      <c r="K41" s="28">
        <f t="shared" si="1"/>
        <v>45800</v>
      </c>
      <c r="L41" s="46">
        <f t="shared" si="5"/>
        <v>0.46771990740671754</v>
      </c>
      <c r="M41" t="str" cm="1">
        <f t="array" ref="M41">IF(L41="","",_xlfn.IFS(
  AND(L41&gt;=TIME(9,0,0), L41&lt;TIME(16,0,0)),"Morning",
  AND(L41&gt;=TIME(16,0,0), L41&lt;TIME(23,59,0)),"Evening",
  L41&gt;=TIME(23,59,0),"Night",
  L41&lt;TIME(9,0,0),"Night"
))</f>
        <v>Morning</v>
      </c>
      <c r="O41" t="str">
        <f t="shared" si="2"/>
        <v/>
      </c>
    </row>
    <row r="42" spans="1:15" x14ac:dyDescent="0.25">
      <c r="A42" s="49" t="s">
        <v>182</v>
      </c>
      <c r="B42" t="s">
        <v>34</v>
      </c>
      <c r="C42" t="s">
        <v>66</v>
      </c>
      <c r="D42" t="s">
        <v>183</v>
      </c>
      <c r="E42" t="s">
        <v>184</v>
      </c>
      <c r="F42" t="s">
        <v>93</v>
      </c>
      <c r="G42" t="str">
        <f t="shared" si="0"/>
        <v>0</v>
      </c>
      <c r="H42" s="13" t="str">
        <f t="shared" si="3"/>
        <v>Click here</v>
      </c>
      <c r="I42" t="str">
        <f>IFERROR(INDEX(Analysis!$D$116:$N$137, MATCH(B42, Analysis!$C$116:$C$137, 0), MATCH(C42, Analysis!$D$115:$N$115, 0)), "")</f>
        <v>Severe</v>
      </c>
      <c r="J42">
        <f t="shared" si="4"/>
        <v>21</v>
      </c>
      <c r="K42" s="28">
        <f t="shared" si="1"/>
        <v>45800</v>
      </c>
      <c r="L42" s="46">
        <f t="shared" si="5"/>
        <v>0.48152777777431766</v>
      </c>
      <c r="M42" t="str" cm="1">
        <f t="array" ref="M42">IF(L42="","",_xlfn.IFS(
  AND(L42&gt;=TIME(9,0,0), L42&lt;TIME(16,0,0)),"Morning",
  AND(L42&gt;=TIME(16,0,0), L42&lt;TIME(23,59,0)),"Evening",
  L42&gt;=TIME(23,59,0),"Night",
  L42&lt;TIME(9,0,0),"Night"
))</f>
        <v>Morning</v>
      </c>
      <c r="O42" t="str">
        <f t="shared" si="2"/>
        <v/>
      </c>
    </row>
    <row r="43" spans="1:15" x14ac:dyDescent="0.25">
      <c r="A43" s="49" t="s">
        <v>185</v>
      </c>
      <c r="B43" t="s">
        <v>26</v>
      </c>
      <c r="C43" t="s">
        <v>66</v>
      </c>
      <c r="D43" t="s">
        <v>101</v>
      </c>
      <c r="E43" t="s">
        <v>186</v>
      </c>
      <c r="F43" t="s">
        <v>93</v>
      </c>
      <c r="G43" t="str">
        <f t="shared" si="0"/>
        <v>0</v>
      </c>
      <c r="H43" s="13" t="str">
        <f t="shared" si="3"/>
        <v>Click here</v>
      </c>
      <c r="I43" t="str">
        <f>IFERROR(INDEX(Analysis!$D$116:$N$137, MATCH(B43, Analysis!$C$116:$C$137, 0), MATCH(C43, Analysis!$D$115:$N$115, 0)), "")</f>
        <v>Mild</v>
      </c>
      <c r="J43">
        <f t="shared" si="4"/>
        <v>21</v>
      </c>
      <c r="K43" s="28">
        <f t="shared" si="1"/>
        <v>45800</v>
      </c>
      <c r="L43" s="46">
        <f t="shared" si="5"/>
        <v>0.54133101851766696</v>
      </c>
      <c r="M43" t="str" cm="1">
        <f t="array" ref="M43">IF(L43="","",_xlfn.IFS(
  AND(L43&gt;=TIME(9,0,0), L43&lt;TIME(16,0,0)),"Morning",
  AND(L43&gt;=TIME(16,0,0), L43&lt;TIME(23,59,0)),"Evening",
  L43&gt;=TIME(23,59,0),"Night",
  L43&lt;TIME(9,0,0),"Night"
))</f>
        <v>Morning</v>
      </c>
      <c r="O43" t="str">
        <f t="shared" si="2"/>
        <v/>
      </c>
    </row>
    <row r="44" spans="1:15" x14ac:dyDescent="0.25">
      <c r="A44" s="49" t="s">
        <v>187</v>
      </c>
      <c r="B44" t="s">
        <v>26</v>
      </c>
      <c r="C44" t="s">
        <v>66</v>
      </c>
      <c r="D44" t="s">
        <v>144</v>
      </c>
      <c r="E44" t="s">
        <v>188</v>
      </c>
      <c r="F44" t="s">
        <v>93</v>
      </c>
      <c r="G44" t="str">
        <f t="shared" si="0"/>
        <v>0</v>
      </c>
      <c r="H44" s="13" t="str">
        <f t="shared" si="3"/>
        <v>Click here</v>
      </c>
      <c r="I44" t="str">
        <f>IFERROR(INDEX(Analysis!$D$116:$N$137, MATCH(B44, Analysis!$C$116:$C$137, 0), MATCH(C44, Analysis!$D$115:$N$115, 0)), "")</f>
        <v>Mild</v>
      </c>
      <c r="J44">
        <f t="shared" si="4"/>
        <v>21</v>
      </c>
      <c r="K44" s="28">
        <f t="shared" si="1"/>
        <v>45800</v>
      </c>
      <c r="L44" s="46">
        <f t="shared" si="5"/>
        <v>0.59340277777664596</v>
      </c>
      <c r="M44" t="str" cm="1">
        <f t="array" ref="M44">IF(L44="","",_xlfn.IFS(
  AND(L44&gt;=TIME(9,0,0), L44&lt;TIME(16,0,0)),"Morning",
  AND(L44&gt;=TIME(16,0,0), L44&lt;TIME(23,59,0)),"Evening",
  L44&gt;=TIME(23,59,0),"Night",
  L44&lt;TIME(9,0,0),"Night"
))</f>
        <v>Morning</v>
      </c>
      <c r="O44" t="str">
        <f t="shared" si="2"/>
        <v/>
      </c>
    </row>
    <row r="45" spans="1:15" x14ac:dyDescent="0.25">
      <c r="A45" s="49" t="s">
        <v>189</v>
      </c>
      <c r="B45" t="s">
        <v>28</v>
      </c>
      <c r="C45" t="s">
        <v>66</v>
      </c>
      <c r="D45" t="s">
        <v>101</v>
      </c>
      <c r="E45" t="s">
        <v>190</v>
      </c>
      <c r="F45" t="s">
        <v>93</v>
      </c>
      <c r="G45" t="str">
        <f t="shared" si="0"/>
        <v>0</v>
      </c>
      <c r="H45" s="13" t="str">
        <f t="shared" si="3"/>
        <v>Click here</v>
      </c>
      <c r="I45" t="str">
        <f>IFERROR(INDEX(Analysis!$D$116:$N$137, MATCH(B45, Analysis!$C$116:$C$137, 0), MATCH(C45, Analysis!$D$115:$N$115, 0)), "")</f>
        <v>Mild</v>
      </c>
      <c r="J45">
        <f t="shared" si="4"/>
        <v>21</v>
      </c>
      <c r="K45" s="28">
        <f t="shared" si="1"/>
        <v>45800</v>
      </c>
      <c r="L45" s="46">
        <f t="shared" si="5"/>
        <v>0.60004629629838746</v>
      </c>
      <c r="M45" t="str" cm="1">
        <f t="array" ref="M45">IF(L45="","",_xlfn.IFS(
  AND(L45&gt;=TIME(9,0,0), L45&lt;TIME(16,0,0)),"Morning",
  AND(L45&gt;=TIME(16,0,0), L45&lt;TIME(23,59,0)),"Evening",
  L45&gt;=TIME(23,59,0),"Night",
  L45&lt;TIME(9,0,0),"Night"
))</f>
        <v>Morning</v>
      </c>
      <c r="O45" t="str">
        <f t="shared" si="2"/>
        <v/>
      </c>
    </row>
    <row r="46" spans="1:15" x14ac:dyDescent="0.25">
      <c r="A46" s="49" t="s">
        <v>191</v>
      </c>
      <c r="B46" t="s">
        <v>26</v>
      </c>
      <c r="C46" t="s">
        <v>66</v>
      </c>
      <c r="D46" t="s">
        <v>101</v>
      </c>
      <c r="E46" t="s">
        <v>192</v>
      </c>
      <c r="F46" t="s">
        <v>93</v>
      </c>
      <c r="G46" t="str">
        <f t="shared" si="0"/>
        <v>0</v>
      </c>
      <c r="H46" s="13" t="str">
        <f t="shared" si="3"/>
        <v>Click here</v>
      </c>
      <c r="I46" t="str">
        <f>IFERROR(INDEX(Analysis!$D$116:$N$137, MATCH(B46, Analysis!$C$116:$C$137, 0), MATCH(C46, Analysis!$D$115:$N$115, 0)), "")</f>
        <v>Mild</v>
      </c>
      <c r="J46">
        <f t="shared" si="4"/>
        <v>21</v>
      </c>
      <c r="K46" s="28">
        <f t="shared" si="1"/>
        <v>45800</v>
      </c>
      <c r="L46" s="46">
        <f t="shared" si="5"/>
        <v>0.6003935185217415</v>
      </c>
      <c r="M46" t="str" cm="1">
        <f t="array" ref="M46">IF(L46="","",_xlfn.IFS(
  AND(L46&gt;=TIME(9,0,0), L46&lt;TIME(16,0,0)),"Morning",
  AND(L46&gt;=TIME(16,0,0), L46&lt;TIME(23,59,0)),"Evening",
  L46&gt;=TIME(23,59,0),"Night",
  L46&lt;TIME(9,0,0),"Night"
))</f>
        <v>Morning</v>
      </c>
      <c r="O46" t="str">
        <f t="shared" si="2"/>
        <v/>
      </c>
    </row>
    <row r="47" spans="1:15" x14ac:dyDescent="0.25">
      <c r="A47" s="49" t="s">
        <v>193</v>
      </c>
      <c r="B47" t="s">
        <v>28</v>
      </c>
      <c r="C47" t="s">
        <v>66</v>
      </c>
      <c r="D47" t="s">
        <v>101</v>
      </c>
      <c r="E47" t="s">
        <v>194</v>
      </c>
      <c r="F47" t="s">
        <v>93</v>
      </c>
      <c r="G47" t="str">
        <f t="shared" si="0"/>
        <v>0</v>
      </c>
      <c r="H47" s="13" t="str">
        <f t="shared" si="3"/>
        <v>Click here</v>
      </c>
      <c r="I47" t="str">
        <f>IFERROR(INDEX(Analysis!$D$116:$N$137, MATCH(B47, Analysis!$C$116:$C$137, 0), MATCH(C47, Analysis!$D$115:$N$115, 0)), "")</f>
        <v>Mild</v>
      </c>
      <c r="J47">
        <f t="shared" si="4"/>
        <v>21</v>
      </c>
      <c r="K47" s="28">
        <f t="shared" si="1"/>
        <v>45800</v>
      </c>
      <c r="L47" s="46">
        <f t="shared" si="5"/>
        <v>0.61042824073956581</v>
      </c>
      <c r="M47" t="str" cm="1">
        <f t="array" ref="M47">IF(L47="","",_xlfn.IFS(
  AND(L47&gt;=TIME(9,0,0), L47&lt;TIME(16,0,0)),"Morning",
  AND(L47&gt;=TIME(16,0,0), L47&lt;TIME(23,59,0)),"Evening",
  L47&gt;=TIME(23,59,0),"Night",
  L47&lt;TIME(9,0,0),"Night"
))</f>
        <v>Morning</v>
      </c>
      <c r="O47" t="str">
        <f t="shared" si="2"/>
        <v/>
      </c>
    </row>
    <row r="48" spans="1:15" x14ac:dyDescent="0.25">
      <c r="A48" s="49" t="s">
        <v>195</v>
      </c>
      <c r="B48" t="s">
        <v>35</v>
      </c>
      <c r="C48" t="s">
        <v>66</v>
      </c>
      <c r="D48" t="s">
        <v>96</v>
      </c>
      <c r="E48" t="s">
        <v>196</v>
      </c>
      <c r="F48" t="s">
        <v>93</v>
      </c>
      <c r="G48" t="str">
        <f t="shared" si="0"/>
        <v>0</v>
      </c>
      <c r="H48" s="13" t="str">
        <f t="shared" si="3"/>
        <v>Click here</v>
      </c>
      <c r="I48" t="str">
        <f>IFERROR(INDEX(Analysis!$D$116:$N$137, MATCH(B48, Analysis!$C$116:$C$137, 0), MATCH(C48, Analysis!$D$115:$N$115, 0)), "")</f>
        <v>Severe</v>
      </c>
      <c r="J48">
        <f t="shared" si="4"/>
        <v>21</v>
      </c>
      <c r="K48" s="28">
        <f t="shared" si="1"/>
        <v>45800</v>
      </c>
      <c r="L48" s="46">
        <f t="shared" si="5"/>
        <v>0.63247685185342561</v>
      </c>
      <c r="M48" t="str" cm="1">
        <f t="array" ref="M48">IF(L48="","",_xlfn.IFS(
  AND(L48&gt;=TIME(9,0,0), L48&lt;TIME(16,0,0)),"Morning",
  AND(L48&gt;=TIME(16,0,0), L48&lt;TIME(23,59,0)),"Evening",
  L48&gt;=TIME(23,59,0),"Night",
  L48&lt;TIME(9,0,0),"Night"
))</f>
        <v>Morning</v>
      </c>
      <c r="O48" t="str">
        <f t="shared" si="2"/>
        <v/>
      </c>
    </row>
    <row r="49" spans="1:15" x14ac:dyDescent="0.25">
      <c r="A49" s="49" t="s">
        <v>197</v>
      </c>
      <c r="B49" t="s">
        <v>28</v>
      </c>
      <c r="C49" t="s">
        <v>66</v>
      </c>
      <c r="D49" t="s">
        <v>101</v>
      </c>
      <c r="E49" t="s">
        <v>198</v>
      </c>
      <c r="F49" t="s">
        <v>93</v>
      </c>
      <c r="G49" t="str">
        <f t="shared" si="0"/>
        <v>0</v>
      </c>
      <c r="H49" s="13" t="str">
        <f t="shared" si="3"/>
        <v>Click here</v>
      </c>
      <c r="I49" t="str">
        <f>IFERROR(INDEX(Analysis!$D$116:$N$137, MATCH(B49, Analysis!$C$116:$C$137, 0), MATCH(C49, Analysis!$D$115:$N$115, 0)), "")</f>
        <v>Mild</v>
      </c>
      <c r="J49">
        <f t="shared" si="4"/>
        <v>21</v>
      </c>
      <c r="K49" s="28">
        <f t="shared" si="1"/>
        <v>45800</v>
      </c>
      <c r="L49" s="46">
        <f t="shared" si="5"/>
        <v>0.63457175925577758</v>
      </c>
      <c r="M49" t="str" cm="1">
        <f t="array" ref="M49">IF(L49="","",_xlfn.IFS(
  AND(L49&gt;=TIME(9,0,0), L49&lt;TIME(16,0,0)),"Morning",
  AND(L49&gt;=TIME(16,0,0), L49&lt;TIME(23,59,0)),"Evening",
  L49&gt;=TIME(23,59,0),"Night",
  L49&lt;TIME(9,0,0),"Night"
))</f>
        <v>Morning</v>
      </c>
      <c r="O49" t="str">
        <f t="shared" si="2"/>
        <v/>
      </c>
    </row>
    <row r="50" spans="1:15" x14ac:dyDescent="0.25">
      <c r="A50" s="49" t="s">
        <v>199</v>
      </c>
      <c r="B50" t="s">
        <v>26</v>
      </c>
      <c r="C50" t="s">
        <v>66</v>
      </c>
      <c r="D50" t="s">
        <v>144</v>
      </c>
      <c r="E50" t="s">
        <v>200</v>
      </c>
      <c r="F50" t="s">
        <v>93</v>
      </c>
      <c r="G50" t="str">
        <f t="shared" si="0"/>
        <v>0</v>
      </c>
      <c r="H50" s="13" t="str">
        <f t="shared" si="3"/>
        <v>Click here</v>
      </c>
      <c r="I50" t="str">
        <f>IFERROR(INDEX(Analysis!$D$116:$N$137, MATCH(B50, Analysis!$C$116:$C$137, 0), MATCH(C50, Analysis!$D$115:$N$115, 0)), "")</f>
        <v>Mild</v>
      </c>
      <c r="J50">
        <f t="shared" si="4"/>
        <v>21</v>
      </c>
      <c r="K50" s="28">
        <f t="shared" si="1"/>
        <v>45800</v>
      </c>
      <c r="L50" s="46">
        <f t="shared" si="5"/>
        <v>0.64619212962861639</v>
      </c>
      <c r="M50" t="str" cm="1">
        <f t="array" ref="M50">IF(L50="","",_xlfn.IFS(
  AND(L50&gt;=TIME(9,0,0), L50&lt;TIME(16,0,0)),"Morning",
  AND(L50&gt;=TIME(16,0,0), L50&lt;TIME(23,59,0)),"Evening",
  L50&gt;=TIME(23,59,0),"Night",
  L50&lt;TIME(9,0,0),"Night"
))</f>
        <v>Morning</v>
      </c>
      <c r="O50" t="str">
        <f t="shared" si="2"/>
        <v/>
      </c>
    </row>
    <row r="51" spans="1:15" x14ac:dyDescent="0.25">
      <c r="A51" s="49" t="s">
        <v>201</v>
      </c>
      <c r="B51" t="s">
        <v>26</v>
      </c>
      <c r="C51" t="s">
        <v>66</v>
      </c>
      <c r="D51" t="s">
        <v>144</v>
      </c>
      <c r="E51" t="s">
        <v>202</v>
      </c>
      <c r="F51" t="s">
        <v>93</v>
      </c>
      <c r="G51" t="str">
        <f t="shared" si="0"/>
        <v>0</v>
      </c>
      <c r="H51" s="13" t="str">
        <f t="shared" si="3"/>
        <v>Click here</v>
      </c>
      <c r="I51" t="str">
        <f>IFERROR(INDEX(Analysis!$D$116:$N$137, MATCH(B51, Analysis!$C$116:$C$137, 0), MATCH(C51, Analysis!$D$115:$N$115, 0)), "")</f>
        <v>Mild</v>
      </c>
      <c r="J51">
        <f t="shared" si="4"/>
        <v>21</v>
      </c>
      <c r="K51" s="28">
        <f t="shared" si="1"/>
        <v>45800</v>
      </c>
      <c r="L51" s="46">
        <f t="shared" si="5"/>
        <v>0.64636574074393138</v>
      </c>
      <c r="M51" t="str" cm="1">
        <f t="array" ref="M51">IF(L51="","",_xlfn.IFS(
  AND(L51&gt;=TIME(9,0,0), L51&lt;TIME(16,0,0)),"Morning",
  AND(L51&gt;=TIME(16,0,0), L51&lt;TIME(23,59,0)),"Evening",
  L51&gt;=TIME(23,59,0),"Night",
  L51&lt;TIME(9,0,0),"Night"
))</f>
        <v>Morning</v>
      </c>
      <c r="O51" t="str">
        <f t="shared" si="2"/>
        <v/>
      </c>
    </row>
    <row r="52" spans="1:15" x14ac:dyDescent="0.25">
      <c r="A52" s="49" t="s">
        <v>203</v>
      </c>
      <c r="B52" t="s">
        <v>28</v>
      </c>
      <c r="C52" t="s">
        <v>66</v>
      </c>
      <c r="D52" t="s">
        <v>144</v>
      </c>
      <c r="E52" t="s">
        <v>204</v>
      </c>
      <c r="F52" t="s">
        <v>93</v>
      </c>
      <c r="G52" t="str">
        <f t="shared" si="0"/>
        <v>0</v>
      </c>
      <c r="H52" s="13" t="str">
        <f t="shared" si="3"/>
        <v>Click here</v>
      </c>
      <c r="I52" t="str">
        <f>IFERROR(INDEX(Analysis!$D$116:$N$137, MATCH(B52, Analysis!$C$116:$C$137, 0), MATCH(C52, Analysis!$D$115:$N$115, 0)), "")</f>
        <v>Mild</v>
      </c>
      <c r="J52">
        <f t="shared" si="4"/>
        <v>21</v>
      </c>
      <c r="K52" s="28">
        <f t="shared" si="1"/>
        <v>45800</v>
      </c>
      <c r="L52" s="46">
        <f t="shared" si="5"/>
        <v>0.66619212963269092</v>
      </c>
      <c r="M52" t="str" cm="1">
        <f t="array" ref="M52">IF(L52="","",_xlfn.IFS(
  AND(L52&gt;=TIME(9,0,0), L52&lt;TIME(16,0,0)),"Morning",
  AND(L52&gt;=TIME(16,0,0), L52&lt;TIME(23,59,0)),"Evening",
  L52&gt;=TIME(23,59,0),"Night",
  L52&lt;TIME(9,0,0),"Night"
))</f>
        <v>Morning</v>
      </c>
      <c r="O52" t="str">
        <f t="shared" si="2"/>
        <v/>
      </c>
    </row>
    <row r="53" spans="1:15" x14ac:dyDescent="0.25">
      <c r="A53" s="49" t="s">
        <v>205</v>
      </c>
      <c r="B53" t="s">
        <v>26</v>
      </c>
      <c r="C53" t="s">
        <v>66</v>
      </c>
      <c r="D53" t="s">
        <v>104</v>
      </c>
      <c r="E53" t="s">
        <v>206</v>
      </c>
      <c r="F53" t="s">
        <v>93</v>
      </c>
      <c r="G53" t="str">
        <f t="shared" si="0"/>
        <v>0</v>
      </c>
      <c r="H53" s="13" t="str">
        <f t="shared" si="3"/>
        <v>Click here</v>
      </c>
      <c r="I53" t="str">
        <f>IFERROR(INDEX(Analysis!$D$116:$N$137, MATCH(B53, Analysis!$C$116:$C$137, 0), MATCH(C53, Analysis!$D$115:$N$115, 0)), "")</f>
        <v>Mild</v>
      </c>
      <c r="J53">
        <f t="shared" si="4"/>
        <v>21</v>
      </c>
      <c r="K53" s="28">
        <f t="shared" si="1"/>
        <v>45800</v>
      </c>
      <c r="L53" s="46">
        <f t="shared" si="5"/>
        <v>0.66874999999708962</v>
      </c>
      <c r="M53" t="str" cm="1">
        <f t="array" ref="M53">IF(L53="","",_xlfn.IFS(
  AND(L53&gt;=TIME(9,0,0), L53&lt;TIME(16,0,0)),"Morning",
  AND(L53&gt;=TIME(16,0,0), L53&lt;TIME(23,59,0)),"Evening",
  L53&gt;=TIME(23,59,0),"Night",
  L53&lt;TIME(9,0,0),"Night"
))</f>
        <v>Evening</v>
      </c>
      <c r="O53" t="str">
        <f t="shared" si="2"/>
        <v/>
      </c>
    </row>
    <row r="54" spans="1:15" x14ac:dyDescent="0.25">
      <c r="A54" s="49" t="s">
        <v>207</v>
      </c>
      <c r="B54" t="s">
        <v>28</v>
      </c>
      <c r="C54" t="s">
        <v>66</v>
      </c>
      <c r="D54" t="s">
        <v>208</v>
      </c>
      <c r="E54" t="s">
        <v>209</v>
      </c>
      <c r="F54" t="s">
        <v>93</v>
      </c>
      <c r="G54" t="str">
        <f t="shared" si="0"/>
        <v>0</v>
      </c>
      <c r="H54" s="13" t="str">
        <f t="shared" si="3"/>
        <v>Click here</v>
      </c>
      <c r="I54" t="str">
        <f>IFERROR(INDEX(Analysis!$D$116:$N$137, MATCH(B54, Analysis!$C$116:$C$137, 0), MATCH(C54, Analysis!$D$115:$N$115, 0)), "")</f>
        <v>Mild</v>
      </c>
      <c r="J54">
        <f t="shared" si="4"/>
        <v>21</v>
      </c>
      <c r="K54" s="28">
        <f t="shared" si="1"/>
        <v>45800</v>
      </c>
      <c r="L54" s="46">
        <f t="shared" si="5"/>
        <v>0.66968749999796273</v>
      </c>
      <c r="M54" t="str" cm="1">
        <f t="array" ref="M54">IF(L54="","",_xlfn.IFS(
  AND(L54&gt;=TIME(9,0,0), L54&lt;TIME(16,0,0)),"Morning",
  AND(L54&gt;=TIME(16,0,0), L54&lt;TIME(23,59,0)),"Evening",
  L54&gt;=TIME(23,59,0),"Night",
  L54&lt;TIME(9,0,0),"Night"
))</f>
        <v>Evening</v>
      </c>
      <c r="O54" t="str">
        <f t="shared" si="2"/>
        <v/>
      </c>
    </row>
    <row r="55" spans="1:15" x14ac:dyDescent="0.25">
      <c r="A55" s="49" t="s">
        <v>210</v>
      </c>
      <c r="B55" t="s">
        <v>26</v>
      </c>
      <c r="C55" t="s">
        <v>66</v>
      </c>
      <c r="D55" t="s">
        <v>125</v>
      </c>
      <c r="E55" t="s">
        <v>211</v>
      </c>
      <c r="F55" t="s">
        <v>93</v>
      </c>
      <c r="G55" t="str">
        <f t="shared" si="0"/>
        <v>0</v>
      </c>
      <c r="H55" s="13" t="str">
        <f t="shared" si="3"/>
        <v>Click here</v>
      </c>
      <c r="I55" t="str">
        <f>IFERROR(INDEX(Analysis!$D$116:$N$137, MATCH(B55, Analysis!$C$116:$C$137, 0), MATCH(C55, Analysis!$D$115:$N$115, 0)), "")</f>
        <v>Mild</v>
      </c>
      <c r="J55">
        <f t="shared" si="4"/>
        <v>21</v>
      </c>
      <c r="K55" s="28">
        <f t="shared" si="1"/>
        <v>45800</v>
      </c>
      <c r="L55" s="46">
        <f t="shared" si="5"/>
        <v>0.67100694444525288</v>
      </c>
      <c r="M55" t="str" cm="1">
        <f t="array" ref="M55">IF(L55="","",_xlfn.IFS(
  AND(L55&gt;=TIME(9,0,0), L55&lt;TIME(16,0,0)),"Morning",
  AND(L55&gt;=TIME(16,0,0), L55&lt;TIME(23,59,0)),"Evening",
  L55&gt;=TIME(23,59,0),"Night",
  L55&lt;TIME(9,0,0),"Night"
))</f>
        <v>Evening</v>
      </c>
      <c r="O55" t="str">
        <f t="shared" si="2"/>
        <v/>
      </c>
    </row>
    <row r="56" spans="1:15" x14ac:dyDescent="0.25">
      <c r="A56" s="49" t="s">
        <v>212</v>
      </c>
      <c r="B56" t="s">
        <v>26</v>
      </c>
      <c r="C56" t="s">
        <v>66</v>
      </c>
      <c r="D56" t="s">
        <v>208</v>
      </c>
      <c r="E56" t="s">
        <v>213</v>
      </c>
      <c r="F56" t="s">
        <v>93</v>
      </c>
      <c r="G56" t="str">
        <f t="shared" si="0"/>
        <v>0</v>
      </c>
      <c r="H56" s="13" t="str">
        <f t="shared" si="3"/>
        <v>Click here</v>
      </c>
      <c r="I56" t="str">
        <f>IFERROR(INDEX(Analysis!$D$116:$N$137, MATCH(B56, Analysis!$C$116:$C$137, 0), MATCH(C56, Analysis!$D$115:$N$115, 0)), "")</f>
        <v>Mild</v>
      </c>
      <c r="J56">
        <f t="shared" si="4"/>
        <v>21</v>
      </c>
      <c r="K56" s="28">
        <f t="shared" si="1"/>
        <v>45800</v>
      </c>
      <c r="L56" s="46">
        <f t="shared" si="5"/>
        <v>0.67680555555853061</v>
      </c>
      <c r="M56" t="str" cm="1">
        <f t="array" ref="M56">IF(L56="","",_xlfn.IFS(
  AND(L56&gt;=TIME(9,0,0), L56&lt;TIME(16,0,0)),"Morning",
  AND(L56&gt;=TIME(16,0,0), L56&lt;TIME(23,59,0)),"Evening",
  L56&gt;=TIME(23,59,0),"Night",
  L56&lt;TIME(9,0,0),"Night"
))</f>
        <v>Evening</v>
      </c>
      <c r="O56" t="str">
        <f t="shared" si="2"/>
        <v/>
      </c>
    </row>
    <row r="57" spans="1:15" x14ac:dyDescent="0.25">
      <c r="A57" s="49" t="s">
        <v>214</v>
      </c>
      <c r="B57" t="s">
        <v>26</v>
      </c>
      <c r="C57" t="s">
        <v>66</v>
      </c>
      <c r="D57" t="s">
        <v>208</v>
      </c>
      <c r="E57" t="s">
        <v>215</v>
      </c>
      <c r="F57" t="s">
        <v>93</v>
      </c>
      <c r="G57" t="str">
        <f t="shared" si="0"/>
        <v>0</v>
      </c>
      <c r="H57" s="13" t="str">
        <f t="shared" si="3"/>
        <v>Click here</v>
      </c>
      <c r="I57" t="str">
        <f>IFERROR(INDEX(Analysis!$D$116:$N$137, MATCH(B57, Analysis!$C$116:$C$137, 0), MATCH(C57, Analysis!$D$115:$N$115, 0)), "")</f>
        <v>Mild</v>
      </c>
      <c r="J57">
        <f t="shared" si="4"/>
        <v>21</v>
      </c>
      <c r="K57" s="28">
        <f t="shared" si="1"/>
        <v>45800</v>
      </c>
      <c r="L57" s="46">
        <f t="shared" si="5"/>
        <v>0.6810300925935735</v>
      </c>
      <c r="M57" t="str" cm="1">
        <f t="array" ref="M57">IF(L57="","",_xlfn.IFS(
  AND(L57&gt;=TIME(9,0,0), L57&lt;TIME(16,0,0)),"Morning",
  AND(L57&gt;=TIME(16,0,0), L57&lt;TIME(23,59,0)),"Evening",
  L57&gt;=TIME(23,59,0),"Night",
  L57&lt;TIME(9,0,0),"Night"
))</f>
        <v>Evening</v>
      </c>
      <c r="O57" t="str">
        <f t="shared" si="2"/>
        <v/>
      </c>
    </row>
    <row r="58" spans="1:15" x14ac:dyDescent="0.25">
      <c r="A58" s="49" t="s">
        <v>216</v>
      </c>
      <c r="B58" t="s">
        <v>28</v>
      </c>
      <c r="C58" t="s">
        <v>66</v>
      </c>
      <c r="D58" t="s">
        <v>101</v>
      </c>
      <c r="E58" t="s">
        <v>217</v>
      </c>
      <c r="F58" t="s">
        <v>93</v>
      </c>
      <c r="G58" t="str">
        <f t="shared" si="0"/>
        <v>0</v>
      </c>
      <c r="H58" s="13" t="str">
        <f t="shared" si="3"/>
        <v>Click here</v>
      </c>
      <c r="I58" t="str">
        <f>IFERROR(INDEX(Analysis!$D$116:$N$137, MATCH(B58, Analysis!$C$116:$C$137, 0), MATCH(C58, Analysis!$D$115:$N$115, 0)), "")</f>
        <v>Mild</v>
      </c>
      <c r="J58">
        <f t="shared" si="4"/>
        <v>21</v>
      </c>
      <c r="K58" s="28">
        <f t="shared" si="1"/>
        <v>45800</v>
      </c>
      <c r="L58" s="46">
        <f t="shared" si="5"/>
        <v>0.68300925925723277</v>
      </c>
      <c r="M58" t="str" cm="1">
        <f t="array" ref="M58">IF(L58="","",_xlfn.IFS(
  AND(L58&gt;=TIME(9,0,0), L58&lt;TIME(16,0,0)),"Morning",
  AND(L58&gt;=TIME(16,0,0), L58&lt;TIME(23,59,0)),"Evening",
  L58&gt;=TIME(23,59,0),"Night",
  L58&lt;TIME(9,0,0),"Night"
))</f>
        <v>Evening</v>
      </c>
      <c r="O58" t="str">
        <f t="shared" si="2"/>
        <v/>
      </c>
    </row>
    <row r="59" spans="1:15" x14ac:dyDescent="0.25">
      <c r="A59" s="49" t="s">
        <v>218</v>
      </c>
      <c r="B59" t="s">
        <v>35</v>
      </c>
      <c r="C59" t="s">
        <v>66</v>
      </c>
      <c r="D59" t="s">
        <v>96</v>
      </c>
      <c r="E59" t="s">
        <v>219</v>
      </c>
      <c r="F59" t="s">
        <v>93</v>
      </c>
      <c r="G59" t="str">
        <f t="shared" si="0"/>
        <v>0</v>
      </c>
      <c r="H59" s="13" t="str">
        <f t="shared" si="3"/>
        <v>Click here</v>
      </c>
      <c r="I59" t="str">
        <f>IFERROR(INDEX(Analysis!$D$116:$N$137, MATCH(B59, Analysis!$C$116:$C$137, 0), MATCH(C59, Analysis!$D$115:$N$115, 0)), "")</f>
        <v>Severe</v>
      </c>
      <c r="J59">
        <f t="shared" si="4"/>
        <v>21</v>
      </c>
      <c r="K59" s="28">
        <f t="shared" si="1"/>
        <v>45800</v>
      </c>
      <c r="L59" s="46">
        <f t="shared" si="5"/>
        <v>0.68748842592322035</v>
      </c>
      <c r="M59" t="str" cm="1">
        <f t="array" ref="M59">IF(L59="","",_xlfn.IFS(
  AND(L59&gt;=TIME(9,0,0), L59&lt;TIME(16,0,0)),"Morning",
  AND(L59&gt;=TIME(16,0,0), L59&lt;TIME(23,59,0)),"Evening",
  L59&gt;=TIME(23,59,0),"Night",
  L59&lt;TIME(9,0,0),"Night"
))</f>
        <v>Evening</v>
      </c>
      <c r="O59" t="str">
        <f t="shared" si="2"/>
        <v/>
      </c>
    </row>
    <row r="60" spans="1:15" x14ac:dyDescent="0.25">
      <c r="A60" s="49" t="s">
        <v>220</v>
      </c>
      <c r="B60" t="s">
        <v>28</v>
      </c>
      <c r="C60" t="s">
        <v>66</v>
      </c>
      <c r="D60" t="s">
        <v>101</v>
      </c>
      <c r="E60" t="s">
        <v>221</v>
      </c>
      <c r="F60" t="s">
        <v>93</v>
      </c>
      <c r="G60" t="str">
        <f t="shared" si="0"/>
        <v>0</v>
      </c>
      <c r="H60" s="13" t="str">
        <f t="shared" si="3"/>
        <v>Click here</v>
      </c>
      <c r="I60" t="str">
        <f>IFERROR(INDEX(Analysis!$D$116:$N$137, MATCH(B60, Analysis!$C$116:$C$137, 0), MATCH(C60, Analysis!$D$115:$N$115, 0)), "")</f>
        <v>Mild</v>
      </c>
      <c r="J60">
        <f t="shared" si="4"/>
        <v>21</v>
      </c>
      <c r="K60" s="28">
        <f t="shared" si="1"/>
        <v>45800</v>
      </c>
      <c r="L60" s="46">
        <f t="shared" si="5"/>
        <v>0.778564814812853</v>
      </c>
      <c r="M60" t="str" cm="1">
        <f t="array" ref="M60">IF(L60="","",_xlfn.IFS(
  AND(L60&gt;=TIME(9,0,0), L60&lt;TIME(16,0,0)),"Morning",
  AND(L60&gt;=TIME(16,0,0), L60&lt;TIME(23,59,0)),"Evening",
  L60&gt;=TIME(23,59,0),"Night",
  L60&lt;TIME(9,0,0),"Night"
))</f>
        <v>Evening</v>
      </c>
      <c r="O60" t="str">
        <f t="shared" si="2"/>
        <v/>
      </c>
    </row>
    <row r="61" spans="1:15" x14ac:dyDescent="0.25">
      <c r="A61" s="49" t="s">
        <v>222</v>
      </c>
      <c r="B61" t="s">
        <v>28</v>
      </c>
      <c r="C61" t="s">
        <v>66</v>
      </c>
      <c r="D61" t="s">
        <v>101</v>
      </c>
      <c r="E61" t="s">
        <v>223</v>
      </c>
      <c r="F61" t="s">
        <v>93</v>
      </c>
      <c r="G61" t="str">
        <f t="shared" si="0"/>
        <v>0</v>
      </c>
      <c r="H61" s="13" t="str">
        <f t="shared" si="3"/>
        <v>Click here</v>
      </c>
      <c r="I61" t="str">
        <f>IFERROR(INDEX(Analysis!$D$116:$N$137, MATCH(B61, Analysis!$C$116:$C$137, 0), MATCH(C61, Analysis!$D$115:$N$115, 0)), "")</f>
        <v>Mild</v>
      </c>
      <c r="J61">
        <f t="shared" si="4"/>
        <v>21</v>
      </c>
      <c r="K61" s="28">
        <f t="shared" si="1"/>
        <v>45800</v>
      </c>
      <c r="L61" s="46">
        <f t="shared" si="5"/>
        <v>0.78287037037080154</v>
      </c>
      <c r="M61" t="str" cm="1">
        <f t="array" ref="M61">IF(L61="","",_xlfn.IFS(
  AND(L61&gt;=TIME(9,0,0), L61&lt;TIME(16,0,0)),"Morning",
  AND(L61&gt;=TIME(16,0,0), L61&lt;TIME(23,59,0)),"Evening",
  L61&gt;=TIME(23,59,0),"Night",
  L61&lt;TIME(9,0,0),"Night"
))</f>
        <v>Evening</v>
      </c>
      <c r="O61" t="str">
        <f t="shared" si="2"/>
        <v/>
      </c>
    </row>
    <row r="62" spans="1:15" x14ac:dyDescent="0.25">
      <c r="A62" s="49" t="s">
        <v>224</v>
      </c>
      <c r="B62" t="s">
        <v>28</v>
      </c>
      <c r="C62" t="s">
        <v>66</v>
      </c>
      <c r="D62" t="s">
        <v>144</v>
      </c>
      <c r="E62" t="s">
        <v>225</v>
      </c>
      <c r="F62" t="s">
        <v>93</v>
      </c>
      <c r="G62" t="str">
        <f t="shared" si="0"/>
        <v>0</v>
      </c>
      <c r="H62" s="13" t="str">
        <f t="shared" si="3"/>
        <v>Click here</v>
      </c>
      <c r="I62" t="str">
        <f>IFERROR(INDEX(Analysis!$D$116:$N$137, MATCH(B62, Analysis!$C$116:$C$137, 0), MATCH(C62, Analysis!$D$115:$N$115, 0)), "")</f>
        <v>Mild</v>
      </c>
      <c r="J62">
        <f t="shared" si="4"/>
        <v>21</v>
      </c>
      <c r="K62" s="28">
        <f t="shared" si="1"/>
        <v>45800</v>
      </c>
      <c r="L62" s="46">
        <f t="shared" si="5"/>
        <v>0.79000000000087311</v>
      </c>
      <c r="M62" t="str" cm="1">
        <f t="array" ref="M62">IF(L62="","",_xlfn.IFS(
  AND(L62&gt;=TIME(9,0,0), L62&lt;TIME(16,0,0)),"Morning",
  AND(L62&gt;=TIME(16,0,0), L62&lt;TIME(23,59,0)),"Evening",
  L62&gt;=TIME(23,59,0),"Night",
  L62&lt;TIME(9,0,0),"Night"
))</f>
        <v>Evening</v>
      </c>
      <c r="O62" t="str">
        <f t="shared" si="2"/>
        <v/>
      </c>
    </row>
    <row r="63" spans="1:15" x14ac:dyDescent="0.25">
      <c r="A63" s="49" t="s">
        <v>226</v>
      </c>
      <c r="B63" t="s">
        <v>26</v>
      </c>
      <c r="C63" t="s">
        <v>66</v>
      </c>
      <c r="D63" t="s">
        <v>104</v>
      </c>
      <c r="E63" t="s">
        <v>227</v>
      </c>
      <c r="F63" t="s">
        <v>93</v>
      </c>
      <c r="G63" t="str">
        <f t="shared" si="0"/>
        <v>0</v>
      </c>
      <c r="H63" s="13" t="str">
        <f t="shared" si="3"/>
        <v>Click here</v>
      </c>
      <c r="I63" t="str">
        <f>IFERROR(INDEX(Analysis!$D$116:$N$137, MATCH(B63, Analysis!$C$116:$C$137, 0), MATCH(C63, Analysis!$D$115:$N$115, 0)), "")</f>
        <v>Mild</v>
      </c>
      <c r="J63">
        <f t="shared" si="4"/>
        <v>21</v>
      </c>
      <c r="K63" s="28">
        <f t="shared" si="1"/>
        <v>45800</v>
      </c>
      <c r="L63" s="46">
        <f t="shared" si="5"/>
        <v>0.83078703703358769</v>
      </c>
      <c r="M63" t="str" cm="1">
        <f t="array" ref="M63">IF(L63="","",_xlfn.IFS(
  AND(L63&gt;=TIME(9,0,0), L63&lt;TIME(16,0,0)),"Morning",
  AND(L63&gt;=TIME(16,0,0), L63&lt;TIME(23,59,0)),"Evening",
  L63&gt;=TIME(23,59,0),"Night",
  L63&lt;TIME(9,0,0),"Night"
))</f>
        <v>Evening</v>
      </c>
      <c r="O63" t="str">
        <f t="shared" si="2"/>
        <v/>
      </c>
    </row>
    <row r="64" spans="1:15" x14ac:dyDescent="0.25">
      <c r="A64" s="49" t="s">
        <v>228</v>
      </c>
      <c r="B64" t="s">
        <v>35</v>
      </c>
      <c r="C64" t="s">
        <v>66</v>
      </c>
      <c r="D64" t="s">
        <v>208</v>
      </c>
      <c r="E64" t="s">
        <v>229</v>
      </c>
      <c r="F64" t="s">
        <v>93</v>
      </c>
      <c r="G64" t="str">
        <f t="shared" si="0"/>
        <v>0</v>
      </c>
      <c r="H64" s="13" t="str">
        <f t="shared" si="3"/>
        <v>Click here</v>
      </c>
      <c r="I64" t="str">
        <f>IFERROR(INDEX(Analysis!$D$116:$N$137, MATCH(B64, Analysis!$C$116:$C$137, 0), MATCH(C64, Analysis!$D$115:$N$115, 0)), "")</f>
        <v>Severe</v>
      </c>
      <c r="J64">
        <f t="shared" si="4"/>
        <v>21</v>
      </c>
      <c r="K64" s="28">
        <f t="shared" si="1"/>
        <v>45800</v>
      </c>
      <c r="L64" s="46">
        <f t="shared" si="5"/>
        <v>0.83533564814570127</v>
      </c>
      <c r="M64" t="str" cm="1">
        <f t="array" ref="M64">IF(L64="","",_xlfn.IFS(
  AND(L64&gt;=TIME(9,0,0), L64&lt;TIME(16,0,0)),"Morning",
  AND(L64&gt;=TIME(16,0,0), L64&lt;TIME(23,59,0)),"Evening",
  L64&gt;=TIME(23,59,0),"Night",
  L64&lt;TIME(9,0,0),"Night"
))</f>
        <v>Evening</v>
      </c>
      <c r="O64" t="str">
        <f t="shared" si="2"/>
        <v/>
      </c>
    </row>
    <row r="65" spans="1:15" x14ac:dyDescent="0.25">
      <c r="A65" s="49" t="s">
        <v>230</v>
      </c>
      <c r="B65" t="s">
        <v>35</v>
      </c>
      <c r="C65" t="s">
        <v>66</v>
      </c>
      <c r="D65" t="s">
        <v>208</v>
      </c>
      <c r="E65" t="s">
        <v>231</v>
      </c>
      <c r="F65" t="s">
        <v>93</v>
      </c>
      <c r="G65" t="str">
        <f t="shared" si="0"/>
        <v>0</v>
      </c>
      <c r="H65" s="13" t="str">
        <f t="shared" si="3"/>
        <v>Click here</v>
      </c>
      <c r="I65" t="str">
        <f>IFERROR(INDEX(Analysis!$D$116:$N$137, MATCH(B65, Analysis!$C$116:$C$137, 0), MATCH(C65, Analysis!$D$115:$N$115, 0)), "")</f>
        <v>Severe</v>
      </c>
      <c r="J65">
        <f t="shared" si="4"/>
        <v>21</v>
      </c>
      <c r="K65" s="28">
        <f t="shared" si="1"/>
        <v>45800</v>
      </c>
      <c r="L65" s="46">
        <f t="shared" si="5"/>
        <v>0.83611111110803904</v>
      </c>
      <c r="M65" t="str" cm="1">
        <f t="array" ref="M65">IF(L65="","",_xlfn.IFS(
  AND(L65&gt;=TIME(9,0,0), L65&lt;TIME(16,0,0)),"Morning",
  AND(L65&gt;=TIME(16,0,0), L65&lt;TIME(23,59,0)),"Evening",
  L65&gt;=TIME(23,59,0),"Night",
  L65&lt;TIME(9,0,0),"Night"
))</f>
        <v>Evening</v>
      </c>
      <c r="O65" t="str">
        <f t="shared" si="2"/>
        <v/>
      </c>
    </row>
    <row r="66" spans="1:15" x14ac:dyDescent="0.25">
      <c r="A66" s="49" t="s">
        <v>232</v>
      </c>
      <c r="B66" t="s">
        <v>26</v>
      </c>
      <c r="C66" t="s">
        <v>66</v>
      </c>
      <c r="D66" t="s">
        <v>101</v>
      </c>
      <c r="E66" t="s">
        <v>233</v>
      </c>
      <c r="F66" t="s">
        <v>93</v>
      </c>
      <c r="G66" t="str">
        <f t="shared" ref="G66:G129" si="6">IF(ISBLANK(A66), "", IF(ISBLANK(F66), 0, F66))</f>
        <v>0</v>
      </c>
      <c r="H66" s="13" t="str">
        <f t="shared" si="3"/>
        <v>Click here</v>
      </c>
      <c r="I66" t="str">
        <f>IFERROR(INDEX(Analysis!$D$116:$N$137, MATCH(B66, Analysis!$C$116:$C$137, 0), MATCH(C66, Analysis!$D$115:$N$115, 0)), "")</f>
        <v>Mild</v>
      </c>
      <c r="J66">
        <f t="shared" si="4"/>
        <v>21</v>
      </c>
      <c r="K66" s="28">
        <f t="shared" ref="K66:K129" si="7">IF(ISBLANK(A66),"",DATE(YEAR(A66),MONTH(A66),DAY(A66)))</f>
        <v>45801</v>
      </c>
      <c r="L66" s="46">
        <f t="shared" si="5"/>
        <v>0.38974537036847323</v>
      </c>
      <c r="M66" t="str" cm="1">
        <f t="array" ref="M66">IF(L66="","",_xlfn.IFS(
  AND(L66&gt;=TIME(9,0,0), L66&lt;TIME(16,0,0)),"Morning",
  AND(L66&gt;=TIME(16,0,0), L66&lt;TIME(23,59,0)),"Evening",
  L66&gt;=TIME(23,59,0),"Night",
  L66&lt;TIME(9,0,0),"Night"
))</f>
        <v>Morning</v>
      </c>
      <c r="O66" t="str">
        <f t="shared" ref="O66:O129" si="8">IF(N66="ON", _xlfn.IMAGE(E66, 1), "")</f>
        <v/>
      </c>
    </row>
    <row r="67" spans="1:15" x14ac:dyDescent="0.25">
      <c r="A67" s="49"/>
      <c r="G67" t="str">
        <f t="shared" si="6"/>
        <v/>
      </c>
      <c r="H67" s="13" t="str">
        <f t="shared" ref="H67:H130" si="9">IF(ISBLANK(E67),"",HYPERLINK(E67,"Click here"))</f>
        <v/>
      </c>
      <c r="I67" t="str">
        <f>IFERROR(INDEX(Analysis!$D$116:$N$137, MATCH(B67, Analysis!$C$116:$C$137, 0), MATCH(C67, Analysis!$D$115:$N$115, 0)), "")</f>
        <v/>
      </c>
      <c r="J67" t="str">
        <f t="shared" ref="J67:J130" si="10">IF(ISBLANK(A67),"",WEEKNUM(A67))</f>
        <v/>
      </c>
      <c r="K67" s="28" t="str">
        <f t="shared" si="7"/>
        <v/>
      </c>
      <c r="L67" s="46" t="str">
        <f t="shared" ref="L67:L130" si="11">IF(A67="", "", A67 - INT(A67))</f>
        <v/>
      </c>
      <c r="M67" t="str" cm="1">
        <f t="array" ref="M67">IF(L67="","",_xlfn.IFS(
  AND(L67&gt;=TIME(9,0,0), L67&lt;TIME(16,0,0)),"Morning",
  AND(L67&gt;=TIME(16,0,0), L67&lt;TIME(23,59,0)),"Evening",
  L67&gt;=TIME(23,59,0),"Night",
  L67&lt;TIME(9,0,0),"Night"
))</f>
        <v/>
      </c>
      <c r="O67" t="str">
        <f t="shared" si="8"/>
        <v/>
      </c>
    </row>
    <row r="68" spans="1:15" x14ac:dyDescent="0.25">
      <c r="A68" s="49"/>
      <c r="G68" t="str">
        <f t="shared" si="6"/>
        <v/>
      </c>
      <c r="H68" s="13" t="str">
        <f t="shared" si="9"/>
        <v/>
      </c>
      <c r="I68" t="str">
        <f>IFERROR(INDEX(Analysis!$D$116:$N$137, MATCH(B68, Analysis!$C$116:$C$137, 0), MATCH(C68, Analysis!$D$115:$N$115, 0)), "")</f>
        <v/>
      </c>
      <c r="J68" t="str">
        <f t="shared" si="10"/>
        <v/>
      </c>
      <c r="K68" s="28" t="str">
        <f t="shared" si="7"/>
        <v/>
      </c>
      <c r="L68" s="46" t="str">
        <f t="shared" si="11"/>
        <v/>
      </c>
      <c r="M68" t="str" cm="1">
        <f t="array" ref="M68">IF(L68="","",_xlfn.IFS(
  AND(L68&gt;=TIME(9,0,0), L68&lt;TIME(16,0,0)),"Morning",
  AND(L68&gt;=TIME(16,0,0), L68&lt;TIME(23,59,0)),"Evening",
  L68&gt;=TIME(23,59,0),"Night",
  L68&lt;TIME(9,0,0),"Night"
))</f>
        <v/>
      </c>
      <c r="O68" t="str">
        <f t="shared" si="8"/>
        <v/>
      </c>
    </row>
    <row r="69" spans="1:15" x14ac:dyDescent="0.25">
      <c r="A69" s="49"/>
      <c r="G69" t="str">
        <f t="shared" si="6"/>
        <v/>
      </c>
      <c r="H69" s="13" t="str">
        <f t="shared" si="9"/>
        <v/>
      </c>
      <c r="I69" t="str">
        <f>IFERROR(INDEX(Analysis!$D$116:$N$137, MATCH(B69, Analysis!$C$116:$C$137, 0), MATCH(C69, Analysis!$D$115:$N$115, 0)), "")</f>
        <v/>
      </c>
      <c r="J69" t="str">
        <f t="shared" si="10"/>
        <v/>
      </c>
      <c r="K69" s="28" t="str">
        <f t="shared" si="7"/>
        <v/>
      </c>
      <c r="L69" s="46" t="str">
        <f t="shared" si="11"/>
        <v/>
      </c>
      <c r="M69" t="str" cm="1">
        <f t="array" ref="M69">IF(L69="","",_xlfn.IFS(
  AND(L69&gt;=TIME(9,0,0), L69&lt;TIME(16,0,0)),"Morning",
  AND(L69&gt;=TIME(16,0,0), L69&lt;TIME(23,59,0)),"Evening",
  L69&gt;=TIME(23,59,0),"Night",
  L69&lt;TIME(9,0,0),"Night"
))</f>
        <v/>
      </c>
      <c r="O69" t="str">
        <f t="shared" si="8"/>
        <v/>
      </c>
    </row>
    <row r="70" spans="1:15" x14ac:dyDescent="0.25">
      <c r="A70" s="49"/>
      <c r="G70" t="str">
        <f t="shared" si="6"/>
        <v/>
      </c>
      <c r="H70" s="13" t="str">
        <f t="shared" si="9"/>
        <v/>
      </c>
      <c r="I70" t="str">
        <f>IFERROR(INDEX(Analysis!$D$116:$N$137, MATCH(B70, Analysis!$C$116:$C$137, 0), MATCH(C70, Analysis!$D$115:$N$115, 0)), "")</f>
        <v/>
      </c>
      <c r="J70" t="str">
        <f t="shared" si="10"/>
        <v/>
      </c>
      <c r="K70" s="28" t="str">
        <f t="shared" si="7"/>
        <v/>
      </c>
      <c r="L70" s="46" t="str">
        <f t="shared" si="11"/>
        <v/>
      </c>
      <c r="M70" t="str" cm="1">
        <f t="array" ref="M70">IF(L70="","",_xlfn.IFS(
  AND(L70&gt;=TIME(9,0,0), L70&lt;TIME(16,0,0)),"Morning",
  AND(L70&gt;=TIME(16,0,0), L70&lt;TIME(23,59,0)),"Evening",
  L70&gt;=TIME(23,59,0),"Night",
  L70&lt;TIME(9,0,0),"Night"
))</f>
        <v/>
      </c>
      <c r="O70" t="str">
        <f t="shared" si="8"/>
        <v/>
      </c>
    </row>
    <row r="71" spans="1:15" x14ac:dyDescent="0.25">
      <c r="A71" s="49"/>
      <c r="G71" t="str">
        <f t="shared" si="6"/>
        <v/>
      </c>
      <c r="H71" s="13" t="str">
        <f t="shared" si="9"/>
        <v/>
      </c>
      <c r="I71" t="str">
        <f>IFERROR(INDEX(Analysis!$D$116:$N$137, MATCH(B71, Analysis!$C$116:$C$137, 0), MATCH(C71, Analysis!$D$115:$N$115, 0)), "")</f>
        <v/>
      </c>
      <c r="J71" t="str">
        <f t="shared" si="10"/>
        <v/>
      </c>
      <c r="K71" s="28" t="str">
        <f t="shared" si="7"/>
        <v/>
      </c>
      <c r="L71" s="46" t="str">
        <f t="shared" si="11"/>
        <v/>
      </c>
      <c r="M71" t="str" cm="1">
        <f t="array" ref="M71">IF(L71="","",_xlfn.IFS(
  AND(L71&gt;=TIME(9,0,0), L71&lt;TIME(16,0,0)),"Morning",
  AND(L71&gt;=TIME(16,0,0), L71&lt;TIME(23,59,0)),"Evening",
  L71&gt;=TIME(23,59,0),"Night",
  L71&lt;TIME(9,0,0),"Night"
))</f>
        <v/>
      </c>
      <c r="O71" t="str">
        <f t="shared" si="8"/>
        <v/>
      </c>
    </row>
    <row r="72" spans="1:15" x14ac:dyDescent="0.25">
      <c r="A72" s="49"/>
      <c r="G72" t="str">
        <f t="shared" si="6"/>
        <v/>
      </c>
      <c r="H72" s="13" t="str">
        <f t="shared" si="9"/>
        <v/>
      </c>
      <c r="I72" t="str">
        <f>IFERROR(INDEX(Analysis!$D$116:$N$137, MATCH(B72, Analysis!$C$116:$C$137, 0), MATCH(C72, Analysis!$D$115:$N$115, 0)), "")</f>
        <v/>
      </c>
      <c r="J72" t="str">
        <f t="shared" si="10"/>
        <v/>
      </c>
      <c r="K72" s="28" t="str">
        <f t="shared" si="7"/>
        <v/>
      </c>
      <c r="L72" s="46" t="str">
        <f t="shared" si="11"/>
        <v/>
      </c>
      <c r="M72" t="str" cm="1">
        <f t="array" ref="M72">IF(L72="","",_xlfn.IFS(
  AND(L72&gt;=TIME(9,0,0), L72&lt;TIME(16,0,0)),"Morning",
  AND(L72&gt;=TIME(16,0,0), L72&lt;TIME(23,59,0)),"Evening",
  L72&gt;=TIME(23,59,0),"Night",
  L72&lt;TIME(9,0,0),"Night"
))</f>
        <v/>
      </c>
      <c r="O72" t="str">
        <f t="shared" si="8"/>
        <v/>
      </c>
    </row>
    <row r="73" spans="1:15" x14ac:dyDescent="0.25">
      <c r="A73" s="49"/>
      <c r="G73" t="str">
        <f t="shared" si="6"/>
        <v/>
      </c>
      <c r="H73" s="13" t="str">
        <f t="shared" si="9"/>
        <v/>
      </c>
      <c r="I73" t="str">
        <f>IFERROR(INDEX(Analysis!$D$116:$N$137, MATCH(B73, Analysis!$C$116:$C$137, 0), MATCH(C73, Analysis!$D$115:$N$115, 0)), "")</f>
        <v/>
      </c>
      <c r="J73" t="str">
        <f t="shared" si="10"/>
        <v/>
      </c>
      <c r="K73" s="28" t="str">
        <f t="shared" si="7"/>
        <v/>
      </c>
      <c r="L73" s="46" t="str">
        <f t="shared" si="11"/>
        <v/>
      </c>
      <c r="M73" t="str" cm="1">
        <f t="array" ref="M73">IF(L73="","",_xlfn.IFS(
  AND(L73&gt;=TIME(9,0,0), L73&lt;TIME(16,0,0)),"Morning",
  AND(L73&gt;=TIME(16,0,0), L73&lt;TIME(23,59,0)),"Evening",
  L73&gt;=TIME(23,59,0),"Night",
  L73&lt;TIME(9,0,0),"Night"
))</f>
        <v/>
      </c>
      <c r="O73" t="str">
        <f t="shared" si="8"/>
        <v/>
      </c>
    </row>
    <row r="74" spans="1:15" x14ac:dyDescent="0.25">
      <c r="A74" s="49"/>
      <c r="G74" t="str">
        <f t="shared" si="6"/>
        <v/>
      </c>
      <c r="H74" s="13" t="str">
        <f t="shared" si="9"/>
        <v/>
      </c>
      <c r="I74" t="str">
        <f>IFERROR(INDEX(Analysis!$D$116:$N$137, MATCH(B74, Analysis!$C$116:$C$137, 0), MATCH(C74, Analysis!$D$115:$N$115, 0)), "")</f>
        <v/>
      </c>
      <c r="J74" t="str">
        <f t="shared" si="10"/>
        <v/>
      </c>
      <c r="K74" s="28" t="str">
        <f t="shared" si="7"/>
        <v/>
      </c>
      <c r="L74" s="46" t="str">
        <f t="shared" si="11"/>
        <v/>
      </c>
      <c r="M74" t="str" cm="1">
        <f t="array" ref="M74">IF(L74="","",_xlfn.IFS(
  AND(L74&gt;=TIME(9,0,0), L74&lt;TIME(16,0,0)),"Morning",
  AND(L74&gt;=TIME(16,0,0), L74&lt;TIME(23,59,0)),"Evening",
  L74&gt;=TIME(23,59,0),"Night",
  L74&lt;TIME(9,0,0),"Night"
))</f>
        <v/>
      </c>
      <c r="O74" t="str">
        <f t="shared" si="8"/>
        <v/>
      </c>
    </row>
    <row r="75" spans="1:15" x14ac:dyDescent="0.25">
      <c r="A75" s="49"/>
      <c r="G75" t="str">
        <f t="shared" si="6"/>
        <v/>
      </c>
      <c r="H75" s="13" t="str">
        <f t="shared" si="9"/>
        <v/>
      </c>
      <c r="I75" t="str">
        <f>IFERROR(INDEX(Analysis!$D$116:$N$137, MATCH(B75, Analysis!$C$116:$C$137, 0), MATCH(C75, Analysis!$D$115:$N$115, 0)), "")</f>
        <v/>
      </c>
      <c r="J75" t="str">
        <f t="shared" si="10"/>
        <v/>
      </c>
      <c r="K75" s="28" t="str">
        <f t="shared" si="7"/>
        <v/>
      </c>
      <c r="L75" s="46" t="str">
        <f t="shared" si="11"/>
        <v/>
      </c>
      <c r="M75" t="str" cm="1">
        <f t="array" ref="M75">IF(L75="","",_xlfn.IFS(
  AND(L75&gt;=TIME(9,0,0), L75&lt;TIME(16,0,0)),"Morning",
  AND(L75&gt;=TIME(16,0,0), L75&lt;TIME(23,59,0)),"Evening",
  L75&gt;=TIME(23,59,0),"Night",
  L75&lt;TIME(9,0,0),"Night"
))</f>
        <v/>
      </c>
      <c r="O75" t="str">
        <f t="shared" si="8"/>
        <v/>
      </c>
    </row>
    <row r="76" spans="1:15" x14ac:dyDescent="0.25">
      <c r="A76" s="49"/>
      <c r="G76" t="str">
        <f t="shared" si="6"/>
        <v/>
      </c>
      <c r="H76" s="13" t="str">
        <f t="shared" si="9"/>
        <v/>
      </c>
      <c r="I76" t="str">
        <f>IFERROR(INDEX(Analysis!$D$116:$N$137, MATCH(B76, Analysis!$C$116:$C$137, 0), MATCH(C76, Analysis!$D$115:$N$115, 0)), "")</f>
        <v/>
      </c>
      <c r="J76" t="str">
        <f t="shared" si="10"/>
        <v/>
      </c>
      <c r="K76" s="28" t="str">
        <f t="shared" si="7"/>
        <v/>
      </c>
      <c r="L76" s="46" t="str">
        <f t="shared" si="11"/>
        <v/>
      </c>
      <c r="M76" t="str" cm="1">
        <f t="array" ref="M76">IF(L76="","",_xlfn.IFS(
  AND(L76&gt;=TIME(9,0,0), L76&lt;TIME(16,0,0)),"Morning",
  AND(L76&gt;=TIME(16,0,0), L76&lt;TIME(23,59,0)),"Evening",
  L76&gt;=TIME(23,59,0),"Night",
  L76&lt;TIME(9,0,0),"Night"
))</f>
        <v/>
      </c>
      <c r="O76" t="str">
        <f t="shared" si="8"/>
        <v/>
      </c>
    </row>
    <row r="77" spans="1:15" x14ac:dyDescent="0.25">
      <c r="A77" s="49"/>
      <c r="G77" t="str">
        <f t="shared" si="6"/>
        <v/>
      </c>
      <c r="H77" s="13" t="str">
        <f t="shared" si="9"/>
        <v/>
      </c>
      <c r="I77" t="str">
        <f>IFERROR(INDEX(Analysis!$D$116:$N$137, MATCH(B77, Analysis!$C$116:$C$137, 0), MATCH(C77, Analysis!$D$115:$N$115, 0)), "")</f>
        <v/>
      </c>
      <c r="J77" t="str">
        <f t="shared" si="10"/>
        <v/>
      </c>
      <c r="K77" s="28" t="str">
        <f t="shared" si="7"/>
        <v/>
      </c>
      <c r="L77" s="46" t="str">
        <f t="shared" si="11"/>
        <v/>
      </c>
      <c r="M77" t="str" cm="1">
        <f t="array" ref="M77">IF(L77="","",_xlfn.IFS(
  AND(L77&gt;=TIME(9,0,0), L77&lt;TIME(16,0,0)),"Morning",
  AND(L77&gt;=TIME(16,0,0), L77&lt;TIME(23,59,0)),"Evening",
  L77&gt;=TIME(23,59,0),"Night",
  L77&lt;TIME(9,0,0),"Night"
))</f>
        <v/>
      </c>
      <c r="O77" t="str">
        <f t="shared" si="8"/>
        <v/>
      </c>
    </row>
    <row r="78" spans="1:15" x14ac:dyDescent="0.25">
      <c r="A78" s="49"/>
      <c r="G78" t="str">
        <f t="shared" si="6"/>
        <v/>
      </c>
      <c r="H78" s="13" t="str">
        <f t="shared" si="9"/>
        <v/>
      </c>
      <c r="I78" t="str">
        <f>IFERROR(INDEX(Analysis!$D$116:$N$137, MATCH(B78, Analysis!$C$116:$C$137, 0), MATCH(C78, Analysis!$D$115:$N$115, 0)), "")</f>
        <v/>
      </c>
      <c r="J78" t="str">
        <f t="shared" si="10"/>
        <v/>
      </c>
      <c r="K78" s="28" t="str">
        <f t="shared" si="7"/>
        <v/>
      </c>
      <c r="L78" s="46" t="str">
        <f t="shared" si="11"/>
        <v/>
      </c>
      <c r="M78" t="str" cm="1">
        <f t="array" ref="M78">IF(L78="","",_xlfn.IFS(
  AND(L78&gt;=TIME(9,0,0), L78&lt;TIME(16,0,0)),"Morning",
  AND(L78&gt;=TIME(16,0,0), L78&lt;TIME(23,59,0)),"Evening",
  L78&gt;=TIME(23,59,0),"Night",
  L78&lt;TIME(9,0,0),"Night"
))</f>
        <v/>
      </c>
      <c r="O78" t="str">
        <f t="shared" si="8"/>
        <v/>
      </c>
    </row>
    <row r="79" spans="1:15" x14ac:dyDescent="0.25">
      <c r="A79" s="49"/>
      <c r="G79" t="str">
        <f t="shared" si="6"/>
        <v/>
      </c>
      <c r="H79" s="13" t="str">
        <f t="shared" si="9"/>
        <v/>
      </c>
      <c r="I79" t="str">
        <f>IFERROR(INDEX(Analysis!$D$116:$N$137, MATCH(B79, Analysis!$C$116:$C$137, 0), MATCH(C79, Analysis!$D$115:$N$115, 0)), "")</f>
        <v/>
      </c>
      <c r="J79" t="str">
        <f t="shared" si="10"/>
        <v/>
      </c>
      <c r="K79" s="28" t="str">
        <f t="shared" si="7"/>
        <v/>
      </c>
      <c r="L79" s="46" t="str">
        <f t="shared" si="11"/>
        <v/>
      </c>
      <c r="M79" t="str" cm="1">
        <f t="array" ref="M79">IF(L79="","",_xlfn.IFS(
  AND(L79&gt;=TIME(9,0,0), L79&lt;TIME(16,0,0)),"Morning",
  AND(L79&gt;=TIME(16,0,0), L79&lt;TIME(23,59,0)),"Evening",
  L79&gt;=TIME(23,59,0),"Night",
  L79&lt;TIME(9,0,0),"Night"
))</f>
        <v/>
      </c>
      <c r="O79" t="str">
        <f t="shared" si="8"/>
        <v/>
      </c>
    </row>
    <row r="80" spans="1:15" x14ac:dyDescent="0.25">
      <c r="A80" s="49"/>
      <c r="G80" t="str">
        <f t="shared" si="6"/>
        <v/>
      </c>
      <c r="H80" s="13" t="str">
        <f t="shared" si="9"/>
        <v/>
      </c>
      <c r="I80" t="str">
        <f>IFERROR(INDEX(Analysis!$D$116:$N$137, MATCH(B80, Analysis!$C$116:$C$137, 0), MATCH(C80, Analysis!$D$115:$N$115, 0)), "")</f>
        <v/>
      </c>
      <c r="J80" t="str">
        <f t="shared" si="10"/>
        <v/>
      </c>
      <c r="K80" s="28" t="str">
        <f t="shared" si="7"/>
        <v/>
      </c>
      <c r="L80" s="46" t="str">
        <f t="shared" si="11"/>
        <v/>
      </c>
      <c r="M80" t="str" cm="1">
        <f t="array" ref="M80">IF(L80="","",_xlfn.IFS(
  AND(L80&gt;=TIME(9,0,0), L80&lt;TIME(16,0,0)),"Morning",
  AND(L80&gt;=TIME(16,0,0), L80&lt;TIME(23,59,0)),"Evening",
  L80&gt;=TIME(23,59,0),"Night",
  L80&lt;TIME(9,0,0),"Night"
))</f>
        <v/>
      </c>
      <c r="O80" t="str">
        <f t="shared" si="8"/>
        <v/>
      </c>
    </row>
    <row r="81" spans="1:15" x14ac:dyDescent="0.25">
      <c r="A81" s="49"/>
      <c r="G81" t="str">
        <f t="shared" si="6"/>
        <v/>
      </c>
      <c r="H81" s="13" t="str">
        <f t="shared" si="9"/>
        <v/>
      </c>
      <c r="I81" t="str">
        <f>IFERROR(INDEX(Analysis!$D$116:$N$137, MATCH(B81, Analysis!$C$116:$C$137, 0), MATCH(C81, Analysis!$D$115:$N$115, 0)), "")</f>
        <v/>
      </c>
      <c r="J81" t="str">
        <f t="shared" si="10"/>
        <v/>
      </c>
      <c r="K81" s="28" t="str">
        <f t="shared" si="7"/>
        <v/>
      </c>
      <c r="L81" s="46" t="str">
        <f t="shared" si="11"/>
        <v/>
      </c>
      <c r="M81" t="str" cm="1">
        <f t="array" ref="M81">IF(L81="","",_xlfn.IFS(
  AND(L81&gt;=TIME(9,0,0), L81&lt;TIME(16,0,0)),"Morning",
  AND(L81&gt;=TIME(16,0,0), L81&lt;TIME(23,59,0)),"Evening",
  L81&gt;=TIME(23,59,0),"Night",
  L81&lt;TIME(9,0,0),"Night"
))</f>
        <v/>
      </c>
      <c r="O81" t="str">
        <f t="shared" si="8"/>
        <v/>
      </c>
    </row>
    <row r="82" spans="1:15" x14ac:dyDescent="0.25">
      <c r="A82" s="49"/>
      <c r="G82" t="str">
        <f t="shared" si="6"/>
        <v/>
      </c>
      <c r="H82" s="13" t="str">
        <f t="shared" si="9"/>
        <v/>
      </c>
      <c r="I82" t="str">
        <f>IFERROR(INDEX(Analysis!$D$116:$N$137, MATCH(B82, Analysis!$C$116:$C$137, 0), MATCH(C82, Analysis!$D$115:$N$115, 0)), "")</f>
        <v/>
      </c>
      <c r="J82" t="str">
        <f t="shared" si="10"/>
        <v/>
      </c>
      <c r="K82" s="28" t="str">
        <f t="shared" si="7"/>
        <v/>
      </c>
      <c r="L82" s="46" t="str">
        <f t="shared" si="11"/>
        <v/>
      </c>
      <c r="M82" t="str" cm="1">
        <f t="array" ref="M82">IF(L82="","",_xlfn.IFS(
  AND(L82&gt;=TIME(9,0,0), L82&lt;TIME(16,0,0)),"Morning",
  AND(L82&gt;=TIME(16,0,0), L82&lt;TIME(23,59,0)),"Evening",
  L82&gt;=TIME(23,59,0),"Night",
  L82&lt;TIME(9,0,0),"Night"
))</f>
        <v/>
      </c>
      <c r="O82" t="str">
        <f t="shared" si="8"/>
        <v/>
      </c>
    </row>
    <row r="83" spans="1:15" x14ac:dyDescent="0.25">
      <c r="A83" s="49"/>
      <c r="G83" t="str">
        <f t="shared" si="6"/>
        <v/>
      </c>
      <c r="H83" s="13" t="str">
        <f t="shared" si="9"/>
        <v/>
      </c>
      <c r="I83" t="str">
        <f>IFERROR(INDEX(Analysis!$D$116:$N$137, MATCH(B83, Analysis!$C$116:$C$137, 0), MATCH(C83, Analysis!$D$115:$N$115, 0)), "")</f>
        <v/>
      </c>
      <c r="J83" t="str">
        <f t="shared" si="10"/>
        <v/>
      </c>
      <c r="K83" s="28" t="str">
        <f t="shared" si="7"/>
        <v/>
      </c>
      <c r="L83" s="46" t="str">
        <f t="shared" si="11"/>
        <v/>
      </c>
      <c r="M83" t="str" cm="1">
        <f t="array" ref="M83">IF(L83="","",_xlfn.IFS(
  AND(L83&gt;=TIME(9,0,0), L83&lt;TIME(16,0,0)),"Morning",
  AND(L83&gt;=TIME(16,0,0), L83&lt;TIME(23,59,0)),"Evening",
  L83&gt;=TIME(23,59,0),"Night",
  L83&lt;TIME(9,0,0),"Night"
))</f>
        <v/>
      </c>
      <c r="O83" t="str">
        <f t="shared" si="8"/>
        <v/>
      </c>
    </row>
    <row r="84" spans="1:15" x14ac:dyDescent="0.25">
      <c r="A84" s="49"/>
      <c r="G84" t="str">
        <f t="shared" si="6"/>
        <v/>
      </c>
      <c r="H84" s="13" t="str">
        <f t="shared" si="9"/>
        <v/>
      </c>
      <c r="I84" t="str">
        <f>IFERROR(INDEX(Analysis!$D$116:$N$137, MATCH(B84, Analysis!$C$116:$C$137, 0), MATCH(C84, Analysis!$D$115:$N$115, 0)), "")</f>
        <v/>
      </c>
      <c r="J84" t="str">
        <f t="shared" si="10"/>
        <v/>
      </c>
      <c r="K84" s="28" t="str">
        <f t="shared" si="7"/>
        <v/>
      </c>
      <c r="L84" s="46" t="str">
        <f t="shared" si="11"/>
        <v/>
      </c>
      <c r="M84" t="str" cm="1">
        <f t="array" ref="M84">IF(L84="","",_xlfn.IFS(
  AND(L84&gt;=TIME(9,0,0), L84&lt;TIME(16,0,0)),"Morning",
  AND(L84&gt;=TIME(16,0,0), L84&lt;TIME(23,59,0)),"Evening",
  L84&gt;=TIME(23,59,0),"Night",
  L84&lt;TIME(9,0,0),"Night"
))</f>
        <v/>
      </c>
      <c r="O84" t="str">
        <f t="shared" si="8"/>
        <v/>
      </c>
    </row>
    <row r="85" spans="1:15" x14ac:dyDescent="0.25">
      <c r="A85" s="49"/>
      <c r="G85" t="str">
        <f t="shared" si="6"/>
        <v/>
      </c>
      <c r="H85" s="13" t="str">
        <f t="shared" si="9"/>
        <v/>
      </c>
      <c r="I85" t="str">
        <f>IFERROR(INDEX(Analysis!$D$116:$N$137, MATCH(B85, Analysis!$C$116:$C$137, 0), MATCH(C85, Analysis!$D$115:$N$115, 0)), "")</f>
        <v/>
      </c>
      <c r="J85" t="str">
        <f t="shared" si="10"/>
        <v/>
      </c>
      <c r="K85" s="28" t="str">
        <f t="shared" si="7"/>
        <v/>
      </c>
      <c r="L85" s="46" t="str">
        <f t="shared" si="11"/>
        <v/>
      </c>
      <c r="M85" t="str" cm="1">
        <f t="array" ref="M85">IF(L85="","",_xlfn.IFS(
  AND(L85&gt;=TIME(9,0,0), L85&lt;TIME(16,0,0)),"Morning",
  AND(L85&gt;=TIME(16,0,0), L85&lt;TIME(23,59,0)),"Evening",
  L85&gt;=TIME(23,59,0),"Night",
  L85&lt;TIME(9,0,0),"Night"
))</f>
        <v/>
      </c>
      <c r="O85" t="str">
        <f t="shared" si="8"/>
        <v/>
      </c>
    </row>
    <row r="86" spans="1:15" x14ac:dyDescent="0.25">
      <c r="A86" s="49"/>
      <c r="G86" t="str">
        <f t="shared" si="6"/>
        <v/>
      </c>
      <c r="H86" s="13" t="str">
        <f t="shared" si="9"/>
        <v/>
      </c>
      <c r="I86" t="str">
        <f>IFERROR(INDEX(Analysis!$D$116:$N$137, MATCH(B86, Analysis!$C$116:$C$137, 0), MATCH(C86, Analysis!$D$115:$N$115, 0)), "")</f>
        <v/>
      </c>
      <c r="J86" t="str">
        <f t="shared" si="10"/>
        <v/>
      </c>
      <c r="K86" s="28" t="str">
        <f t="shared" si="7"/>
        <v/>
      </c>
      <c r="L86" s="46" t="str">
        <f t="shared" si="11"/>
        <v/>
      </c>
      <c r="M86" t="str" cm="1">
        <f t="array" ref="M86">IF(L86="","",_xlfn.IFS(
  AND(L86&gt;=TIME(9,0,0), L86&lt;TIME(16,0,0)),"Morning",
  AND(L86&gt;=TIME(16,0,0), L86&lt;TIME(23,59,0)),"Evening",
  L86&gt;=TIME(23,59,0),"Night",
  L86&lt;TIME(9,0,0),"Night"
))</f>
        <v/>
      </c>
      <c r="O86" t="str">
        <f t="shared" si="8"/>
        <v/>
      </c>
    </row>
    <row r="87" spans="1:15" x14ac:dyDescent="0.25">
      <c r="A87" s="49"/>
      <c r="G87" t="str">
        <f t="shared" si="6"/>
        <v/>
      </c>
      <c r="H87" s="13" t="str">
        <f t="shared" si="9"/>
        <v/>
      </c>
      <c r="I87" t="str">
        <f>IFERROR(INDEX(Analysis!$D$116:$N$137, MATCH(B87, Analysis!$C$116:$C$137, 0), MATCH(C87, Analysis!$D$115:$N$115, 0)), "")</f>
        <v/>
      </c>
      <c r="J87" t="str">
        <f t="shared" si="10"/>
        <v/>
      </c>
      <c r="K87" s="28" t="str">
        <f t="shared" si="7"/>
        <v/>
      </c>
      <c r="L87" s="46" t="str">
        <f t="shared" si="11"/>
        <v/>
      </c>
      <c r="M87" t="str" cm="1">
        <f t="array" ref="M87">IF(L87="","",_xlfn.IFS(
  AND(L87&gt;=TIME(9,0,0), L87&lt;TIME(16,0,0)),"Morning",
  AND(L87&gt;=TIME(16,0,0), L87&lt;TIME(23,59,0)),"Evening",
  L87&gt;=TIME(23,59,0),"Night",
  L87&lt;TIME(9,0,0),"Night"
))</f>
        <v/>
      </c>
      <c r="O87" t="str">
        <f t="shared" si="8"/>
        <v/>
      </c>
    </row>
    <row r="88" spans="1:15" x14ac:dyDescent="0.25">
      <c r="A88" s="49"/>
      <c r="G88" t="str">
        <f t="shared" si="6"/>
        <v/>
      </c>
      <c r="H88" s="13" t="str">
        <f t="shared" si="9"/>
        <v/>
      </c>
      <c r="I88" t="str">
        <f>IFERROR(INDEX(Analysis!$D$116:$N$137, MATCH(B88, Analysis!$C$116:$C$137, 0), MATCH(C88, Analysis!$D$115:$N$115, 0)), "")</f>
        <v/>
      </c>
      <c r="J88" t="str">
        <f t="shared" si="10"/>
        <v/>
      </c>
      <c r="K88" s="28" t="str">
        <f t="shared" si="7"/>
        <v/>
      </c>
      <c r="L88" s="46" t="str">
        <f t="shared" si="11"/>
        <v/>
      </c>
      <c r="M88" t="str" cm="1">
        <f t="array" ref="M88">IF(L88="","",_xlfn.IFS(
  AND(L88&gt;=TIME(9,0,0), L88&lt;TIME(16,0,0)),"Morning",
  AND(L88&gt;=TIME(16,0,0), L88&lt;TIME(23,59,0)),"Evening",
  L88&gt;=TIME(23,59,0),"Night",
  L88&lt;TIME(9,0,0),"Night"
))</f>
        <v/>
      </c>
      <c r="O88" t="str">
        <f t="shared" si="8"/>
        <v/>
      </c>
    </row>
    <row r="89" spans="1:15" x14ac:dyDescent="0.25">
      <c r="A89" s="49"/>
      <c r="G89" t="str">
        <f t="shared" si="6"/>
        <v/>
      </c>
      <c r="H89" s="13" t="str">
        <f t="shared" si="9"/>
        <v/>
      </c>
      <c r="I89" t="str">
        <f>IFERROR(INDEX(Analysis!$D$116:$N$137, MATCH(B89, Analysis!$C$116:$C$137, 0), MATCH(C89, Analysis!$D$115:$N$115, 0)), "")</f>
        <v/>
      </c>
      <c r="J89" t="str">
        <f t="shared" si="10"/>
        <v/>
      </c>
      <c r="K89" s="28" t="str">
        <f t="shared" si="7"/>
        <v/>
      </c>
      <c r="L89" s="46" t="str">
        <f t="shared" si="11"/>
        <v/>
      </c>
      <c r="M89" t="str" cm="1">
        <f t="array" ref="M89">IF(L89="","",_xlfn.IFS(
  AND(L89&gt;=TIME(9,0,0), L89&lt;TIME(16,0,0)),"Morning",
  AND(L89&gt;=TIME(16,0,0), L89&lt;TIME(23,59,0)),"Evening",
  L89&gt;=TIME(23,59,0),"Night",
  L89&lt;TIME(9,0,0),"Night"
))</f>
        <v/>
      </c>
      <c r="O89" t="str">
        <f t="shared" si="8"/>
        <v/>
      </c>
    </row>
    <row r="90" spans="1:15" x14ac:dyDescent="0.25">
      <c r="A90" s="49"/>
      <c r="G90" t="str">
        <f t="shared" si="6"/>
        <v/>
      </c>
      <c r="H90" s="13" t="str">
        <f t="shared" si="9"/>
        <v/>
      </c>
      <c r="I90" t="str">
        <f>IFERROR(INDEX(Analysis!$D$116:$N$137, MATCH(B90, Analysis!$C$116:$C$137, 0), MATCH(C90, Analysis!$D$115:$N$115, 0)), "")</f>
        <v/>
      </c>
      <c r="J90" t="str">
        <f t="shared" si="10"/>
        <v/>
      </c>
      <c r="K90" s="28" t="str">
        <f t="shared" si="7"/>
        <v/>
      </c>
      <c r="L90" s="46" t="str">
        <f t="shared" si="11"/>
        <v/>
      </c>
      <c r="M90" t="str" cm="1">
        <f t="array" ref="M90">IF(L90="","",_xlfn.IFS(
  AND(L90&gt;=TIME(9,0,0), L90&lt;TIME(16,0,0)),"Morning",
  AND(L90&gt;=TIME(16,0,0), L90&lt;TIME(23,59,0)),"Evening",
  L90&gt;=TIME(23,59,0),"Night",
  L90&lt;TIME(9,0,0),"Night"
))</f>
        <v/>
      </c>
      <c r="O90" t="str">
        <f t="shared" si="8"/>
        <v/>
      </c>
    </row>
    <row r="91" spans="1:15" x14ac:dyDescent="0.25">
      <c r="A91" s="49"/>
      <c r="G91" t="str">
        <f t="shared" si="6"/>
        <v/>
      </c>
      <c r="H91" s="13" t="str">
        <f t="shared" si="9"/>
        <v/>
      </c>
      <c r="I91" t="str">
        <f>IFERROR(INDEX(Analysis!$D$116:$N$137, MATCH(B91, Analysis!$C$116:$C$137, 0), MATCH(C91, Analysis!$D$115:$N$115, 0)), "")</f>
        <v/>
      </c>
      <c r="J91" t="str">
        <f t="shared" si="10"/>
        <v/>
      </c>
      <c r="K91" s="28" t="str">
        <f t="shared" si="7"/>
        <v/>
      </c>
      <c r="L91" s="46" t="str">
        <f t="shared" si="11"/>
        <v/>
      </c>
      <c r="M91" t="str" cm="1">
        <f t="array" ref="M91">IF(L91="","",_xlfn.IFS(
  AND(L91&gt;=TIME(9,0,0), L91&lt;TIME(16,0,0)),"Morning",
  AND(L91&gt;=TIME(16,0,0), L91&lt;TIME(23,59,0)),"Evening",
  L91&gt;=TIME(23,59,0),"Night",
  L91&lt;TIME(9,0,0),"Night"
))</f>
        <v/>
      </c>
      <c r="O91" t="str">
        <f t="shared" si="8"/>
        <v/>
      </c>
    </row>
    <row r="92" spans="1:15" x14ac:dyDescent="0.25">
      <c r="A92" s="49"/>
      <c r="G92" t="str">
        <f t="shared" si="6"/>
        <v/>
      </c>
      <c r="H92" s="13" t="str">
        <f t="shared" si="9"/>
        <v/>
      </c>
      <c r="I92" t="str">
        <f>IFERROR(INDEX(Analysis!$D$116:$N$137, MATCH(B92, Analysis!$C$116:$C$137, 0), MATCH(C92, Analysis!$D$115:$N$115, 0)), "")</f>
        <v/>
      </c>
      <c r="J92" t="str">
        <f t="shared" si="10"/>
        <v/>
      </c>
      <c r="K92" s="28" t="str">
        <f t="shared" si="7"/>
        <v/>
      </c>
      <c r="L92" s="46" t="str">
        <f t="shared" si="11"/>
        <v/>
      </c>
      <c r="M92" t="str" cm="1">
        <f t="array" ref="M92">IF(L92="","",_xlfn.IFS(
  AND(L92&gt;=TIME(9,0,0), L92&lt;TIME(16,0,0)),"Morning",
  AND(L92&gt;=TIME(16,0,0), L92&lt;TIME(23,59,0)),"Evening",
  L92&gt;=TIME(23,59,0),"Night",
  L92&lt;TIME(9,0,0),"Night"
))</f>
        <v/>
      </c>
      <c r="O92" t="str">
        <f t="shared" si="8"/>
        <v/>
      </c>
    </row>
    <row r="93" spans="1:15" x14ac:dyDescent="0.25">
      <c r="A93" s="49"/>
      <c r="G93" t="str">
        <f t="shared" si="6"/>
        <v/>
      </c>
      <c r="H93" s="13" t="str">
        <f t="shared" si="9"/>
        <v/>
      </c>
      <c r="I93" t="str">
        <f>IFERROR(INDEX(Analysis!$D$116:$N$137, MATCH(B93, Analysis!$C$116:$C$137, 0), MATCH(C93, Analysis!$D$115:$N$115, 0)), "")</f>
        <v/>
      </c>
      <c r="J93" t="str">
        <f t="shared" si="10"/>
        <v/>
      </c>
      <c r="K93" s="28" t="str">
        <f t="shared" si="7"/>
        <v/>
      </c>
      <c r="L93" s="46" t="str">
        <f t="shared" si="11"/>
        <v/>
      </c>
      <c r="M93" t="str" cm="1">
        <f t="array" ref="M93">IF(L93="","",_xlfn.IFS(
  AND(L93&gt;=TIME(9,0,0), L93&lt;TIME(16,0,0)),"Morning",
  AND(L93&gt;=TIME(16,0,0), L93&lt;TIME(23,59,0)),"Evening",
  L93&gt;=TIME(23,59,0),"Night",
  L93&lt;TIME(9,0,0),"Night"
))</f>
        <v/>
      </c>
      <c r="O93" t="str">
        <f t="shared" si="8"/>
        <v/>
      </c>
    </row>
    <row r="94" spans="1:15" x14ac:dyDescent="0.25">
      <c r="A94" s="49"/>
      <c r="G94" t="str">
        <f t="shared" si="6"/>
        <v/>
      </c>
      <c r="H94" s="13" t="str">
        <f t="shared" si="9"/>
        <v/>
      </c>
      <c r="I94" t="str">
        <f>IFERROR(INDEX(Analysis!$D$116:$N$137, MATCH(B94, Analysis!$C$116:$C$137, 0), MATCH(C94, Analysis!$D$115:$N$115, 0)), "")</f>
        <v/>
      </c>
      <c r="J94" t="str">
        <f t="shared" si="10"/>
        <v/>
      </c>
      <c r="K94" s="28" t="str">
        <f t="shared" si="7"/>
        <v/>
      </c>
      <c r="L94" s="46" t="str">
        <f t="shared" si="11"/>
        <v/>
      </c>
      <c r="M94" t="str" cm="1">
        <f t="array" ref="M94">IF(L94="","",_xlfn.IFS(
  AND(L94&gt;=TIME(9,0,0), L94&lt;TIME(16,0,0)),"Morning",
  AND(L94&gt;=TIME(16,0,0), L94&lt;TIME(23,59,0)),"Evening",
  L94&gt;=TIME(23,59,0),"Night",
  L94&lt;TIME(9,0,0),"Night"
))</f>
        <v/>
      </c>
      <c r="O94" t="str">
        <f t="shared" si="8"/>
        <v/>
      </c>
    </row>
    <row r="95" spans="1:15" x14ac:dyDescent="0.25">
      <c r="A95" s="49"/>
      <c r="G95" t="str">
        <f t="shared" si="6"/>
        <v/>
      </c>
      <c r="H95" s="13" t="str">
        <f t="shared" si="9"/>
        <v/>
      </c>
      <c r="I95" t="str">
        <f>IFERROR(INDEX(Analysis!$D$116:$N$137, MATCH(B95, Analysis!$C$116:$C$137, 0), MATCH(C95, Analysis!$D$115:$N$115, 0)), "")</f>
        <v/>
      </c>
      <c r="J95" t="str">
        <f t="shared" si="10"/>
        <v/>
      </c>
      <c r="K95" s="28" t="str">
        <f t="shared" si="7"/>
        <v/>
      </c>
      <c r="L95" s="46" t="str">
        <f t="shared" si="11"/>
        <v/>
      </c>
      <c r="M95" t="str" cm="1">
        <f t="array" ref="M95">IF(L95="","",_xlfn.IFS(
  AND(L95&gt;=TIME(9,0,0), L95&lt;TIME(16,0,0)),"Morning",
  AND(L95&gt;=TIME(16,0,0), L95&lt;TIME(23,59,0)),"Evening",
  L95&gt;=TIME(23,59,0),"Night",
  L95&lt;TIME(9,0,0),"Night"
))</f>
        <v/>
      </c>
      <c r="O95" t="str">
        <f t="shared" si="8"/>
        <v/>
      </c>
    </row>
    <row r="96" spans="1:15" x14ac:dyDescent="0.25">
      <c r="A96" s="49"/>
      <c r="G96" t="str">
        <f t="shared" si="6"/>
        <v/>
      </c>
      <c r="H96" s="13" t="str">
        <f t="shared" si="9"/>
        <v/>
      </c>
      <c r="I96" t="str">
        <f>IFERROR(INDEX(Analysis!$D$116:$N$137, MATCH(B96, Analysis!$C$116:$C$137, 0), MATCH(C96, Analysis!$D$115:$N$115, 0)), "")</f>
        <v/>
      </c>
      <c r="J96" t="str">
        <f t="shared" si="10"/>
        <v/>
      </c>
      <c r="K96" s="28" t="str">
        <f t="shared" si="7"/>
        <v/>
      </c>
      <c r="L96" s="46" t="str">
        <f t="shared" si="11"/>
        <v/>
      </c>
      <c r="M96" t="str" cm="1">
        <f t="array" ref="M96">IF(L96="","",_xlfn.IFS(
  AND(L96&gt;=TIME(9,0,0), L96&lt;TIME(16,0,0)),"Morning",
  AND(L96&gt;=TIME(16,0,0), L96&lt;TIME(23,59,0)),"Evening",
  L96&gt;=TIME(23,59,0),"Night",
  L96&lt;TIME(9,0,0),"Night"
))</f>
        <v/>
      </c>
      <c r="O96" t="str">
        <f t="shared" si="8"/>
        <v/>
      </c>
    </row>
    <row r="97" spans="1:15" x14ac:dyDescent="0.25">
      <c r="A97" s="49"/>
      <c r="G97" t="str">
        <f t="shared" si="6"/>
        <v/>
      </c>
      <c r="H97" s="13" t="str">
        <f t="shared" si="9"/>
        <v/>
      </c>
      <c r="I97" t="str">
        <f>IFERROR(INDEX(Analysis!$D$116:$N$137, MATCH(B97, Analysis!$C$116:$C$137, 0), MATCH(C97, Analysis!$D$115:$N$115, 0)), "")</f>
        <v/>
      </c>
      <c r="J97" t="str">
        <f t="shared" si="10"/>
        <v/>
      </c>
      <c r="K97" s="28" t="str">
        <f t="shared" si="7"/>
        <v/>
      </c>
      <c r="L97" s="46" t="str">
        <f t="shared" si="11"/>
        <v/>
      </c>
      <c r="M97" t="str" cm="1">
        <f t="array" ref="M97">IF(L97="","",_xlfn.IFS(
  AND(L97&gt;=TIME(9,0,0), L97&lt;TIME(16,0,0)),"Morning",
  AND(L97&gt;=TIME(16,0,0), L97&lt;TIME(23,59,0)),"Evening",
  L97&gt;=TIME(23,59,0),"Night",
  L97&lt;TIME(9,0,0),"Night"
))</f>
        <v/>
      </c>
      <c r="O97" t="str">
        <f t="shared" si="8"/>
        <v/>
      </c>
    </row>
    <row r="98" spans="1:15" x14ac:dyDescent="0.25">
      <c r="A98" s="49"/>
      <c r="G98" t="str">
        <f t="shared" si="6"/>
        <v/>
      </c>
      <c r="H98" s="13" t="str">
        <f t="shared" si="9"/>
        <v/>
      </c>
      <c r="I98" t="str">
        <f>IFERROR(INDEX(Analysis!$D$116:$N$137, MATCH(B98, Analysis!$C$116:$C$137, 0), MATCH(C98, Analysis!$D$115:$N$115, 0)), "")</f>
        <v/>
      </c>
      <c r="J98" t="str">
        <f t="shared" si="10"/>
        <v/>
      </c>
      <c r="K98" s="28" t="str">
        <f t="shared" si="7"/>
        <v/>
      </c>
      <c r="L98" s="46" t="str">
        <f t="shared" si="11"/>
        <v/>
      </c>
      <c r="M98" t="str" cm="1">
        <f t="array" ref="M98">IF(L98="","",_xlfn.IFS(
  AND(L98&gt;=TIME(9,0,0), L98&lt;TIME(16,0,0)),"Morning",
  AND(L98&gt;=TIME(16,0,0), L98&lt;TIME(23,59,0)),"Evening",
  L98&gt;=TIME(23,59,0),"Night",
  L98&lt;TIME(9,0,0),"Night"
))</f>
        <v/>
      </c>
      <c r="O98" t="str">
        <f t="shared" si="8"/>
        <v/>
      </c>
    </row>
    <row r="99" spans="1:15" x14ac:dyDescent="0.25">
      <c r="A99" s="49"/>
      <c r="G99" t="str">
        <f t="shared" si="6"/>
        <v/>
      </c>
      <c r="H99" s="13" t="str">
        <f t="shared" si="9"/>
        <v/>
      </c>
      <c r="I99" t="str">
        <f>IFERROR(INDEX(Analysis!$D$116:$N$137, MATCH(B99, Analysis!$C$116:$C$137, 0), MATCH(C99, Analysis!$D$115:$N$115, 0)), "")</f>
        <v/>
      </c>
      <c r="J99" t="str">
        <f t="shared" si="10"/>
        <v/>
      </c>
      <c r="K99" s="28" t="str">
        <f t="shared" si="7"/>
        <v/>
      </c>
      <c r="L99" s="46" t="str">
        <f t="shared" si="11"/>
        <v/>
      </c>
      <c r="M99" t="str" cm="1">
        <f t="array" ref="M99">IF(L99="","",_xlfn.IFS(
  AND(L99&gt;=TIME(9,0,0), L99&lt;TIME(16,0,0)),"Morning",
  AND(L99&gt;=TIME(16,0,0), L99&lt;TIME(23,59,0)),"Evening",
  L99&gt;=TIME(23,59,0),"Night",
  L99&lt;TIME(9,0,0),"Night"
))</f>
        <v/>
      </c>
      <c r="O99" t="str">
        <f t="shared" si="8"/>
        <v/>
      </c>
    </row>
    <row r="100" spans="1:15" x14ac:dyDescent="0.25">
      <c r="A100" s="49"/>
      <c r="G100" t="str">
        <f t="shared" si="6"/>
        <v/>
      </c>
      <c r="H100" s="13" t="str">
        <f t="shared" si="9"/>
        <v/>
      </c>
      <c r="I100" t="str">
        <f>IFERROR(INDEX(Analysis!$D$116:$N$137, MATCH(B100, Analysis!$C$116:$C$137, 0), MATCH(C100, Analysis!$D$115:$N$115, 0)), "")</f>
        <v/>
      </c>
      <c r="J100" t="str">
        <f t="shared" si="10"/>
        <v/>
      </c>
      <c r="K100" s="28" t="str">
        <f t="shared" si="7"/>
        <v/>
      </c>
      <c r="L100" s="46" t="str">
        <f t="shared" si="11"/>
        <v/>
      </c>
      <c r="M100" t="str" cm="1">
        <f t="array" ref="M100">IF(L100="","",_xlfn.IFS(
  AND(L100&gt;=TIME(9,0,0), L100&lt;TIME(16,0,0)),"Morning",
  AND(L100&gt;=TIME(16,0,0), L100&lt;TIME(23,59,0)),"Evening",
  L100&gt;=TIME(23,59,0),"Night",
  L100&lt;TIME(9,0,0),"Night"
))</f>
        <v/>
      </c>
      <c r="O100" t="str">
        <f t="shared" si="8"/>
        <v/>
      </c>
    </row>
    <row r="101" spans="1:15" x14ac:dyDescent="0.25">
      <c r="A101" s="49"/>
      <c r="G101" t="str">
        <f t="shared" si="6"/>
        <v/>
      </c>
      <c r="H101" s="13" t="str">
        <f t="shared" si="9"/>
        <v/>
      </c>
      <c r="I101" t="str">
        <f>IFERROR(INDEX(Analysis!$D$116:$N$137, MATCH(B101, Analysis!$C$116:$C$137, 0), MATCH(C101, Analysis!$D$115:$N$115, 0)), "")</f>
        <v/>
      </c>
      <c r="J101" t="str">
        <f t="shared" si="10"/>
        <v/>
      </c>
      <c r="K101" s="28" t="str">
        <f t="shared" si="7"/>
        <v/>
      </c>
      <c r="L101" s="46" t="str">
        <f t="shared" si="11"/>
        <v/>
      </c>
      <c r="M101" t="str" cm="1">
        <f t="array" ref="M101">IF(L101="","",_xlfn.IFS(
  AND(L101&gt;=TIME(9,0,0), L101&lt;TIME(16,0,0)),"Morning",
  AND(L101&gt;=TIME(16,0,0), L101&lt;TIME(23,59,0)),"Evening",
  L101&gt;=TIME(23,59,0),"Night",
  L101&lt;TIME(9,0,0),"Night"
))</f>
        <v/>
      </c>
      <c r="O101" t="str">
        <f t="shared" si="8"/>
        <v/>
      </c>
    </row>
    <row r="102" spans="1:15" x14ac:dyDescent="0.25">
      <c r="A102" s="49"/>
      <c r="G102" t="str">
        <f t="shared" si="6"/>
        <v/>
      </c>
      <c r="H102" s="13" t="str">
        <f t="shared" si="9"/>
        <v/>
      </c>
      <c r="I102" t="str">
        <f>IFERROR(INDEX(Analysis!$D$116:$N$137, MATCH(B102, Analysis!$C$116:$C$137, 0), MATCH(C102, Analysis!$D$115:$N$115, 0)), "")</f>
        <v/>
      </c>
      <c r="J102" t="str">
        <f t="shared" si="10"/>
        <v/>
      </c>
      <c r="K102" s="28" t="str">
        <f t="shared" si="7"/>
        <v/>
      </c>
      <c r="L102" s="46" t="str">
        <f t="shared" si="11"/>
        <v/>
      </c>
      <c r="M102" t="str" cm="1">
        <f t="array" ref="M102">IF(L102="","",_xlfn.IFS(
  AND(L102&gt;=TIME(9,0,0), L102&lt;TIME(16,0,0)),"Morning",
  AND(L102&gt;=TIME(16,0,0), L102&lt;TIME(23,59,0)),"Evening",
  L102&gt;=TIME(23,59,0),"Night",
  L102&lt;TIME(9,0,0),"Night"
))</f>
        <v/>
      </c>
      <c r="O102" t="str">
        <f t="shared" si="8"/>
        <v/>
      </c>
    </row>
    <row r="103" spans="1:15" x14ac:dyDescent="0.25">
      <c r="A103" s="49"/>
      <c r="G103" t="str">
        <f t="shared" si="6"/>
        <v/>
      </c>
      <c r="H103" s="13" t="str">
        <f t="shared" si="9"/>
        <v/>
      </c>
      <c r="I103" t="str">
        <f>IFERROR(INDEX(Analysis!$D$116:$N$137, MATCH(B103, Analysis!$C$116:$C$137, 0), MATCH(C103, Analysis!$D$115:$N$115, 0)), "")</f>
        <v/>
      </c>
      <c r="J103" t="str">
        <f t="shared" si="10"/>
        <v/>
      </c>
      <c r="K103" s="28" t="str">
        <f t="shared" si="7"/>
        <v/>
      </c>
      <c r="L103" s="46" t="str">
        <f t="shared" si="11"/>
        <v/>
      </c>
      <c r="M103" t="str" cm="1">
        <f t="array" ref="M103">IF(L103="","",_xlfn.IFS(
  AND(L103&gt;=TIME(9,0,0), L103&lt;TIME(16,0,0)),"Morning",
  AND(L103&gt;=TIME(16,0,0), L103&lt;TIME(23,59,0)),"Evening",
  L103&gt;=TIME(23,59,0),"Night",
  L103&lt;TIME(9,0,0),"Night"
))</f>
        <v/>
      </c>
      <c r="O103" t="str">
        <f t="shared" si="8"/>
        <v/>
      </c>
    </row>
    <row r="104" spans="1:15" x14ac:dyDescent="0.25">
      <c r="A104" s="49"/>
      <c r="G104" t="str">
        <f t="shared" si="6"/>
        <v/>
      </c>
      <c r="H104" s="13" t="str">
        <f t="shared" si="9"/>
        <v/>
      </c>
      <c r="I104" t="str">
        <f>IFERROR(INDEX(Analysis!$D$116:$N$137, MATCH(B104, Analysis!$C$116:$C$137, 0), MATCH(C104, Analysis!$D$115:$N$115, 0)), "")</f>
        <v/>
      </c>
      <c r="J104" t="str">
        <f t="shared" si="10"/>
        <v/>
      </c>
      <c r="K104" s="28" t="str">
        <f t="shared" si="7"/>
        <v/>
      </c>
      <c r="L104" s="46" t="str">
        <f t="shared" si="11"/>
        <v/>
      </c>
      <c r="M104" t="str" cm="1">
        <f t="array" ref="M104">IF(L104="","",_xlfn.IFS(
  AND(L104&gt;=TIME(9,0,0), L104&lt;TIME(16,0,0)),"Morning",
  AND(L104&gt;=TIME(16,0,0), L104&lt;TIME(23,59,0)),"Evening",
  L104&gt;=TIME(23,59,0),"Night",
  L104&lt;TIME(9,0,0),"Night"
))</f>
        <v/>
      </c>
      <c r="O104" t="str">
        <f t="shared" si="8"/>
        <v/>
      </c>
    </row>
    <row r="105" spans="1:15" x14ac:dyDescent="0.25">
      <c r="A105" s="49"/>
      <c r="G105" t="str">
        <f t="shared" si="6"/>
        <v/>
      </c>
      <c r="H105" s="13" t="str">
        <f t="shared" si="9"/>
        <v/>
      </c>
      <c r="I105" t="str">
        <f>IFERROR(INDEX(Analysis!$D$116:$N$137, MATCH(B105, Analysis!$C$116:$C$137, 0), MATCH(C105, Analysis!$D$115:$N$115, 0)), "")</f>
        <v/>
      </c>
      <c r="J105" t="str">
        <f t="shared" si="10"/>
        <v/>
      </c>
      <c r="K105" s="28" t="str">
        <f t="shared" si="7"/>
        <v/>
      </c>
      <c r="L105" s="46" t="str">
        <f t="shared" si="11"/>
        <v/>
      </c>
      <c r="M105" t="str" cm="1">
        <f t="array" ref="M105">IF(L105="","",_xlfn.IFS(
  AND(L105&gt;=TIME(9,0,0), L105&lt;TIME(16,0,0)),"Morning",
  AND(L105&gt;=TIME(16,0,0), L105&lt;TIME(23,59,0)),"Evening",
  L105&gt;=TIME(23,59,0),"Night",
  L105&lt;TIME(9,0,0),"Night"
))</f>
        <v/>
      </c>
      <c r="O105" t="str">
        <f t="shared" si="8"/>
        <v/>
      </c>
    </row>
    <row r="106" spans="1:15" x14ac:dyDescent="0.25">
      <c r="A106" s="49"/>
      <c r="G106" t="str">
        <f t="shared" si="6"/>
        <v/>
      </c>
      <c r="H106" s="13" t="str">
        <f t="shared" si="9"/>
        <v/>
      </c>
      <c r="I106" t="str">
        <f>IFERROR(INDEX(Analysis!$D$116:$N$137, MATCH(B106, Analysis!$C$116:$C$137, 0), MATCH(C106, Analysis!$D$115:$N$115, 0)), "")</f>
        <v/>
      </c>
      <c r="J106" t="str">
        <f t="shared" si="10"/>
        <v/>
      </c>
      <c r="K106" s="28" t="str">
        <f t="shared" si="7"/>
        <v/>
      </c>
      <c r="L106" s="46" t="str">
        <f t="shared" si="11"/>
        <v/>
      </c>
      <c r="M106" t="str" cm="1">
        <f t="array" ref="M106">IF(L106="","",_xlfn.IFS(
  AND(L106&gt;=TIME(9,0,0), L106&lt;TIME(16,0,0)),"Morning",
  AND(L106&gt;=TIME(16,0,0), L106&lt;TIME(23,59,0)),"Evening",
  L106&gt;=TIME(23,59,0),"Night",
  L106&lt;TIME(9,0,0),"Night"
))</f>
        <v/>
      </c>
      <c r="O106" t="str">
        <f t="shared" si="8"/>
        <v/>
      </c>
    </row>
    <row r="107" spans="1:15" x14ac:dyDescent="0.25">
      <c r="A107" s="49"/>
      <c r="G107" t="str">
        <f t="shared" si="6"/>
        <v/>
      </c>
      <c r="H107" s="13" t="str">
        <f t="shared" si="9"/>
        <v/>
      </c>
      <c r="I107" t="str">
        <f>IFERROR(INDEX(Analysis!$D$116:$N$137, MATCH(B107, Analysis!$C$116:$C$137, 0), MATCH(C107, Analysis!$D$115:$N$115, 0)), "")</f>
        <v/>
      </c>
      <c r="J107" t="str">
        <f t="shared" si="10"/>
        <v/>
      </c>
      <c r="K107" s="28" t="str">
        <f t="shared" si="7"/>
        <v/>
      </c>
      <c r="L107" s="46" t="str">
        <f t="shared" si="11"/>
        <v/>
      </c>
      <c r="M107" t="str" cm="1">
        <f t="array" ref="M107">IF(L107="","",_xlfn.IFS(
  AND(L107&gt;=TIME(9,0,0), L107&lt;TIME(16,0,0)),"Morning",
  AND(L107&gt;=TIME(16,0,0), L107&lt;TIME(23,59,0)),"Evening",
  L107&gt;=TIME(23,59,0),"Night",
  L107&lt;TIME(9,0,0),"Night"
))</f>
        <v/>
      </c>
      <c r="O107" t="str">
        <f t="shared" si="8"/>
        <v/>
      </c>
    </row>
    <row r="108" spans="1:15" x14ac:dyDescent="0.25">
      <c r="A108" s="49"/>
      <c r="G108" t="str">
        <f t="shared" si="6"/>
        <v/>
      </c>
      <c r="H108" s="13" t="str">
        <f t="shared" si="9"/>
        <v/>
      </c>
      <c r="I108" t="str">
        <f>IFERROR(INDEX(Analysis!$D$116:$N$137, MATCH(B108, Analysis!$C$116:$C$137, 0), MATCH(C108, Analysis!$D$115:$N$115, 0)), "")</f>
        <v/>
      </c>
      <c r="J108" t="str">
        <f t="shared" si="10"/>
        <v/>
      </c>
      <c r="K108" s="28" t="str">
        <f t="shared" si="7"/>
        <v/>
      </c>
      <c r="L108" s="46" t="str">
        <f t="shared" si="11"/>
        <v/>
      </c>
      <c r="M108" t="str" cm="1">
        <f t="array" ref="M108">IF(L108="","",_xlfn.IFS(
  AND(L108&gt;=TIME(9,0,0), L108&lt;TIME(16,0,0)),"Morning",
  AND(L108&gt;=TIME(16,0,0), L108&lt;TIME(23,59,0)),"Evening",
  L108&gt;=TIME(23,59,0),"Night",
  L108&lt;TIME(9,0,0),"Night"
))</f>
        <v/>
      </c>
      <c r="O108" t="str">
        <f t="shared" si="8"/>
        <v/>
      </c>
    </row>
    <row r="109" spans="1:15" x14ac:dyDescent="0.25">
      <c r="A109" s="49"/>
      <c r="G109" t="str">
        <f t="shared" si="6"/>
        <v/>
      </c>
      <c r="H109" s="13" t="str">
        <f t="shared" si="9"/>
        <v/>
      </c>
      <c r="I109" t="str">
        <f>IFERROR(INDEX(Analysis!$D$116:$N$137, MATCH(B109, Analysis!$C$116:$C$137, 0), MATCH(C109, Analysis!$D$115:$N$115, 0)), "")</f>
        <v/>
      </c>
      <c r="J109" t="str">
        <f t="shared" si="10"/>
        <v/>
      </c>
      <c r="K109" s="28" t="str">
        <f t="shared" si="7"/>
        <v/>
      </c>
      <c r="L109" s="46" t="str">
        <f t="shared" si="11"/>
        <v/>
      </c>
      <c r="M109" t="str" cm="1">
        <f t="array" ref="M109">IF(L109="","",_xlfn.IFS(
  AND(L109&gt;=TIME(9,0,0), L109&lt;TIME(16,0,0)),"Morning",
  AND(L109&gt;=TIME(16,0,0), L109&lt;TIME(23,59,0)),"Evening",
  L109&gt;=TIME(23,59,0),"Night",
  L109&lt;TIME(9,0,0),"Night"
))</f>
        <v/>
      </c>
      <c r="O109" t="str">
        <f t="shared" si="8"/>
        <v/>
      </c>
    </row>
    <row r="110" spans="1:15" x14ac:dyDescent="0.25">
      <c r="A110" s="49"/>
      <c r="G110" t="str">
        <f t="shared" si="6"/>
        <v/>
      </c>
      <c r="H110" s="13" t="str">
        <f t="shared" si="9"/>
        <v/>
      </c>
      <c r="I110" t="str">
        <f>IFERROR(INDEX(Analysis!$D$116:$N$137, MATCH(B110, Analysis!$C$116:$C$137, 0), MATCH(C110, Analysis!$D$115:$N$115, 0)), "")</f>
        <v/>
      </c>
      <c r="J110" t="str">
        <f t="shared" si="10"/>
        <v/>
      </c>
      <c r="K110" s="28" t="str">
        <f t="shared" si="7"/>
        <v/>
      </c>
      <c r="L110" s="46" t="str">
        <f t="shared" si="11"/>
        <v/>
      </c>
      <c r="M110" t="str" cm="1">
        <f t="array" ref="M110">IF(L110="","",_xlfn.IFS(
  AND(L110&gt;=TIME(9,0,0), L110&lt;TIME(16,0,0)),"Morning",
  AND(L110&gt;=TIME(16,0,0), L110&lt;TIME(23,59,0)),"Evening",
  L110&gt;=TIME(23,59,0),"Night",
  L110&lt;TIME(9,0,0),"Night"
))</f>
        <v/>
      </c>
      <c r="O110" t="str">
        <f t="shared" si="8"/>
        <v/>
      </c>
    </row>
    <row r="111" spans="1:15" x14ac:dyDescent="0.25">
      <c r="A111" s="49"/>
      <c r="G111" t="str">
        <f t="shared" si="6"/>
        <v/>
      </c>
      <c r="H111" s="13" t="str">
        <f t="shared" si="9"/>
        <v/>
      </c>
      <c r="I111" t="str">
        <f>IFERROR(INDEX(Analysis!$D$116:$N$137, MATCH(B111, Analysis!$C$116:$C$137, 0), MATCH(C111, Analysis!$D$115:$N$115, 0)), "")</f>
        <v/>
      </c>
      <c r="J111" t="str">
        <f t="shared" si="10"/>
        <v/>
      </c>
      <c r="K111" s="28" t="str">
        <f t="shared" si="7"/>
        <v/>
      </c>
      <c r="L111" s="46" t="str">
        <f t="shared" si="11"/>
        <v/>
      </c>
      <c r="M111" t="str" cm="1">
        <f t="array" ref="M111">IF(L111="","",_xlfn.IFS(
  AND(L111&gt;=TIME(9,0,0), L111&lt;TIME(16,0,0)),"Morning",
  AND(L111&gt;=TIME(16,0,0), L111&lt;TIME(23,59,0)),"Evening",
  L111&gt;=TIME(23,59,0),"Night",
  L111&lt;TIME(9,0,0),"Night"
))</f>
        <v/>
      </c>
      <c r="O111" t="str">
        <f t="shared" si="8"/>
        <v/>
      </c>
    </row>
    <row r="112" spans="1:15" x14ac:dyDescent="0.25">
      <c r="A112" s="49"/>
      <c r="G112" t="str">
        <f t="shared" si="6"/>
        <v/>
      </c>
      <c r="H112" s="13" t="str">
        <f t="shared" si="9"/>
        <v/>
      </c>
      <c r="I112" t="str">
        <f>IFERROR(INDEX(Analysis!$D$116:$N$137, MATCH(B112, Analysis!$C$116:$C$137, 0), MATCH(C112, Analysis!$D$115:$N$115, 0)), "")</f>
        <v/>
      </c>
      <c r="J112" t="str">
        <f t="shared" si="10"/>
        <v/>
      </c>
      <c r="K112" s="28" t="str">
        <f t="shared" si="7"/>
        <v/>
      </c>
      <c r="L112" s="46" t="str">
        <f t="shared" si="11"/>
        <v/>
      </c>
      <c r="M112" t="str" cm="1">
        <f t="array" ref="M112">IF(L112="","",_xlfn.IFS(
  AND(L112&gt;=TIME(9,0,0), L112&lt;TIME(16,0,0)),"Morning",
  AND(L112&gt;=TIME(16,0,0), L112&lt;TIME(23,59,0)),"Evening",
  L112&gt;=TIME(23,59,0),"Night",
  L112&lt;TIME(9,0,0),"Night"
))</f>
        <v/>
      </c>
      <c r="O112" t="str">
        <f t="shared" si="8"/>
        <v/>
      </c>
    </row>
    <row r="113" spans="1:15" x14ac:dyDescent="0.25">
      <c r="A113" s="49"/>
      <c r="G113" t="str">
        <f t="shared" si="6"/>
        <v/>
      </c>
      <c r="H113" s="13" t="str">
        <f t="shared" si="9"/>
        <v/>
      </c>
      <c r="I113" t="str">
        <f>IFERROR(INDEX(Analysis!$D$116:$N$137, MATCH(B113, Analysis!$C$116:$C$137, 0), MATCH(C113, Analysis!$D$115:$N$115, 0)), "")</f>
        <v/>
      </c>
      <c r="J113" t="str">
        <f t="shared" si="10"/>
        <v/>
      </c>
      <c r="K113" s="28" t="str">
        <f t="shared" si="7"/>
        <v/>
      </c>
      <c r="L113" s="46" t="str">
        <f t="shared" si="11"/>
        <v/>
      </c>
      <c r="M113" t="str" cm="1">
        <f t="array" ref="M113">IF(L113="","",_xlfn.IFS(
  AND(L113&gt;=TIME(9,0,0), L113&lt;TIME(16,0,0)),"Morning",
  AND(L113&gt;=TIME(16,0,0), L113&lt;TIME(23,59,0)),"Evening",
  L113&gt;=TIME(23,59,0),"Night",
  L113&lt;TIME(9,0,0),"Night"
))</f>
        <v/>
      </c>
      <c r="O113" t="str">
        <f t="shared" si="8"/>
        <v/>
      </c>
    </row>
    <row r="114" spans="1:15" x14ac:dyDescent="0.25">
      <c r="A114" s="49"/>
      <c r="G114" t="str">
        <f t="shared" si="6"/>
        <v/>
      </c>
      <c r="H114" s="13" t="str">
        <f t="shared" si="9"/>
        <v/>
      </c>
      <c r="I114" t="str">
        <f>IFERROR(INDEX(Analysis!$D$116:$N$137, MATCH(B114, Analysis!$C$116:$C$137, 0), MATCH(C114, Analysis!$D$115:$N$115, 0)), "")</f>
        <v/>
      </c>
      <c r="J114" t="str">
        <f t="shared" si="10"/>
        <v/>
      </c>
      <c r="K114" s="28" t="str">
        <f t="shared" si="7"/>
        <v/>
      </c>
      <c r="L114" s="46" t="str">
        <f t="shared" si="11"/>
        <v/>
      </c>
      <c r="M114" t="str" cm="1">
        <f t="array" ref="M114">IF(L114="","",_xlfn.IFS(
  AND(L114&gt;=TIME(9,0,0), L114&lt;TIME(16,0,0)),"Morning",
  AND(L114&gt;=TIME(16,0,0), L114&lt;TIME(23,59,0)),"Evening",
  L114&gt;=TIME(23,59,0),"Night",
  L114&lt;TIME(9,0,0),"Night"
))</f>
        <v/>
      </c>
      <c r="O114" t="str">
        <f t="shared" si="8"/>
        <v/>
      </c>
    </row>
    <row r="115" spans="1:15" x14ac:dyDescent="0.25">
      <c r="A115" s="49"/>
      <c r="G115" t="str">
        <f t="shared" si="6"/>
        <v/>
      </c>
      <c r="H115" s="13" t="str">
        <f t="shared" si="9"/>
        <v/>
      </c>
      <c r="I115" t="str">
        <f>IFERROR(INDEX(Analysis!$D$116:$N$137, MATCH(B115, Analysis!$C$116:$C$137, 0), MATCH(C115, Analysis!$D$115:$N$115, 0)), "")</f>
        <v/>
      </c>
      <c r="J115" t="str">
        <f t="shared" si="10"/>
        <v/>
      </c>
      <c r="K115" s="28" t="str">
        <f t="shared" si="7"/>
        <v/>
      </c>
      <c r="L115" s="46" t="str">
        <f t="shared" si="11"/>
        <v/>
      </c>
      <c r="M115" t="str" cm="1">
        <f t="array" ref="M115">IF(L115="","",_xlfn.IFS(
  AND(L115&gt;=TIME(9,0,0), L115&lt;TIME(16,0,0)),"Morning",
  AND(L115&gt;=TIME(16,0,0), L115&lt;TIME(23,59,0)),"Evening",
  L115&gt;=TIME(23,59,0),"Night",
  L115&lt;TIME(9,0,0),"Night"
))</f>
        <v/>
      </c>
      <c r="O115" t="str">
        <f t="shared" si="8"/>
        <v/>
      </c>
    </row>
    <row r="116" spans="1:15" x14ac:dyDescent="0.25">
      <c r="A116" s="49"/>
      <c r="G116" t="str">
        <f t="shared" si="6"/>
        <v/>
      </c>
      <c r="H116" s="13" t="str">
        <f t="shared" si="9"/>
        <v/>
      </c>
      <c r="I116" t="str">
        <f>IFERROR(INDEX(Analysis!$D$116:$N$137, MATCH(B116, Analysis!$C$116:$C$137, 0), MATCH(C116, Analysis!$D$115:$N$115, 0)), "")</f>
        <v/>
      </c>
      <c r="J116" t="str">
        <f t="shared" si="10"/>
        <v/>
      </c>
      <c r="K116" s="28" t="str">
        <f t="shared" si="7"/>
        <v/>
      </c>
      <c r="L116" s="46" t="str">
        <f t="shared" si="11"/>
        <v/>
      </c>
      <c r="M116" t="str" cm="1">
        <f t="array" ref="M116">IF(L116="","",_xlfn.IFS(
  AND(L116&gt;=TIME(9,0,0), L116&lt;TIME(16,0,0)),"Morning",
  AND(L116&gt;=TIME(16,0,0), L116&lt;TIME(23,59,0)),"Evening",
  L116&gt;=TIME(23,59,0),"Night",
  L116&lt;TIME(9,0,0),"Night"
))</f>
        <v/>
      </c>
      <c r="O116" t="str">
        <f t="shared" si="8"/>
        <v/>
      </c>
    </row>
    <row r="117" spans="1:15" x14ac:dyDescent="0.25">
      <c r="A117" s="49"/>
      <c r="G117" t="str">
        <f t="shared" si="6"/>
        <v/>
      </c>
      <c r="H117" s="13" t="str">
        <f t="shared" si="9"/>
        <v/>
      </c>
      <c r="I117" t="str">
        <f>IFERROR(INDEX(Analysis!$D$116:$N$137, MATCH(B117, Analysis!$C$116:$C$137, 0), MATCH(C117, Analysis!$D$115:$N$115, 0)), "")</f>
        <v/>
      </c>
      <c r="J117" t="str">
        <f t="shared" si="10"/>
        <v/>
      </c>
      <c r="K117" s="28" t="str">
        <f t="shared" si="7"/>
        <v/>
      </c>
      <c r="L117" s="46" t="str">
        <f t="shared" si="11"/>
        <v/>
      </c>
      <c r="M117" t="str" cm="1">
        <f t="array" ref="M117">IF(L117="","",_xlfn.IFS(
  AND(L117&gt;=TIME(9,0,0), L117&lt;TIME(16,0,0)),"Morning",
  AND(L117&gt;=TIME(16,0,0), L117&lt;TIME(23,59,0)),"Evening",
  L117&gt;=TIME(23,59,0),"Night",
  L117&lt;TIME(9,0,0),"Night"
))</f>
        <v/>
      </c>
      <c r="O117" t="str">
        <f t="shared" si="8"/>
        <v/>
      </c>
    </row>
    <row r="118" spans="1:15" x14ac:dyDescent="0.25">
      <c r="A118" s="49"/>
      <c r="G118" t="str">
        <f t="shared" si="6"/>
        <v/>
      </c>
      <c r="H118" s="13" t="str">
        <f t="shared" si="9"/>
        <v/>
      </c>
      <c r="I118" t="str">
        <f>IFERROR(INDEX(Analysis!$D$116:$N$137, MATCH(B118, Analysis!$C$116:$C$137, 0), MATCH(C118, Analysis!$D$115:$N$115, 0)), "")</f>
        <v/>
      </c>
      <c r="J118" t="str">
        <f t="shared" si="10"/>
        <v/>
      </c>
      <c r="K118" s="28" t="str">
        <f t="shared" si="7"/>
        <v/>
      </c>
      <c r="L118" s="46" t="str">
        <f t="shared" si="11"/>
        <v/>
      </c>
      <c r="M118" t="str" cm="1">
        <f t="array" ref="M118">IF(L118="","",_xlfn.IFS(
  AND(L118&gt;=TIME(9,0,0), L118&lt;TIME(16,0,0)),"Morning",
  AND(L118&gt;=TIME(16,0,0), L118&lt;TIME(23,59,0)),"Evening",
  L118&gt;=TIME(23,59,0),"Night",
  L118&lt;TIME(9,0,0),"Night"
))</f>
        <v/>
      </c>
      <c r="O118" t="str">
        <f t="shared" si="8"/>
        <v/>
      </c>
    </row>
    <row r="119" spans="1:15" x14ac:dyDescent="0.25">
      <c r="A119" s="49"/>
      <c r="G119" t="str">
        <f t="shared" si="6"/>
        <v/>
      </c>
      <c r="H119" s="13" t="str">
        <f t="shared" si="9"/>
        <v/>
      </c>
      <c r="I119" t="str">
        <f>IFERROR(INDEX(Analysis!$D$116:$N$137, MATCH(B119, Analysis!$C$116:$C$137, 0), MATCH(C119, Analysis!$D$115:$N$115, 0)), "")</f>
        <v/>
      </c>
      <c r="J119" t="str">
        <f t="shared" si="10"/>
        <v/>
      </c>
      <c r="K119" s="28" t="str">
        <f t="shared" si="7"/>
        <v/>
      </c>
      <c r="L119" s="46" t="str">
        <f t="shared" si="11"/>
        <v/>
      </c>
      <c r="M119" t="str" cm="1">
        <f t="array" ref="M119">IF(L119="","",_xlfn.IFS(
  AND(L119&gt;=TIME(9,0,0), L119&lt;TIME(16,0,0)),"Morning",
  AND(L119&gt;=TIME(16,0,0), L119&lt;TIME(23,59,0)),"Evening",
  L119&gt;=TIME(23,59,0),"Night",
  L119&lt;TIME(9,0,0),"Night"
))</f>
        <v/>
      </c>
      <c r="O119" t="str">
        <f t="shared" si="8"/>
        <v/>
      </c>
    </row>
    <row r="120" spans="1:15" x14ac:dyDescent="0.25">
      <c r="A120" s="49"/>
      <c r="G120" t="str">
        <f t="shared" si="6"/>
        <v/>
      </c>
      <c r="H120" s="13" t="str">
        <f t="shared" si="9"/>
        <v/>
      </c>
      <c r="I120" t="str">
        <f>IFERROR(INDEX(Analysis!$D$116:$N$137, MATCH(B120, Analysis!$C$116:$C$137, 0), MATCH(C120, Analysis!$D$115:$N$115, 0)), "")</f>
        <v/>
      </c>
      <c r="J120" t="str">
        <f t="shared" si="10"/>
        <v/>
      </c>
      <c r="K120" s="28" t="str">
        <f t="shared" si="7"/>
        <v/>
      </c>
      <c r="L120" s="46" t="str">
        <f t="shared" si="11"/>
        <v/>
      </c>
      <c r="M120" t="str" cm="1">
        <f t="array" ref="M120">IF(L120="","",_xlfn.IFS(
  AND(L120&gt;=TIME(9,0,0), L120&lt;TIME(16,0,0)),"Morning",
  AND(L120&gt;=TIME(16,0,0), L120&lt;TIME(23,59,0)),"Evening",
  L120&gt;=TIME(23,59,0),"Night",
  L120&lt;TIME(9,0,0),"Night"
))</f>
        <v/>
      </c>
      <c r="O120" t="str">
        <f t="shared" si="8"/>
        <v/>
      </c>
    </row>
    <row r="121" spans="1:15" x14ac:dyDescent="0.25">
      <c r="A121" s="49"/>
      <c r="G121" t="str">
        <f t="shared" si="6"/>
        <v/>
      </c>
      <c r="H121" s="13" t="str">
        <f t="shared" si="9"/>
        <v/>
      </c>
      <c r="I121" t="str">
        <f>IFERROR(INDEX(Analysis!$D$116:$N$137, MATCH(B121, Analysis!$C$116:$C$137, 0), MATCH(C121, Analysis!$D$115:$N$115, 0)), "")</f>
        <v/>
      </c>
      <c r="J121" t="str">
        <f t="shared" si="10"/>
        <v/>
      </c>
      <c r="K121" s="28" t="str">
        <f t="shared" si="7"/>
        <v/>
      </c>
      <c r="L121" s="46" t="str">
        <f t="shared" si="11"/>
        <v/>
      </c>
      <c r="M121" t="str" cm="1">
        <f t="array" ref="M121">IF(L121="","",_xlfn.IFS(
  AND(L121&gt;=TIME(9,0,0), L121&lt;TIME(16,0,0)),"Morning",
  AND(L121&gt;=TIME(16,0,0), L121&lt;TIME(23,59,0)),"Evening",
  L121&gt;=TIME(23,59,0),"Night",
  L121&lt;TIME(9,0,0),"Night"
))</f>
        <v/>
      </c>
      <c r="O121" t="str">
        <f t="shared" si="8"/>
        <v/>
      </c>
    </row>
    <row r="122" spans="1:15" x14ac:dyDescent="0.25">
      <c r="A122" s="49"/>
      <c r="G122" t="str">
        <f t="shared" si="6"/>
        <v/>
      </c>
      <c r="H122" s="13" t="str">
        <f t="shared" si="9"/>
        <v/>
      </c>
      <c r="I122" t="str">
        <f>IFERROR(INDEX(Analysis!$D$116:$N$137, MATCH(B122, Analysis!$C$116:$C$137, 0), MATCH(C122, Analysis!$D$115:$N$115, 0)), "")</f>
        <v/>
      </c>
      <c r="J122" t="str">
        <f t="shared" si="10"/>
        <v/>
      </c>
      <c r="K122" s="28" t="str">
        <f t="shared" si="7"/>
        <v/>
      </c>
      <c r="L122" s="46" t="str">
        <f t="shared" si="11"/>
        <v/>
      </c>
      <c r="M122" t="str" cm="1">
        <f t="array" ref="M122">IF(L122="","",_xlfn.IFS(
  AND(L122&gt;=TIME(9,0,0), L122&lt;TIME(16,0,0)),"Morning",
  AND(L122&gt;=TIME(16,0,0), L122&lt;TIME(23,59,0)),"Evening",
  L122&gt;=TIME(23,59,0),"Night",
  L122&lt;TIME(9,0,0),"Night"
))</f>
        <v/>
      </c>
      <c r="O122" t="str">
        <f t="shared" si="8"/>
        <v/>
      </c>
    </row>
    <row r="123" spans="1:15" x14ac:dyDescent="0.25">
      <c r="A123" s="49"/>
      <c r="G123" t="str">
        <f t="shared" si="6"/>
        <v/>
      </c>
      <c r="H123" s="13" t="str">
        <f t="shared" si="9"/>
        <v/>
      </c>
      <c r="I123" t="str">
        <f>IFERROR(INDEX(Analysis!$D$116:$N$137, MATCH(B123, Analysis!$C$116:$C$137, 0), MATCH(C123, Analysis!$D$115:$N$115, 0)), "")</f>
        <v/>
      </c>
      <c r="J123" t="str">
        <f t="shared" si="10"/>
        <v/>
      </c>
      <c r="K123" s="28" t="str">
        <f t="shared" si="7"/>
        <v/>
      </c>
      <c r="L123" s="46" t="str">
        <f t="shared" si="11"/>
        <v/>
      </c>
      <c r="M123" t="str" cm="1">
        <f t="array" ref="M123">IF(L123="","",_xlfn.IFS(
  AND(L123&gt;=TIME(9,0,0), L123&lt;TIME(16,0,0)),"Morning",
  AND(L123&gt;=TIME(16,0,0), L123&lt;TIME(23,59,0)),"Evening",
  L123&gt;=TIME(23,59,0),"Night",
  L123&lt;TIME(9,0,0),"Night"
))</f>
        <v/>
      </c>
      <c r="O123" t="str">
        <f t="shared" si="8"/>
        <v/>
      </c>
    </row>
    <row r="124" spans="1:15" x14ac:dyDescent="0.25">
      <c r="A124" s="49"/>
      <c r="G124" t="str">
        <f t="shared" si="6"/>
        <v/>
      </c>
      <c r="H124" s="13" t="str">
        <f t="shared" si="9"/>
        <v/>
      </c>
      <c r="I124" t="str">
        <f>IFERROR(INDEX(Analysis!$D$116:$N$137, MATCH(B124, Analysis!$C$116:$C$137, 0), MATCH(C124, Analysis!$D$115:$N$115, 0)), "")</f>
        <v/>
      </c>
      <c r="J124" t="str">
        <f t="shared" si="10"/>
        <v/>
      </c>
      <c r="K124" s="28" t="str">
        <f t="shared" si="7"/>
        <v/>
      </c>
      <c r="L124" s="46" t="str">
        <f t="shared" si="11"/>
        <v/>
      </c>
      <c r="M124" t="str" cm="1">
        <f t="array" ref="M124">IF(L124="","",_xlfn.IFS(
  AND(L124&gt;=TIME(9,0,0), L124&lt;TIME(16,0,0)),"Morning",
  AND(L124&gt;=TIME(16,0,0), L124&lt;TIME(23,59,0)),"Evening",
  L124&gt;=TIME(23,59,0),"Night",
  L124&lt;TIME(9,0,0),"Night"
))</f>
        <v/>
      </c>
      <c r="O124" t="str">
        <f t="shared" si="8"/>
        <v/>
      </c>
    </row>
    <row r="125" spans="1:15" x14ac:dyDescent="0.25">
      <c r="A125" s="49"/>
      <c r="G125" t="str">
        <f t="shared" si="6"/>
        <v/>
      </c>
      <c r="H125" s="13" t="str">
        <f t="shared" si="9"/>
        <v/>
      </c>
      <c r="I125" t="str">
        <f>IFERROR(INDEX(Analysis!$D$116:$N$137, MATCH(B125, Analysis!$C$116:$C$137, 0), MATCH(C125, Analysis!$D$115:$N$115, 0)), "")</f>
        <v/>
      </c>
      <c r="J125" t="str">
        <f t="shared" si="10"/>
        <v/>
      </c>
      <c r="K125" s="28" t="str">
        <f t="shared" si="7"/>
        <v/>
      </c>
      <c r="L125" s="46" t="str">
        <f t="shared" si="11"/>
        <v/>
      </c>
      <c r="M125" t="str" cm="1">
        <f t="array" ref="M125">IF(L125="","",_xlfn.IFS(
  AND(L125&gt;=TIME(9,0,0), L125&lt;TIME(16,0,0)),"Morning",
  AND(L125&gt;=TIME(16,0,0), L125&lt;TIME(23,59,0)),"Evening",
  L125&gt;=TIME(23,59,0),"Night",
  L125&lt;TIME(9,0,0),"Night"
))</f>
        <v/>
      </c>
      <c r="O125" t="str">
        <f t="shared" si="8"/>
        <v/>
      </c>
    </row>
    <row r="126" spans="1:15" x14ac:dyDescent="0.25">
      <c r="A126" s="49"/>
      <c r="G126" t="str">
        <f t="shared" si="6"/>
        <v/>
      </c>
      <c r="H126" s="13" t="str">
        <f t="shared" si="9"/>
        <v/>
      </c>
      <c r="I126" t="str">
        <f>IFERROR(INDEX(Analysis!$D$116:$N$137, MATCH(B126, Analysis!$C$116:$C$137, 0), MATCH(C126, Analysis!$D$115:$N$115, 0)), "")</f>
        <v/>
      </c>
      <c r="J126" t="str">
        <f t="shared" si="10"/>
        <v/>
      </c>
      <c r="K126" s="28" t="str">
        <f t="shared" si="7"/>
        <v/>
      </c>
      <c r="L126" s="46" t="str">
        <f t="shared" si="11"/>
        <v/>
      </c>
      <c r="M126" t="str" cm="1">
        <f t="array" ref="M126">IF(L126="","",_xlfn.IFS(
  AND(L126&gt;=TIME(9,0,0), L126&lt;TIME(16,0,0)),"Morning",
  AND(L126&gt;=TIME(16,0,0), L126&lt;TIME(23,59,0)),"Evening",
  L126&gt;=TIME(23,59,0),"Night",
  L126&lt;TIME(9,0,0),"Night"
))</f>
        <v/>
      </c>
      <c r="O126" t="str">
        <f t="shared" si="8"/>
        <v/>
      </c>
    </row>
    <row r="127" spans="1:15" x14ac:dyDescent="0.25">
      <c r="A127" s="49"/>
      <c r="G127" t="str">
        <f t="shared" si="6"/>
        <v/>
      </c>
      <c r="H127" s="13" t="str">
        <f t="shared" si="9"/>
        <v/>
      </c>
      <c r="I127" t="str">
        <f>IFERROR(INDEX(Analysis!$D$116:$N$137, MATCH(B127, Analysis!$C$116:$C$137, 0), MATCH(C127, Analysis!$D$115:$N$115, 0)), "")</f>
        <v/>
      </c>
      <c r="J127" t="str">
        <f t="shared" si="10"/>
        <v/>
      </c>
      <c r="K127" s="28" t="str">
        <f t="shared" si="7"/>
        <v/>
      </c>
      <c r="L127" s="46" t="str">
        <f t="shared" si="11"/>
        <v/>
      </c>
      <c r="M127" t="str" cm="1">
        <f t="array" ref="M127">IF(L127="","",_xlfn.IFS(
  AND(L127&gt;=TIME(9,0,0), L127&lt;TIME(16,0,0)),"Morning",
  AND(L127&gt;=TIME(16,0,0), L127&lt;TIME(23,59,0)),"Evening",
  L127&gt;=TIME(23,59,0),"Night",
  L127&lt;TIME(9,0,0),"Night"
))</f>
        <v/>
      </c>
      <c r="O127" t="str">
        <f t="shared" si="8"/>
        <v/>
      </c>
    </row>
    <row r="128" spans="1:15" x14ac:dyDescent="0.25">
      <c r="A128" s="49"/>
      <c r="G128" t="str">
        <f t="shared" si="6"/>
        <v/>
      </c>
      <c r="H128" s="13" t="str">
        <f t="shared" si="9"/>
        <v/>
      </c>
      <c r="I128" t="str">
        <f>IFERROR(INDEX(Analysis!$D$116:$N$137, MATCH(B128, Analysis!$C$116:$C$137, 0), MATCH(C128, Analysis!$D$115:$N$115, 0)), "")</f>
        <v/>
      </c>
      <c r="J128" t="str">
        <f t="shared" si="10"/>
        <v/>
      </c>
      <c r="K128" s="28" t="str">
        <f t="shared" si="7"/>
        <v/>
      </c>
      <c r="L128" s="46" t="str">
        <f t="shared" si="11"/>
        <v/>
      </c>
      <c r="M128" t="str" cm="1">
        <f t="array" ref="M128">IF(L128="","",_xlfn.IFS(
  AND(L128&gt;=TIME(9,0,0), L128&lt;TIME(16,0,0)),"Morning",
  AND(L128&gt;=TIME(16,0,0), L128&lt;TIME(23,59,0)),"Evening",
  L128&gt;=TIME(23,59,0),"Night",
  L128&lt;TIME(9,0,0),"Night"
))</f>
        <v/>
      </c>
      <c r="O128" t="str">
        <f t="shared" si="8"/>
        <v/>
      </c>
    </row>
    <row r="129" spans="1:15" x14ac:dyDescent="0.25">
      <c r="A129" s="49"/>
      <c r="G129" t="str">
        <f t="shared" si="6"/>
        <v/>
      </c>
      <c r="H129" s="13" t="str">
        <f t="shared" si="9"/>
        <v/>
      </c>
      <c r="I129" t="str">
        <f>IFERROR(INDEX(Analysis!$D$116:$N$137, MATCH(B129, Analysis!$C$116:$C$137, 0), MATCH(C129, Analysis!$D$115:$N$115, 0)), "")</f>
        <v/>
      </c>
      <c r="J129" t="str">
        <f t="shared" si="10"/>
        <v/>
      </c>
      <c r="K129" s="28" t="str">
        <f t="shared" si="7"/>
        <v/>
      </c>
      <c r="L129" s="46" t="str">
        <f t="shared" si="11"/>
        <v/>
      </c>
      <c r="M129" t="str" cm="1">
        <f t="array" ref="M129">IF(L129="","",_xlfn.IFS(
  AND(L129&gt;=TIME(9,0,0), L129&lt;TIME(16,0,0)),"Morning",
  AND(L129&gt;=TIME(16,0,0), L129&lt;TIME(23,59,0)),"Evening",
  L129&gt;=TIME(23,59,0),"Night",
  L129&lt;TIME(9,0,0),"Night"
))</f>
        <v/>
      </c>
      <c r="O129" t="str">
        <f t="shared" si="8"/>
        <v/>
      </c>
    </row>
    <row r="130" spans="1:15" x14ac:dyDescent="0.25">
      <c r="A130" s="49"/>
      <c r="G130" t="str">
        <f t="shared" ref="G130:G193" si="12">IF(ISBLANK(A130), "", IF(ISBLANK(F130), 0, F130))</f>
        <v/>
      </c>
      <c r="H130" s="13" t="str">
        <f t="shared" si="9"/>
        <v/>
      </c>
      <c r="I130" t="str">
        <f>IFERROR(INDEX(Analysis!$D$116:$N$137, MATCH(B130, Analysis!$C$116:$C$137, 0), MATCH(C130, Analysis!$D$115:$N$115, 0)), "")</f>
        <v/>
      </c>
      <c r="J130" t="str">
        <f t="shared" si="10"/>
        <v/>
      </c>
      <c r="K130" s="28" t="str">
        <f t="shared" ref="K130:K193" si="13">IF(ISBLANK(A130),"",DATE(YEAR(A130),MONTH(A130),DAY(A130)))</f>
        <v/>
      </c>
      <c r="L130" s="46" t="str">
        <f t="shared" si="11"/>
        <v/>
      </c>
      <c r="M130" t="str" cm="1">
        <f t="array" ref="M130">IF(L130="","",_xlfn.IFS(
  AND(L130&gt;=TIME(9,0,0), L130&lt;TIME(16,0,0)),"Morning",
  AND(L130&gt;=TIME(16,0,0), L130&lt;TIME(23,59,0)),"Evening",
  L130&gt;=TIME(23,59,0),"Night",
  L130&lt;TIME(9,0,0),"Night"
))</f>
        <v/>
      </c>
      <c r="O130" t="str">
        <f t="shared" ref="O130:O193" si="14">IF(N130="ON", _xlfn.IMAGE(E130, 1), "")</f>
        <v/>
      </c>
    </row>
    <row r="131" spans="1:15" x14ac:dyDescent="0.25">
      <c r="A131" s="49"/>
      <c r="G131" t="str">
        <f t="shared" si="12"/>
        <v/>
      </c>
      <c r="H131" s="13" t="str">
        <f t="shared" ref="H131:H194" si="15">IF(ISBLANK(E131),"",HYPERLINK(E131,"Click here"))</f>
        <v/>
      </c>
      <c r="I131" t="str">
        <f>IFERROR(INDEX(Analysis!$D$116:$N$137, MATCH(B131, Analysis!$C$116:$C$137, 0), MATCH(C131, Analysis!$D$115:$N$115, 0)), "")</f>
        <v/>
      </c>
      <c r="J131" t="str">
        <f t="shared" ref="J131:J194" si="16">IF(ISBLANK(A131),"",WEEKNUM(A131))</f>
        <v/>
      </c>
      <c r="K131" s="28" t="str">
        <f t="shared" si="13"/>
        <v/>
      </c>
      <c r="L131" s="46" t="str">
        <f t="shared" ref="L131:L194" si="17">IF(A131="", "", A131 - INT(A131))</f>
        <v/>
      </c>
      <c r="M131" t="str" cm="1">
        <f t="array" ref="M131">IF(L131="","",_xlfn.IFS(
  AND(L131&gt;=TIME(9,0,0), L131&lt;TIME(16,0,0)),"Morning",
  AND(L131&gt;=TIME(16,0,0), L131&lt;TIME(23,59,0)),"Evening",
  L131&gt;=TIME(23,59,0),"Night",
  L131&lt;TIME(9,0,0),"Night"
))</f>
        <v/>
      </c>
      <c r="O131" t="str">
        <f t="shared" si="14"/>
        <v/>
      </c>
    </row>
    <row r="132" spans="1:15" x14ac:dyDescent="0.25">
      <c r="A132" s="49"/>
      <c r="G132" t="str">
        <f t="shared" si="12"/>
        <v/>
      </c>
      <c r="H132" s="13" t="str">
        <f t="shared" si="15"/>
        <v/>
      </c>
      <c r="I132" t="str">
        <f>IFERROR(INDEX(Analysis!$D$116:$N$137, MATCH(B132, Analysis!$C$116:$C$137, 0), MATCH(C132, Analysis!$D$115:$N$115, 0)), "")</f>
        <v/>
      </c>
      <c r="J132" t="str">
        <f t="shared" si="16"/>
        <v/>
      </c>
      <c r="K132" s="28" t="str">
        <f t="shared" si="13"/>
        <v/>
      </c>
      <c r="L132" s="46" t="str">
        <f t="shared" si="17"/>
        <v/>
      </c>
      <c r="M132" t="str" cm="1">
        <f t="array" ref="M132">IF(L132="","",_xlfn.IFS(
  AND(L132&gt;=TIME(9,0,0), L132&lt;TIME(16,0,0)),"Morning",
  AND(L132&gt;=TIME(16,0,0), L132&lt;TIME(23,59,0)),"Evening",
  L132&gt;=TIME(23,59,0),"Night",
  L132&lt;TIME(9,0,0),"Night"
))</f>
        <v/>
      </c>
      <c r="O132" t="str">
        <f t="shared" si="14"/>
        <v/>
      </c>
    </row>
    <row r="133" spans="1:15" x14ac:dyDescent="0.25">
      <c r="A133" s="49"/>
      <c r="G133" t="str">
        <f t="shared" si="12"/>
        <v/>
      </c>
      <c r="H133" s="13" t="str">
        <f t="shared" si="15"/>
        <v/>
      </c>
      <c r="I133" t="str">
        <f>IFERROR(INDEX(Analysis!$D$116:$N$137, MATCH(B133, Analysis!$C$116:$C$137, 0), MATCH(C133, Analysis!$D$115:$N$115, 0)), "")</f>
        <v/>
      </c>
      <c r="J133" t="str">
        <f t="shared" si="16"/>
        <v/>
      </c>
      <c r="K133" s="28" t="str">
        <f t="shared" si="13"/>
        <v/>
      </c>
      <c r="L133" s="46" t="str">
        <f t="shared" si="17"/>
        <v/>
      </c>
      <c r="M133" t="str" cm="1">
        <f t="array" ref="M133">IF(L133="","",_xlfn.IFS(
  AND(L133&gt;=TIME(9,0,0), L133&lt;TIME(16,0,0)),"Morning",
  AND(L133&gt;=TIME(16,0,0), L133&lt;TIME(23,59,0)),"Evening",
  L133&gt;=TIME(23,59,0),"Night",
  L133&lt;TIME(9,0,0),"Night"
))</f>
        <v/>
      </c>
      <c r="O133" t="str">
        <f t="shared" si="14"/>
        <v/>
      </c>
    </row>
    <row r="134" spans="1:15" x14ac:dyDescent="0.25">
      <c r="A134" s="49"/>
      <c r="G134" t="str">
        <f t="shared" si="12"/>
        <v/>
      </c>
      <c r="H134" s="13" t="str">
        <f t="shared" si="15"/>
        <v/>
      </c>
      <c r="I134" t="str">
        <f>IFERROR(INDEX(Analysis!$D$116:$N$137, MATCH(B134, Analysis!$C$116:$C$137, 0), MATCH(C134, Analysis!$D$115:$N$115, 0)), "")</f>
        <v/>
      </c>
      <c r="J134" t="str">
        <f t="shared" si="16"/>
        <v/>
      </c>
      <c r="K134" s="28" t="str">
        <f t="shared" si="13"/>
        <v/>
      </c>
      <c r="L134" s="46" t="str">
        <f t="shared" si="17"/>
        <v/>
      </c>
      <c r="M134" t="str" cm="1">
        <f t="array" ref="M134">IF(L134="","",_xlfn.IFS(
  AND(L134&gt;=TIME(9,0,0), L134&lt;TIME(16,0,0)),"Morning",
  AND(L134&gt;=TIME(16,0,0), L134&lt;TIME(23,59,0)),"Evening",
  L134&gt;=TIME(23,59,0),"Night",
  L134&lt;TIME(9,0,0),"Night"
))</f>
        <v/>
      </c>
      <c r="O134" t="str">
        <f t="shared" si="14"/>
        <v/>
      </c>
    </row>
    <row r="135" spans="1:15" x14ac:dyDescent="0.25">
      <c r="A135" s="49"/>
      <c r="G135" t="str">
        <f t="shared" si="12"/>
        <v/>
      </c>
      <c r="H135" s="13" t="str">
        <f t="shared" si="15"/>
        <v/>
      </c>
      <c r="I135" t="str">
        <f>IFERROR(INDEX(Analysis!$D$116:$N$137, MATCH(B135, Analysis!$C$116:$C$137, 0), MATCH(C135, Analysis!$D$115:$N$115, 0)), "")</f>
        <v/>
      </c>
      <c r="J135" t="str">
        <f t="shared" si="16"/>
        <v/>
      </c>
      <c r="K135" s="28" t="str">
        <f t="shared" si="13"/>
        <v/>
      </c>
      <c r="L135" s="46" t="str">
        <f t="shared" si="17"/>
        <v/>
      </c>
      <c r="M135" t="str" cm="1">
        <f t="array" ref="M135">IF(L135="","",_xlfn.IFS(
  AND(L135&gt;=TIME(9,0,0), L135&lt;TIME(16,0,0)),"Morning",
  AND(L135&gt;=TIME(16,0,0), L135&lt;TIME(23,59,0)),"Evening",
  L135&gt;=TIME(23,59,0),"Night",
  L135&lt;TIME(9,0,0),"Night"
))</f>
        <v/>
      </c>
      <c r="O135" t="str">
        <f t="shared" si="14"/>
        <v/>
      </c>
    </row>
    <row r="136" spans="1:15" x14ac:dyDescent="0.25">
      <c r="A136" s="49"/>
      <c r="G136" t="str">
        <f t="shared" si="12"/>
        <v/>
      </c>
      <c r="H136" s="13" t="str">
        <f t="shared" si="15"/>
        <v/>
      </c>
      <c r="I136" t="str">
        <f>IFERROR(INDEX(Analysis!$D$116:$N$137, MATCH(B136, Analysis!$C$116:$C$137, 0), MATCH(C136, Analysis!$D$115:$N$115, 0)), "")</f>
        <v/>
      </c>
      <c r="J136" t="str">
        <f t="shared" si="16"/>
        <v/>
      </c>
      <c r="K136" s="28" t="str">
        <f t="shared" si="13"/>
        <v/>
      </c>
      <c r="L136" s="46" t="str">
        <f t="shared" si="17"/>
        <v/>
      </c>
      <c r="M136" t="str" cm="1">
        <f t="array" ref="M136">IF(L136="","",_xlfn.IFS(
  AND(L136&gt;=TIME(9,0,0), L136&lt;TIME(16,0,0)),"Morning",
  AND(L136&gt;=TIME(16,0,0), L136&lt;TIME(23,59,0)),"Evening",
  L136&gt;=TIME(23,59,0),"Night",
  L136&lt;TIME(9,0,0),"Night"
))</f>
        <v/>
      </c>
      <c r="O136" t="str">
        <f t="shared" si="14"/>
        <v/>
      </c>
    </row>
    <row r="137" spans="1:15" x14ac:dyDescent="0.25">
      <c r="A137" s="49"/>
      <c r="G137" t="str">
        <f t="shared" si="12"/>
        <v/>
      </c>
      <c r="H137" s="13" t="str">
        <f t="shared" si="15"/>
        <v/>
      </c>
      <c r="I137" t="str">
        <f>IFERROR(INDEX(Analysis!$D$116:$N$137, MATCH(B137, Analysis!$C$116:$C$137, 0), MATCH(C137, Analysis!$D$115:$N$115, 0)), "")</f>
        <v/>
      </c>
      <c r="J137" t="str">
        <f t="shared" si="16"/>
        <v/>
      </c>
      <c r="K137" s="28" t="str">
        <f t="shared" si="13"/>
        <v/>
      </c>
      <c r="L137" s="46" t="str">
        <f t="shared" si="17"/>
        <v/>
      </c>
      <c r="M137" t="str" cm="1">
        <f t="array" ref="M137">IF(L137="","",_xlfn.IFS(
  AND(L137&gt;=TIME(9,0,0), L137&lt;TIME(16,0,0)),"Morning",
  AND(L137&gt;=TIME(16,0,0), L137&lt;TIME(23,59,0)),"Evening",
  L137&gt;=TIME(23,59,0),"Night",
  L137&lt;TIME(9,0,0),"Night"
))</f>
        <v/>
      </c>
      <c r="O137" t="str">
        <f t="shared" si="14"/>
        <v/>
      </c>
    </row>
    <row r="138" spans="1:15" x14ac:dyDescent="0.25">
      <c r="A138" s="49"/>
      <c r="G138" t="str">
        <f t="shared" si="12"/>
        <v/>
      </c>
      <c r="H138" s="13" t="str">
        <f t="shared" si="15"/>
        <v/>
      </c>
      <c r="I138" t="str">
        <f>IFERROR(INDEX(Analysis!$D$116:$N$137, MATCH(B138, Analysis!$C$116:$C$137, 0), MATCH(C138, Analysis!$D$115:$N$115, 0)), "")</f>
        <v/>
      </c>
      <c r="J138" t="str">
        <f t="shared" si="16"/>
        <v/>
      </c>
      <c r="K138" s="28" t="str">
        <f t="shared" si="13"/>
        <v/>
      </c>
      <c r="L138" s="46" t="str">
        <f t="shared" si="17"/>
        <v/>
      </c>
      <c r="M138" t="str" cm="1">
        <f t="array" ref="M138">IF(L138="","",_xlfn.IFS(
  AND(L138&gt;=TIME(9,0,0), L138&lt;TIME(16,0,0)),"Morning",
  AND(L138&gt;=TIME(16,0,0), L138&lt;TIME(23,59,0)),"Evening",
  L138&gt;=TIME(23,59,0),"Night",
  L138&lt;TIME(9,0,0),"Night"
))</f>
        <v/>
      </c>
      <c r="O138" t="str">
        <f t="shared" si="14"/>
        <v/>
      </c>
    </row>
    <row r="139" spans="1:15" x14ac:dyDescent="0.25">
      <c r="A139" s="49"/>
      <c r="G139" t="str">
        <f t="shared" si="12"/>
        <v/>
      </c>
      <c r="H139" s="13" t="str">
        <f t="shared" si="15"/>
        <v/>
      </c>
      <c r="I139" t="str">
        <f>IFERROR(INDEX(Analysis!$D$116:$N$137, MATCH(B139, Analysis!$C$116:$C$137, 0), MATCH(C139, Analysis!$D$115:$N$115, 0)), "")</f>
        <v/>
      </c>
      <c r="J139" t="str">
        <f t="shared" si="16"/>
        <v/>
      </c>
      <c r="K139" s="28" t="str">
        <f t="shared" si="13"/>
        <v/>
      </c>
      <c r="L139" s="46" t="str">
        <f t="shared" si="17"/>
        <v/>
      </c>
      <c r="M139" t="str" cm="1">
        <f t="array" ref="M139">IF(L139="","",_xlfn.IFS(
  AND(L139&gt;=TIME(9,0,0), L139&lt;TIME(16,0,0)),"Morning",
  AND(L139&gt;=TIME(16,0,0), L139&lt;TIME(23,59,0)),"Evening",
  L139&gt;=TIME(23,59,0),"Night",
  L139&lt;TIME(9,0,0),"Night"
))</f>
        <v/>
      </c>
      <c r="O139" t="str">
        <f t="shared" si="14"/>
        <v/>
      </c>
    </row>
    <row r="140" spans="1:15" x14ac:dyDescent="0.25">
      <c r="A140" s="49"/>
      <c r="G140" t="str">
        <f t="shared" si="12"/>
        <v/>
      </c>
      <c r="H140" s="13" t="str">
        <f t="shared" si="15"/>
        <v/>
      </c>
      <c r="I140" t="str">
        <f>IFERROR(INDEX(Analysis!$D$116:$N$137, MATCH(B140, Analysis!$C$116:$C$137, 0), MATCH(C140, Analysis!$D$115:$N$115, 0)), "")</f>
        <v/>
      </c>
      <c r="J140" t="str">
        <f t="shared" si="16"/>
        <v/>
      </c>
      <c r="K140" s="28" t="str">
        <f t="shared" si="13"/>
        <v/>
      </c>
      <c r="L140" s="46" t="str">
        <f t="shared" si="17"/>
        <v/>
      </c>
      <c r="M140" t="str" cm="1">
        <f t="array" ref="M140">IF(L140="","",_xlfn.IFS(
  AND(L140&gt;=TIME(9,0,0), L140&lt;TIME(16,0,0)),"Morning",
  AND(L140&gt;=TIME(16,0,0), L140&lt;TIME(23,59,0)),"Evening",
  L140&gt;=TIME(23,59,0),"Night",
  L140&lt;TIME(9,0,0),"Night"
))</f>
        <v/>
      </c>
      <c r="O140" t="str">
        <f t="shared" si="14"/>
        <v/>
      </c>
    </row>
    <row r="141" spans="1:15" x14ac:dyDescent="0.25">
      <c r="A141" s="49"/>
      <c r="G141" t="str">
        <f t="shared" si="12"/>
        <v/>
      </c>
      <c r="H141" s="13" t="str">
        <f t="shared" si="15"/>
        <v/>
      </c>
      <c r="I141" t="str">
        <f>IFERROR(INDEX(Analysis!$D$116:$N$137, MATCH(B141, Analysis!$C$116:$C$137, 0), MATCH(C141, Analysis!$D$115:$N$115, 0)), "")</f>
        <v/>
      </c>
      <c r="J141" t="str">
        <f t="shared" si="16"/>
        <v/>
      </c>
      <c r="K141" s="28" t="str">
        <f t="shared" si="13"/>
        <v/>
      </c>
      <c r="L141" s="46" t="str">
        <f t="shared" si="17"/>
        <v/>
      </c>
      <c r="M141" t="str" cm="1">
        <f t="array" ref="M141">IF(L141="","",_xlfn.IFS(
  AND(L141&gt;=TIME(9,0,0), L141&lt;TIME(16,0,0)),"Morning",
  AND(L141&gt;=TIME(16,0,0), L141&lt;TIME(23,59,0)),"Evening",
  L141&gt;=TIME(23,59,0),"Night",
  L141&lt;TIME(9,0,0),"Night"
))</f>
        <v/>
      </c>
      <c r="O141" t="str">
        <f t="shared" si="14"/>
        <v/>
      </c>
    </row>
    <row r="142" spans="1:15" x14ac:dyDescent="0.25">
      <c r="A142" s="49"/>
      <c r="G142" t="str">
        <f t="shared" si="12"/>
        <v/>
      </c>
      <c r="H142" s="13" t="str">
        <f t="shared" si="15"/>
        <v/>
      </c>
      <c r="I142" t="str">
        <f>IFERROR(INDEX(Analysis!$D$116:$N$137, MATCH(B142, Analysis!$C$116:$C$137, 0), MATCH(C142, Analysis!$D$115:$N$115, 0)), "")</f>
        <v/>
      </c>
      <c r="J142" t="str">
        <f t="shared" si="16"/>
        <v/>
      </c>
      <c r="K142" s="28" t="str">
        <f t="shared" si="13"/>
        <v/>
      </c>
      <c r="L142" s="46" t="str">
        <f t="shared" si="17"/>
        <v/>
      </c>
      <c r="M142" t="str" cm="1">
        <f t="array" ref="M142">IF(L142="","",_xlfn.IFS(
  AND(L142&gt;=TIME(9,0,0), L142&lt;TIME(16,0,0)),"Morning",
  AND(L142&gt;=TIME(16,0,0), L142&lt;TIME(23,59,0)),"Evening",
  L142&gt;=TIME(23,59,0),"Night",
  L142&lt;TIME(9,0,0),"Night"
))</f>
        <v/>
      </c>
      <c r="O142" t="str">
        <f t="shared" si="14"/>
        <v/>
      </c>
    </row>
    <row r="143" spans="1:15" x14ac:dyDescent="0.25">
      <c r="A143" s="49"/>
      <c r="G143" t="str">
        <f t="shared" si="12"/>
        <v/>
      </c>
      <c r="H143" s="13" t="str">
        <f t="shared" si="15"/>
        <v/>
      </c>
      <c r="I143" t="str">
        <f>IFERROR(INDEX(Analysis!$D$116:$N$137, MATCH(B143, Analysis!$C$116:$C$137, 0), MATCH(C143, Analysis!$D$115:$N$115, 0)), "")</f>
        <v/>
      </c>
      <c r="J143" t="str">
        <f t="shared" si="16"/>
        <v/>
      </c>
      <c r="K143" s="28" t="str">
        <f t="shared" si="13"/>
        <v/>
      </c>
      <c r="L143" s="46" t="str">
        <f t="shared" si="17"/>
        <v/>
      </c>
      <c r="M143" t="str" cm="1">
        <f t="array" ref="M143">IF(L143="","",_xlfn.IFS(
  AND(L143&gt;=TIME(9,0,0), L143&lt;TIME(16,0,0)),"Morning",
  AND(L143&gt;=TIME(16,0,0), L143&lt;TIME(23,59,0)),"Evening",
  L143&gt;=TIME(23,59,0),"Night",
  L143&lt;TIME(9,0,0),"Night"
))</f>
        <v/>
      </c>
      <c r="O143" t="str">
        <f t="shared" si="14"/>
        <v/>
      </c>
    </row>
    <row r="144" spans="1:15" x14ac:dyDescent="0.25">
      <c r="A144" s="49"/>
      <c r="G144" t="str">
        <f t="shared" si="12"/>
        <v/>
      </c>
      <c r="H144" s="13" t="str">
        <f t="shared" si="15"/>
        <v/>
      </c>
      <c r="I144" t="str">
        <f>IFERROR(INDEX(Analysis!$D$116:$N$137, MATCH(B144, Analysis!$C$116:$C$137, 0), MATCH(C144, Analysis!$D$115:$N$115, 0)), "")</f>
        <v/>
      </c>
      <c r="J144" t="str">
        <f t="shared" si="16"/>
        <v/>
      </c>
      <c r="K144" s="28" t="str">
        <f t="shared" si="13"/>
        <v/>
      </c>
      <c r="L144" s="46" t="str">
        <f t="shared" si="17"/>
        <v/>
      </c>
      <c r="M144" t="str" cm="1">
        <f t="array" ref="M144">IF(L144="","",_xlfn.IFS(
  AND(L144&gt;=TIME(9,0,0), L144&lt;TIME(16,0,0)),"Morning",
  AND(L144&gt;=TIME(16,0,0), L144&lt;TIME(23,59,0)),"Evening",
  L144&gt;=TIME(23,59,0),"Night",
  L144&lt;TIME(9,0,0),"Night"
))</f>
        <v/>
      </c>
      <c r="O144" t="str">
        <f t="shared" si="14"/>
        <v/>
      </c>
    </row>
    <row r="145" spans="1:15" x14ac:dyDescent="0.25">
      <c r="A145" s="49"/>
      <c r="G145" t="str">
        <f t="shared" si="12"/>
        <v/>
      </c>
      <c r="H145" s="13" t="str">
        <f t="shared" si="15"/>
        <v/>
      </c>
      <c r="I145" t="str">
        <f>IFERROR(INDEX(Analysis!$D$116:$N$137, MATCH(B145, Analysis!$C$116:$C$137, 0), MATCH(C145, Analysis!$D$115:$N$115, 0)), "")</f>
        <v/>
      </c>
      <c r="J145" t="str">
        <f t="shared" si="16"/>
        <v/>
      </c>
      <c r="K145" s="28" t="str">
        <f t="shared" si="13"/>
        <v/>
      </c>
      <c r="L145" s="46" t="str">
        <f t="shared" si="17"/>
        <v/>
      </c>
      <c r="M145" t="str" cm="1">
        <f t="array" ref="M145">IF(L145="","",_xlfn.IFS(
  AND(L145&gt;=TIME(9,0,0), L145&lt;TIME(16,0,0)),"Morning",
  AND(L145&gt;=TIME(16,0,0), L145&lt;TIME(23,59,0)),"Evening",
  L145&gt;=TIME(23,59,0),"Night",
  L145&lt;TIME(9,0,0),"Night"
))</f>
        <v/>
      </c>
      <c r="O145" t="str">
        <f t="shared" si="14"/>
        <v/>
      </c>
    </row>
    <row r="146" spans="1:15" x14ac:dyDescent="0.25">
      <c r="A146" s="49"/>
      <c r="G146" t="str">
        <f t="shared" si="12"/>
        <v/>
      </c>
      <c r="H146" s="13" t="str">
        <f t="shared" si="15"/>
        <v/>
      </c>
      <c r="I146" t="str">
        <f>IFERROR(INDEX(Analysis!$D$116:$N$137, MATCH(B146, Analysis!$C$116:$C$137, 0), MATCH(C146, Analysis!$D$115:$N$115, 0)), "")</f>
        <v/>
      </c>
      <c r="J146" t="str">
        <f t="shared" si="16"/>
        <v/>
      </c>
      <c r="K146" s="28" t="str">
        <f t="shared" si="13"/>
        <v/>
      </c>
      <c r="L146" s="46" t="str">
        <f t="shared" si="17"/>
        <v/>
      </c>
      <c r="M146" t="str" cm="1">
        <f t="array" ref="M146">IF(L146="","",_xlfn.IFS(
  AND(L146&gt;=TIME(9,0,0), L146&lt;TIME(16,0,0)),"Morning",
  AND(L146&gt;=TIME(16,0,0), L146&lt;TIME(23,59,0)),"Evening",
  L146&gt;=TIME(23,59,0),"Night",
  L146&lt;TIME(9,0,0),"Night"
))</f>
        <v/>
      </c>
      <c r="O146" t="str">
        <f t="shared" si="14"/>
        <v/>
      </c>
    </row>
    <row r="147" spans="1:15" x14ac:dyDescent="0.25">
      <c r="A147" s="49"/>
      <c r="G147" t="str">
        <f t="shared" si="12"/>
        <v/>
      </c>
      <c r="H147" s="13" t="str">
        <f t="shared" si="15"/>
        <v/>
      </c>
      <c r="I147" t="str">
        <f>IFERROR(INDEX(Analysis!$D$116:$N$137, MATCH(B147, Analysis!$C$116:$C$137, 0), MATCH(C147, Analysis!$D$115:$N$115, 0)), "")</f>
        <v/>
      </c>
      <c r="J147" t="str">
        <f t="shared" si="16"/>
        <v/>
      </c>
      <c r="K147" s="28" t="str">
        <f t="shared" si="13"/>
        <v/>
      </c>
      <c r="L147" s="46" t="str">
        <f t="shared" si="17"/>
        <v/>
      </c>
      <c r="M147" t="str" cm="1">
        <f t="array" ref="M147">IF(L147="","",_xlfn.IFS(
  AND(L147&gt;=TIME(9,0,0), L147&lt;TIME(16,0,0)),"Morning",
  AND(L147&gt;=TIME(16,0,0), L147&lt;TIME(23,59,0)),"Evening",
  L147&gt;=TIME(23,59,0),"Night",
  L147&lt;TIME(9,0,0),"Night"
))</f>
        <v/>
      </c>
      <c r="O147" t="str">
        <f t="shared" si="14"/>
        <v/>
      </c>
    </row>
    <row r="148" spans="1:15" x14ac:dyDescent="0.25">
      <c r="A148" s="49"/>
      <c r="G148" t="str">
        <f t="shared" si="12"/>
        <v/>
      </c>
      <c r="H148" s="13" t="str">
        <f t="shared" si="15"/>
        <v/>
      </c>
      <c r="I148" t="str">
        <f>IFERROR(INDEX(Analysis!$D$116:$N$137, MATCH(B148, Analysis!$C$116:$C$137, 0), MATCH(C148, Analysis!$D$115:$N$115, 0)), "")</f>
        <v/>
      </c>
      <c r="J148" t="str">
        <f t="shared" si="16"/>
        <v/>
      </c>
      <c r="K148" s="28" t="str">
        <f t="shared" si="13"/>
        <v/>
      </c>
      <c r="L148" s="46" t="str">
        <f t="shared" si="17"/>
        <v/>
      </c>
      <c r="M148" t="str" cm="1">
        <f t="array" ref="M148">IF(L148="","",_xlfn.IFS(
  AND(L148&gt;=TIME(9,0,0), L148&lt;TIME(16,0,0)),"Morning",
  AND(L148&gt;=TIME(16,0,0), L148&lt;TIME(23,59,0)),"Evening",
  L148&gt;=TIME(23,59,0),"Night",
  L148&lt;TIME(9,0,0),"Night"
))</f>
        <v/>
      </c>
      <c r="O148" t="str">
        <f t="shared" si="14"/>
        <v/>
      </c>
    </row>
    <row r="149" spans="1:15" x14ac:dyDescent="0.25">
      <c r="A149" s="49"/>
      <c r="G149" t="str">
        <f t="shared" si="12"/>
        <v/>
      </c>
      <c r="H149" s="13" t="str">
        <f t="shared" si="15"/>
        <v/>
      </c>
      <c r="I149" t="str">
        <f>IFERROR(INDEX(Analysis!$D$116:$N$137, MATCH(B149, Analysis!$C$116:$C$137, 0), MATCH(C149, Analysis!$D$115:$N$115, 0)), "")</f>
        <v/>
      </c>
      <c r="J149" t="str">
        <f t="shared" si="16"/>
        <v/>
      </c>
      <c r="K149" s="28" t="str">
        <f t="shared" si="13"/>
        <v/>
      </c>
      <c r="L149" s="46" t="str">
        <f t="shared" si="17"/>
        <v/>
      </c>
      <c r="M149" t="str" cm="1">
        <f t="array" ref="M149">IF(L149="","",_xlfn.IFS(
  AND(L149&gt;=TIME(9,0,0), L149&lt;TIME(16,0,0)),"Morning",
  AND(L149&gt;=TIME(16,0,0), L149&lt;TIME(23,59,0)),"Evening",
  L149&gt;=TIME(23,59,0),"Night",
  L149&lt;TIME(9,0,0),"Night"
))</f>
        <v/>
      </c>
      <c r="O149" t="str">
        <f t="shared" si="14"/>
        <v/>
      </c>
    </row>
    <row r="150" spans="1:15" x14ac:dyDescent="0.25">
      <c r="A150" s="49"/>
      <c r="G150" t="str">
        <f t="shared" si="12"/>
        <v/>
      </c>
      <c r="H150" s="13" t="str">
        <f t="shared" si="15"/>
        <v/>
      </c>
      <c r="I150" t="str">
        <f>IFERROR(INDEX(Analysis!$D$116:$N$137, MATCH(B150, Analysis!$C$116:$C$137, 0), MATCH(C150, Analysis!$D$115:$N$115, 0)), "")</f>
        <v/>
      </c>
      <c r="J150" t="str">
        <f t="shared" si="16"/>
        <v/>
      </c>
      <c r="K150" s="28" t="str">
        <f t="shared" si="13"/>
        <v/>
      </c>
      <c r="L150" s="46" t="str">
        <f t="shared" si="17"/>
        <v/>
      </c>
      <c r="M150" t="str" cm="1">
        <f t="array" ref="M150">IF(L150="","",_xlfn.IFS(
  AND(L150&gt;=TIME(9,0,0), L150&lt;TIME(16,0,0)),"Morning",
  AND(L150&gt;=TIME(16,0,0), L150&lt;TIME(23,59,0)),"Evening",
  L150&gt;=TIME(23,59,0),"Night",
  L150&lt;TIME(9,0,0),"Night"
))</f>
        <v/>
      </c>
      <c r="O150" t="str">
        <f t="shared" si="14"/>
        <v/>
      </c>
    </row>
    <row r="151" spans="1:15" x14ac:dyDescent="0.25">
      <c r="A151" s="49"/>
      <c r="G151" t="str">
        <f t="shared" si="12"/>
        <v/>
      </c>
      <c r="H151" s="13" t="str">
        <f t="shared" si="15"/>
        <v/>
      </c>
      <c r="I151" t="str">
        <f>IFERROR(INDEX(Analysis!$D$116:$N$137, MATCH(B151, Analysis!$C$116:$C$137, 0), MATCH(C151, Analysis!$D$115:$N$115, 0)), "")</f>
        <v/>
      </c>
      <c r="J151" t="str">
        <f t="shared" si="16"/>
        <v/>
      </c>
      <c r="K151" s="28" t="str">
        <f t="shared" si="13"/>
        <v/>
      </c>
      <c r="L151" s="46" t="str">
        <f t="shared" si="17"/>
        <v/>
      </c>
      <c r="M151" t="str" cm="1">
        <f t="array" ref="M151">IF(L151="","",_xlfn.IFS(
  AND(L151&gt;=TIME(9,0,0), L151&lt;TIME(16,0,0)),"Morning",
  AND(L151&gt;=TIME(16,0,0), L151&lt;TIME(23,59,0)),"Evening",
  L151&gt;=TIME(23,59,0),"Night",
  L151&lt;TIME(9,0,0),"Night"
))</f>
        <v/>
      </c>
      <c r="O151" t="str">
        <f t="shared" si="14"/>
        <v/>
      </c>
    </row>
    <row r="152" spans="1:15" x14ac:dyDescent="0.25">
      <c r="A152" s="49"/>
      <c r="G152" t="str">
        <f t="shared" si="12"/>
        <v/>
      </c>
      <c r="H152" s="13" t="str">
        <f t="shared" si="15"/>
        <v/>
      </c>
      <c r="I152" t="str">
        <f>IFERROR(INDEX(Analysis!$D$116:$N$137, MATCH(B152, Analysis!$C$116:$C$137, 0), MATCH(C152, Analysis!$D$115:$N$115, 0)), "")</f>
        <v/>
      </c>
      <c r="J152" t="str">
        <f t="shared" si="16"/>
        <v/>
      </c>
      <c r="K152" s="28" t="str">
        <f t="shared" si="13"/>
        <v/>
      </c>
      <c r="L152" s="46" t="str">
        <f t="shared" si="17"/>
        <v/>
      </c>
      <c r="M152" t="str" cm="1">
        <f t="array" ref="M152">IF(L152="","",_xlfn.IFS(
  AND(L152&gt;=TIME(9,0,0), L152&lt;TIME(16,0,0)),"Morning",
  AND(L152&gt;=TIME(16,0,0), L152&lt;TIME(23,59,0)),"Evening",
  L152&gt;=TIME(23,59,0),"Night",
  L152&lt;TIME(9,0,0),"Night"
))</f>
        <v/>
      </c>
      <c r="O152" t="str">
        <f t="shared" si="14"/>
        <v/>
      </c>
    </row>
    <row r="153" spans="1:15" x14ac:dyDescent="0.25">
      <c r="A153" s="49"/>
      <c r="G153" t="str">
        <f t="shared" si="12"/>
        <v/>
      </c>
      <c r="H153" s="13" t="str">
        <f t="shared" si="15"/>
        <v/>
      </c>
      <c r="I153" t="str">
        <f>IFERROR(INDEX(Analysis!$D$116:$N$137, MATCH(B153, Analysis!$C$116:$C$137, 0), MATCH(C153, Analysis!$D$115:$N$115, 0)), "")</f>
        <v/>
      </c>
      <c r="J153" t="str">
        <f t="shared" si="16"/>
        <v/>
      </c>
      <c r="K153" s="28" t="str">
        <f t="shared" si="13"/>
        <v/>
      </c>
      <c r="L153" s="46" t="str">
        <f t="shared" si="17"/>
        <v/>
      </c>
      <c r="M153" t="str" cm="1">
        <f t="array" ref="M153">IF(L153="","",_xlfn.IFS(
  AND(L153&gt;=TIME(9,0,0), L153&lt;TIME(16,0,0)),"Morning",
  AND(L153&gt;=TIME(16,0,0), L153&lt;TIME(23,59,0)),"Evening",
  L153&gt;=TIME(23,59,0),"Night",
  L153&lt;TIME(9,0,0),"Night"
))</f>
        <v/>
      </c>
      <c r="O153" t="str">
        <f t="shared" si="14"/>
        <v/>
      </c>
    </row>
    <row r="154" spans="1:15" x14ac:dyDescent="0.25">
      <c r="A154" s="49"/>
      <c r="G154" t="str">
        <f t="shared" si="12"/>
        <v/>
      </c>
      <c r="H154" s="13" t="str">
        <f t="shared" si="15"/>
        <v/>
      </c>
      <c r="I154" t="str">
        <f>IFERROR(INDEX(Analysis!$D$116:$N$137, MATCH(B154, Analysis!$C$116:$C$137, 0), MATCH(C154, Analysis!$D$115:$N$115, 0)), "")</f>
        <v/>
      </c>
      <c r="J154" t="str">
        <f t="shared" si="16"/>
        <v/>
      </c>
      <c r="K154" s="28" t="str">
        <f t="shared" si="13"/>
        <v/>
      </c>
      <c r="L154" s="46" t="str">
        <f t="shared" si="17"/>
        <v/>
      </c>
      <c r="M154" t="str" cm="1">
        <f t="array" ref="M154">IF(L154="","",_xlfn.IFS(
  AND(L154&gt;=TIME(9,0,0), L154&lt;TIME(16,0,0)),"Morning",
  AND(L154&gt;=TIME(16,0,0), L154&lt;TIME(23,59,0)),"Evening",
  L154&gt;=TIME(23,59,0),"Night",
  L154&lt;TIME(9,0,0),"Night"
))</f>
        <v/>
      </c>
      <c r="O154" t="str">
        <f t="shared" si="14"/>
        <v/>
      </c>
    </row>
    <row r="155" spans="1:15" x14ac:dyDescent="0.25">
      <c r="A155" s="49"/>
      <c r="G155" t="str">
        <f t="shared" si="12"/>
        <v/>
      </c>
      <c r="H155" s="13" t="str">
        <f t="shared" si="15"/>
        <v/>
      </c>
      <c r="I155" t="str">
        <f>IFERROR(INDEX(Analysis!$D$116:$N$137, MATCH(B155, Analysis!$C$116:$C$137, 0), MATCH(C155, Analysis!$D$115:$N$115, 0)), "")</f>
        <v/>
      </c>
      <c r="J155" t="str">
        <f t="shared" si="16"/>
        <v/>
      </c>
      <c r="K155" s="28" t="str">
        <f t="shared" si="13"/>
        <v/>
      </c>
      <c r="L155" s="46" t="str">
        <f t="shared" si="17"/>
        <v/>
      </c>
      <c r="M155" t="str" cm="1">
        <f t="array" ref="M155">IF(L155="","",_xlfn.IFS(
  AND(L155&gt;=TIME(9,0,0), L155&lt;TIME(16,0,0)),"Morning",
  AND(L155&gt;=TIME(16,0,0), L155&lt;TIME(23,59,0)),"Evening",
  L155&gt;=TIME(23,59,0),"Night",
  L155&lt;TIME(9,0,0),"Night"
))</f>
        <v/>
      </c>
      <c r="O155" t="str">
        <f t="shared" si="14"/>
        <v/>
      </c>
    </row>
    <row r="156" spans="1:15" x14ac:dyDescent="0.25">
      <c r="A156" s="49"/>
      <c r="G156" t="str">
        <f t="shared" si="12"/>
        <v/>
      </c>
      <c r="H156" s="13" t="str">
        <f t="shared" si="15"/>
        <v/>
      </c>
      <c r="I156" t="str">
        <f>IFERROR(INDEX(Analysis!$D$116:$N$137, MATCH(B156, Analysis!$C$116:$C$137, 0), MATCH(C156, Analysis!$D$115:$N$115, 0)), "")</f>
        <v/>
      </c>
      <c r="J156" t="str">
        <f t="shared" si="16"/>
        <v/>
      </c>
      <c r="K156" s="28" t="str">
        <f t="shared" si="13"/>
        <v/>
      </c>
      <c r="L156" s="46" t="str">
        <f t="shared" si="17"/>
        <v/>
      </c>
      <c r="M156" t="str" cm="1">
        <f t="array" ref="M156">IF(L156="","",_xlfn.IFS(
  AND(L156&gt;=TIME(9,0,0), L156&lt;TIME(16,0,0)),"Morning",
  AND(L156&gt;=TIME(16,0,0), L156&lt;TIME(23,59,0)),"Evening",
  L156&gt;=TIME(23,59,0),"Night",
  L156&lt;TIME(9,0,0),"Night"
))</f>
        <v/>
      </c>
      <c r="O156" t="str">
        <f t="shared" si="14"/>
        <v/>
      </c>
    </row>
    <row r="157" spans="1:15" x14ac:dyDescent="0.25">
      <c r="A157" s="49"/>
      <c r="G157" t="str">
        <f t="shared" si="12"/>
        <v/>
      </c>
      <c r="H157" s="13" t="str">
        <f t="shared" si="15"/>
        <v/>
      </c>
      <c r="I157" t="str">
        <f>IFERROR(INDEX(Analysis!$D$116:$N$137, MATCH(B157, Analysis!$C$116:$C$137, 0), MATCH(C157, Analysis!$D$115:$N$115, 0)), "")</f>
        <v/>
      </c>
      <c r="J157" t="str">
        <f t="shared" si="16"/>
        <v/>
      </c>
      <c r="K157" s="28" t="str">
        <f t="shared" si="13"/>
        <v/>
      </c>
      <c r="L157" s="46" t="str">
        <f t="shared" si="17"/>
        <v/>
      </c>
      <c r="M157" t="str" cm="1">
        <f t="array" ref="M157">IF(L157="","",_xlfn.IFS(
  AND(L157&gt;=TIME(9,0,0), L157&lt;TIME(16,0,0)),"Morning",
  AND(L157&gt;=TIME(16,0,0), L157&lt;TIME(23,59,0)),"Evening",
  L157&gt;=TIME(23,59,0),"Night",
  L157&lt;TIME(9,0,0),"Night"
))</f>
        <v/>
      </c>
      <c r="O157" t="str">
        <f t="shared" si="14"/>
        <v/>
      </c>
    </row>
    <row r="158" spans="1:15" x14ac:dyDescent="0.25">
      <c r="A158" s="49"/>
      <c r="G158" t="str">
        <f t="shared" si="12"/>
        <v/>
      </c>
      <c r="H158" s="13" t="str">
        <f t="shared" si="15"/>
        <v/>
      </c>
      <c r="I158" t="str">
        <f>IFERROR(INDEX(Analysis!$D$116:$N$137, MATCH(B158, Analysis!$C$116:$C$137, 0), MATCH(C158, Analysis!$D$115:$N$115, 0)), "")</f>
        <v/>
      </c>
      <c r="J158" t="str">
        <f t="shared" si="16"/>
        <v/>
      </c>
      <c r="K158" s="28" t="str">
        <f t="shared" si="13"/>
        <v/>
      </c>
      <c r="L158" s="46" t="str">
        <f t="shared" si="17"/>
        <v/>
      </c>
      <c r="M158" t="str" cm="1">
        <f t="array" ref="M158">IF(L158="","",_xlfn.IFS(
  AND(L158&gt;=TIME(9,0,0), L158&lt;TIME(16,0,0)),"Morning",
  AND(L158&gt;=TIME(16,0,0), L158&lt;TIME(23,59,0)),"Evening",
  L158&gt;=TIME(23,59,0),"Night",
  L158&lt;TIME(9,0,0),"Night"
))</f>
        <v/>
      </c>
      <c r="O158" t="str">
        <f t="shared" si="14"/>
        <v/>
      </c>
    </row>
    <row r="159" spans="1:15" x14ac:dyDescent="0.25">
      <c r="A159" s="49"/>
      <c r="G159" t="str">
        <f t="shared" si="12"/>
        <v/>
      </c>
      <c r="H159" s="13" t="str">
        <f t="shared" si="15"/>
        <v/>
      </c>
      <c r="I159" t="str">
        <f>IFERROR(INDEX(Analysis!$D$116:$N$137, MATCH(B159, Analysis!$C$116:$C$137, 0), MATCH(C159, Analysis!$D$115:$N$115, 0)), "")</f>
        <v/>
      </c>
      <c r="J159" t="str">
        <f t="shared" si="16"/>
        <v/>
      </c>
      <c r="K159" s="28" t="str">
        <f t="shared" si="13"/>
        <v/>
      </c>
      <c r="L159" s="46" t="str">
        <f t="shared" si="17"/>
        <v/>
      </c>
      <c r="M159" t="str" cm="1">
        <f t="array" ref="M159">IF(L159="","",_xlfn.IFS(
  AND(L159&gt;=TIME(9,0,0), L159&lt;TIME(16,0,0)),"Morning",
  AND(L159&gt;=TIME(16,0,0), L159&lt;TIME(23,59,0)),"Evening",
  L159&gt;=TIME(23,59,0),"Night",
  L159&lt;TIME(9,0,0),"Night"
))</f>
        <v/>
      </c>
      <c r="O159" t="str">
        <f t="shared" si="14"/>
        <v/>
      </c>
    </row>
    <row r="160" spans="1:15" x14ac:dyDescent="0.25">
      <c r="A160" s="49"/>
      <c r="G160" t="str">
        <f t="shared" si="12"/>
        <v/>
      </c>
      <c r="H160" s="13" t="str">
        <f t="shared" si="15"/>
        <v/>
      </c>
      <c r="I160" t="str">
        <f>IFERROR(INDEX(Analysis!$D$116:$N$137, MATCH(B160, Analysis!$C$116:$C$137, 0), MATCH(C160, Analysis!$D$115:$N$115, 0)), "")</f>
        <v/>
      </c>
      <c r="J160" t="str">
        <f t="shared" si="16"/>
        <v/>
      </c>
      <c r="K160" s="28" t="str">
        <f t="shared" si="13"/>
        <v/>
      </c>
      <c r="L160" s="46" t="str">
        <f t="shared" si="17"/>
        <v/>
      </c>
      <c r="M160" t="str" cm="1">
        <f t="array" ref="M160">IF(L160="","",_xlfn.IFS(
  AND(L160&gt;=TIME(9,0,0), L160&lt;TIME(16,0,0)),"Morning",
  AND(L160&gt;=TIME(16,0,0), L160&lt;TIME(23,59,0)),"Evening",
  L160&gt;=TIME(23,59,0),"Night",
  L160&lt;TIME(9,0,0),"Night"
))</f>
        <v/>
      </c>
      <c r="O160" t="str">
        <f t="shared" si="14"/>
        <v/>
      </c>
    </row>
    <row r="161" spans="1:15" x14ac:dyDescent="0.25">
      <c r="A161" s="49"/>
      <c r="G161" t="str">
        <f t="shared" si="12"/>
        <v/>
      </c>
      <c r="H161" s="13" t="str">
        <f t="shared" si="15"/>
        <v/>
      </c>
      <c r="I161" t="str">
        <f>IFERROR(INDEX(Analysis!$D$116:$N$137, MATCH(B161, Analysis!$C$116:$C$137, 0), MATCH(C161, Analysis!$D$115:$N$115, 0)), "")</f>
        <v/>
      </c>
      <c r="J161" t="str">
        <f t="shared" si="16"/>
        <v/>
      </c>
      <c r="K161" s="28" t="str">
        <f t="shared" si="13"/>
        <v/>
      </c>
      <c r="L161" s="46" t="str">
        <f t="shared" si="17"/>
        <v/>
      </c>
      <c r="M161" t="str" cm="1">
        <f t="array" ref="M161">IF(L161="","",_xlfn.IFS(
  AND(L161&gt;=TIME(9,0,0), L161&lt;TIME(16,0,0)),"Morning",
  AND(L161&gt;=TIME(16,0,0), L161&lt;TIME(23,59,0)),"Evening",
  L161&gt;=TIME(23,59,0),"Night",
  L161&lt;TIME(9,0,0),"Night"
))</f>
        <v/>
      </c>
      <c r="O161" t="str">
        <f t="shared" si="14"/>
        <v/>
      </c>
    </row>
    <row r="162" spans="1:15" x14ac:dyDescent="0.25">
      <c r="A162" s="49"/>
      <c r="G162" t="str">
        <f t="shared" si="12"/>
        <v/>
      </c>
      <c r="H162" s="13" t="str">
        <f t="shared" si="15"/>
        <v/>
      </c>
      <c r="I162" t="str">
        <f>IFERROR(INDEX(Analysis!$D$116:$N$137, MATCH(B162, Analysis!$C$116:$C$137, 0), MATCH(C162, Analysis!$D$115:$N$115, 0)), "")</f>
        <v/>
      </c>
      <c r="J162" t="str">
        <f t="shared" si="16"/>
        <v/>
      </c>
      <c r="K162" s="28" t="str">
        <f t="shared" si="13"/>
        <v/>
      </c>
      <c r="L162" s="46" t="str">
        <f t="shared" si="17"/>
        <v/>
      </c>
      <c r="M162" t="str" cm="1">
        <f t="array" ref="M162">IF(L162="","",_xlfn.IFS(
  AND(L162&gt;=TIME(9,0,0), L162&lt;TIME(16,0,0)),"Morning",
  AND(L162&gt;=TIME(16,0,0), L162&lt;TIME(23,59,0)),"Evening",
  L162&gt;=TIME(23,59,0),"Night",
  L162&lt;TIME(9,0,0),"Night"
))</f>
        <v/>
      </c>
      <c r="O162" t="str">
        <f t="shared" si="14"/>
        <v/>
      </c>
    </row>
    <row r="163" spans="1:15" x14ac:dyDescent="0.25">
      <c r="A163" s="49"/>
      <c r="G163" t="str">
        <f t="shared" si="12"/>
        <v/>
      </c>
      <c r="H163" s="13" t="str">
        <f t="shared" si="15"/>
        <v/>
      </c>
      <c r="I163" t="str">
        <f>IFERROR(INDEX(Analysis!$D$116:$N$137, MATCH(B163, Analysis!$C$116:$C$137, 0), MATCH(C163, Analysis!$D$115:$N$115, 0)), "")</f>
        <v/>
      </c>
      <c r="J163" t="str">
        <f t="shared" si="16"/>
        <v/>
      </c>
      <c r="K163" s="28" t="str">
        <f t="shared" si="13"/>
        <v/>
      </c>
      <c r="L163" s="46" t="str">
        <f t="shared" si="17"/>
        <v/>
      </c>
      <c r="M163" t="str" cm="1">
        <f t="array" ref="M163">IF(L163="","",_xlfn.IFS(
  AND(L163&gt;=TIME(9,0,0), L163&lt;TIME(16,0,0)),"Morning",
  AND(L163&gt;=TIME(16,0,0), L163&lt;TIME(23,59,0)),"Evening",
  L163&gt;=TIME(23,59,0),"Night",
  L163&lt;TIME(9,0,0),"Night"
))</f>
        <v/>
      </c>
      <c r="O163" t="str">
        <f t="shared" si="14"/>
        <v/>
      </c>
    </row>
    <row r="164" spans="1:15" x14ac:dyDescent="0.25">
      <c r="A164" s="49"/>
      <c r="G164" t="str">
        <f t="shared" si="12"/>
        <v/>
      </c>
      <c r="H164" s="13" t="str">
        <f t="shared" si="15"/>
        <v/>
      </c>
      <c r="I164" t="str">
        <f>IFERROR(INDEX(Analysis!$D$116:$N$137, MATCH(B164, Analysis!$C$116:$C$137, 0), MATCH(C164, Analysis!$D$115:$N$115, 0)), "")</f>
        <v/>
      </c>
      <c r="J164" t="str">
        <f t="shared" si="16"/>
        <v/>
      </c>
      <c r="K164" s="28" t="str">
        <f t="shared" si="13"/>
        <v/>
      </c>
      <c r="L164" s="46" t="str">
        <f t="shared" si="17"/>
        <v/>
      </c>
      <c r="M164" t="str" cm="1">
        <f t="array" ref="M164">IF(L164="","",_xlfn.IFS(
  AND(L164&gt;=TIME(9,0,0), L164&lt;TIME(16,0,0)),"Morning",
  AND(L164&gt;=TIME(16,0,0), L164&lt;TIME(23,59,0)),"Evening",
  L164&gt;=TIME(23,59,0),"Night",
  L164&lt;TIME(9,0,0),"Night"
))</f>
        <v/>
      </c>
      <c r="O164" t="str">
        <f t="shared" si="14"/>
        <v/>
      </c>
    </row>
    <row r="165" spans="1:15" x14ac:dyDescent="0.25">
      <c r="A165" s="49"/>
      <c r="G165" t="str">
        <f t="shared" si="12"/>
        <v/>
      </c>
      <c r="H165" s="13" t="str">
        <f t="shared" si="15"/>
        <v/>
      </c>
      <c r="I165" t="str">
        <f>IFERROR(INDEX(Analysis!$D$116:$N$137, MATCH(B165, Analysis!$C$116:$C$137, 0), MATCH(C165, Analysis!$D$115:$N$115, 0)), "")</f>
        <v/>
      </c>
      <c r="J165" t="str">
        <f t="shared" si="16"/>
        <v/>
      </c>
      <c r="K165" s="28" t="str">
        <f t="shared" si="13"/>
        <v/>
      </c>
      <c r="L165" s="46" t="str">
        <f t="shared" si="17"/>
        <v/>
      </c>
      <c r="M165" t="str" cm="1">
        <f t="array" ref="M165">IF(L165="","",_xlfn.IFS(
  AND(L165&gt;=TIME(9,0,0), L165&lt;TIME(16,0,0)),"Morning",
  AND(L165&gt;=TIME(16,0,0), L165&lt;TIME(23,59,0)),"Evening",
  L165&gt;=TIME(23,59,0),"Night",
  L165&lt;TIME(9,0,0),"Night"
))</f>
        <v/>
      </c>
      <c r="O165" t="str">
        <f t="shared" si="14"/>
        <v/>
      </c>
    </row>
    <row r="166" spans="1:15" x14ac:dyDescent="0.25">
      <c r="A166" s="49"/>
      <c r="G166" t="str">
        <f t="shared" si="12"/>
        <v/>
      </c>
      <c r="H166" s="13" t="str">
        <f t="shared" si="15"/>
        <v/>
      </c>
      <c r="I166" t="str">
        <f>IFERROR(INDEX(Analysis!$D$116:$N$137, MATCH(B166, Analysis!$C$116:$C$137, 0), MATCH(C166, Analysis!$D$115:$N$115, 0)), "")</f>
        <v/>
      </c>
      <c r="J166" t="str">
        <f t="shared" si="16"/>
        <v/>
      </c>
      <c r="K166" s="28" t="str">
        <f t="shared" si="13"/>
        <v/>
      </c>
      <c r="L166" s="46" t="str">
        <f t="shared" si="17"/>
        <v/>
      </c>
      <c r="M166" t="str" cm="1">
        <f t="array" ref="M166">IF(L166="","",_xlfn.IFS(
  AND(L166&gt;=TIME(9,0,0), L166&lt;TIME(16,0,0)),"Morning",
  AND(L166&gt;=TIME(16,0,0), L166&lt;TIME(23,59,0)),"Evening",
  L166&gt;=TIME(23,59,0),"Night",
  L166&lt;TIME(9,0,0),"Night"
))</f>
        <v/>
      </c>
      <c r="O166" t="str">
        <f t="shared" si="14"/>
        <v/>
      </c>
    </row>
    <row r="167" spans="1:15" x14ac:dyDescent="0.25">
      <c r="A167" s="49"/>
      <c r="G167" t="str">
        <f t="shared" si="12"/>
        <v/>
      </c>
      <c r="H167" s="13" t="str">
        <f t="shared" si="15"/>
        <v/>
      </c>
      <c r="I167" t="str">
        <f>IFERROR(INDEX(Analysis!$D$116:$N$137, MATCH(B167, Analysis!$C$116:$C$137, 0), MATCH(C167, Analysis!$D$115:$N$115, 0)), "")</f>
        <v/>
      </c>
      <c r="J167" t="str">
        <f t="shared" si="16"/>
        <v/>
      </c>
      <c r="K167" s="28" t="str">
        <f t="shared" si="13"/>
        <v/>
      </c>
      <c r="L167" s="46" t="str">
        <f t="shared" si="17"/>
        <v/>
      </c>
      <c r="M167" t="str" cm="1">
        <f t="array" ref="M167">IF(L167="","",_xlfn.IFS(
  AND(L167&gt;=TIME(9,0,0), L167&lt;TIME(16,0,0)),"Morning",
  AND(L167&gt;=TIME(16,0,0), L167&lt;TIME(23,59,0)),"Evening",
  L167&gt;=TIME(23,59,0),"Night",
  L167&lt;TIME(9,0,0),"Night"
))</f>
        <v/>
      </c>
      <c r="O167" t="str">
        <f t="shared" si="14"/>
        <v/>
      </c>
    </row>
    <row r="168" spans="1:15" x14ac:dyDescent="0.25">
      <c r="A168" s="49"/>
      <c r="G168" t="str">
        <f t="shared" si="12"/>
        <v/>
      </c>
      <c r="H168" s="13" t="str">
        <f t="shared" si="15"/>
        <v/>
      </c>
      <c r="I168" t="str">
        <f>IFERROR(INDEX(Analysis!$D$116:$N$137, MATCH(B168, Analysis!$C$116:$C$137, 0), MATCH(C168, Analysis!$D$115:$N$115, 0)), "")</f>
        <v/>
      </c>
      <c r="J168" t="str">
        <f t="shared" si="16"/>
        <v/>
      </c>
      <c r="K168" s="28" t="str">
        <f t="shared" si="13"/>
        <v/>
      </c>
      <c r="L168" s="46" t="str">
        <f t="shared" si="17"/>
        <v/>
      </c>
      <c r="M168" t="str" cm="1">
        <f t="array" ref="M168">IF(L168="","",_xlfn.IFS(
  AND(L168&gt;=TIME(9,0,0), L168&lt;TIME(16,0,0)),"Morning",
  AND(L168&gt;=TIME(16,0,0), L168&lt;TIME(23,59,0)),"Evening",
  L168&gt;=TIME(23,59,0),"Night",
  L168&lt;TIME(9,0,0),"Night"
))</f>
        <v/>
      </c>
      <c r="O168" t="str">
        <f t="shared" si="14"/>
        <v/>
      </c>
    </row>
    <row r="169" spans="1:15" x14ac:dyDescent="0.25">
      <c r="A169" s="49"/>
      <c r="G169" t="str">
        <f t="shared" si="12"/>
        <v/>
      </c>
      <c r="H169" s="13" t="str">
        <f t="shared" si="15"/>
        <v/>
      </c>
      <c r="I169" t="str">
        <f>IFERROR(INDEX(Analysis!$D$116:$N$137, MATCH(B169, Analysis!$C$116:$C$137, 0), MATCH(C169, Analysis!$D$115:$N$115, 0)), "")</f>
        <v/>
      </c>
      <c r="J169" t="str">
        <f t="shared" si="16"/>
        <v/>
      </c>
      <c r="K169" s="28" t="str">
        <f t="shared" si="13"/>
        <v/>
      </c>
      <c r="L169" s="46" t="str">
        <f t="shared" si="17"/>
        <v/>
      </c>
      <c r="M169" t="str" cm="1">
        <f t="array" ref="M169">IF(L169="","",_xlfn.IFS(
  AND(L169&gt;=TIME(9,0,0), L169&lt;TIME(16,0,0)),"Morning",
  AND(L169&gt;=TIME(16,0,0), L169&lt;TIME(23,59,0)),"Evening",
  L169&gt;=TIME(23,59,0),"Night",
  L169&lt;TIME(9,0,0),"Night"
))</f>
        <v/>
      </c>
      <c r="O169" t="str">
        <f t="shared" si="14"/>
        <v/>
      </c>
    </row>
    <row r="170" spans="1:15" x14ac:dyDescent="0.25">
      <c r="A170" s="49"/>
      <c r="G170" t="str">
        <f t="shared" si="12"/>
        <v/>
      </c>
      <c r="H170" s="13" t="str">
        <f t="shared" si="15"/>
        <v/>
      </c>
      <c r="I170" t="str">
        <f>IFERROR(INDEX(Analysis!$D$116:$N$137, MATCH(B170, Analysis!$C$116:$C$137, 0), MATCH(C170, Analysis!$D$115:$N$115, 0)), "")</f>
        <v/>
      </c>
      <c r="J170" t="str">
        <f t="shared" si="16"/>
        <v/>
      </c>
      <c r="K170" s="28" t="str">
        <f t="shared" si="13"/>
        <v/>
      </c>
      <c r="L170" s="46" t="str">
        <f t="shared" si="17"/>
        <v/>
      </c>
      <c r="M170" t="str" cm="1">
        <f t="array" ref="M170">IF(L170="","",_xlfn.IFS(
  AND(L170&gt;=TIME(9,0,0), L170&lt;TIME(16,0,0)),"Morning",
  AND(L170&gt;=TIME(16,0,0), L170&lt;TIME(23,59,0)),"Evening",
  L170&gt;=TIME(23,59,0),"Night",
  L170&lt;TIME(9,0,0),"Night"
))</f>
        <v/>
      </c>
      <c r="O170" t="str">
        <f t="shared" si="14"/>
        <v/>
      </c>
    </row>
    <row r="171" spans="1:15" x14ac:dyDescent="0.25">
      <c r="A171" s="49"/>
      <c r="G171" t="str">
        <f t="shared" si="12"/>
        <v/>
      </c>
      <c r="H171" s="13" t="str">
        <f t="shared" si="15"/>
        <v/>
      </c>
      <c r="I171" t="str">
        <f>IFERROR(INDEX(Analysis!$D$116:$N$137, MATCH(B171, Analysis!$C$116:$C$137, 0), MATCH(C171, Analysis!$D$115:$N$115, 0)), "")</f>
        <v/>
      </c>
      <c r="J171" t="str">
        <f t="shared" si="16"/>
        <v/>
      </c>
      <c r="K171" s="28" t="str">
        <f t="shared" si="13"/>
        <v/>
      </c>
      <c r="L171" s="46" t="str">
        <f t="shared" si="17"/>
        <v/>
      </c>
      <c r="M171" t="str" cm="1">
        <f t="array" ref="M171">IF(L171="","",_xlfn.IFS(
  AND(L171&gt;=TIME(9,0,0), L171&lt;TIME(16,0,0)),"Morning",
  AND(L171&gt;=TIME(16,0,0), L171&lt;TIME(23,59,0)),"Evening",
  L171&gt;=TIME(23,59,0),"Night",
  L171&lt;TIME(9,0,0),"Night"
))</f>
        <v/>
      </c>
      <c r="O171" t="str">
        <f t="shared" si="14"/>
        <v/>
      </c>
    </row>
    <row r="172" spans="1:15" x14ac:dyDescent="0.25">
      <c r="A172" s="49"/>
      <c r="G172" t="str">
        <f t="shared" si="12"/>
        <v/>
      </c>
      <c r="H172" s="13" t="str">
        <f t="shared" si="15"/>
        <v/>
      </c>
      <c r="I172" t="str">
        <f>IFERROR(INDEX(Analysis!$D$116:$N$137, MATCH(B172, Analysis!$C$116:$C$137, 0), MATCH(C172, Analysis!$D$115:$N$115, 0)), "")</f>
        <v/>
      </c>
      <c r="J172" t="str">
        <f t="shared" si="16"/>
        <v/>
      </c>
      <c r="K172" s="28" t="str">
        <f t="shared" si="13"/>
        <v/>
      </c>
      <c r="L172" s="46" t="str">
        <f t="shared" si="17"/>
        <v/>
      </c>
      <c r="M172" t="str" cm="1">
        <f t="array" ref="M172">IF(L172="","",_xlfn.IFS(
  AND(L172&gt;=TIME(9,0,0), L172&lt;TIME(16,0,0)),"Morning",
  AND(L172&gt;=TIME(16,0,0), L172&lt;TIME(23,59,0)),"Evening",
  L172&gt;=TIME(23,59,0),"Night",
  L172&lt;TIME(9,0,0),"Night"
))</f>
        <v/>
      </c>
      <c r="O172" t="str">
        <f t="shared" si="14"/>
        <v/>
      </c>
    </row>
    <row r="173" spans="1:15" x14ac:dyDescent="0.25">
      <c r="A173" s="49"/>
      <c r="G173" t="str">
        <f t="shared" si="12"/>
        <v/>
      </c>
      <c r="H173" s="13" t="str">
        <f t="shared" si="15"/>
        <v/>
      </c>
      <c r="I173" t="str">
        <f>IFERROR(INDEX(Analysis!$D$116:$N$137, MATCH(B173, Analysis!$C$116:$C$137, 0), MATCH(C173, Analysis!$D$115:$N$115, 0)), "")</f>
        <v/>
      </c>
      <c r="J173" t="str">
        <f t="shared" si="16"/>
        <v/>
      </c>
      <c r="K173" s="28" t="str">
        <f t="shared" si="13"/>
        <v/>
      </c>
      <c r="L173" s="46" t="str">
        <f t="shared" si="17"/>
        <v/>
      </c>
      <c r="M173" t="str" cm="1">
        <f t="array" ref="M173">IF(L173="","",_xlfn.IFS(
  AND(L173&gt;=TIME(9,0,0), L173&lt;TIME(16,0,0)),"Morning",
  AND(L173&gt;=TIME(16,0,0), L173&lt;TIME(23,59,0)),"Evening",
  L173&gt;=TIME(23,59,0),"Night",
  L173&lt;TIME(9,0,0),"Night"
))</f>
        <v/>
      </c>
      <c r="O173" t="str">
        <f t="shared" si="14"/>
        <v/>
      </c>
    </row>
    <row r="174" spans="1:15" x14ac:dyDescent="0.25">
      <c r="A174" s="49"/>
      <c r="G174" t="str">
        <f t="shared" si="12"/>
        <v/>
      </c>
      <c r="H174" s="13" t="str">
        <f t="shared" si="15"/>
        <v/>
      </c>
      <c r="I174" t="str">
        <f>IFERROR(INDEX(Analysis!$D$116:$N$137, MATCH(B174, Analysis!$C$116:$C$137, 0), MATCH(C174, Analysis!$D$115:$N$115, 0)), "")</f>
        <v/>
      </c>
      <c r="J174" t="str">
        <f t="shared" si="16"/>
        <v/>
      </c>
      <c r="K174" s="28" t="str">
        <f t="shared" si="13"/>
        <v/>
      </c>
      <c r="L174" s="46" t="str">
        <f t="shared" si="17"/>
        <v/>
      </c>
      <c r="M174" t="str" cm="1">
        <f t="array" ref="M174">IF(L174="","",_xlfn.IFS(
  AND(L174&gt;=TIME(9,0,0), L174&lt;TIME(16,0,0)),"Morning",
  AND(L174&gt;=TIME(16,0,0), L174&lt;TIME(23,59,0)),"Evening",
  L174&gt;=TIME(23,59,0),"Night",
  L174&lt;TIME(9,0,0),"Night"
))</f>
        <v/>
      </c>
      <c r="O174" t="str">
        <f t="shared" si="14"/>
        <v/>
      </c>
    </row>
    <row r="175" spans="1:15" x14ac:dyDescent="0.25">
      <c r="A175" s="49"/>
      <c r="G175" t="str">
        <f t="shared" si="12"/>
        <v/>
      </c>
      <c r="H175" s="13" t="str">
        <f t="shared" si="15"/>
        <v/>
      </c>
      <c r="I175" t="str">
        <f>IFERROR(INDEX(Analysis!$D$116:$N$137, MATCH(B175, Analysis!$C$116:$C$137, 0), MATCH(C175, Analysis!$D$115:$N$115, 0)), "")</f>
        <v/>
      </c>
      <c r="J175" t="str">
        <f t="shared" si="16"/>
        <v/>
      </c>
      <c r="K175" s="28" t="str">
        <f t="shared" si="13"/>
        <v/>
      </c>
      <c r="L175" s="46" t="str">
        <f t="shared" si="17"/>
        <v/>
      </c>
      <c r="M175" t="str" cm="1">
        <f t="array" ref="M175">IF(L175="","",_xlfn.IFS(
  AND(L175&gt;=TIME(9,0,0), L175&lt;TIME(16,0,0)),"Morning",
  AND(L175&gt;=TIME(16,0,0), L175&lt;TIME(23,59,0)),"Evening",
  L175&gt;=TIME(23,59,0),"Night",
  L175&lt;TIME(9,0,0),"Night"
))</f>
        <v/>
      </c>
      <c r="O175" t="str">
        <f t="shared" si="14"/>
        <v/>
      </c>
    </row>
    <row r="176" spans="1:15" x14ac:dyDescent="0.25">
      <c r="A176" s="49"/>
      <c r="G176" t="str">
        <f t="shared" si="12"/>
        <v/>
      </c>
      <c r="H176" s="13" t="str">
        <f t="shared" si="15"/>
        <v/>
      </c>
      <c r="I176" t="str">
        <f>IFERROR(INDEX(Analysis!$D$116:$N$137, MATCH(B176, Analysis!$C$116:$C$137, 0), MATCH(C176, Analysis!$D$115:$N$115, 0)), "")</f>
        <v/>
      </c>
      <c r="J176" t="str">
        <f t="shared" si="16"/>
        <v/>
      </c>
      <c r="K176" s="28" t="str">
        <f t="shared" si="13"/>
        <v/>
      </c>
      <c r="L176" s="46" t="str">
        <f t="shared" si="17"/>
        <v/>
      </c>
      <c r="M176" t="str" cm="1">
        <f t="array" ref="M176">IF(L176="","",_xlfn.IFS(
  AND(L176&gt;=TIME(9,0,0), L176&lt;TIME(16,0,0)),"Morning",
  AND(L176&gt;=TIME(16,0,0), L176&lt;TIME(23,59,0)),"Evening",
  L176&gt;=TIME(23,59,0),"Night",
  L176&lt;TIME(9,0,0),"Night"
))</f>
        <v/>
      </c>
      <c r="O176" t="str">
        <f t="shared" si="14"/>
        <v/>
      </c>
    </row>
    <row r="177" spans="1:15" x14ac:dyDescent="0.25">
      <c r="A177" s="49"/>
      <c r="G177" t="str">
        <f t="shared" si="12"/>
        <v/>
      </c>
      <c r="H177" s="13" t="str">
        <f t="shared" si="15"/>
        <v/>
      </c>
      <c r="I177" t="str">
        <f>IFERROR(INDEX(Analysis!$D$116:$N$137, MATCH(B177, Analysis!$C$116:$C$137, 0), MATCH(C177, Analysis!$D$115:$N$115, 0)), "")</f>
        <v/>
      </c>
      <c r="J177" t="str">
        <f t="shared" si="16"/>
        <v/>
      </c>
      <c r="K177" s="28" t="str">
        <f t="shared" si="13"/>
        <v/>
      </c>
      <c r="L177" s="46" t="str">
        <f t="shared" si="17"/>
        <v/>
      </c>
      <c r="M177" t="str" cm="1">
        <f t="array" ref="M177">IF(L177="","",_xlfn.IFS(
  AND(L177&gt;=TIME(9,0,0), L177&lt;TIME(16,0,0)),"Morning",
  AND(L177&gt;=TIME(16,0,0), L177&lt;TIME(23,59,0)),"Evening",
  L177&gt;=TIME(23,59,0),"Night",
  L177&lt;TIME(9,0,0),"Night"
))</f>
        <v/>
      </c>
      <c r="O177" t="str">
        <f t="shared" si="14"/>
        <v/>
      </c>
    </row>
    <row r="178" spans="1:15" x14ac:dyDescent="0.25">
      <c r="A178" s="49"/>
      <c r="G178" t="str">
        <f t="shared" si="12"/>
        <v/>
      </c>
      <c r="H178" s="13" t="str">
        <f t="shared" si="15"/>
        <v/>
      </c>
      <c r="I178" t="str">
        <f>IFERROR(INDEX(Analysis!$D$116:$N$137, MATCH(B178, Analysis!$C$116:$C$137, 0), MATCH(C178, Analysis!$D$115:$N$115, 0)), "")</f>
        <v/>
      </c>
      <c r="J178" t="str">
        <f t="shared" si="16"/>
        <v/>
      </c>
      <c r="K178" s="28" t="str">
        <f t="shared" si="13"/>
        <v/>
      </c>
      <c r="L178" s="46" t="str">
        <f t="shared" si="17"/>
        <v/>
      </c>
      <c r="M178" t="str" cm="1">
        <f t="array" ref="M178">IF(L178="","",_xlfn.IFS(
  AND(L178&gt;=TIME(9,0,0), L178&lt;TIME(16,0,0)),"Morning",
  AND(L178&gt;=TIME(16,0,0), L178&lt;TIME(23,59,0)),"Evening",
  L178&gt;=TIME(23,59,0),"Night",
  L178&lt;TIME(9,0,0),"Night"
))</f>
        <v/>
      </c>
      <c r="O178" t="str">
        <f t="shared" si="14"/>
        <v/>
      </c>
    </row>
    <row r="179" spans="1:15" x14ac:dyDescent="0.25">
      <c r="A179" s="49"/>
      <c r="G179" t="str">
        <f t="shared" si="12"/>
        <v/>
      </c>
      <c r="H179" s="13" t="str">
        <f t="shared" si="15"/>
        <v/>
      </c>
      <c r="I179" t="str">
        <f>IFERROR(INDEX(Analysis!$D$116:$N$137, MATCH(B179, Analysis!$C$116:$C$137, 0), MATCH(C179, Analysis!$D$115:$N$115, 0)), "")</f>
        <v/>
      </c>
      <c r="J179" t="str">
        <f t="shared" si="16"/>
        <v/>
      </c>
      <c r="K179" s="28" t="str">
        <f t="shared" si="13"/>
        <v/>
      </c>
      <c r="L179" s="46" t="str">
        <f t="shared" si="17"/>
        <v/>
      </c>
      <c r="M179" t="str" cm="1">
        <f t="array" ref="M179">IF(L179="","",_xlfn.IFS(
  AND(L179&gt;=TIME(9,0,0), L179&lt;TIME(16,0,0)),"Morning",
  AND(L179&gt;=TIME(16,0,0), L179&lt;TIME(23,59,0)),"Evening",
  L179&gt;=TIME(23,59,0),"Night",
  L179&lt;TIME(9,0,0),"Night"
))</f>
        <v/>
      </c>
      <c r="O179" t="str">
        <f t="shared" si="14"/>
        <v/>
      </c>
    </row>
    <row r="180" spans="1:15" x14ac:dyDescent="0.25">
      <c r="A180" s="49"/>
      <c r="G180" t="str">
        <f t="shared" si="12"/>
        <v/>
      </c>
      <c r="H180" s="13" t="str">
        <f t="shared" si="15"/>
        <v/>
      </c>
      <c r="I180" t="str">
        <f>IFERROR(INDEX(Analysis!$D$116:$N$137, MATCH(B180, Analysis!$C$116:$C$137, 0), MATCH(C180, Analysis!$D$115:$N$115, 0)), "")</f>
        <v/>
      </c>
      <c r="J180" t="str">
        <f t="shared" si="16"/>
        <v/>
      </c>
      <c r="K180" s="28" t="str">
        <f t="shared" si="13"/>
        <v/>
      </c>
      <c r="L180" s="46" t="str">
        <f t="shared" si="17"/>
        <v/>
      </c>
      <c r="M180" t="str" cm="1">
        <f t="array" ref="M180">IF(L180="","",_xlfn.IFS(
  AND(L180&gt;=TIME(9,0,0), L180&lt;TIME(16,0,0)),"Morning",
  AND(L180&gt;=TIME(16,0,0), L180&lt;TIME(23,59,0)),"Evening",
  L180&gt;=TIME(23,59,0),"Night",
  L180&lt;TIME(9,0,0),"Night"
))</f>
        <v/>
      </c>
      <c r="O180" t="str">
        <f t="shared" si="14"/>
        <v/>
      </c>
    </row>
    <row r="181" spans="1:15" x14ac:dyDescent="0.25">
      <c r="A181" s="49"/>
      <c r="G181" t="str">
        <f t="shared" si="12"/>
        <v/>
      </c>
      <c r="H181" s="13" t="str">
        <f t="shared" si="15"/>
        <v/>
      </c>
      <c r="I181" t="str">
        <f>IFERROR(INDEX(Analysis!$D$116:$N$137, MATCH(B181, Analysis!$C$116:$C$137, 0), MATCH(C181, Analysis!$D$115:$N$115, 0)), "")</f>
        <v/>
      </c>
      <c r="J181" t="str">
        <f t="shared" si="16"/>
        <v/>
      </c>
      <c r="K181" s="28" t="str">
        <f t="shared" si="13"/>
        <v/>
      </c>
      <c r="L181" s="46" t="str">
        <f t="shared" si="17"/>
        <v/>
      </c>
      <c r="M181" t="str" cm="1">
        <f t="array" ref="M181">IF(L181="","",_xlfn.IFS(
  AND(L181&gt;=TIME(9,0,0), L181&lt;TIME(16,0,0)),"Morning",
  AND(L181&gt;=TIME(16,0,0), L181&lt;TIME(23,59,0)),"Evening",
  L181&gt;=TIME(23,59,0),"Night",
  L181&lt;TIME(9,0,0),"Night"
))</f>
        <v/>
      </c>
      <c r="O181" t="str">
        <f t="shared" si="14"/>
        <v/>
      </c>
    </row>
    <row r="182" spans="1:15" x14ac:dyDescent="0.25">
      <c r="A182" s="49"/>
      <c r="G182" t="str">
        <f t="shared" si="12"/>
        <v/>
      </c>
      <c r="H182" s="13" t="str">
        <f t="shared" si="15"/>
        <v/>
      </c>
      <c r="I182" t="str">
        <f>IFERROR(INDEX(Analysis!$D$116:$N$137, MATCH(B182, Analysis!$C$116:$C$137, 0), MATCH(C182, Analysis!$D$115:$N$115, 0)), "")</f>
        <v/>
      </c>
      <c r="J182" t="str">
        <f t="shared" si="16"/>
        <v/>
      </c>
      <c r="K182" s="28" t="str">
        <f t="shared" si="13"/>
        <v/>
      </c>
      <c r="L182" s="46" t="str">
        <f t="shared" si="17"/>
        <v/>
      </c>
      <c r="M182" t="str" cm="1">
        <f t="array" ref="M182">IF(L182="","",_xlfn.IFS(
  AND(L182&gt;=TIME(9,0,0), L182&lt;TIME(16,0,0)),"Morning",
  AND(L182&gt;=TIME(16,0,0), L182&lt;TIME(23,59,0)),"Evening",
  L182&gt;=TIME(23,59,0),"Night",
  L182&lt;TIME(9,0,0),"Night"
))</f>
        <v/>
      </c>
      <c r="O182" t="str">
        <f t="shared" si="14"/>
        <v/>
      </c>
    </row>
    <row r="183" spans="1:15" x14ac:dyDescent="0.25">
      <c r="A183" s="49"/>
      <c r="G183" t="str">
        <f t="shared" si="12"/>
        <v/>
      </c>
      <c r="H183" s="13" t="str">
        <f t="shared" si="15"/>
        <v/>
      </c>
      <c r="I183" t="str">
        <f>IFERROR(INDEX(Analysis!$D$116:$N$137, MATCH(B183, Analysis!$C$116:$C$137, 0), MATCH(C183, Analysis!$D$115:$N$115, 0)), "")</f>
        <v/>
      </c>
      <c r="J183" t="str">
        <f t="shared" si="16"/>
        <v/>
      </c>
      <c r="K183" s="28" t="str">
        <f t="shared" si="13"/>
        <v/>
      </c>
      <c r="L183" s="46" t="str">
        <f t="shared" si="17"/>
        <v/>
      </c>
      <c r="M183" t="str" cm="1">
        <f t="array" ref="M183">IF(L183="","",_xlfn.IFS(
  AND(L183&gt;=TIME(9,0,0), L183&lt;TIME(16,0,0)),"Morning",
  AND(L183&gt;=TIME(16,0,0), L183&lt;TIME(23,59,0)),"Evening",
  L183&gt;=TIME(23,59,0),"Night",
  L183&lt;TIME(9,0,0),"Night"
))</f>
        <v/>
      </c>
      <c r="O183" t="str">
        <f t="shared" si="14"/>
        <v/>
      </c>
    </row>
    <row r="184" spans="1:15" x14ac:dyDescent="0.25">
      <c r="A184" s="49"/>
      <c r="G184" t="str">
        <f t="shared" si="12"/>
        <v/>
      </c>
      <c r="H184" s="13" t="str">
        <f t="shared" si="15"/>
        <v/>
      </c>
      <c r="I184" t="str">
        <f>IFERROR(INDEX(Analysis!$D$116:$N$137, MATCH(B184, Analysis!$C$116:$C$137, 0), MATCH(C184, Analysis!$D$115:$N$115, 0)), "")</f>
        <v/>
      </c>
      <c r="J184" t="str">
        <f t="shared" si="16"/>
        <v/>
      </c>
      <c r="K184" s="28" t="str">
        <f t="shared" si="13"/>
        <v/>
      </c>
      <c r="L184" s="46" t="str">
        <f t="shared" si="17"/>
        <v/>
      </c>
      <c r="M184" t="str" cm="1">
        <f t="array" ref="M184">IF(L184="","",_xlfn.IFS(
  AND(L184&gt;=TIME(9,0,0), L184&lt;TIME(16,0,0)),"Morning",
  AND(L184&gt;=TIME(16,0,0), L184&lt;TIME(23,59,0)),"Evening",
  L184&gt;=TIME(23,59,0),"Night",
  L184&lt;TIME(9,0,0),"Night"
))</f>
        <v/>
      </c>
      <c r="O184" t="str">
        <f t="shared" si="14"/>
        <v/>
      </c>
    </row>
    <row r="185" spans="1:15" x14ac:dyDescent="0.25">
      <c r="A185" s="49"/>
      <c r="G185" t="str">
        <f t="shared" si="12"/>
        <v/>
      </c>
      <c r="H185" s="13" t="str">
        <f t="shared" si="15"/>
        <v/>
      </c>
      <c r="I185" t="str">
        <f>IFERROR(INDEX(Analysis!$D$116:$N$137, MATCH(B185, Analysis!$C$116:$C$137, 0), MATCH(C185, Analysis!$D$115:$N$115, 0)), "")</f>
        <v/>
      </c>
      <c r="J185" t="str">
        <f t="shared" si="16"/>
        <v/>
      </c>
      <c r="K185" s="28" t="str">
        <f t="shared" si="13"/>
        <v/>
      </c>
      <c r="L185" s="46" t="str">
        <f t="shared" si="17"/>
        <v/>
      </c>
      <c r="M185" t="str" cm="1">
        <f t="array" ref="M185">IF(L185="","",_xlfn.IFS(
  AND(L185&gt;=TIME(9,0,0), L185&lt;TIME(16,0,0)),"Morning",
  AND(L185&gt;=TIME(16,0,0), L185&lt;TIME(23,59,0)),"Evening",
  L185&gt;=TIME(23,59,0),"Night",
  L185&lt;TIME(9,0,0),"Night"
))</f>
        <v/>
      </c>
      <c r="O185" t="str">
        <f t="shared" si="14"/>
        <v/>
      </c>
    </row>
    <row r="186" spans="1:15" x14ac:dyDescent="0.25">
      <c r="A186" s="49"/>
      <c r="G186" t="str">
        <f t="shared" si="12"/>
        <v/>
      </c>
      <c r="H186" s="13" t="str">
        <f t="shared" si="15"/>
        <v/>
      </c>
      <c r="I186" t="str">
        <f>IFERROR(INDEX(Analysis!$D$116:$N$137, MATCH(B186, Analysis!$C$116:$C$137, 0), MATCH(C186, Analysis!$D$115:$N$115, 0)), "")</f>
        <v/>
      </c>
      <c r="J186" t="str">
        <f t="shared" si="16"/>
        <v/>
      </c>
      <c r="K186" s="28" t="str">
        <f t="shared" si="13"/>
        <v/>
      </c>
      <c r="L186" s="46" t="str">
        <f t="shared" si="17"/>
        <v/>
      </c>
      <c r="M186" t="str" cm="1">
        <f t="array" ref="M186">IF(L186="","",_xlfn.IFS(
  AND(L186&gt;=TIME(9,0,0), L186&lt;TIME(16,0,0)),"Morning",
  AND(L186&gt;=TIME(16,0,0), L186&lt;TIME(23,59,0)),"Evening",
  L186&gt;=TIME(23,59,0),"Night",
  L186&lt;TIME(9,0,0),"Night"
))</f>
        <v/>
      </c>
      <c r="O186" t="str">
        <f t="shared" si="14"/>
        <v/>
      </c>
    </row>
    <row r="187" spans="1:15" x14ac:dyDescent="0.25">
      <c r="A187" s="49"/>
      <c r="G187" t="str">
        <f t="shared" si="12"/>
        <v/>
      </c>
      <c r="H187" s="13" t="str">
        <f t="shared" si="15"/>
        <v/>
      </c>
      <c r="I187" t="str">
        <f>IFERROR(INDEX(Analysis!$D$116:$N$137, MATCH(B187, Analysis!$C$116:$C$137, 0), MATCH(C187, Analysis!$D$115:$N$115, 0)), "")</f>
        <v/>
      </c>
      <c r="J187" t="str">
        <f t="shared" si="16"/>
        <v/>
      </c>
      <c r="K187" s="28" t="str">
        <f t="shared" si="13"/>
        <v/>
      </c>
      <c r="L187" s="46" t="str">
        <f t="shared" si="17"/>
        <v/>
      </c>
      <c r="M187" t="str" cm="1">
        <f t="array" ref="M187">IF(L187="","",_xlfn.IFS(
  AND(L187&gt;=TIME(9,0,0), L187&lt;TIME(16,0,0)),"Morning",
  AND(L187&gt;=TIME(16,0,0), L187&lt;TIME(23,59,0)),"Evening",
  L187&gt;=TIME(23,59,0),"Night",
  L187&lt;TIME(9,0,0),"Night"
))</f>
        <v/>
      </c>
      <c r="O187" t="str">
        <f t="shared" si="14"/>
        <v/>
      </c>
    </row>
    <row r="188" spans="1:15" x14ac:dyDescent="0.25">
      <c r="A188" s="49"/>
      <c r="G188" t="str">
        <f t="shared" si="12"/>
        <v/>
      </c>
      <c r="H188" s="13" t="str">
        <f t="shared" si="15"/>
        <v/>
      </c>
      <c r="I188" t="str">
        <f>IFERROR(INDEX(Analysis!$D$116:$N$137, MATCH(B188, Analysis!$C$116:$C$137, 0), MATCH(C188, Analysis!$D$115:$N$115, 0)), "")</f>
        <v/>
      </c>
      <c r="J188" t="str">
        <f t="shared" si="16"/>
        <v/>
      </c>
      <c r="K188" s="28" t="str">
        <f t="shared" si="13"/>
        <v/>
      </c>
      <c r="L188" s="46" t="str">
        <f t="shared" si="17"/>
        <v/>
      </c>
      <c r="M188" t="str" cm="1">
        <f t="array" ref="M188">IF(L188="","",_xlfn.IFS(
  AND(L188&gt;=TIME(9,0,0), L188&lt;TIME(16,0,0)),"Morning",
  AND(L188&gt;=TIME(16,0,0), L188&lt;TIME(23,59,0)),"Evening",
  L188&gt;=TIME(23,59,0),"Night",
  L188&lt;TIME(9,0,0),"Night"
))</f>
        <v/>
      </c>
      <c r="O188" t="str">
        <f t="shared" si="14"/>
        <v/>
      </c>
    </row>
    <row r="189" spans="1:15" x14ac:dyDescent="0.25">
      <c r="A189" s="49"/>
      <c r="G189" t="str">
        <f t="shared" si="12"/>
        <v/>
      </c>
      <c r="H189" s="13" t="str">
        <f t="shared" si="15"/>
        <v/>
      </c>
      <c r="I189" t="str">
        <f>IFERROR(INDEX(Analysis!$D$116:$N$137, MATCH(B189, Analysis!$C$116:$C$137, 0), MATCH(C189, Analysis!$D$115:$N$115, 0)), "")</f>
        <v/>
      </c>
      <c r="J189" t="str">
        <f t="shared" si="16"/>
        <v/>
      </c>
      <c r="K189" s="28" t="str">
        <f t="shared" si="13"/>
        <v/>
      </c>
      <c r="L189" s="46" t="str">
        <f t="shared" si="17"/>
        <v/>
      </c>
      <c r="M189" t="str" cm="1">
        <f t="array" ref="M189">IF(L189="","",_xlfn.IFS(
  AND(L189&gt;=TIME(9,0,0), L189&lt;TIME(16,0,0)),"Morning",
  AND(L189&gt;=TIME(16,0,0), L189&lt;TIME(23,59,0)),"Evening",
  L189&gt;=TIME(23,59,0),"Night",
  L189&lt;TIME(9,0,0),"Night"
))</f>
        <v/>
      </c>
      <c r="O189" t="str">
        <f t="shared" si="14"/>
        <v/>
      </c>
    </row>
    <row r="190" spans="1:15" x14ac:dyDescent="0.25">
      <c r="A190" s="49"/>
      <c r="G190" t="str">
        <f t="shared" si="12"/>
        <v/>
      </c>
      <c r="H190" s="13" t="str">
        <f t="shared" si="15"/>
        <v/>
      </c>
      <c r="I190" t="str">
        <f>IFERROR(INDEX(Analysis!$D$116:$N$137, MATCH(B190, Analysis!$C$116:$C$137, 0), MATCH(C190, Analysis!$D$115:$N$115, 0)), "")</f>
        <v/>
      </c>
      <c r="J190" t="str">
        <f t="shared" si="16"/>
        <v/>
      </c>
      <c r="K190" s="28" t="str">
        <f t="shared" si="13"/>
        <v/>
      </c>
      <c r="L190" s="46" t="str">
        <f t="shared" si="17"/>
        <v/>
      </c>
      <c r="M190" t="str" cm="1">
        <f t="array" ref="M190">IF(L190="","",_xlfn.IFS(
  AND(L190&gt;=TIME(9,0,0), L190&lt;TIME(16,0,0)),"Morning",
  AND(L190&gt;=TIME(16,0,0), L190&lt;TIME(23,59,0)),"Evening",
  L190&gt;=TIME(23,59,0),"Night",
  L190&lt;TIME(9,0,0),"Night"
))</f>
        <v/>
      </c>
      <c r="O190" t="str">
        <f t="shared" si="14"/>
        <v/>
      </c>
    </row>
    <row r="191" spans="1:15" x14ac:dyDescent="0.25">
      <c r="A191" s="49"/>
      <c r="G191" t="str">
        <f t="shared" si="12"/>
        <v/>
      </c>
      <c r="H191" s="13" t="str">
        <f t="shared" si="15"/>
        <v/>
      </c>
      <c r="I191" t="str">
        <f>IFERROR(INDEX(Analysis!$D$116:$N$137, MATCH(B191, Analysis!$C$116:$C$137, 0), MATCH(C191, Analysis!$D$115:$N$115, 0)), "")</f>
        <v/>
      </c>
      <c r="J191" t="str">
        <f t="shared" si="16"/>
        <v/>
      </c>
      <c r="K191" s="28" t="str">
        <f t="shared" si="13"/>
        <v/>
      </c>
      <c r="L191" s="46" t="str">
        <f t="shared" si="17"/>
        <v/>
      </c>
      <c r="M191" t="str" cm="1">
        <f t="array" ref="M191">IF(L191="","",_xlfn.IFS(
  AND(L191&gt;=TIME(9,0,0), L191&lt;TIME(16,0,0)),"Morning",
  AND(L191&gt;=TIME(16,0,0), L191&lt;TIME(23,59,0)),"Evening",
  L191&gt;=TIME(23,59,0),"Night",
  L191&lt;TIME(9,0,0),"Night"
))</f>
        <v/>
      </c>
      <c r="O191" t="str">
        <f t="shared" si="14"/>
        <v/>
      </c>
    </row>
    <row r="192" spans="1:15" x14ac:dyDescent="0.25">
      <c r="A192" s="49"/>
      <c r="G192" t="str">
        <f t="shared" si="12"/>
        <v/>
      </c>
      <c r="H192" s="13" t="str">
        <f t="shared" si="15"/>
        <v/>
      </c>
      <c r="I192" t="str">
        <f>IFERROR(INDEX(Analysis!$D$116:$N$137, MATCH(B192, Analysis!$C$116:$C$137, 0), MATCH(C192, Analysis!$D$115:$N$115, 0)), "")</f>
        <v/>
      </c>
      <c r="J192" t="str">
        <f t="shared" si="16"/>
        <v/>
      </c>
      <c r="K192" s="28" t="str">
        <f t="shared" si="13"/>
        <v/>
      </c>
      <c r="L192" s="46" t="str">
        <f t="shared" si="17"/>
        <v/>
      </c>
      <c r="M192" t="str" cm="1">
        <f t="array" ref="M192">IF(L192="","",_xlfn.IFS(
  AND(L192&gt;=TIME(9,0,0), L192&lt;TIME(16,0,0)),"Morning",
  AND(L192&gt;=TIME(16,0,0), L192&lt;TIME(23,59,0)),"Evening",
  L192&gt;=TIME(23,59,0),"Night",
  L192&lt;TIME(9,0,0),"Night"
))</f>
        <v/>
      </c>
      <c r="O192" t="str">
        <f t="shared" si="14"/>
        <v/>
      </c>
    </row>
    <row r="193" spans="1:15" x14ac:dyDescent="0.25">
      <c r="A193" s="49"/>
      <c r="G193" t="str">
        <f t="shared" si="12"/>
        <v/>
      </c>
      <c r="H193" s="13" t="str">
        <f t="shared" si="15"/>
        <v/>
      </c>
      <c r="I193" t="str">
        <f>IFERROR(INDEX(Analysis!$D$116:$N$137, MATCH(B193, Analysis!$C$116:$C$137, 0), MATCH(C193, Analysis!$D$115:$N$115, 0)), "")</f>
        <v/>
      </c>
      <c r="J193" t="str">
        <f t="shared" si="16"/>
        <v/>
      </c>
      <c r="K193" s="28" t="str">
        <f t="shared" si="13"/>
        <v/>
      </c>
      <c r="L193" s="46" t="str">
        <f t="shared" si="17"/>
        <v/>
      </c>
      <c r="M193" t="str" cm="1">
        <f t="array" ref="M193">IF(L193="","",_xlfn.IFS(
  AND(L193&gt;=TIME(9,0,0), L193&lt;TIME(16,0,0)),"Morning",
  AND(L193&gt;=TIME(16,0,0), L193&lt;TIME(23,59,0)),"Evening",
  L193&gt;=TIME(23,59,0),"Night",
  L193&lt;TIME(9,0,0),"Night"
))</f>
        <v/>
      </c>
      <c r="O193" t="str">
        <f t="shared" si="14"/>
        <v/>
      </c>
    </row>
    <row r="194" spans="1:15" x14ac:dyDescent="0.25">
      <c r="A194" s="49"/>
      <c r="G194" t="str">
        <f t="shared" ref="G194:G257" si="18">IF(ISBLANK(A194), "", IF(ISBLANK(F194), 0, F194))</f>
        <v/>
      </c>
      <c r="H194" s="13" t="str">
        <f t="shared" si="15"/>
        <v/>
      </c>
      <c r="I194" t="str">
        <f>IFERROR(INDEX(Analysis!$D$116:$N$137, MATCH(B194, Analysis!$C$116:$C$137, 0), MATCH(C194, Analysis!$D$115:$N$115, 0)), "")</f>
        <v/>
      </c>
      <c r="J194" t="str">
        <f t="shared" si="16"/>
        <v/>
      </c>
      <c r="K194" s="28" t="str">
        <f t="shared" ref="K194:K257" si="19">IF(ISBLANK(A194),"",DATE(YEAR(A194),MONTH(A194),DAY(A194)))</f>
        <v/>
      </c>
      <c r="L194" s="46" t="str">
        <f t="shared" si="17"/>
        <v/>
      </c>
      <c r="M194" t="str" cm="1">
        <f t="array" ref="M194">IF(L194="","",_xlfn.IFS(
  AND(L194&gt;=TIME(9,0,0), L194&lt;TIME(16,0,0)),"Morning",
  AND(L194&gt;=TIME(16,0,0), L194&lt;TIME(23,59,0)),"Evening",
  L194&gt;=TIME(23,59,0),"Night",
  L194&lt;TIME(9,0,0),"Night"
))</f>
        <v/>
      </c>
      <c r="O194" t="str">
        <f t="shared" ref="O194:O257" si="20">IF(N194="ON", _xlfn.IMAGE(E194, 1), "")</f>
        <v/>
      </c>
    </row>
    <row r="195" spans="1:15" x14ac:dyDescent="0.25">
      <c r="A195" s="49"/>
      <c r="G195" t="str">
        <f t="shared" si="18"/>
        <v/>
      </c>
      <c r="H195" s="13" t="str">
        <f t="shared" ref="H195:H258" si="21">IF(ISBLANK(E195),"",HYPERLINK(E195,"Click here"))</f>
        <v/>
      </c>
      <c r="I195" t="str">
        <f>IFERROR(INDEX(Analysis!$D$116:$N$137, MATCH(B195, Analysis!$C$116:$C$137, 0), MATCH(C195, Analysis!$D$115:$N$115, 0)), "")</f>
        <v/>
      </c>
      <c r="J195" t="str">
        <f t="shared" ref="J195:J258" si="22">IF(ISBLANK(A195),"",WEEKNUM(A195))</f>
        <v/>
      </c>
      <c r="K195" s="28" t="str">
        <f t="shared" si="19"/>
        <v/>
      </c>
      <c r="L195" s="46" t="str">
        <f t="shared" ref="L195:L258" si="23">IF(A195="", "", A195 - INT(A195))</f>
        <v/>
      </c>
      <c r="M195" t="str" cm="1">
        <f t="array" ref="M195">IF(L195="","",_xlfn.IFS(
  AND(L195&gt;=TIME(9,0,0), L195&lt;TIME(16,0,0)),"Morning",
  AND(L195&gt;=TIME(16,0,0), L195&lt;TIME(23,59,0)),"Evening",
  L195&gt;=TIME(23,59,0),"Night",
  L195&lt;TIME(9,0,0),"Night"
))</f>
        <v/>
      </c>
      <c r="O195" t="str">
        <f t="shared" si="20"/>
        <v/>
      </c>
    </row>
    <row r="196" spans="1:15" x14ac:dyDescent="0.25">
      <c r="A196" s="49"/>
      <c r="G196" t="str">
        <f t="shared" si="18"/>
        <v/>
      </c>
      <c r="H196" s="13" t="str">
        <f t="shared" si="21"/>
        <v/>
      </c>
      <c r="I196" t="str">
        <f>IFERROR(INDEX(Analysis!$D$116:$N$137, MATCH(B196, Analysis!$C$116:$C$137, 0), MATCH(C196, Analysis!$D$115:$N$115, 0)), "")</f>
        <v/>
      </c>
      <c r="J196" t="str">
        <f t="shared" si="22"/>
        <v/>
      </c>
      <c r="K196" s="28" t="str">
        <f t="shared" si="19"/>
        <v/>
      </c>
      <c r="L196" s="46" t="str">
        <f t="shared" si="23"/>
        <v/>
      </c>
      <c r="M196" t="str" cm="1">
        <f t="array" ref="M196">IF(L196="","",_xlfn.IFS(
  AND(L196&gt;=TIME(9,0,0), L196&lt;TIME(16,0,0)),"Morning",
  AND(L196&gt;=TIME(16,0,0), L196&lt;TIME(23,59,0)),"Evening",
  L196&gt;=TIME(23,59,0),"Night",
  L196&lt;TIME(9,0,0),"Night"
))</f>
        <v/>
      </c>
      <c r="O196" t="str">
        <f t="shared" si="20"/>
        <v/>
      </c>
    </row>
    <row r="197" spans="1:15" x14ac:dyDescent="0.25">
      <c r="A197" s="49"/>
      <c r="G197" t="str">
        <f t="shared" si="18"/>
        <v/>
      </c>
      <c r="H197" s="13" t="str">
        <f t="shared" si="21"/>
        <v/>
      </c>
      <c r="I197" t="str">
        <f>IFERROR(INDEX(Analysis!$D$116:$N$137, MATCH(B197, Analysis!$C$116:$C$137, 0), MATCH(C197, Analysis!$D$115:$N$115, 0)), "")</f>
        <v/>
      </c>
      <c r="J197" t="str">
        <f t="shared" si="22"/>
        <v/>
      </c>
      <c r="K197" s="28" t="str">
        <f t="shared" si="19"/>
        <v/>
      </c>
      <c r="L197" s="46" t="str">
        <f t="shared" si="23"/>
        <v/>
      </c>
      <c r="M197" t="str" cm="1">
        <f t="array" ref="M197">IF(L197="","",_xlfn.IFS(
  AND(L197&gt;=TIME(9,0,0), L197&lt;TIME(16,0,0)),"Morning",
  AND(L197&gt;=TIME(16,0,0), L197&lt;TIME(23,59,0)),"Evening",
  L197&gt;=TIME(23,59,0),"Night",
  L197&lt;TIME(9,0,0),"Night"
))</f>
        <v/>
      </c>
      <c r="O197" t="str">
        <f t="shared" si="20"/>
        <v/>
      </c>
    </row>
    <row r="198" spans="1:15" x14ac:dyDescent="0.25">
      <c r="A198" s="49"/>
      <c r="G198" t="str">
        <f t="shared" si="18"/>
        <v/>
      </c>
      <c r="H198" s="13" t="str">
        <f t="shared" si="21"/>
        <v/>
      </c>
      <c r="I198" t="str">
        <f>IFERROR(INDEX(Analysis!$D$116:$N$137, MATCH(B198, Analysis!$C$116:$C$137, 0), MATCH(C198, Analysis!$D$115:$N$115, 0)), "")</f>
        <v/>
      </c>
      <c r="J198" t="str">
        <f t="shared" si="22"/>
        <v/>
      </c>
      <c r="K198" s="28" t="str">
        <f t="shared" si="19"/>
        <v/>
      </c>
      <c r="L198" s="46" t="str">
        <f t="shared" si="23"/>
        <v/>
      </c>
      <c r="M198" t="str" cm="1">
        <f t="array" ref="M198">IF(L198="","",_xlfn.IFS(
  AND(L198&gt;=TIME(9,0,0), L198&lt;TIME(16,0,0)),"Morning",
  AND(L198&gt;=TIME(16,0,0), L198&lt;TIME(23,59,0)),"Evening",
  L198&gt;=TIME(23,59,0),"Night",
  L198&lt;TIME(9,0,0),"Night"
))</f>
        <v/>
      </c>
      <c r="O198" t="str">
        <f t="shared" si="20"/>
        <v/>
      </c>
    </row>
    <row r="199" spans="1:15" x14ac:dyDescent="0.25">
      <c r="A199" s="49"/>
      <c r="G199" t="str">
        <f t="shared" si="18"/>
        <v/>
      </c>
      <c r="H199" s="13" t="str">
        <f t="shared" si="21"/>
        <v/>
      </c>
      <c r="I199" t="str">
        <f>IFERROR(INDEX(Analysis!$D$116:$N$137, MATCH(B199, Analysis!$C$116:$C$137, 0), MATCH(C199, Analysis!$D$115:$N$115, 0)), "")</f>
        <v/>
      </c>
      <c r="J199" t="str">
        <f t="shared" si="22"/>
        <v/>
      </c>
      <c r="K199" s="28" t="str">
        <f t="shared" si="19"/>
        <v/>
      </c>
      <c r="L199" s="46" t="str">
        <f t="shared" si="23"/>
        <v/>
      </c>
      <c r="M199" t="str" cm="1">
        <f t="array" ref="M199">IF(L199="","",_xlfn.IFS(
  AND(L199&gt;=TIME(9,0,0), L199&lt;TIME(16,0,0)),"Morning",
  AND(L199&gt;=TIME(16,0,0), L199&lt;TIME(23,59,0)),"Evening",
  L199&gt;=TIME(23,59,0),"Night",
  L199&lt;TIME(9,0,0),"Night"
))</f>
        <v/>
      </c>
      <c r="O199" t="str">
        <f t="shared" si="20"/>
        <v/>
      </c>
    </row>
    <row r="200" spans="1:15" x14ac:dyDescent="0.25">
      <c r="A200" s="49"/>
      <c r="G200" t="str">
        <f t="shared" si="18"/>
        <v/>
      </c>
      <c r="H200" s="13" t="str">
        <f t="shared" si="21"/>
        <v/>
      </c>
      <c r="I200" t="str">
        <f>IFERROR(INDEX(Analysis!$D$116:$N$137, MATCH(B200, Analysis!$C$116:$C$137, 0), MATCH(C200, Analysis!$D$115:$N$115, 0)), "")</f>
        <v/>
      </c>
      <c r="J200" t="str">
        <f t="shared" si="22"/>
        <v/>
      </c>
      <c r="K200" s="28" t="str">
        <f t="shared" si="19"/>
        <v/>
      </c>
      <c r="L200" s="46" t="str">
        <f t="shared" si="23"/>
        <v/>
      </c>
      <c r="M200" t="str" cm="1">
        <f t="array" ref="M200">IF(L200="","",_xlfn.IFS(
  AND(L200&gt;=TIME(9,0,0), L200&lt;TIME(16,0,0)),"Morning",
  AND(L200&gt;=TIME(16,0,0), L200&lt;TIME(23,59,0)),"Evening",
  L200&gt;=TIME(23,59,0),"Night",
  L200&lt;TIME(9,0,0),"Night"
))</f>
        <v/>
      </c>
      <c r="O200" t="str">
        <f t="shared" si="20"/>
        <v/>
      </c>
    </row>
    <row r="201" spans="1:15" x14ac:dyDescent="0.25">
      <c r="A201" s="49"/>
      <c r="G201" t="str">
        <f t="shared" si="18"/>
        <v/>
      </c>
      <c r="H201" s="13" t="str">
        <f t="shared" si="21"/>
        <v/>
      </c>
      <c r="I201" t="str">
        <f>IFERROR(INDEX(Analysis!$D$116:$N$137, MATCH(B201, Analysis!$C$116:$C$137, 0), MATCH(C201, Analysis!$D$115:$N$115, 0)), "")</f>
        <v/>
      </c>
      <c r="J201" t="str">
        <f t="shared" si="22"/>
        <v/>
      </c>
      <c r="K201" s="28" t="str">
        <f t="shared" si="19"/>
        <v/>
      </c>
      <c r="L201" s="46" t="str">
        <f t="shared" si="23"/>
        <v/>
      </c>
      <c r="M201" t="str" cm="1">
        <f t="array" ref="M201">IF(L201="","",_xlfn.IFS(
  AND(L201&gt;=TIME(9,0,0), L201&lt;TIME(16,0,0)),"Morning",
  AND(L201&gt;=TIME(16,0,0), L201&lt;TIME(23,59,0)),"Evening",
  L201&gt;=TIME(23,59,0),"Night",
  L201&lt;TIME(9,0,0),"Night"
))</f>
        <v/>
      </c>
      <c r="O201" t="str">
        <f t="shared" si="20"/>
        <v/>
      </c>
    </row>
    <row r="202" spans="1:15" x14ac:dyDescent="0.25">
      <c r="A202" s="49"/>
      <c r="G202" t="str">
        <f t="shared" si="18"/>
        <v/>
      </c>
      <c r="H202" s="13" t="str">
        <f t="shared" si="21"/>
        <v/>
      </c>
      <c r="I202" t="str">
        <f>IFERROR(INDEX(Analysis!$D$116:$N$137, MATCH(B202, Analysis!$C$116:$C$137, 0), MATCH(C202, Analysis!$D$115:$N$115, 0)), "")</f>
        <v/>
      </c>
      <c r="J202" t="str">
        <f t="shared" si="22"/>
        <v/>
      </c>
      <c r="K202" s="28" t="str">
        <f t="shared" si="19"/>
        <v/>
      </c>
      <c r="L202" s="46" t="str">
        <f t="shared" si="23"/>
        <v/>
      </c>
      <c r="M202" t="str" cm="1">
        <f t="array" ref="M202">IF(L202="","",_xlfn.IFS(
  AND(L202&gt;=TIME(9,0,0), L202&lt;TIME(16,0,0)),"Morning",
  AND(L202&gt;=TIME(16,0,0), L202&lt;TIME(23,59,0)),"Evening",
  L202&gt;=TIME(23,59,0),"Night",
  L202&lt;TIME(9,0,0),"Night"
))</f>
        <v/>
      </c>
      <c r="O202" t="str">
        <f t="shared" si="20"/>
        <v/>
      </c>
    </row>
    <row r="203" spans="1:15" x14ac:dyDescent="0.25">
      <c r="A203" s="49"/>
      <c r="G203" t="str">
        <f t="shared" si="18"/>
        <v/>
      </c>
      <c r="H203" s="13" t="str">
        <f t="shared" si="21"/>
        <v/>
      </c>
      <c r="I203" t="str">
        <f>IFERROR(INDEX(Analysis!$D$116:$N$137, MATCH(B203, Analysis!$C$116:$C$137, 0), MATCH(C203, Analysis!$D$115:$N$115, 0)), "")</f>
        <v/>
      </c>
      <c r="J203" t="str">
        <f t="shared" si="22"/>
        <v/>
      </c>
      <c r="K203" s="28" t="str">
        <f t="shared" si="19"/>
        <v/>
      </c>
      <c r="L203" s="46" t="str">
        <f t="shared" si="23"/>
        <v/>
      </c>
      <c r="M203" t="str" cm="1">
        <f t="array" ref="M203">IF(L203="","",_xlfn.IFS(
  AND(L203&gt;=TIME(9,0,0), L203&lt;TIME(16,0,0)),"Morning",
  AND(L203&gt;=TIME(16,0,0), L203&lt;TIME(23,59,0)),"Evening",
  L203&gt;=TIME(23,59,0),"Night",
  L203&lt;TIME(9,0,0),"Night"
))</f>
        <v/>
      </c>
      <c r="O203" t="str">
        <f t="shared" si="20"/>
        <v/>
      </c>
    </row>
    <row r="204" spans="1:15" x14ac:dyDescent="0.25">
      <c r="A204" s="49"/>
      <c r="G204" t="str">
        <f t="shared" si="18"/>
        <v/>
      </c>
      <c r="H204" s="13" t="str">
        <f t="shared" si="21"/>
        <v/>
      </c>
      <c r="I204" t="str">
        <f>IFERROR(INDEX(Analysis!$D$116:$N$137, MATCH(B204, Analysis!$C$116:$C$137, 0), MATCH(C204, Analysis!$D$115:$N$115, 0)), "")</f>
        <v/>
      </c>
      <c r="J204" t="str">
        <f t="shared" si="22"/>
        <v/>
      </c>
      <c r="K204" s="28" t="str">
        <f t="shared" si="19"/>
        <v/>
      </c>
      <c r="L204" s="46" t="str">
        <f t="shared" si="23"/>
        <v/>
      </c>
      <c r="M204" t="str" cm="1">
        <f t="array" ref="M204">IF(L204="","",_xlfn.IFS(
  AND(L204&gt;=TIME(9,0,0), L204&lt;TIME(16,0,0)),"Morning",
  AND(L204&gt;=TIME(16,0,0), L204&lt;TIME(23,59,0)),"Evening",
  L204&gt;=TIME(23,59,0),"Night",
  L204&lt;TIME(9,0,0),"Night"
))</f>
        <v/>
      </c>
      <c r="O204" t="str">
        <f t="shared" si="20"/>
        <v/>
      </c>
    </row>
    <row r="205" spans="1:15" x14ac:dyDescent="0.25">
      <c r="A205" s="49"/>
      <c r="G205" t="str">
        <f t="shared" si="18"/>
        <v/>
      </c>
      <c r="H205" s="13" t="str">
        <f t="shared" si="21"/>
        <v/>
      </c>
      <c r="I205" t="str">
        <f>IFERROR(INDEX(Analysis!$D$116:$N$137, MATCH(B205, Analysis!$C$116:$C$137, 0), MATCH(C205, Analysis!$D$115:$N$115, 0)), "")</f>
        <v/>
      </c>
      <c r="J205" t="str">
        <f t="shared" si="22"/>
        <v/>
      </c>
      <c r="K205" s="28" t="str">
        <f t="shared" si="19"/>
        <v/>
      </c>
      <c r="L205" s="46" t="str">
        <f t="shared" si="23"/>
        <v/>
      </c>
      <c r="M205" t="str" cm="1">
        <f t="array" ref="M205">IF(L205="","",_xlfn.IFS(
  AND(L205&gt;=TIME(9,0,0), L205&lt;TIME(16,0,0)),"Morning",
  AND(L205&gt;=TIME(16,0,0), L205&lt;TIME(23,59,0)),"Evening",
  L205&gt;=TIME(23,59,0),"Night",
  L205&lt;TIME(9,0,0),"Night"
))</f>
        <v/>
      </c>
      <c r="O205" t="str">
        <f t="shared" si="20"/>
        <v/>
      </c>
    </row>
    <row r="206" spans="1:15" x14ac:dyDescent="0.25">
      <c r="A206" s="49"/>
      <c r="G206" t="str">
        <f t="shared" si="18"/>
        <v/>
      </c>
      <c r="H206" s="13" t="str">
        <f t="shared" si="21"/>
        <v/>
      </c>
      <c r="I206" t="str">
        <f>IFERROR(INDEX(Analysis!$D$116:$N$137, MATCH(B206, Analysis!$C$116:$C$137, 0), MATCH(C206, Analysis!$D$115:$N$115, 0)), "")</f>
        <v/>
      </c>
      <c r="J206" t="str">
        <f t="shared" si="22"/>
        <v/>
      </c>
      <c r="K206" s="28" t="str">
        <f t="shared" si="19"/>
        <v/>
      </c>
      <c r="L206" s="46" t="str">
        <f t="shared" si="23"/>
        <v/>
      </c>
      <c r="M206" t="str" cm="1">
        <f t="array" ref="M206">IF(L206="","",_xlfn.IFS(
  AND(L206&gt;=TIME(9,0,0), L206&lt;TIME(16,0,0)),"Morning",
  AND(L206&gt;=TIME(16,0,0), L206&lt;TIME(23,59,0)),"Evening",
  L206&gt;=TIME(23,59,0),"Night",
  L206&lt;TIME(9,0,0),"Night"
))</f>
        <v/>
      </c>
      <c r="O206" t="str">
        <f t="shared" si="20"/>
        <v/>
      </c>
    </row>
    <row r="207" spans="1:15" x14ac:dyDescent="0.25">
      <c r="A207" s="49"/>
      <c r="G207" t="str">
        <f t="shared" si="18"/>
        <v/>
      </c>
      <c r="H207" s="13" t="str">
        <f t="shared" si="21"/>
        <v/>
      </c>
      <c r="I207" t="str">
        <f>IFERROR(INDEX(Analysis!$D$116:$N$137, MATCH(B207, Analysis!$C$116:$C$137, 0), MATCH(C207, Analysis!$D$115:$N$115, 0)), "")</f>
        <v/>
      </c>
      <c r="J207" t="str">
        <f t="shared" si="22"/>
        <v/>
      </c>
      <c r="K207" s="28" t="str">
        <f t="shared" si="19"/>
        <v/>
      </c>
      <c r="L207" s="46" t="str">
        <f t="shared" si="23"/>
        <v/>
      </c>
      <c r="M207" t="str" cm="1">
        <f t="array" ref="M207">IF(L207="","",_xlfn.IFS(
  AND(L207&gt;=TIME(9,0,0), L207&lt;TIME(16,0,0)),"Morning",
  AND(L207&gt;=TIME(16,0,0), L207&lt;TIME(23,59,0)),"Evening",
  L207&gt;=TIME(23,59,0),"Night",
  L207&lt;TIME(9,0,0),"Night"
))</f>
        <v/>
      </c>
      <c r="O207" t="str">
        <f t="shared" si="20"/>
        <v/>
      </c>
    </row>
    <row r="208" spans="1:15" x14ac:dyDescent="0.25">
      <c r="A208" s="49"/>
      <c r="G208" t="str">
        <f t="shared" si="18"/>
        <v/>
      </c>
      <c r="H208" s="13" t="str">
        <f t="shared" si="21"/>
        <v/>
      </c>
      <c r="I208" t="str">
        <f>IFERROR(INDEX(Analysis!$D$116:$N$137, MATCH(B208, Analysis!$C$116:$C$137, 0), MATCH(C208, Analysis!$D$115:$N$115, 0)), "")</f>
        <v/>
      </c>
      <c r="J208" t="str">
        <f t="shared" si="22"/>
        <v/>
      </c>
      <c r="K208" s="28" t="str">
        <f t="shared" si="19"/>
        <v/>
      </c>
      <c r="L208" s="46" t="str">
        <f t="shared" si="23"/>
        <v/>
      </c>
      <c r="M208" t="str" cm="1">
        <f t="array" ref="M208">IF(L208="","",_xlfn.IFS(
  AND(L208&gt;=TIME(9,0,0), L208&lt;TIME(16,0,0)),"Morning",
  AND(L208&gt;=TIME(16,0,0), L208&lt;TIME(23,59,0)),"Evening",
  L208&gt;=TIME(23,59,0),"Night",
  L208&lt;TIME(9,0,0),"Night"
))</f>
        <v/>
      </c>
      <c r="O208" t="str">
        <f t="shared" si="20"/>
        <v/>
      </c>
    </row>
    <row r="209" spans="1:15" x14ac:dyDescent="0.25">
      <c r="A209" s="49"/>
      <c r="G209" t="str">
        <f t="shared" si="18"/>
        <v/>
      </c>
      <c r="H209" s="13" t="str">
        <f t="shared" si="21"/>
        <v/>
      </c>
      <c r="I209" t="str">
        <f>IFERROR(INDEX(Analysis!$D$116:$N$137, MATCH(B209, Analysis!$C$116:$C$137, 0), MATCH(C209, Analysis!$D$115:$N$115, 0)), "")</f>
        <v/>
      </c>
      <c r="J209" t="str">
        <f t="shared" si="22"/>
        <v/>
      </c>
      <c r="K209" s="28" t="str">
        <f t="shared" si="19"/>
        <v/>
      </c>
      <c r="L209" s="46" t="str">
        <f t="shared" si="23"/>
        <v/>
      </c>
      <c r="M209" t="str" cm="1">
        <f t="array" ref="M209">IF(L209="","",_xlfn.IFS(
  AND(L209&gt;=TIME(9,0,0), L209&lt;TIME(16,0,0)),"Morning",
  AND(L209&gt;=TIME(16,0,0), L209&lt;TIME(23,59,0)),"Evening",
  L209&gt;=TIME(23,59,0),"Night",
  L209&lt;TIME(9,0,0),"Night"
))</f>
        <v/>
      </c>
      <c r="O209" t="str">
        <f t="shared" si="20"/>
        <v/>
      </c>
    </row>
    <row r="210" spans="1:15" x14ac:dyDescent="0.25">
      <c r="A210" s="49"/>
      <c r="G210" t="str">
        <f t="shared" si="18"/>
        <v/>
      </c>
      <c r="H210" s="13" t="str">
        <f t="shared" si="21"/>
        <v/>
      </c>
      <c r="I210" t="str">
        <f>IFERROR(INDEX(Analysis!$D$116:$N$137, MATCH(B210, Analysis!$C$116:$C$137, 0), MATCH(C210, Analysis!$D$115:$N$115, 0)), "")</f>
        <v/>
      </c>
      <c r="J210" t="str">
        <f t="shared" si="22"/>
        <v/>
      </c>
      <c r="K210" s="28" t="str">
        <f t="shared" si="19"/>
        <v/>
      </c>
      <c r="L210" s="46" t="str">
        <f t="shared" si="23"/>
        <v/>
      </c>
      <c r="M210" t="str" cm="1">
        <f t="array" ref="M210">IF(L210="","",_xlfn.IFS(
  AND(L210&gt;=TIME(9,0,0), L210&lt;TIME(16,0,0)),"Morning",
  AND(L210&gt;=TIME(16,0,0), L210&lt;TIME(23,59,0)),"Evening",
  L210&gt;=TIME(23,59,0),"Night",
  L210&lt;TIME(9,0,0),"Night"
))</f>
        <v/>
      </c>
      <c r="O210" t="str">
        <f t="shared" si="20"/>
        <v/>
      </c>
    </row>
    <row r="211" spans="1:15" x14ac:dyDescent="0.25">
      <c r="A211" s="49"/>
      <c r="G211" t="str">
        <f t="shared" si="18"/>
        <v/>
      </c>
      <c r="H211" s="13" t="str">
        <f t="shared" si="21"/>
        <v/>
      </c>
      <c r="I211" t="str">
        <f>IFERROR(INDEX(Analysis!$D$116:$N$137, MATCH(B211, Analysis!$C$116:$C$137, 0), MATCH(C211, Analysis!$D$115:$N$115, 0)), "")</f>
        <v/>
      </c>
      <c r="J211" t="str">
        <f t="shared" si="22"/>
        <v/>
      </c>
      <c r="K211" s="28" t="str">
        <f t="shared" si="19"/>
        <v/>
      </c>
      <c r="L211" s="46" t="str">
        <f t="shared" si="23"/>
        <v/>
      </c>
      <c r="M211" t="str" cm="1">
        <f t="array" ref="M211">IF(L211="","",_xlfn.IFS(
  AND(L211&gt;=TIME(9,0,0), L211&lt;TIME(16,0,0)),"Morning",
  AND(L211&gt;=TIME(16,0,0), L211&lt;TIME(23,59,0)),"Evening",
  L211&gt;=TIME(23,59,0),"Night",
  L211&lt;TIME(9,0,0),"Night"
))</f>
        <v/>
      </c>
      <c r="O211" t="str">
        <f t="shared" si="20"/>
        <v/>
      </c>
    </row>
    <row r="212" spans="1:15" x14ac:dyDescent="0.25">
      <c r="A212" s="49"/>
      <c r="G212" t="str">
        <f t="shared" si="18"/>
        <v/>
      </c>
      <c r="H212" s="13" t="str">
        <f t="shared" si="21"/>
        <v/>
      </c>
      <c r="I212" t="str">
        <f>IFERROR(INDEX(Analysis!$D$116:$N$137, MATCH(B212, Analysis!$C$116:$C$137, 0), MATCH(C212, Analysis!$D$115:$N$115, 0)), "")</f>
        <v/>
      </c>
      <c r="J212" t="str">
        <f t="shared" si="22"/>
        <v/>
      </c>
      <c r="K212" s="28" t="str">
        <f t="shared" si="19"/>
        <v/>
      </c>
      <c r="L212" s="46" t="str">
        <f t="shared" si="23"/>
        <v/>
      </c>
      <c r="M212" t="str" cm="1">
        <f t="array" ref="M212">IF(L212="","",_xlfn.IFS(
  AND(L212&gt;=TIME(9,0,0), L212&lt;TIME(16,0,0)),"Morning",
  AND(L212&gt;=TIME(16,0,0), L212&lt;TIME(23,59,0)),"Evening",
  L212&gt;=TIME(23,59,0),"Night",
  L212&lt;TIME(9,0,0),"Night"
))</f>
        <v/>
      </c>
      <c r="O212" t="str">
        <f t="shared" si="20"/>
        <v/>
      </c>
    </row>
    <row r="213" spans="1:15" x14ac:dyDescent="0.25">
      <c r="A213" s="49"/>
      <c r="G213" t="str">
        <f t="shared" si="18"/>
        <v/>
      </c>
      <c r="H213" s="13" t="str">
        <f t="shared" si="21"/>
        <v/>
      </c>
      <c r="I213" t="str">
        <f>IFERROR(INDEX(Analysis!$D$116:$N$137, MATCH(B213, Analysis!$C$116:$C$137, 0), MATCH(C213, Analysis!$D$115:$N$115, 0)), "")</f>
        <v/>
      </c>
      <c r="J213" t="str">
        <f t="shared" si="22"/>
        <v/>
      </c>
      <c r="K213" s="28" t="str">
        <f t="shared" si="19"/>
        <v/>
      </c>
      <c r="L213" s="46" t="str">
        <f t="shared" si="23"/>
        <v/>
      </c>
      <c r="M213" t="str" cm="1">
        <f t="array" ref="M213">IF(L213="","",_xlfn.IFS(
  AND(L213&gt;=TIME(9,0,0), L213&lt;TIME(16,0,0)),"Morning",
  AND(L213&gt;=TIME(16,0,0), L213&lt;TIME(23,59,0)),"Evening",
  L213&gt;=TIME(23,59,0),"Night",
  L213&lt;TIME(9,0,0),"Night"
))</f>
        <v/>
      </c>
      <c r="O213" t="str">
        <f t="shared" si="20"/>
        <v/>
      </c>
    </row>
    <row r="214" spans="1:15" x14ac:dyDescent="0.25">
      <c r="A214" s="49"/>
      <c r="G214" t="str">
        <f t="shared" si="18"/>
        <v/>
      </c>
      <c r="H214" s="13" t="str">
        <f t="shared" si="21"/>
        <v/>
      </c>
      <c r="I214" t="str">
        <f>IFERROR(INDEX(Analysis!$D$116:$N$137, MATCH(B214, Analysis!$C$116:$C$137, 0), MATCH(C214, Analysis!$D$115:$N$115, 0)), "")</f>
        <v/>
      </c>
      <c r="J214" t="str">
        <f t="shared" si="22"/>
        <v/>
      </c>
      <c r="K214" s="28" t="str">
        <f t="shared" si="19"/>
        <v/>
      </c>
      <c r="L214" s="46" t="str">
        <f t="shared" si="23"/>
        <v/>
      </c>
      <c r="M214" t="str" cm="1">
        <f t="array" ref="M214">IF(L214="","",_xlfn.IFS(
  AND(L214&gt;=TIME(9,0,0), L214&lt;TIME(16,0,0)),"Morning",
  AND(L214&gt;=TIME(16,0,0), L214&lt;TIME(23,59,0)),"Evening",
  L214&gt;=TIME(23,59,0),"Night",
  L214&lt;TIME(9,0,0),"Night"
))</f>
        <v/>
      </c>
      <c r="O214" t="str">
        <f t="shared" si="20"/>
        <v/>
      </c>
    </row>
    <row r="215" spans="1:15" x14ac:dyDescent="0.25">
      <c r="A215" s="49"/>
      <c r="G215" t="str">
        <f t="shared" si="18"/>
        <v/>
      </c>
      <c r="H215" s="13" t="str">
        <f t="shared" si="21"/>
        <v/>
      </c>
      <c r="I215" t="str">
        <f>IFERROR(INDEX(Analysis!$D$116:$N$137, MATCH(B215, Analysis!$C$116:$C$137, 0), MATCH(C215, Analysis!$D$115:$N$115, 0)), "")</f>
        <v/>
      </c>
      <c r="J215" t="str">
        <f t="shared" si="22"/>
        <v/>
      </c>
      <c r="K215" s="28" t="str">
        <f t="shared" si="19"/>
        <v/>
      </c>
      <c r="L215" s="46" t="str">
        <f t="shared" si="23"/>
        <v/>
      </c>
      <c r="M215" t="str" cm="1">
        <f t="array" ref="M215">IF(L215="","",_xlfn.IFS(
  AND(L215&gt;=TIME(9,0,0), L215&lt;TIME(16,0,0)),"Morning",
  AND(L215&gt;=TIME(16,0,0), L215&lt;TIME(23,59,0)),"Evening",
  L215&gt;=TIME(23,59,0),"Night",
  L215&lt;TIME(9,0,0),"Night"
))</f>
        <v/>
      </c>
      <c r="O215" t="str">
        <f t="shared" si="20"/>
        <v/>
      </c>
    </row>
    <row r="216" spans="1:15" x14ac:dyDescent="0.25">
      <c r="A216" s="49"/>
      <c r="G216" t="str">
        <f t="shared" si="18"/>
        <v/>
      </c>
      <c r="H216" s="13" t="str">
        <f t="shared" si="21"/>
        <v/>
      </c>
      <c r="I216" t="str">
        <f>IFERROR(INDEX(Analysis!$D$116:$N$137, MATCH(B216, Analysis!$C$116:$C$137, 0), MATCH(C216, Analysis!$D$115:$N$115, 0)), "")</f>
        <v/>
      </c>
      <c r="J216" t="str">
        <f t="shared" si="22"/>
        <v/>
      </c>
      <c r="K216" s="28" t="str">
        <f t="shared" si="19"/>
        <v/>
      </c>
      <c r="L216" s="46" t="str">
        <f t="shared" si="23"/>
        <v/>
      </c>
      <c r="M216" t="str" cm="1">
        <f t="array" ref="M216">IF(L216="","",_xlfn.IFS(
  AND(L216&gt;=TIME(9,0,0), L216&lt;TIME(16,0,0)),"Morning",
  AND(L216&gt;=TIME(16,0,0), L216&lt;TIME(23,59,0)),"Evening",
  L216&gt;=TIME(23,59,0),"Night",
  L216&lt;TIME(9,0,0),"Night"
))</f>
        <v/>
      </c>
      <c r="O216" t="str">
        <f t="shared" si="20"/>
        <v/>
      </c>
    </row>
    <row r="217" spans="1:15" x14ac:dyDescent="0.25">
      <c r="A217" s="49"/>
      <c r="G217" t="str">
        <f t="shared" si="18"/>
        <v/>
      </c>
      <c r="H217" s="13" t="str">
        <f t="shared" si="21"/>
        <v/>
      </c>
      <c r="I217" t="str">
        <f>IFERROR(INDEX(Analysis!$D$116:$N$137, MATCH(B217, Analysis!$C$116:$C$137, 0), MATCH(C217, Analysis!$D$115:$N$115, 0)), "")</f>
        <v/>
      </c>
      <c r="J217" t="str">
        <f t="shared" si="22"/>
        <v/>
      </c>
      <c r="K217" s="28" t="str">
        <f t="shared" si="19"/>
        <v/>
      </c>
      <c r="L217" s="46" t="str">
        <f t="shared" si="23"/>
        <v/>
      </c>
      <c r="M217" t="str" cm="1">
        <f t="array" ref="M217">IF(L217="","",_xlfn.IFS(
  AND(L217&gt;=TIME(9,0,0), L217&lt;TIME(16,0,0)),"Morning",
  AND(L217&gt;=TIME(16,0,0), L217&lt;TIME(23,59,0)),"Evening",
  L217&gt;=TIME(23,59,0),"Night",
  L217&lt;TIME(9,0,0),"Night"
))</f>
        <v/>
      </c>
      <c r="O217" t="str">
        <f t="shared" si="20"/>
        <v/>
      </c>
    </row>
    <row r="218" spans="1:15" x14ac:dyDescent="0.25">
      <c r="A218" s="49"/>
      <c r="G218" t="str">
        <f t="shared" si="18"/>
        <v/>
      </c>
      <c r="H218" s="13" t="str">
        <f t="shared" si="21"/>
        <v/>
      </c>
      <c r="I218" t="str">
        <f>IFERROR(INDEX(Analysis!$D$116:$N$137, MATCH(B218, Analysis!$C$116:$C$137, 0), MATCH(C218, Analysis!$D$115:$N$115, 0)), "")</f>
        <v/>
      </c>
      <c r="J218" t="str">
        <f t="shared" si="22"/>
        <v/>
      </c>
      <c r="K218" s="28" t="str">
        <f t="shared" si="19"/>
        <v/>
      </c>
      <c r="L218" s="46" t="str">
        <f t="shared" si="23"/>
        <v/>
      </c>
      <c r="M218" t="str" cm="1">
        <f t="array" ref="M218">IF(L218="","",_xlfn.IFS(
  AND(L218&gt;=TIME(9,0,0), L218&lt;TIME(16,0,0)),"Morning",
  AND(L218&gt;=TIME(16,0,0), L218&lt;TIME(23,59,0)),"Evening",
  L218&gt;=TIME(23,59,0),"Night",
  L218&lt;TIME(9,0,0),"Night"
))</f>
        <v/>
      </c>
      <c r="O218" t="str">
        <f t="shared" si="20"/>
        <v/>
      </c>
    </row>
    <row r="219" spans="1:15" x14ac:dyDescent="0.25">
      <c r="A219" s="49"/>
      <c r="G219" t="str">
        <f t="shared" si="18"/>
        <v/>
      </c>
      <c r="H219" s="13" t="str">
        <f t="shared" si="21"/>
        <v/>
      </c>
      <c r="I219" t="str">
        <f>IFERROR(INDEX(Analysis!$D$116:$N$137, MATCH(B219, Analysis!$C$116:$C$137, 0), MATCH(C219, Analysis!$D$115:$N$115, 0)), "")</f>
        <v/>
      </c>
      <c r="J219" t="str">
        <f t="shared" si="22"/>
        <v/>
      </c>
      <c r="K219" s="28" t="str">
        <f t="shared" si="19"/>
        <v/>
      </c>
      <c r="L219" s="46" t="str">
        <f t="shared" si="23"/>
        <v/>
      </c>
      <c r="M219" t="str" cm="1">
        <f t="array" ref="M219">IF(L219="","",_xlfn.IFS(
  AND(L219&gt;=TIME(9,0,0), L219&lt;TIME(16,0,0)),"Morning",
  AND(L219&gt;=TIME(16,0,0), L219&lt;TIME(23,59,0)),"Evening",
  L219&gt;=TIME(23,59,0),"Night",
  L219&lt;TIME(9,0,0),"Night"
))</f>
        <v/>
      </c>
      <c r="O219" t="str">
        <f t="shared" si="20"/>
        <v/>
      </c>
    </row>
    <row r="220" spans="1:15" x14ac:dyDescent="0.25">
      <c r="A220" s="49"/>
      <c r="G220" t="str">
        <f t="shared" si="18"/>
        <v/>
      </c>
      <c r="H220" s="13" t="str">
        <f t="shared" si="21"/>
        <v/>
      </c>
      <c r="I220" t="str">
        <f>IFERROR(INDEX(Analysis!$D$116:$N$137, MATCH(B220, Analysis!$C$116:$C$137, 0), MATCH(C220, Analysis!$D$115:$N$115, 0)), "")</f>
        <v/>
      </c>
      <c r="J220" t="str">
        <f t="shared" si="22"/>
        <v/>
      </c>
      <c r="K220" s="28" t="str">
        <f t="shared" si="19"/>
        <v/>
      </c>
      <c r="L220" s="46" t="str">
        <f t="shared" si="23"/>
        <v/>
      </c>
      <c r="M220" t="str" cm="1">
        <f t="array" ref="M220">IF(L220="","",_xlfn.IFS(
  AND(L220&gt;=TIME(9,0,0), L220&lt;TIME(16,0,0)),"Morning",
  AND(L220&gt;=TIME(16,0,0), L220&lt;TIME(23,59,0)),"Evening",
  L220&gt;=TIME(23,59,0),"Night",
  L220&lt;TIME(9,0,0),"Night"
))</f>
        <v/>
      </c>
      <c r="O220" t="str">
        <f t="shared" si="20"/>
        <v/>
      </c>
    </row>
    <row r="221" spans="1:15" x14ac:dyDescent="0.25">
      <c r="A221" s="49"/>
      <c r="G221" t="str">
        <f t="shared" si="18"/>
        <v/>
      </c>
      <c r="H221" s="13" t="str">
        <f t="shared" si="21"/>
        <v/>
      </c>
      <c r="I221" t="str">
        <f>IFERROR(INDEX(Analysis!$D$116:$N$137, MATCH(B221, Analysis!$C$116:$C$137, 0), MATCH(C221, Analysis!$D$115:$N$115, 0)), "")</f>
        <v/>
      </c>
      <c r="J221" t="str">
        <f t="shared" si="22"/>
        <v/>
      </c>
      <c r="K221" s="28" t="str">
        <f t="shared" si="19"/>
        <v/>
      </c>
      <c r="L221" s="46" t="str">
        <f t="shared" si="23"/>
        <v/>
      </c>
      <c r="M221" t="str" cm="1">
        <f t="array" ref="M221">IF(L221="","",_xlfn.IFS(
  AND(L221&gt;=TIME(9,0,0), L221&lt;TIME(16,0,0)),"Morning",
  AND(L221&gt;=TIME(16,0,0), L221&lt;TIME(23,59,0)),"Evening",
  L221&gt;=TIME(23,59,0),"Night",
  L221&lt;TIME(9,0,0),"Night"
))</f>
        <v/>
      </c>
      <c r="O221" t="str">
        <f t="shared" si="20"/>
        <v/>
      </c>
    </row>
    <row r="222" spans="1:15" x14ac:dyDescent="0.25">
      <c r="A222" s="49"/>
      <c r="G222" t="str">
        <f t="shared" si="18"/>
        <v/>
      </c>
      <c r="H222" s="13" t="str">
        <f t="shared" si="21"/>
        <v/>
      </c>
      <c r="I222" t="str">
        <f>IFERROR(INDEX(Analysis!$D$116:$N$137, MATCH(B222, Analysis!$C$116:$C$137, 0), MATCH(C222, Analysis!$D$115:$N$115, 0)), "")</f>
        <v/>
      </c>
      <c r="J222" t="str">
        <f t="shared" si="22"/>
        <v/>
      </c>
      <c r="K222" s="28" t="str">
        <f t="shared" si="19"/>
        <v/>
      </c>
      <c r="L222" s="46" t="str">
        <f t="shared" si="23"/>
        <v/>
      </c>
      <c r="M222" t="str" cm="1">
        <f t="array" ref="M222">IF(L222="","",_xlfn.IFS(
  AND(L222&gt;=TIME(9,0,0), L222&lt;TIME(16,0,0)),"Morning",
  AND(L222&gt;=TIME(16,0,0), L222&lt;TIME(23,59,0)),"Evening",
  L222&gt;=TIME(23,59,0),"Night",
  L222&lt;TIME(9,0,0),"Night"
))</f>
        <v/>
      </c>
      <c r="O222" t="str">
        <f t="shared" si="20"/>
        <v/>
      </c>
    </row>
    <row r="223" spans="1:15" x14ac:dyDescent="0.25">
      <c r="A223" s="49"/>
      <c r="G223" t="str">
        <f t="shared" si="18"/>
        <v/>
      </c>
      <c r="H223" s="13" t="str">
        <f t="shared" si="21"/>
        <v/>
      </c>
      <c r="I223" t="str">
        <f>IFERROR(INDEX(Analysis!$D$116:$N$137, MATCH(B223, Analysis!$C$116:$C$137, 0), MATCH(C223, Analysis!$D$115:$N$115, 0)), "")</f>
        <v/>
      </c>
      <c r="J223" t="str">
        <f t="shared" si="22"/>
        <v/>
      </c>
      <c r="K223" s="28" t="str">
        <f t="shared" si="19"/>
        <v/>
      </c>
      <c r="L223" s="46" t="str">
        <f t="shared" si="23"/>
        <v/>
      </c>
      <c r="M223" t="str" cm="1">
        <f t="array" ref="M223">IF(L223="","",_xlfn.IFS(
  AND(L223&gt;=TIME(9,0,0), L223&lt;TIME(16,0,0)),"Morning",
  AND(L223&gt;=TIME(16,0,0), L223&lt;TIME(23,59,0)),"Evening",
  L223&gt;=TIME(23,59,0),"Night",
  L223&lt;TIME(9,0,0),"Night"
))</f>
        <v/>
      </c>
      <c r="O223" t="str">
        <f t="shared" si="20"/>
        <v/>
      </c>
    </row>
    <row r="224" spans="1:15" x14ac:dyDescent="0.25">
      <c r="A224" s="49"/>
      <c r="G224" t="str">
        <f t="shared" si="18"/>
        <v/>
      </c>
      <c r="H224" s="13" t="str">
        <f t="shared" si="21"/>
        <v/>
      </c>
      <c r="I224" t="str">
        <f>IFERROR(INDEX(Analysis!$D$116:$N$137, MATCH(B224, Analysis!$C$116:$C$137, 0), MATCH(C224, Analysis!$D$115:$N$115, 0)), "")</f>
        <v/>
      </c>
      <c r="J224" t="str">
        <f t="shared" si="22"/>
        <v/>
      </c>
      <c r="K224" s="28" t="str">
        <f t="shared" si="19"/>
        <v/>
      </c>
      <c r="L224" s="46" t="str">
        <f t="shared" si="23"/>
        <v/>
      </c>
      <c r="M224" t="str" cm="1">
        <f t="array" ref="M224">IF(L224="","",_xlfn.IFS(
  AND(L224&gt;=TIME(9,0,0), L224&lt;TIME(16,0,0)),"Morning",
  AND(L224&gt;=TIME(16,0,0), L224&lt;TIME(23,59,0)),"Evening",
  L224&gt;=TIME(23,59,0),"Night",
  L224&lt;TIME(9,0,0),"Night"
))</f>
        <v/>
      </c>
      <c r="O224" t="str">
        <f t="shared" si="20"/>
        <v/>
      </c>
    </row>
    <row r="225" spans="1:15" x14ac:dyDescent="0.25">
      <c r="A225" s="49"/>
      <c r="G225" t="str">
        <f t="shared" si="18"/>
        <v/>
      </c>
      <c r="H225" s="13" t="str">
        <f t="shared" si="21"/>
        <v/>
      </c>
      <c r="I225" t="str">
        <f>IFERROR(INDEX(Analysis!$D$116:$N$137, MATCH(B225, Analysis!$C$116:$C$137, 0), MATCH(C225, Analysis!$D$115:$N$115, 0)), "")</f>
        <v/>
      </c>
      <c r="J225" t="str">
        <f t="shared" si="22"/>
        <v/>
      </c>
      <c r="K225" s="28" t="str">
        <f t="shared" si="19"/>
        <v/>
      </c>
      <c r="L225" s="46" t="str">
        <f t="shared" si="23"/>
        <v/>
      </c>
      <c r="M225" t="str" cm="1">
        <f t="array" ref="M225">IF(L225="","",_xlfn.IFS(
  AND(L225&gt;=TIME(9,0,0), L225&lt;TIME(16,0,0)),"Morning",
  AND(L225&gt;=TIME(16,0,0), L225&lt;TIME(23,59,0)),"Evening",
  L225&gt;=TIME(23,59,0),"Night",
  L225&lt;TIME(9,0,0),"Night"
))</f>
        <v/>
      </c>
      <c r="O225" t="str">
        <f t="shared" si="20"/>
        <v/>
      </c>
    </row>
    <row r="226" spans="1:15" x14ac:dyDescent="0.25">
      <c r="A226" s="49"/>
      <c r="G226" t="str">
        <f t="shared" si="18"/>
        <v/>
      </c>
      <c r="H226" s="13" t="str">
        <f t="shared" si="21"/>
        <v/>
      </c>
      <c r="I226" t="str">
        <f>IFERROR(INDEX(Analysis!$D$116:$N$137, MATCH(B226, Analysis!$C$116:$C$137, 0), MATCH(C226, Analysis!$D$115:$N$115, 0)), "")</f>
        <v/>
      </c>
      <c r="J226" t="str">
        <f t="shared" si="22"/>
        <v/>
      </c>
      <c r="K226" s="28" t="str">
        <f t="shared" si="19"/>
        <v/>
      </c>
      <c r="L226" s="46" t="str">
        <f t="shared" si="23"/>
        <v/>
      </c>
      <c r="M226" t="str" cm="1">
        <f t="array" ref="M226">IF(L226="","",_xlfn.IFS(
  AND(L226&gt;=TIME(9,0,0), L226&lt;TIME(16,0,0)),"Morning",
  AND(L226&gt;=TIME(16,0,0), L226&lt;TIME(23,59,0)),"Evening",
  L226&gt;=TIME(23,59,0),"Night",
  L226&lt;TIME(9,0,0),"Night"
))</f>
        <v/>
      </c>
      <c r="O226" t="str">
        <f t="shared" si="20"/>
        <v/>
      </c>
    </row>
    <row r="227" spans="1:15" x14ac:dyDescent="0.25">
      <c r="A227" s="49"/>
      <c r="G227" t="str">
        <f t="shared" si="18"/>
        <v/>
      </c>
      <c r="H227" s="13" t="str">
        <f t="shared" si="21"/>
        <v/>
      </c>
      <c r="I227" t="str">
        <f>IFERROR(INDEX(Analysis!$D$116:$N$137, MATCH(B227, Analysis!$C$116:$C$137, 0), MATCH(C227, Analysis!$D$115:$N$115, 0)), "")</f>
        <v/>
      </c>
      <c r="J227" t="str">
        <f t="shared" si="22"/>
        <v/>
      </c>
      <c r="K227" s="28" t="str">
        <f t="shared" si="19"/>
        <v/>
      </c>
      <c r="L227" s="46" t="str">
        <f t="shared" si="23"/>
        <v/>
      </c>
      <c r="M227" t="str" cm="1">
        <f t="array" ref="M227">IF(L227="","",_xlfn.IFS(
  AND(L227&gt;=TIME(9,0,0), L227&lt;TIME(16,0,0)),"Morning",
  AND(L227&gt;=TIME(16,0,0), L227&lt;TIME(23,59,0)),"Evening",
  L227&gt;=TIME(23,59,0),"Night",
  L227&lt;TIME(9,0,0),"Night"
))</f>
        <v/>
      </c>
      <c r="O227" t="str">
        <f t="shared" si="20"/>
        <v/>
      </c>
    </row>
    <row r="228" spans="1:15" x14ac:dyDescent="0.25">
      <c r="A228" s="49"/>
      <c r="G228" t="str">
        <f t="shared" si="18"/>
        <v/>
      </c>
      <c r="H228" s="13" t="str">
        <f t="shared" si="21"/>
        <v/>
      </c>
      <c r="I228" t="str">
        <f>IFERROR(INDEX(Analysis!$D$116:$N$137, MATCH(B228, Analysis!$C$116:$C$137, 0), MATCH(C228, Analysis!$D$115:$N$115, 0)), "")</f>
        <v/>
      </c>
      <c r="J228" t="str">
        <f t="shared" si="22"/>
        <v/>
      </c>
      <c r="K228" s="28" t="str">
        <f t="shared" si="19"/>
        <v/>
      </c>
      <c r="L228" s="46" t="str">
        <f t="shared" si="23"/>
        <v/>
      </c>
      <c r="M228" t="str" cm="1">
        <f t="array" ref="M228">IF(L228="","",_xlfn.IFS(
  AND(L228&gt;=TIME(9,0,0), L228&lt;TIME(16,0,0)),"Morning",
  AND(L228&gt;=TIME(16,0,0), L228&lt;TIME(23,59,0)),"Evening",
  L228&gt;=TIME(23,59,0),"Night",
  L228&lt;TIME(9,0,0),"Night"
))</f>
        <v/>
      </c>
      <c r="O228" t="str">
        <f t="shared" si="20"/>
        <v/>
      </c>
    </row>
    <row r="229" spans="1:15" x14ac:dyDescent="0.25">
      <c r="A229" s="49"/>
      <c r="G229" t="str">
        <f t="shared" si="18"/>
        <v/>
      </c>
      <c r="H229" s="13" t="str">
        <f t="shared" si="21"/>
        <v/>
      </c>
      <c r="I229" t="str">
        <f>IFERROR(INDEX(Analysis!$D$116:$N$137, MATCH(B229, Analysis!$C$116:$C$137, 0), MATCH(C229, Analysis!$D$115:$N$115, 0)), "")</f>
        <v/>
      </c>
      <c r="J229" t="str">
        <f t="shared" si="22"/>
        <v/>
      </c>
      <c r="K229" s="28" t="str">
        <f t="shared" si="19"/>
        <v/>
      </c>
      <c r="L229" s="46" t="str">
        <f t="shared" si="23"/>
        <v/>
      </c>
      <c r="M229" t="str" cm="1">
        <f t="array" ref="M229">IF(L229="","",_xlfn.IFS(
  AND(L229&gt;=TIME(9,0,0), L229&lt;TIME(16,0,0)),"Morning",
  AND(L229&gt;=TIME(16,0,0), L229&lt;TIME(23,59,0)),"Evening",
  L229&gt;=TIME(23,59,0),"Night",
  L229&lt;TIME(9,0,0),"Night"
))</f>
        <v/>
      </c>
      <c r="O229" t="str">
        <f t="shared" si="20"/>
        <v/>
      </c>
    </row>
    <row r="230" spans="1:15" x14ac:dyDescent="0.25">
      <c r="A230" s="49"/>
      <c r="G230" t="str">
        <f t="shared" si="18"/>
        <v/>
      </c>
      <c r="H230" s="13" t="str">
        <f t="shared" si="21"/>
        <v/>
      </c>
      <c r="I230" t="str">
        <f>IFERROR(INDEX(Analysis!$D$116:$N$137, MATCH(B230, Analysis!$C$116:$C$137, 0), MATCH(C230, Analysis!$D$115:$N$115, 0)), "")</f>
        <v/>
      </c>
      <c r="J230" t="str">
        <f t="shared" si="22"/>
        <v/>
      </c>
      <c r="K230" s="28" t="str">
        <f t="shared" si="19"/>
        <v/>
      </c>
      <c r="L230" s="46" t="str">
        <f t="shared" si="23"/>
        <v/>
      </c>
      <c r="M230" t="str" cm="1">
        <f t="array" ref="M230">IF(L230="","",_xlfn.IFS(
  AND(L230&gt;=TIME(9,0,0), L230&lt;TIME(16,0,0)),"Morning",
  AND(L230&gt;=TIME(16,0,0), L230&lt;TIME(23,59,0)),"Evening",
  L230&gt;=TIME(23,59,0),"Night",
  L230&lt;TIME(9,0,0),"Night"
))</f>
        <v/>
      </c>
      <c r="O230" t="str">
        <f t="shared" si="20"/>
        <v/>
      </c>
    </row>
    <row r="231" spans="1:15" x14ac:dyDescent="0.25">
      <c r="A231" s="49"/>
      <c r="G231" t="str">
        <f t="shared" si="18"/>
        <v/>
      </c>
      <c r="H231" s="13" t="str">
        <f t="shared" si="21"/>
        <v/>
      </c>
      <c r="I231" t="str">
        <f>IFERROR(INDEX(Analysis!$D$116:$N$137, MATCH(B231, Analysis!$C$116:$C$137, 0), MATCH(C231, Analysis!$D$115:$N$115, 0)), "")</f>
        <v/>
      </c>
      <c r="J231" t="str">
        <f t="shared" si="22"/>
        <v/>
      </c>
      <c r="K231" s="28" t="str">
        <f t="shared" si="19"/>
        <v/>
      </c>
      <c r="L231" s="46" t="str">
        <f t="shared" si="23"/>
        <v/>
      </c>
      <c r="M231" t="str" cm="1">
        <f t="array" ref="M231">IF(L231="","",_xlfn.IFS(
  AND(L231&gt;=TIME(9,0,0), L231&lt;TIME(16,0,0)),"Morning",
  AND(L231&gt;=TIME(16,0,0), L231&lt;TIME(23,59,0)),"Evening",
  L231&gt;=TIME(23,59,0),"Night",
  L231&lt;TIME(9,0,0),"Night"
))</f>
        <v/>
      </c>
      <c r="O231" t="str">
        <f t="shared" si="20"/>
        <v/>
      </c>
    </row>
    <row r="232" spans="1:15" x14ac:dyDescent="0.25">
      <c r="A232" s="49"/>
      <c r="G232" t="str">
        <f t="shared" si="18"/>
        <v/>
      </c>
      <c r="H232" s="13" t="str">
        <f t="shared" si="21"/>
        <v/>
      </c>
      <c r="I232" t="str">
        <f>IFERROR(INDEX(Analysis!$D$116:$N$137, MATCH(B232, Analysis!$C$116:$C$137, 0), MATCH(C232, Analysis!$D$115:$N$115, 0)), "")</f>
        <v/>
      </c>
      <c r="J232" t="str">
        <f t="shared" si="22"/>
        <v/>
      </c>
      <c r="K232" s="28" t="str">
        <f t="shared" si="19"/>
        <v/>
      </c>
      <c r="L232" s="46" t="str">
        <f t="shared" si="23"/>
        <v/>
      </c>
      <c r="M232" t="str" cm="1">
        <f t="array" ref="M232">IF(L232="","",_xlfn.IFS(
  AND(L232&gt;=TIME(9,0,0), L232&lt;TIME(16,0,0)),"Morning",
  AND(L232&gt;=TIME(16,0,0), L232&lt;TIME(23,59,0)),"Evening",
  L232&gt;=TIME(23,59,0),"Night",
  L232&lt;TIME(9,0,0),"Night"
))</f>
        <v/>
      </c>
      <c r="O232" t="str">
        <f t="shared" si="20"/>
        <v/>
      </c>
    </row>
    <row r="233" spans="1:15" x14ac:dyDescent="0.25">
      <c r="A233" s="49"/>
      <c r="G233" t="str">
        <f t="shared" si="18"/>
        <v/>
      </c>
      <c r="H233" s="13" t="str">
        <f t="shared" si="21"/>
        <v/>
      </c>
      <c r="I233" t="str">
        <f>IFERROR(INDEX(Analysis!$D$116:$N$137, MATCH(B233, Analysis!$C$116:$C$137, 0), MATCH(C233, Analysis!$D$115:$N$115, 0)), "")</f>
        <v/>
      </c>
      <c r="J233" t="str">
        <f t="shared" si="22"/>
        <v/>
      </c>
      <c r="K233" s="28" t="str">
        <f t="shared" si="19"/>
        <v/>
      </c>
      <c r="L233" s="46" t="str">
        <f t="shared" si="23"/>
        <v/>
      </c>
      <c r="M233" t="str" cm="1">
        <f t="array" ref="M233">IF(L233="","",_xlfn.IFS(
  AND(L233&gt;=TIME(9,0,0), L233&lt;TIME(16,0,0)),"Morning",
  AND(L233&gt;=TIME(16,0,0), L233&lt;TIME(23,59,0)),"Evening",
  L233&gt;=TIME(23,59,0),"Night",
  L233&lt;TIME(9,0,0),"Night"
))</f>
        <v/>
      </c>
      <c r="O233" t="str">
        <f t="shared" si="20"/>
        <v/>
      </c>
    </row>
    <row r="234" spans="1:15" x14ac:dyDescent="0.25">
      <c r="A234" s="49"/>
      <c r="G234" t="str">
        <f t="shared" si="18"/>
        <v/>
      </c>
      <c r="H234" s="13" t="str">
        <f t="shared" si="21"/>
        <v/>
      </c>
      <c r="I234" t="str">
        <f>IFERROR(INDEX(Analysis!$D$116:$N$137, MATCH(B234, Analysis!$C$116:$C$137, 0), MATCH(C234, Analysis!$D$115:$N$115, 0)), "")</f>
        <v/>
      </c>
      <c r="J234" t="str">
        <f t="shared" si="22"/>
        <v/>
      </c>
      <c r="K234" s="28" t="str">
        <f t="shared" si="19"/>
        <v/>
      </c>
      <c r="L234" s="46" t="str">
        <f t="shared" si="23"/>
        <v/>
      </c>
      <c r="M234" t="str" cm="1">
        <f t="array" ref="M234">IF(L234="","",_xlfn.IFS(
  AND(L234&gt;=TIME(9,0,0), L234&lt;TIME(16,0,0)),"Morning",
  AND(L234&gt;=TIME(16,0,0), L234&lt;TIME(23,59,0)),"Evening",
  L234&gt;=TIME(23,59,0),"Night",
  L234&lt;TIME(9,0,0),"Night"
))</f>
        <v/>
      </c>
      <c r="O234" t="str">
        <f t="shared" si="20"/>
        <v/>
      </c>
    </row>
    <row r="235" spans="1:15" x14ac:dyDescent="0.25">
      <c r="A235" s="49"/>
      <c r="G235" t="str">
        <f t="shared" si="18"/>
        <v/>
      </c>
      <c r="H235" s="13" t="str">
        <f t="shared" si="21"/>
        <v/>
      </c>
      <c r="I235" t="str">
        <f>IFERROR(INDEX(Analysis!$D$116:$N$137, MATCH(B235, Analysis!$C$116:$C$137, 0), MATCH(C235, Analysis!$D$115:$N$115, 0)), "")</f>
        <v/>
      </c>
      <c r="J235" t="str">
        <f t="shared" si="22"/>
        <v/>
      </c>
      <c r="K235" s="28" t="str">
        <f t="shared" si="19"/>
        <v/>
      </c>
      <c r="L235" s="46" t="str">
        <f t="shared" si="23"/>
        <v/>
      </c>
      <c r="M235" t="str" cm="1">
        <f t="array" ref="M235">IF(L235="","",_xlfn.IFS(
  AND(L235&gt;=TIME(9,0,0), L235&lt;TIME(16,0,0)),"Morning",
  AND(L235&gt;=TIME(16,0,0), L235&lt;TIME(23,59,0)),"Evening",
  L235&gt;=TIME(23,59,0),"Night",
  L235&lt;TIME(9,0,0),"Night"
))</f>
        <v/>
      </c>
      <c r="O235" t="str">
        <f t="shared" si="20"/>
        <v/>
      </c>
    </row>
    <row r="236" spans="1:15" x14ac:dyDescent="0.25">
      <c r="A236" s="49"/>
      <c r="G236" t="str">
        <f t="shared" si="18"/>
        <v/>
      </c>
      <c r="H236" s="13" t="str">
        <f t="shared" si="21"/>
        <v/>
      </c>
      <c r="I236" t="str">
        <f>IFERROR(INDEX(Analysis!$D$116:$N$137, MATCH(B236, Analysis!$C$116:$C$137, 0), MATCH(C236, Analysis!$D$115:$N$115, 0)), "")</f>
        <v/>
      </c>
      <c r="J236" t="str">
        <f t="shared" si="22"/>
        <v/>
      </c>
      <c r="K236" s="28" t="str">
        <f t="shared" si="19"/>
        <v/>
      </c>
      <c r="L236" s="46" t="str">
        <f t="shared" si="23"/>
        <v/>
      </c>
      <c r="M236" t="str" cm="1">
        <f t="array" ref="M236">IF(L236="","",_xlfn.IFS(
  AND(L236&gt;=TIME(9,0,0), L236&lt;TIME(16,0,0)),"Morning",
  AND(L236&gt;=TIME(16,0,0), L236&lt;TIME(23,59,0)),"Evening",
  L236&gt;=TIME(23,59,0),"Night",
  L236&lt;TIME(9,0,0),"Night"
))</f>
        <v/>
      </c>
      <c r="O236" t="str">
        <f t="shared" si="20"/>
        <v/>
      </c>
    </row>
    <row r="237" spans="1:15" x14ac:dyDescent="0.25">
      <c r="A237" s="49"/>
      <c r="G237" t="str">
        <f t="shared" si="18"/>
        <v/>
      </c>
      <c r="H237" s="13" t="str">
        <f t="shared" si="21"/>
        <v/>
      </c>
      <c r="I237" t="str">
        <f>IFERROR(INDEX(Analysis!$D$116:$N$137, MATCH(B237, Analysis!$C$116:$C$137, 0), MATCH(C237, Analysis!$D$115:$N$115, 0)), "")</f>
        <v/>
      </c>
      <c r="J237" t="str">
        <f t="shared" si="22"/>
        <v/>
      </c>
      <c r="K237" s="28" t="str">
        <f t="shared" si="19"/>
        <v/>
      </c>
      <c r="L237" s="46" t="str">
        <f t="shared" si="23"/>
        <v/>
      </c>
      <c r="M237" t="str" cm="1">
        <f t="array" ref="M237">IF(L237="","",_xlfn.IFS(
  AND(L237&gt;=TIME(9,0,0), L237&lt;TIME(16,0,0)),"Morning",
  AND(L237&gt;=TIME(16,0,0), L237&lt;TIME(23,59,0)),"Evening",
  L237&gt;=TIME(23,59,0),"Night",
  L237&lt;TIME(9,0,0),"Night"
))</f>
        <v/>
      </c>
      <c r="O237" t="str">
        <f t="shared" si="20"/>
        <v/>
      </c>
    </row>
    <row r="238" spans="1:15" x14ac:dyDescent="0.25">
      <c r="A238" s="49"/>
      <c r="G238" t="str">
        <f t="shared" si="18"/>
        <v/>
      </c>
      <c r="H238" s="13" t="str">
        <f t="shared" si="21"/>
        <v/>
      </c>
      <c r="I238" t="str">
        <f>IFERROR(INDEX(Analysis!$D$116:$N$137, MATCH(B238, Analysis!$C$116:$C$137, 0), MATCH(C238, Analysis!$D$115:$N$115, 0)), "")</f>
        <v/>
      </c>
      <c r="J238" t="str">
        <f t="shared" si="22"/>
        <v/>
      </c>
      <c r="K238" s="28" t="str">
        <f t="shared" si="19"/>
        <v/>
      </c>
      <c r="L238" s="46" t="str">
        <f t="shared" si="23"/>
        <v/>
      </c>
      <c r="M238" t="str" cm="1">
        <f t="array" ref="M238">IF(L238="","",_xlfn.IFS(
  AND(L238&gt;=TIME(9,0,0), L238&lt;TIME(16,0,0)),"Morning",
  AND(L238&gt;=TIME(16,0,0), L238&lt;TIME(23,59,0)),"Evening",
  L238&gt;=TIME(23,59,0),"Night",
  L238&lt;TIME(9,0,0),"Night"
))</f>
        <v/>
      </c>
      <c r="O238" t="str">
        <f t="shared" si="20"/>
        <v/>
      </c>
    </row>
    <row r="239" spans="1:15" x14ac:dyDescent="0.25">
      <c r="A239" s="49"/>
      <c r="G239" t="str">
        <f t="shared" si="18"/>
        <v/>
      </c>
      <c r="H239" s="13" t="str">
        <f t="shared" si="21"/>
        <v/>
      </c>
      <c r="I239" t="str">
        <f>IFERROR(INDEX(Analysis!$D$116:$N$137, MATCH(B239, Analysis!$C$116:$C$137, 0), MATCH(C239, Analysis!$D$115:$N$115, 0)), "")</f>
        <v/>
      </c>
      <c r="J239" t="str">
        <f t="shared" si="22"/>
        <v/>
      </c>
      <c r="K239" s="28" t="str">
        <f t="shared" si="19"/>
        <v/>
      </c>
      <c r="L239" s="46" t="str">
        <f t="shared" si="23"/>
        <v/>
      </c>
      <c r="M239" t="str" cm="1">
        <f t="array" ref="M239">IF(L239="","",_xlfn.IFS(
  AND(L239&gt;=TIME(9,0,0), L239&lt;TIME(16,0,0)),"Morning",
  AND(L239&gt;=TIME(16,0,0), L239&lt;TIME(23,59,0)),"Evening",
  L239&gt;=TIME(23,59,0),"Night",
  L239&lt;TIME(9,0,0),"Night"
))</f>
        <v/>
      </c>
      <c r="O239" t="str">
        <f t="shared" si="20"/>
        <v/>
      </c>
    </row>
    <row r="240" spans="1:15" x14ac:dyDescent="0.25">
      <c r="A240" s="49"/>
      <c r="G240" t="str">
        <f t="shared" si="18"/>
        <v/>
      </c>
      <c r="H240" s="13" t="str">
        <f t="shared" si="21"/>
        <v/>
      </c>
      <c r="I240" t="str">
        <f>IFERROR(INDEX(Analysis!$D$116:$N$137, MATCH(B240, Analysis!$C$116:$C$137, 0), MATCH(C240, Analysis!$D$115:$N$115, 0)), "")</f>
        <v/>
      </c>
      <c r="J240" t="str">
        <f t="shared" si="22"/>
        <v/>
      </c>
      <c r="K240" s="28" t="str">
        <f t="shared" si="19"/>
        <v/>
      </c>
      <c r="L240" s="46" t="str">
        <f t="shared" si="23"/>
        <v/>
      </c>
      <c r="M240" t="str" cm="1">
        <f t="array" ref="M240">IF(L240="","",_xlfn.IFS(
  AND(L240&gt;=TIME(9,0,0), L240&lt;TIME(16,0,0)),"Morning",
  AND(L240&gt;=TIME(16,0,0), L240&lt;TIME(23,59,0)),"Evening",
  L240&gt;=TIME(23,59,0),"Night",
  L240&lt;TIME(9,0,0),"Night"
))</f>
        <v/>
      </c>
      <c r="O240" t="str">
        <f t="shared" si="20"/>
        <v/>
      </c>
    </row>
    <row r="241" spans="1:15" x14ac:dyDescent="0.25">
      <c r="A241" s="49"/>
      <c r="G241" t="str">
        <f t="shared" si="18"/>
        <v/>
      </c>
      <c r="H241" s="13" t="str">
        <f t="shared" si="21"/>
        <v/>
      </c>
      <c r="I241" t="str">
        <f>IFERROR(INDEX(Analysis!$D$116:$N$137, MATCH(B241, Analysis!$C$116:$C$137, 0), MATCH(C241, Analysis!$D$115:$N$115, 0)), "")</f>
        <v/>
      </c>
      <c r="J241" t="str">
        <f t="shared" si="22"/>
        <v/>
      </c>
      <c r="K241" s="28" t="str">
        <f t="shared" si="19"/>
        <v/>
      </c>
      <c r="L241" s="46" t="str">
        <f t="shared" si="23"/>
        <v/>
      </c>
      <c r="M241" t="str" cm="1">
        <f t="array" ref="M241">IF(L241="","",_xlfn.IFS(
  AND(L241&gt;=TIME(9,0,0), L241&lt;TIME(16,0,0)),"Morning",
  AND(L241&gt;=TIME(16,0,0), L241&lt;TIME(23,59,0)),"Evening",
  L241&gt;=TIME(23,59,0),"Night",
  L241&lt;TIME(9,0,0),"Night"
))</f>
        <v/>
      </c>
      <c r="O241" t="str">
        <f t="shared" si="20"/>
        <v/>
      </c>
    </row>
    <row r="242" spans="1:15" x14ac:dyDescent="0.25">
      <c r="A242" s="49"/>
      <c r="G242" t="str">
        <f t="shared" si="18"/>
        <v/>
      </c>
      <c r="H242" s="13" t="str">
        <f t="shared" si="21"/>
        <v/>
      </c>
      <c r="I242" t="str">
        <f>IFERROR(INDEX(Analysis!$D$116:$N$137, MATCH(B242, Analysis!$C$116:$C$137, 0), MATCH(C242, Analysis!$D$115:$N$115, 0)), "")</f>
        <v/>
      </c>
      <c r="J242" t="str">
        <f t="shared" si="22"/>
        <v/>
      </c>
      <c r="K242" s="28" t="str">
        <f t="shared" si="19"/>
        <v/>
      </c>
      <c r="L242" s="46" t="str">
        <f t="shared" si="23"/>
        <v/>
      </c>
      <c r="M242" t="str" cm="1">
        <f t="array" ref="M242">IF(L242="","",_xlfn.IFS(
  AND(L242&gt;=TIME(9,0,0), L242&lt;TIME(16,0,0)),"Morning",
  AND(L242&gt;=TIME(16,0,0), L242&lt;TIME(23,59,0)),"Evening",
  L242&gt;=TIME(23,59,0),"Night",
  L242&lt;TIME(9,0,0),"Night"
))</f>
        <v/>
      </c>
      <c r="O242" t="str">
        <f t="shared" si="20"/>
        <v/>
      </c>
    </row>
    <row r="243" spans="1:15" x14ac:dyDescent="0.25">
      <c r="A243" s="49"/>
      <c r="B243" s="50"/>
      <c r="G243" t="str">
        <f t="shared" si="18"/>
        <v/>
      </c>
      <c r="H243" s="13" t="str">
        <f t="shared" si="21"/>
        <v/>
      </c>
      <c r="I243" t="str">
        <f>IFERROR(INDEX(Analysis!$D$116:$N$137, MATCH(B243, Analysis!$C$116:$C$137, 0), MATCH(C243, Analysis!$D$115:$N$115, 0)), "")</f>
        <v/>
      </c>
      <c r="J243" t="str">
        <f t="shared" si="22"/>
        <v/>
      </c>
      <c r="K243" s="28" t="str">
        <f t="shared" si="19"/>
        <v/>
      </c>
      <c r="L243" s="46" t="str">
        <f t="shared" si="23"/>
        <v/>
      </c>
      <c r="M243" t="str" cm="1">
        <f t="array" ref="M243">IF(L243="","",_xlfn.IFS(
  AND(L243&gt;=TIME(9,0,0), L243&lt;TIME(16,0,0)),"Morning",
  AND(L243&gt;=TIME(16,0,0), L243&lt;TIME(23,59,0)),"Evening",
  L243&gt;=TIME(23,59,0),"Night",
  L243&lt;TIME(9,0,0),"Night"
))</f>
        <v/>
      </c>
      <c r="O243" t="str">
        <f t="shared" si="20"/>
        <v/>
      </c>
    </row>
    <row r="244" spans="1:15" x14ac:dyDescent="0.25">
      <c r="A244" s="49"/>
      <c r="B244" s="50"/>
      <c r="G244" t="str">
        <f t="shared" si="18"/>
        <v/>
      </c>
      <c r="H244" s="13" t="str">
        <f t="shared" si="21"/>
        <v/>
      </c>
      <c r="I244" t="str">
        <f>IFERROR(INDEX(Analysis!$D$116:$N$137, MATCH(B244, Analysis!$C$116:$C$137, 0), MATCH(C244, Analysis!$D$115:$N$115, 0)), "")</f>
        <v/>
      </c>
      <c r="J244" t="str">
        <f t="shared" si="22"/>
        <v/>
      </c>
      <c r="K244" s="28" t="str">
        <f t="shared" si="19"/>
        <v/>
      </c>
      <c r="L244" s="46" t="str">
        <f t="shared" si="23"/>
        <v/>
      </c>
      <c r="M244" t="str" cm="1">
        <f t="array" ref="M244">IF(L244="","",_xlfn.IFS(
  AND(L244&gt;=TIME(9,0,0), L244&lt;TIME(16,0,0)),"Morning",
  AND(L244&gt;=TIME(16,0,0), L244&lt;TIME(23,59,0)),"Evening",
  L244&gt;=TIME(23,59,0),"Night",
  L244&lt;TIME(9,0,0),"Night"
))</f>
        <v/>
      </c>
      <c r="O244" t="str">
        <f t="shared" si="20"/>
        <v/>
      </c>
    </row>
    <row r="245" spans="1:15" x14ac:dyDescent="0.25">
      <c r="A245" s="49"/>
      <c r="B245" s="50"/>
      <c r="G245" t="str">
        <f t="shared" si="18"/>
        <v/>
      </c>
      <c r="H245" s="13" t="str">
        <f t="shared" si="21"/>
        <v/>
      </c>
      <c r="I245" t="str">
        <f>IFERROR(INDEX(Analysis!$D$116:$N$137, MATCH(B245, Analysis!$C$116:$C$137, 0), MATCH(C245, Analysis!$D$115:$N$115, 0)), "")</f>
        <v/>
      </c>
      <c r="J245" t="str">
        <f t="shared" si="22"/>
        <v/>
      </c>
      <c r="K245" s="28" t="str">
        <f t="shared" si="19"/>
        <v/>
      </c>
      <c r="L245" s="46" t="str">
        <f t="shared" si="23"/>
        <v/>
      </c>
      <c r="M245" t="str" cm="1">
        <f t="array" ref="M245">IF(L245="","",_xlfn.IFS(
  AND(L245&gt;=TIME(9,0,0), L245&lt;TIME(16,0,0)),"Morning",
  AND(L245&gt;=TIME(16,0,0), L245&lt;TIME(23,59,0)),"Evening",
  L245&gt;=TIME(23,59,0),"Night",
  L245&lt;TIME(9,0,0),"Night"
))</f>
        <v/>
      </c>
      <c r="O245" t="str">
        <f t="shared" si="20"/>
        <v/>
      </c>
    </row>
    <row r="246" spans="1:15" x14ac:dyDescent="0.25">
      <c r="A246" s="49"/>
      <c r="B246" s="50"/>
      <c r="G246" t="str">
        <f t="shared" si="18"/>
        <v/>
      </c>
      <c r="H246" s="13" t="str">
        <f t="shared" si="21"/>
        <v/>
      </c>
      <c r="I246" t="str">
        <f>IFERROR(INDEX(Analysis!$D$116:$N$137, MATCH(B246, Analysis!$C$116:$C$137, 0), MATCH(C246, Analysis!$D$115:$N$115, 0)), "")</f>
        <v/>
      </c>
      <c r="J246" t="str">
        <f t="shared" si="22"/>
        <v/>
      </c>
      <c r="K246" s="28" t="str">
        <f t="shared" si="19"/>
        <v/>
      </c>
      <c r="L246" s="46" t="str">
        <f t="shared" si="23"/>
        <v/>
      </c>
      <c r="M246" t="str" cm="1">
        <f t="array" ref="M246">IF(L246="","",_xlfn.IFS(
  AND(L246&gt;=TIME(9,0,0), L246&lt;TIME(16,0,0)),"Morning",
  AND(L246&gt;=TIME(16,0,0), L246&lt;TIME(23,59,0)),"Evening",
  L246&gt;=TIME(23,59,0),"Night",
  L246&lt;TIME(9,0,0),"Night"
))</f>
        <v/>
      </c>
      <c r="O246" t="str">
        <f t="shared" si="20"/>
        <v/>
      </c>
    </row>
    <row r="247" spans="1:15" x14ac:dyDescent="0.25">
      <c r="A247" s="49"/>
      <c r="B247" s="50"/>
      <c r="G247" t="str">
        <f t="shared" si="18"/>
        <v/>
      </c>
      <c r="H247" s="13" t="str">
        <f t="shared" si="21"/>
        <v/>
      </c>
      <c r="I247" t="str">
        <f>IFERROR(INDEX(Analysis!$D$116:$N$137, MATCH(B247, Analysis!$C$116:$C$137, 0), MATCH(C247, Analysis!$D$115:$N$115, 0)), "")</f>
        <v/>
      </c>
      <c r="J247" t="str">
        <f t="shared" si="22"/>
        <v/>
      </c>
      <c r="K247" s="28" t="str">
        <f t="shared" si="19"/>
        <v/>
      </c>
      <c r="L247" s="46" t="str">
        <f t="shared" si="23"/>
        <v/>
      </c>
      <c r="M247" t="str" cm="1">
        <f t="array" ref="M247">IF(L247="","",_xlfn.IFS(
  AND(L247&gt;=TIME(9,0,0), L247&lt;TIME(16,0,0)),"Morning",
  AND(L247&gt;=TIME(16,0,0), L247&lt;TIME(23,59,0)),"Evening",
  L247&gt;=TIME(23,59,0),"Night",
  L247&lt;TIME(9,0,0),"Night"
))</f>
        <v/>
      </c>
      <c r="O247" t="str">
        <f t="shared" si="20"/>
        <v/>
      </c>
    </row>
    <row r="248" spans="1:15" x14ac:dyDescent="0.25">
      <c r="A248" s="49"/>
      <c r="B248" s="50"/>
      <c r="G248" t="str">
        <f t="shared" si="18"/>
        <v/>
      </c>
      <c r="H248" s="13" t="str">
        <f t="shared" si="21"/>
        <v/>
      </c>
      <c r="I248" t="str">
        <f>IFERROR(INDEX(Analysis!$D$116:$N$137, MATCH(B248, Analysis!$C$116:$C$137, 0), MATCH(C248, Analysis!$D$115:$N$115, 0)), "")</f>
        <v/>
      </c>
      <c r="J248" t="str">
        <f t="shared" si="22"/>
        <v/>
      </c>
      <c r="K248" s="28" t="str">
        <f t="shared" si="19"/>
        <v/>
      </c>
      <c r="L248" s="46" t="str">
        <f t="shared" si="23"/>
        <v/>
      </c>
      <c r="M248" t="str" cm="1">
        <f t="array" ref="M248">IF(L248="","",_xlfn.IFS(
  AND(L248&gt;=TIME(9,0,0), L248&lt;TIME(16,0,0)),"Morning",
  AND(L248&gt;=TIME(16,0,0), L248&lt;TIME(23,59,0)),"Evening",
  L248&gt;=TIME(23,59,0),"Night",
  L248&lt;TIME(9,0,0),"Night"
))</f>
        <v/>
      </c>
      <c r="O248" t="str">
        <f t="shared" si="20"/>
        <v/>
      </c>
    </row>
    <row r="249" spans="1:15" x14ac:dyDescent="0.25">
      <c r="A249" s="49"/>
      <c r="B249" s="50"/>
      <c r="G249" t="str">
        <f t="shared" si="18"/>
        <v/>
      </c>
      <c r="H249" s="13" t="str">
        <f t="shared" si="21"/>
        <v/>
      </c>
      <c r="I249" t="str">
        <f>IFERROR(INDEX(Analysis!$D$116:$N$137, MATCH(B249, Analysis!$C$116:$C$137, 0), MATCH(C249, Analysis!$D$115:$N$115, 0)), "")</f>
        <v/>
      </c>
      <c r="J249" t="str">
        <f t="shared" si="22"/>
        <v/>
      </c>
      <c r="K249" s="28" t="str">
        <f t="shared" si="19"/>
        <v/>
      </c>
      <c r="L249" s="46" t="str">
        <f t="shared" si="23"/>
        <v/>
      </c>
      <c r="M249" t="str" cm="1">
        <f t="array" ref="M249">IF(L249="","",_xlfn.IFS(
  AND(L249&gt;=TIME(9,0,0), L249&lt;TIME(16,0,0)),"Morning",
  AND(L249&gt;=TIME(16,0,0), L249&lt;TIME(23,59,0)),"Evening",
  L249&gt;=TIME(23,59,0),"Night",
  L249&lt;TIME(9,0,0),"Night"
))</f>
        <v/>
      </c>
      <c r="O249" t="str">
        <f t="shared" si="20"/>
        <v/>
      </c>
    </row>
    <row r="250" spans="1:15" x14ac:dyDescent="0.25">
      <c r="A250" s="49"/>
      <c r="B250" s="50"/>
      <c r="G250" t="str">
        <f t="shared" si="18"/>
        <v/>
      </c>
      <c r="H250" s="13" t="str">
        <f t="shared" si="21"/>
        <v/>
      </c>
      <c r="I250" t="str">
        <f>IFERROR(INDEX(Analysis!$D$116:$N$137, MATCH(B250, Analysis!$C$116:$C$137, 0), MATCH(C250, Analysis!$D$115:$N$115, 0)), "")</f>
        <v/>
      </c>
      <c r="J250" t="str">
        <f t="shared" si="22"/>
        <v/>
      </c>
      <c r="K250" s="28" t="str">
        <f t="shared" si="19"/>
        <v/>
      </c>
      <c r="L250" s="46" t="str">
        <f t="shared" si="23"/>
        <v/>
      </c>
      <c r="M250" t="str" cm="1">
        <f t="array" ref="M250">IF(L250="","",_xlfn.IFS(
  AND(L250&gt;=TIME(9,0,0), L250&lt;TIME(16,0,0)),"Morning",
  AND(L250&gt;=TIME(16,0,0), L250&lt;TIME(23,59,0)),"Evening",
  L250&gt;=TIME(23,59,0),"Night",
  L250&lt;TIME(9,0,0),"Night"
))</f>
        <v/>
      </c>
      <c r="O250" t="str">
        <f t="shared" si="20"/>
        <v/>
      </c>
    </row>
    <row r="251" spans="1:15" x14ac:dyDescent="0.25">
      <c r="A251" s="49"/>
      <c r="B251" s="50"/>
      <c r="G251" t="str">
        <f t="shared" si="18"/>
        <v/>
      </c>
      <c r="H251" s="13" t="str">
        <f t="shared" si="21"/>
        <v/>
      </c>
      <c r="I251" t="str">
        <f>IFERROR(INDEX(Analysis!$D$116:$N$137, MATCH(B251, Analysis!$C$116:$C$137, 0), MATCH(C251, Analysis!$D$115:$N$115, 0)), "")</f>
        <v/>
      </c>
      <c r="J251" t="str">
        <f t="shared" si="22"/>
        <v/>
      </c>
      <c r="K251" s="28" t="str">
        <f t="shared" si="19"/>
        <v/>
      </c>
      <c r="L251" s="46" t="str">
        <f t="shared" si="23"/>
        <v/>
      </c>
      <c r="M251" t="str" cm="1">
        <f t="array" ref="M251">IF(L251="","",_xlfn.IFS(
  AND(L251&gt;=TIME(9,0,0), L251&lt;TIME(16,0,0)),"Morning",
  AND(L251&gt;=TIME(16,0,0), L251&lt;TIME(23,59,0)),"Evening",
  L251&gt;=TIME(23,59,0),"Night",
  L251&lt;TIME(9,0,0),"Night"
))</f>
        <v/>
      </c>
      <c r="O251" t="str">
        <f t="shared" si="20"/>
        <v/>
      </c>
    </row>
    <row r="252" spans="1:15" x14ac:dyDescent="0.25">
      <c r="A252" s="49"/>
      <c r="B252" s="50"/>
      <c r="G252" t="str">
        <f t="shared" si="18"/>
        <v/>
      </c>
      <c r="H252" s="13" t="str">
        <f t="shared" si="21"/>
        <v/>
      </c>
      <c r="I252" t="str">
        <f>IFERROR(INDEX(Analysis!$D$116:$N$137, MATCH(B252, Analysis!$C$116:$C$137, 0), MATCH(C252, Analysis!$D$115:$N$115, 0)), "")</f>
        <v/>
      </c>
      <c r="J252" t="str">
        <f t="shared" si="22"/>
        <v/>
      </c>
      <c r="K252" s="28" t="str">
        <f t="shared" si="19"/>
        <v/>
      </c>
      <c r="L252" s="46" t="str">
        <f t="shared" si="23"/>
        <v/>
      </c>
      <c r="M252" t="str" cm="1">
        <f t="array" ref="M252">IF(L252="","",_xlfn.IFS(
  AND(L252&gt;=TIME(9,0,0), L252&lt;TIME(16,0,0)),"Morning",
  AND(L252&gt;=TIME(16,0,0), L252&lt;TIME(23,59,0)),"Evening",
  L252&gt;=TIME(23,59,0),"Night",
  L252&lt;TIME(9,0,0),"Night"
))</f>
        <v/>
      </c>
      <c r="O252" t="str">
        <f t="shared" si="20"/>
        <v/>
      </c>
    </row>
    <row r="253" spans="1:15" x14ac:dyDescent="0.25">
      <c r="A253" s="49"/>
      <c r="B253" s="50"/>
      <c r="G253" t="str">
        <f t="shared" si="18"/>
        <v/>
      </c>
      <c r="H253" s="13" t="str">
        <f t="shared" si="21"/>
        <v/>
      </c>
      <c r="I253" t="str">
        <f>IFERROR(INDEX(Analysis!$D$116:$N$137, MATCH(B253, Analysis!$C$116:$C$137, 0), MATCH(C253, Analysis!$D$115:$N$115, 0)), "")</f>
        <v/>
      </c>
      <c r="J253" t="str">
        <f t="shared" si="22"/>
        <v/>
      </c>
      <c r="K253" s="28" t="str">
        <f t="shared" si="19"/>
        <v/>
      </c>
      <c r="L253" s="46" t="str">
        <f t="shared" si="23"/>
        <v/>
      </c>
      <c r="M253" t="str" cm="1">
        <f t="array" ref="M253">IF(L253="","",_xlfn.IFS(
  AND(L253&gt;=TIME(9,0,0), L253&lt;TIME(16,0,0)),"Morning",
  AND(L253&gt;=TIME(16,0,0), L253&lt;TIME(23,59,0)),"Evening",
  L253&gt;=TIME(23,59,0),"Night",
  L253&lt;TIME(9,0,0),"Night"
))</f>
        <v/>
      </c>
      <c r="O253" t="str">
        <f t="shared" si="20"/>
        <v/>
      </c>
    </row>
    <row r="254" spans="1:15" x14ac:dyDescent="0.25">
      <c r="A254" s="49"/>
      <c r="B254" s="50"/>
      <c r="G254" t="str">
        <f t="shared" si="18"/>
        <v/>
      </c>
      <c r="H254" s="13" t="str">
        <f t="shared" si="21"/>
        <v/>
      </c>
      <c r="I254" t="str">
        <f>IFERROR(INDEX(Analysis!$D$116:$N$137, MATCH(B254, Analysis!$C$116:$C$137, 0), MATCH(C254, Analysis!$D$115:$N$115, 0)), "")</f>
        <v/>
      </c>
      <c r="J254" t="str">
        <f t="shared" si="22"/>
        <v/>
      </c>
      <c r="K254" s="28" t="str">
        <f t="shared" si="19"/>
        <v/>
      </c>
      <c r="L254" s="46" t="str">
        <f t="shared" si="23"/>
        <v/>
      </c>
      <c r="M254" t="str" cm="1">
        <f t="array" ref="M254">IF(L254="","",_xlfn.IFS(
  AND(L254&gt;=TIME(9,0,0), L254&lt;TIME(16,0,0)),"Morning",
  AND(L254&gt;=TIME(16,0,0), L254&lt;TIME(23,59,0)),"Evening",
  L254&gt;=TIME(23,59,0),"Night",
  L254&lt;TIME(9,0,0),"Night"
))</f>
        <v/>
      </c>
      <c r="O254" t="str">
        <f t="shared" si="20"/>
        <v/>
      </c>
    </row>
    <row r="255" spans="1:15" x14ac:dyDescent="0.25">
      <c r="A255" s="49"/>
      <c r="B255" s="50"/>
      <c r="G255" t="str">
        <f t="shared" si="18"/>
        <v/>
      </c>
      <c r="H255" s="13" t="str">
        <f t="shared" si="21"/>
        <v/>
      </c>
      <c r="I255" t="str">
        <f>IFERROR(INDEX(Analysis!$D$116:$N$137, MATCH(B255, Analysis!$C$116:$C$137, 0), MATCH(C255, Analysis!$D$115:$N$115, 0)), "")</f>
        <v/>
      </c>
      <c r="J255" t="str">
        <f t="shared" si="22"/>
        <v/>
      </c>
      <c r="K255" s="28" t="str">
        <f t="shared" si="19"/>
        <v/>
      </c>
      <c r="L255" s="46" t="str">
        <f t="shared" si="23"/>
        <v/>
      </c>
      <c r="M255" t="str" cm="1">
        <f t="array" ref="M255">IF(L255="","",_xlfn.IFS(
  AND(L255&gt;=TIME(9,0,0), L255&lt;TIME(16,0,0)),"Morning",
  AND(L255&gt;=TIME(16,0,0), L255&lt;TIME(23,59,0)),"Evening",
  L255&gt;=TIME(23,59,0),"Night",
  L255&lt;TIME(9,0,0),"Night"
))</f>
        <v/>
      </c>
      <c r="O255" t="str">
        <f t="shared" si="20"/>
        <v/>
      </c>
    </row>
    <row r="256" spans="1:15" x14ac:dyDescent="0.25">
      <c r="A256" s="49"/>
      <c r="B256" s="50"/>
      <c r="G256" t="str">
        <f t="shared" si="18"/>
        <v/>
      </c>
      <c r="H256" s="13" t="str">
        <f t="shared" si="21"/>
        <v/>
      </c>
      <c r="I256" t="str">
        <f>IFERROR(INDEX(Analysis!$D$116:$N$137, MATCH(B256, Analysis!$C$116:$C$137, 0), MATCH(C256, Analysis!$D$115:$N$115, 0)), "")</f>
        <v/>
      </c>
      <c r="J256" t="str">
        <f t="shared" si="22"/>
        <v/>
      </c>
      <c r="K256" s="28" t="str">
        <f t="shared" si="19"/>
        <v/>
      </c>
      <c r="L256" s="46" t="str">
        <f t="shared" si="23"/>
        <v/>
      </c>
      <c r="M256" t="str" cm="1">
        <f t="array" ref="M256">IF(L256="","",_xlfn.IFS(
  AND(L256&gt;=TIME(9,0,0), L256&lt;TIME(16,0,0)),"Morning",
  AND(L256&gt;=TIME(16,0,0), L256&lt;TIME(23,59,0)),"Evening",
  L256&gt;=TIME(23,59,0),"Night",
  L256&lt;TIME(9,0,0),"Night"
))</f>
        <v/>
      </c>
      <c r="O256" t="str">
        <f t="shared" si="20"/>
        <v/>
      </c>
    </row>
    <row r="257" spans="1:15" x14ac:dyDescent="0.25">
      <c r="A257" s="49"/>
      <c r="B257" s="50"/>
      <c r="G257" t="str">
        <f t="shared" si="18"/>
        <v/>
      </c>
      <c r="H257" s="13" t="str">
        <f t="shared" si="21"/>
        <v/>
      </c>
      <c r="I257" t="str">
        <f>IFERROR(INDEX(Analysis!$D$116:$N$137, MATCH(B257, Analysis!$C$116:$C$137, 0), MATCH(C257, Analysis!$D$115:$N$115, 0)), "")</f>
        <v/>
      </c>
      <c r="J257" t="str">
        <f t="shared" si="22"/>
        <v/>
      </c>
      <c r="K257" s="28" t="str">
        <f t="shared" si="19"/>
        <v/>
      </c>
      <c r="L257" s="46" t="str">
        <f t="shared" si="23"/>
        <v/>
      </c>
      <c r="M257" t="str" cm="1">
        <f t="array" ref="M257">IF(L257="","",_xlfn.IFS(
  AND(L257&gt;=TIME(9,0,0), L257&lt;TIME(16,0,0)),"Morning",
  AND(L257&gt;=TIME(16,0,0), L257&lt;TIME(23,59,0)),"Evening",
  L257&gt;=TIME(23,59,0),"Night",
  L257&lt;TIME(9,0,0),"Night"
))</f>
        <v/>
      </c>
      <c r="O257" t="str">
        <f t="shared" si="20"/>
        <v/>
      </c>
    </row>
    <row r="258" spans="1:15" x14ac:dyDescent="0.25">
      <c r="A258" s="49"/>
      <c r="B258" s="50"/>
      <c r="G258" t="str">
        <f t="shared" ref="G258:G321" si="24">IF(ISBLANK(A258), "", IF(ISBLANK(F258), 0, F258))</f>
        <v/>
      </c>
      <c r="H258" s="13" t="str">
        <f t="shared" si="21"/>
        <v/>
      </c>
      <c r="I258" t="str">
        <f>IFERROR(INDEX(Analysis!$D$116:$N$137, MATCH(B258, Analysis!$C$116:$C$137, 0), MATCH(C258, Analysis!$D$115:$N$115, 0)), "")</f>
        <v/>
      </c>
      <c r="J258" t="str">
        <f t="shared" si="22"/>
        <v/>
      </c>
      <c r="K258" s="28" t="str">
        <f t="shared" ref="K258:K321" si="25">IF(ISBLANK(A258),"",DATE(YEAR(A258),MONTH(A258),DAY(A258)))</f>
        <v/>
      </c>
      <c r="L258" s="46" t="str">
        <f t="shared" si="23"/>
        <v/>
      </c>
      <c r="M258" t="str" cm="1">
        <f t="array" ref="M258">IF(L258="","",_xlfn.IFS(
  AND(L258&gt;=TIME(9,0,0), L258&lt;TIME(16,0,0)),"Morning",
  AND(L258&gt;=TIME(16,0,0), L258&lt;TIME(23,59,0)),"Evening",
  L258&gt;=TIME(23,59,0),"Night",
  L258&lt;TIME(9,0,0),"Night"
))</f>
        <v/>
      </c>
      <c r="O258" t="str">
        <f t="shared" ref="O258:O321" si="26">IF(N258="ON", _xlfn.IMAGE(E258, 1), "")</f>
        <v/>
      </c>
    </row>
    <row r="259" spans="1:15" x14ac:dyDescent="0.25">
      <c r="A259" s="49"/>
      <c r="B259" s="50"/>
      <c r="G259" t="str">
        <f t="shared" si="24"/>
        <v/>
      </c>
      <c r="H259" s="13" t="str">
        <f t="shared" ref="H259:H322" si="27">IF(ISBLANK(E259),"",HYPERLINK(E259,"Click here"))</f>
        <v/>
      </c>
      <c r="I259" t="str">
        <f>IFERROR(INDEX(Analysis!$D$116:$N$137, MATCH(B259, Analysis!$C$116:$C$137, 0), MATCH(C259, Analysis!$D$115:$N$115, 0)), "")</f>
        <v/>
      </c>
      <c r="J259" t="str">
        <f t="shared" ref="J259:J322" si="28">IF(ISBLANK(A259),"",WEEKNUM(A259))</f>
        <v/>
      </c>
      <c r="K259" s="28" t="str">
        <f t="shared" si="25"/>
        <v/>
      </c>
      <c r="L259" s="46" t="str">
        <f t="shared" ref="L259:L322" si="29">IF(A259="", "", A259 - INT(A259))</f>
        <v/>
      </c>
      <c r="M259" t="str" cm="1">
        <f t="array" ref="M259">IF(L259="","",_xlfn.IFS(
  AND(L259&gt;=TIME(9,0,0), L259&lt;TIME(16,0,0)),"Morning",
  AND(L259&gt;=TIME(16,0,0), L259&lt;TIME(23,59,0)),"Evening",
  L259&gt;=TIME(23,59,0),"Night",
  L259&lt;TIME(9,0,0),"Night"
))</f>
        <v/>
      </c>
      <c r="O259" t="str">
        <f t="shared" si="26"/>
        <v/>
      </c>
    </row>
    <row r="260" spans="1:15" x14ac:dyDescent="0.25">
      <c r="A260" s="49"/>
      <c r="B260" s="50"/>
      <c r="G260" t="str">
        <f t="shared" si="24"/>
        <v/>
      </c>
      <c r="H260" s="13" t="str">
        <f t="shared" si="27"/>
        <v/>
      </c>
      <c r="I260" t="str">
        <f>IFERROR(INDEX(Analysis!$D$116:$N$137, MATCH(B260, Analysis!$C$116:$C$137, 0), MATCH(C260, Analysis!$D$115:$N$115, 0)), "")</f>
        <v/>
      </c>
      <c r="J260" t="str">
        <f t="shared" si="28"/>
        <v/>
      </c>
      <c r="K260" s="28" t="str">
        <f t="shared" si="25"/>
        <v/>
      </c>
      <c r="L260" s="46" t="str">
        <f t="shared" si="29"/>
        <v/>
      </c>
      <c r="M260" t="str" cm="1">
        <f t="array" ref="M260">IF(L260="","",_xlfn.IFS(
  AND(L260&gt;=TIME(9,0,0), L260&lt;TIME(16,0,0)),"Morning",
  AND(L260&gt;=TIME(16,0,0), L260&lt;TIME(23,59,0)),"Evening",
  L260&gt;=TIME(23,59,0),"Night",
  L260&lt;TIME(9,0,0),"Night"
))</f>
        <v/>
      </c>
      <c r="O260" t="str">
        <f t="shared" si="26"/>
        <v/>
      </c>
    </row>
    <row r="261" spans="1:15" x14ac:dyDescent="0.25">
      <c r="A261" s="49"/>
      <c r="B261" s="50"/>
      <c r="G261" t="str">
        <f t="shared" si="24"/>
        <v/>
      </c>
      <c r="H261" s="13" t="str">
        <f t="shared" si="27"/>
        <v/>
      </c>
      <c r="I261" t="str">
        <f>IFERROR(INDEX(Analysis!$D$116:$N$137, MATCH(B261, Analysis!$C$116:$C$137, 0), MATCH(C261, Analysis!$D$115:$N$115, 0)), "")</f>
        <v/>
      </c>
      <c r="J261" t="str">
        <f t="shared" si="28"/>
        <v/>
      </c>
      <c r="K261" s="28" t="str">
        <f t="shared" si="25"/>
        <v/>
      </c>
      <c r="L261" s="46" t="str">
        <f t="shared" si="29"/>
        <v/>
      </c>
      <c r="M261" t="str" cm="1">
        <f t="array" ref="M261">IF(L261="","",_xlfn.IFS(
  AND(L261&gt;=TIME(9,0,0), L261&lt;TIME(16,0,0)),"Morning",
  AND(L261&gt;=TIME(16,0,0), L261&lt;TIME(23,59,0)),"Evening",
  L261&gt;=TIME(23,59,0),"Night",
  L261&lt;TIME(9,0,0),"Night"
))</f>
        <v/>
      </c>
      <c r="O261" t="str">
        <f t="shared" si="26"/>
        <v/>
      </c>
    </row>
    <row r="262" spans="1:15" x14ac:dyDescent="0.25">
      <c r="A262" s="49"/>
      <c r="B262" s="50"/>
      <c r="G262" t="str">
        <f t="shared" si="24"/>
        <v/>
      </c>
      <c r="H262" s="13" t="str">
        <f t="shared" si="27"/>
        <v/>
      </c>
      <c r="I262" t="str">
        <f>IFERROR(INDEX(Analysis!$D$116:$N$137, MATCH(B262, Analysis!$C$116:$C$137, 0), MATCH(C262, Analysis!$D$115:$N$115, 0)), "")</f>
        <v/>
      </c>
      <c r="J262" t="str">
        <f t="shared" si="28"/>
        <v/>
      </c>
      <c r="K262" s="28" t="str">
        <f t="shared" si="25"/>
        <v/>
      </c>
      <c r="L262" s="46" t="str">
        <f t="shared" si="29"/>
        <v/>
      </c>
      <c r="M262" t="str" cm="1">
        <f t="array" ref="M262">IF(L262="","",_xlfn.IFS(
  AND(L262&gt;=TIME(9,0,0), L262&lt;TIME(16,0,0)),"Morning",
  AND(L262&gt;=TIME(16,0,0), L262&lt;TIME(23,59,0)),"Evening",
  L262&gt;=TIME(23,59,0),"Night",
  L262&lt;TIME(9,0,0),"Night"
))</f>
        <v/>
      </c>
      <c r="O262" t="str">
        <f t="shared" si="26"/>
        <v/>
      </c>
    </row>
    <row r="263" spans="1:15" x14ac:dyDescent="0.25">
      <c r="A263" s="49"/>
      <c r="B263" s="50"/>
      <c r="G263" t="str">
        <f t="shared" si="24"/>
        <v/>
      </c>
      <c r="H263" s="13" t="str">
        <f t="shared" si="27"/>
        <v/>
      </c>
      <c r="I263" t="str">
        <f>IFERROR(INDEX(Analysis!$D$116:$N$137, MATCH(B263, Analysis!$C$116:$C$137, 0), MATCH(C263, Analysis!$D$115:$N$115, 0)), "")</f>
        <v/>
      </c>
      <c r="J263" t="str">
        <f t="shared" si="28"/>
        <v/>
      </c>
      <c r="K263" s="28" t="str">
        <f t="shared" si="25"/>
        <v/>
      </c>
      <c r="L263" s="46" t="str">
        <f t="shared" si="29"/>
        <v/>
      </c>
      <c r="M263" t="str" cm="1">
        <f t="array" ref="M263">IF(L263="","",_xlfn.IFS(
  AND(L263&gt;=TIME(9,0,0), L263&lt;TIME(16,0,0)),"Morning",
  AND(L263&gt;=TIME(16,0,0), L263&lt;TIME(23,59,0)),"Evening",
  L263&gt;=TIME(23,59,0),"Night",
  L263&lt;TIME(9,0,0),"Night"
))</f>
        <v/>
      </c>
      <c r="O263" t="str">
        <f t="shared" si="26"/>
        <v/>
      </c>
    </row>
    <row r="264" spans="1:15" x14ac:dyDescent="0.25">
      <c r="A264" s="49"/>
      <c r="B264" s="50"/>
      <c r="G264" t="str">
        <f t="shared" si="24"/>
        <v/>
      </c>
      <c r="H264" s="13" t="str">
        <f t="shared" si="27"/>
        <v/>
      </c>
      <c r="I264" t="str">
        <f>IFERROR(INDEX(Analysis!$D$116:$N$137, MATCH(B264, Analysis!$C$116:$C$137, 0), MATCH(C264, Analysis!$D$115:$N$115, 0)), "")</f>
        <v/>
      </c>
      <c r="J264" t="str">
        <f t="shared" si="28"/>
        <v/>
      </c>
      <c r="K264" s="28" t="str">
        <f t="shared" si="25"/>
        <v/>
      </c>
      <c r="L264" s="46" t="str">
        <f t="shared" si="29"/>
        <v/>
      </c>
      <c r="M264" t="str" cm="1">
        <f t="array" ref="M264">IF(L264="","",_xlfn.IFS(
  AND(L264&gt;=TIME(9,0,0), L264&lt;TIME(16,0,0)),"Morning",
  AND(L264&gt;=TIME(16,0,0), L264&lt;TIME(23,59,0)),"Evening",
  L264&gt;=TIME(23,59,0),"Night",
  L264&lt;TIME(9,0,0),"Night"
))</f>
        <v/>
      </c>
      <c r="O264" t="str">
        <f t="shared" si="26"/>
        <v/>
      </c>
    </row>
    <row r="265" spans="1:15" x14ac:dyDescent="0.25">
      <c r="A265" s="49"/>
      <c r="B265" s="50"/>
      <c r="G265" t="str">
        <f t="shared" si="24"/>
        <v/>
      </c>
      <c r="H265" s="13" t="str">
        <f t="shared" si="27"/>
        <v/>
      </c>
      <c r="I265" t="str">
        <f>IFERROR(INDEX(Analysis!$D$116:$N$137, MATCH(B265, Analysis!$C$116:$C$137, 0), MATCH(C265, Analysis!$D$115:$N$115, 0)), "")</f>
        <v/>
      </c>
      <c r="J265" t="str">
        <f t="shared" si="28"/>
        <v/>
      </c>
      <c r="K265" s="28" t="str">
        <f t="shared" si="25"/>
        <v/>
      </c>
      <c r="L265" s="46" t="str">
        <f t="shared" si="29"/>
        <v/>
      </c>
      <c r="M265" t="str" cm="1">
        <f t="array" ref="M265">IF(L265="","",_xlfn.IFS(
  AND(L265&gt;=TIME(9,0,0), L265&lt;TIME(16,0,0)),"Morning",
  AND(L265&gt;=TIME(16,0,0), L265&lt;TIME(23,59,0)),"Evening",
  L265&gt;=TIME(23,59,0),"Night",
  L265&lt;TIME(9,0,0),"Night"
))</f>
        <v/>
      </c>
      <c r="O265" t="str">
        <f t="shared" si="26"/>
        <v/>
      </c>
    </row>
    <row r="266" spans="1:15" x14ac:dyDescent="0.25">
      <c r="A266" s="49"/>
      <c r="B266" s="50"/>
      <c r="G266" t="str">
        <f t="shared" si="24"/>
        <v/>
      </c>
      <c r="H266" s="13" t="str">
        <f t="shared" si="27"/>
        <v/>
      </c>
      <c r="I266" t="str">
        <f>IFERROR(INDEX(Analysis!$D$116:$N$137, MATCH(B266, Analysis!$C$116:$C$137, 0), MATCH(C266, Analysis!$D$115:$N$115, 0)), "")</f>
        <v/>
      </c>
      <c r="J266" t="str">
        <f t="shared" si="28"/>
        <v/>
      </c>
      <c r="K266" s="28" t="str">
        <f t="shared" si="25"/>
        <v/>
      </c>
      <c r="L266" s="46" t="str">
        <f t="shared" si="29"/>
        <v/>
      </c>
      <c r="M266" t="str" cm="1">
        <f t="array" ref="M266">IF(L266="","",_xlfn.IFS(
  AND(L266&gt;=TIME(9,0,0), L266&lt;TIME(16,0,0)),"Morning",
  AND(L266&gt;=TIME(16,0,0), L266&lt;TIME(23,59,0)),"Evening",
  L266&gt;=TIME(23,59,0),"Night",
  L266&lt;TIME(9,0,0),"Night"
))</f>
        <v/>
      </c>
      <c r="O266" t="str">
        <f t="shared" si="26"/>
        <v/>
      </c>
    </row>
    <row r="267" spans="1:15" x14ac:dyDescent="0.25">
      <c r="A267" s="49"/>
      <c r="B267" s="50"/>
      <c r="G267" t="str">
        <f t="shared" si="24"/>
        <v/>
      </c>
      <c r="H267" s="13" t="str">
        <f t="shared" si="27"/>
        <v/>
      </c>
      <c r="I267" t="str">
        <f>IFERROR(INDEX(Analysis!$D$116:$N$137, MATCH(B267, Analysis!$C$116:$C$137, 0), MATCH(C267, Analysis!$D$115:$N$115, 0)), "")</f>
        <v/>
      </c>
      <c r="J267" t="str">
        <f t="shared" si="28"/>
        <v/>
      </c>
      <c r="K267" s="28" t="str">
        <f t="shared" si="25"/>
        <v/>
      </c>
      <c r="L267" s="46" t="str">
        <f t="shared" si="29"/>
        <v/>
      </c>
      <c r="M267" t="str" cm="1">
        <f t="array" ref="M267">IF(L267="","",_xlfn.IFS(
  AND(L267&gt;=TIME(9,0,0), L267&lt;TIME(16,0,0)),"Morning",
  AND(L267&gt;=TIME(16,0,0), L267&lt;TIME(23,59,0)),"Evening",
  L267&gt;=TIME(23,59,0),"Night",
  L267&lt;TIME(9,0,0),"Night"
))</f>
        <v/>
      </c>
      <c r="O267" t="str">
        <f t="shared" si="26"/>
        <v/>
      </c>
    </row>
    <row r="268" spans="1:15" x14ac:dyDescent="0.25">
      <c r="A268" s="49"/>
      <c r="B268" s="50"/>
      <c r="G268" t="str">
        <f t="shared" si="24"/>
        <v/>
      </c>
      <c r="H268" s="13" t="str">
        <f t="shared" si="27"/>
        <v/>
      </c>
      <c r="I268" t="str">
        <f>IFERROR(INDEX(Analysis!$D$116:$N$137, MATCH(B268, Analysis!$C$116:$C$137, 0), MATCH(C268, Analysis!$D$115:$N$115, 0)), "")</f>
        <v/>
      </c>
      <c r="J268" t="str">
        <f t="shared" si="28"/>
        <v/>
      </c>
      <c r="K268" s="28" t="str">
        <f t="shared" si="25"/>
        <v/>
      </c>
      <c r="L268" s="46" t="str">
        <f t="shared" si="29"/>
        <v/>
      </c>
      <c r="M268" t="str" cm="1">
        <f t="array" ref="M268">IF(L268="","",_xlfn.IFS(
  AND(L268&gt;=TIME(9,0,0), L268&lt;TIME(16,0,0)),"Morning",
  AND(L268&gt;=TIME(16,0,0), L268&lt;TIME(23,59,0)),"Evening",
  L268&gt;=TIME(23,59,0),"Night",
  L268&lt;TIME(9,0,0),"Night"
))</f>
        <v/>
      </c>
      <c r="O268" t="str">
        <f t="shared" si="26"/>
        <v/>
      </c>
    </row>
    <row r="269" spans="1:15" x14ac:dyDescent="0.25">
      <c r="A269" s="49"/>
      <c r="B269" s="50"/>
      <c r="G269" t="str">
        <f t="shared" si="24"/>
        <v/>
      </c>
      <c r="H269" s="13" t="str">
        <f t="shared" si="27"/>
        <v/>
      </c>
      <c r="I269" t="str">
        <f>IFERROR(INDEX(Analysis!$D$116:$N$137, MATCH(B269, Analysis!$C$116:$C$137, 0), MATCH(C269, Analysis!$D$115:$N$115, 0)), "")</f>
        <v/>
      </c>
      <c r="J269" t="str">
        <f t="shared" si="28"/>
        <v/>
      </c>
      <c r="K269" s="28" t="str">
        <f t="shared" si="25"/>
        <v/>
      </c>
      <c r="L269" s="46" t="str">
        <f t="shared" si="29"/>
        <v/>
      </c>
      <c r="M269" t="str" cm="1">
        <f t="array" ref="M269">IF(L269="","",_xlfn.IFS(
  AND(L269&gt;=TIME(9,0,0), L269&lt;TIME(16,0,0)),"Morning",
  AND(L269&gt;=TIME(16,0,0), L269&lt;TIME(23,59,0)),"Evening",
  L269&gt;=TIME(23,59,0),"Night",
  L269&lt;TIME(9,0,0),"Night"
))</f>
        <v/>
      </c>
      <c r="O269" t="str">
        <f t="shared" si="26"/>
        <v/>
      </c>
    </row>
    <row r="270" spans="1:15" x14ac:dyDescent="0.25">
      <c r="A270" s="49"/>
      <c r="B270" s="50"/>
      <c r="G270" t="str">
        <f t="shared" si="24"/>
        <v/>
      </c>
      <c r="H270" s="13" t="str">
        <f t="shared" si="27"/>
        <v/>
      </c>
      <c r="I270" t="str">
        <f>IFERROR(INDEX(Analysis!$D$116:$N$137, MATCH(B270, Analysis!$C$116:$C$137, 0), MATCH(C270, Analysis!$D$115:$N$115, 0)), "")</f>
        <v/>
      </c>
      <c r="J270" t="str">
        <f t="shared" si="28"/>
        <v/>
      </c>
      <c r="K270" s="28" t="str">
        <f t="shared" si="25"/>
        <v/>
      </c>
      <c r="L270" s="46" t="str">
        <f t="shared" si="29"/>
        <v/>
      </c>
      <c r="M270" t="str" cm="1">
        <f t="array" ref="M270">IF(L270="","",_xlfn.IFS(
  AND(L270&gt;=TIME(9,0,0), L270&lt;TIME(16,0,0)),"Morning",
  AND(L270&gt;=TIME(16,0,0), L270&lt;TIME(23,59,0)),"Evening",
  L270&gt;=TIME(23,59,0),"Night",
  L270&lt;TIME(9,0,0),"Night"
))</f>
        <v/>
      </c>
      <c r="O270" t="str">
        <f t="shared" si="26"/>
        <v/>
      </c>
    </row>
    <row r="271" spans="1:15" x14ac:dyDescent="0.25">
      <c r="A271" s="49"/>
      <c r="B271" s="50"/>
      <c r="G271" t="str">
        <f t="shared" si="24"/>
        <v/>
      </c>
      <c r="H271" s="13" t="str">
        <f t="shared" si="27"/>
        <v/>
      </c>
      <c r="I271" t="str">
        <f>IFERROR(INDEX(Analysis!$D$116:$N$137, MATCH(B271, Analysis!$C$116:$C$137, 0), MATCH(C271, Analysis!$D$115:$N$115, 0)), "")</f>
        <v/>
      </c>
      <c r="J271" t="str">
        <f t="shared" si="28"/>
        <v/>
      </c>
      <c r="K271" s="28" t="str">
        <f t="shared" si="25"/>
        <v/>
      </c>
      <c r="L271" s="46" t="str">
        <f t="shared" si="29"/>
        <v/>
      </c>
      <c r="M271" t="str" cm="1">
        <f t="array" ref="M271">IF(L271="","",_xlfn.IFS(
  AND(L271&gt;=TIME(9,0,0), L271&lt;TIME(16,0,0)),"Morning",
  AND(L271&gt;=TIME(16,0,0), L271&lt;TIME(23,59,0)),"Evening",
  L271&gt;=TIME(23,59,0),"Night",
  L271&lt;TIME(9,0,0),"Night"
))</f>
        <v/>
      </c>
      <c r="O271" t="str">
        <f t="shared" si="26"/>
        <v/>
      </c>
    </row>
    <row r="272" spans="1:15" x14ac:dyDescent="0.25">
      <c r="A272" s="49"/>
      <c r="B272" s="50"/>
      <c r="G272" t="str">
        <f t="shared" si="24"/>
        <v/>
      </c>
      <c r="H272" s="13" t="str">
        <f t="shared" si="27"/>
        <v/>
      </c>
      <c r="I272" t="str">
        <f>IFERROR(INDEX(Analysis!$D$116:$N$137, MATCH(B272, Analysis!$C$116:$C$137, 0), MATCH(C272, Analysis!$D$115:$N$115, 0)), "")</f>
        <v/>
      </c>
      <c r="J272" t="str">
        <f t="shared" si="28"/>
        <v/>
      </c>
      <c r="K272" s="28" t="str">
        <f t="shared" si="25"/>
        <v/>
      </c>
      <c r="L272" s="46" t="str">
        <f t="shared" si="29"/>
        <v/>
      </c>
      <c r="M272" t="str" cm="1">
        <f t="array" ref="M272">IF(L272="","",_xlfn.IFS(
  AND(L272&gt;=TIME(9,0,0), L272&lt;TIME(16,0,0)),"Morning",
  AND(L272&gt;=TIME(16,0,0), L272&lt;TIME(23,59,0)),"Evening",
  L272&gt;=TIME(23,59,0),"Night",
  L272&lt;TIME(9,0,0),"Night"
))</f>
        <v/>
      </c>
      <c r="O272" t="str">
        <f t="shared" si="26"/>
        <v/>
      </c>
    </row>
    <row r="273" spans="1:15" x14ac:dyDescent="0.25">
      <c r="A273" s="49"/>
      <c r="B273" s="50"/>
      <c r="G273" t="str">
        <f t="shared" si="24"/>
        <v/>
      </c>
      <c r="H273" s="13" t="str">
        <f t="shared" si="27"/>
        <v/>
      </c>
      <c r="I273" t="str">
        <f>IFERROR(INDEX(Analysis!$D$116:$N$137, MATCH(B273, Analysis!$C$116:$C$137, 0), MATCH(C273, Analysis!$D$115:$N$115, 0)), "")</f>
        <v/>
      </c>
      <c r="J273" t="str">
        <f t="shared" si="28"/>
        <v/>
      </c>
      <c r="K273" s="28" t="str">
        <f t="shared" si="25"/>
        <v/>
      </c>
      <c r="L273" s="46" t="str">
        <f t="shared" si="29"/>
        <v/>
      </c>
      <c r="M273" t="str" cm="1">
        <f t="array" ref="M273">IF(L273="","",_xlfn.IFS(
  AND(L273&gt;=TIME(9,0,0), L273&lt;TIME(16,0,0)),"Morning",
  AND(L273&gt;=TIME(16,0,0), L273&lt;TIME(23,59,0)),"Evening",
  L273&gt;=TIME(23,59,0),"Night",
  L273&lt;TIME(9,0,0),"Night"
))</f>
        <v/>
      </c>
      <c r="O273" t="str">
        <f t="shared" si="26"/>
        <v/>
      </c>
    </row>
    <row r="274" spans="1:15" x14ac:dyDescent="0.25">
      <c r="A274" s="49"/>
      <c r="B274" s="50"/>
      <c r="G274" t="str">
        <f t="shared" si="24"/>
        <v/>
      </c>
      <c r="H274" s="13" t="str">
        <f t="shared" si="27"/>
        <v/>
      </c>
      <c r="I274" t="str">
        <f>IFERROR(INDEX(Analysis!$D$116:$N$137, MATCH(B274, Analysis!$C$116:$C$137, 0), MATCH(C274, Analysis!$D$115:$N$115, 0)), "")</f>
        <v/>
      </c>
      <c r="J274" t="str">
        <f t="shared" si="28"/>
        <v/>
      </c>
      <c r="K274" s="28" t="str">
        <f t="shared" si="25"/>
        <v/>
      </c>
      <c r="L274" s="46" t="str">
        <f t="shared" si="29"/>
        <v/>
      </c>
      <c r="M274" t="str" cm="1">
        <f t="array" ref="M274">IF(L274="","",_xlfn.IFS(
  AND(L274&gt;=TIME(9,0,0), L274&lt;TIME(16,0,0)),"Morning",
  AND(L274&gt;=TIME(16,0,0), L274&lt;TIME(23,59,0)),"Evening",
  L274&gt;=TIME(23,59,0),"Night",
  L274&lt;TIME(9,0,0),"Night"
))</f>
        <v/>
      </c>
      <c r="O274" t="str">
        <f t="shared" si="26"/>
        <v/>
      </c>
    </row>
    <row r="275" spans="1:15" x14ac:dyDescent="0.25">
      <c r="A275" s="49"/>
      <c r="B275" s="50"/>
      <c r="G275" t="str">
        <f t="shared" si="24"/>
        <v/>
      </c>
      <c r="H275" s="13" t="str">
        <f t="shared" si="27"/>
        <v/>
      </c>
      <c r="I275" t="str">
        <f>IFERROR(INDEX(Analysis!$D$116:$N$137, MATCH(B275, Analysis!$C$116:$C$137, 0), MATCH(C275, Analysis!$D$115:$N$115, 0)), "")</f>
        <v/>
      </c>
      <c r="J275" t="str">
        <f t="shared" si="28"/>
        <v/>
      </c>
      <c r="K275" s="28" t="str">
        <f t="shared" si="25"/>
        <v/>
      </c>
      <c r="L275" s="46" t="str">
        <f t="shared" si="29"/>
        <v/>
      </c>
      <c r="M275" t="str" cm="1">
        <f t="array" ref="M275">IF(L275="","",_xlfn.IFS(
  AND(L275&gt;=TIME(9,0,0), L275&lt;TIME(16,0,0)),"Morning",
  AND(L275&gt;=TIME(16,0,0), L275&lt;TIME(23,59,0)),"Evening",
  L275&gt;=TIME(23,59,0),"Night",
  L275&lt;TIME(9,0,0),"Night"
))</f>
        <v/>
      </c>
      <c r="O275" t="str">
        <f t="shared" si="26"/>
        <v/>
      </c>
    </row>
    <row r="276" spans="1:15" x14ac:dyDescent="0.25">
      <c r="A276" s="49"/>
      <c r="B276" s="50"/>
      <c r="G276" t="str">
        <f t="shared" si="24"/>
        <v/>
      </c>
      <c r="H276" s="13" t="str">
        <f t="shared" si="27"/>
        <v/>
      </c>
      <c r="I276" t="str">
        <f>IFERROR(INDEX(Analysis!$D$116:$N$137, MATCH(B276, Analysis!$C$116:$C$137, 0), MATCH(C276, Analysis!$D$115:$N$115, 0)), "")</f>
        <v/>
      </c>
      <c r="J276" t="str">
        <f t="shared" si="28"/>
        <v/>
      </c>
      <c r="K276" s="28" t="str">
        <f t="shared" si="25"/>
        <v/>
      </c>
      <c r="L276" s="46" t="str">
        <f t="shared" si="29"/>
        <v/>
      </c>
      <c r="M276" t="str" cm="1">
        <f t="array" ref="M276">IF(L276="","",_xlfn.IFS(
  AND(L276&gt;=TIME(9,0,0), L276&lt;TIME(16,0,0)),"Morning",
  AND(L276&gt;=TIME(16,0,0), L276&lt;TIME(23,59,0)),"Evening",
  L276&gt;=TIME(23,59,0),"Night",
  L276&lt;TIME(9,0,0),"Night"
))</f>
        <v/>
      </c>
      <c r="O276" t="str">
        <f t="shared" si="26"/>
        <v/>
      </c>
    </row>
    <row r="277" spans="1:15" x14ac:dyDescent="0.25">
      <c r="A277" s="49"/>
      <c r="B277" s="50"/>
      <c r="G277" t="str">
        <f t="shared" si="24"/>
        <v/>
      </c>
      <c r="H277" s="13" t="str">
        <f t="shared" si="27"/>
        <v/>
      </c>
      <c r="I277" t="str">
        <f>IFERROR(INDEX(Analysis!$D$116:$N$137, MATCH(B277, Analysis!$C$116:$C$137, 0), MATCH(C277, Analysis!$D$115:$N$115, 0)), "")</f>
        <v/>
      </c>
      <c r="J277" t="str">
        <f t="shared" si="28"/>
        <v/>
      </c>
      <c r="K277" s="28" t="str">
        <f t="shared" si="25"/>
        <v/>
      </c>
      <c r="L277" s="46" t="str">
        <f t="shared" si="29"/>
        <v/>
      </c>
      <c r="M277" t="str" cm="1">
        <f t="array" ref="M277">IF(L277="","",_xlfn.IFS(
  AND(L277&gt;=TIME(9,0,0), L277&lt;TIME(16,0,0)),"Morning",
  AND(L277&gt;=TIME(16,0,0), L277&lt;TIME(23,59,0)),"Evening",
  L277&gt;=TIME(23,59,0),"Night",
  L277&lt;TIME(9,0,0),"Night"
))</f>
        <v/>
      </c>
      <c r="O277" t="str">
        <f t="shared" si="26"/>
        <v/>
      </c>
    </row>
    <row r="278" spans="1:15" x14ac:dyDescent="0.25">
      <c r="A278" s="49"/>
      <c r="B278" s="50"/>
      <c r="G278" t="str">
        <f t="shared" si="24"/>
        <v/>
      </c>
      <c r="H278" s="13" t="str">
        <f t="shared" si="27"/>
        <v/>
      </c>
      <c r="I278" t="str">
        <f>IFERROR(INDEX(Analysis!$D$116:$N$137, MATCH(B278, Analysis!$C$116:$C$137, 0), MATCH(C278, Analysis!$D$115:$N$115, 0)), "")</f>
        <v/>
      </c>
      <c r="J278" t="str">
        <f t="shared" si="28"/>
        <v/>
      </c>
      <c r="K278" s="28" t="str">
        <f t="shared" si="25"/>
        <v/>
      </c>
      <c r="L278" s="46" t="str">
        <f t="shared" si="29"/>
        <v/>
      </c>
      <c r="M278" t="str" cm="1">
        <f t="array" ref="M278">IF(L278="","",_xlfn.IFS(
  AND(L278&gt;=TIME(9,0,0), L278&lt;TIME(16,0,0)),"Morning",
  AND(L278&gt;=TIME(16,0,0), L278&lt;TIME(23,59,0)),"Evening",
  L278&gt;=TIME(23,59,0),"Night",
  L278&lt;TIME(9,0,0),"Night"
))</f>
        <v/>
      </c>
      <c r="O278" t="str">
        <f t="shared" si="26"/>
        <v/>
      </c>
    </row>
    <row r="279" spans="1:15" x14ac:dyDescent="0.25">
      <c r="A279" s="49"/>
      <c r="B279" s="50"/>
      <c r="G279" t="str">
        <f t="shared" si="24"/>
        <v/>
      </c>
      <c r="H279" s="13" t="str">
        <f t="shared" si="27"/>
        <v/>
      </c>
      <c r="I279" t="str">
        <f>IFERROR(INDEX(Analysis!$D$116:$N$137, MATCH(B279, Analysis!$C$116:$C$137, 0), MATCH(C279, Analysis!$D$115:$N$115, 0)), "")</f>
        <v/>
      </c>
      <c r="J279" t="str">
        <f t="shared" si="28"/>
        <v/>
      </c>
      <c r="K279" s="28" t="str">
        <f t="shared" si="25"/>
        <v/>
      </c>
      <c r="L279" s="46" t="str">
        <f t="shared" si="29"/>
        <v/>
      </c>
      <c r="M279" t="str" cm="1">
        <f t="array" ref="M279">IF(L279="","",_xlfn.IFS(
  AND(L279&gt;=TIME(9,0,0), L279&lt;TIME(16,0,0)),"Morning",
  AND(L279&gt;=TIME(16,0,0), L279&lt;TIME(23,59,0)),"Evening",
  L279&gt;=TIME(23,59,0),"Night",
  L279&lt;TIME(9,0,0),"Night"
))</f>
        <v/>
      </c>
      <c r="O279" t="str">
        <f t="shared" si="26"/>
        <v/>
      </c>
    </row>
    <row r="280" spans="1:15" x14ac:dyDescent="0.25">
      <c r="A280" s="49"/>
      <c r="B280" s="50"/>
      <c r="G280" t="str">
        <f t="shared" si="24"/>
        <v/>
      </c>
      <c r="H280" s="13" t="str">
        <f t="shared" si="27"/>
        <v/>
      </c>
      <c r="I280" t="str">
        <f>IFERROR(INDEX(Analysis!$D$116:$N$137, MATCH(B280, Analysis!$C$116:$C$137, 0), MATCH(C280, Analysis!$D$115:$N$115, 0)), "")</f>
        <v/>
      </c>
      <c r="J280" t="str">
        <f t="shared" si="28"/>
        <v/>
      </c>
      <c r="K280" s="28" t="str">
        <f t="shared" si="25"/>
        <v/>
      </c>
      <c r="L280" s="46" t="str">
        <f t="shared" si="29"/>
        <v/>
      </c>
      <c r="M280" t="str" cm="1">
        <f t="array" ref="M280">IF(L280="","",_xlfn.IFS(
  AND(L280&gt;=TIME(9,0,0), L280&lt;TIME(16,0,0)),"Morning",
  AND(L280&gt;=TIME(16,0,0), L280&lt;TIME(23,59,0)),"Evening",
  L280&gt;=TIME(23,59,0),"Night",
  L280&lt;TIME(9,0,0),"Night"
))</f>
        <v/>
      </c>
      <c r="O280" t="str">
        <f t="shared" si="26"/>
        <v/>
      </c>
    </row>
    <row r="281" spans="1:15" x14ac:dyDescent="0.25">
      <c r="A281" s="49"/>
      <c r="B281" s="50"/>
      <c r="G281" t="str">
        <f t="shared" si="24"/>
        <v/>
      </c>
      <c r="H281" s="13" t="str">
        <f t="shared" si="27"/>
        <v/>
      </c>
      <c r="I281" t="str">
        <f>IFERROR(INDEX(Analysis!$D$116:$N$137, MATCH(B281, Analysis!$C$116:$C$137, 0), MATCH(C281, Analysis!$D$115:$N$115, 0)), "")</f>
        <v/>
      </c>
      <c r="J281" t="str">
        <f t="shared" si="28"/>
        <v/>
      </c>
      <c r="K281" s="28" t="str">
        <f t="shared" si="25"/>
        <v/>
      </c>
      <c r="L281" s="46" t="str">
        <f t="shared" si="29"/>
        <v/>
      </c>
      <c r="M281" t="str" cm="1">
        <f t="array" ref="M281">IF(L281="","",_xlfn.IFS(
  AND(L281&gt;=TIME(9,0,0), L281&lt;TIME(16,0,0)),"Morning",
  AND(L281&gt;=TIME(16,0,0), L281&lt;TIME(23,59,0)),"Evening",
  L281&gt;=TIME(23,59,0),"Night",
  L281&lt;TIME(9,0,0),"Night"
))</f>
        <v/>
      </c>
      <c r="O281" t="str">
        <f t="shared" si="26"/>
        <v/>
      </c>
    </row>
    <row r="282" spans="1:15" x14ac:dyDescent="0.25">
      <c r="A282" s="49"/>
      <c r="B282" s="50"/>
      <c r="G282" t="str">
        <f t="shared" si="24"/>
        <v/>
      </c>
      <c r="H282" s="13" t="str">
        <f t="shared" si="27"/>
        <v/>
      </c>
      <c r="I282" t="str">
        <f>IFERROR(INDEX(Analysis!$D$116:$N$137, MATCH(B282, Analysis!$C$116:$C$137, 0), MATCH(C282, Analysis!$D$115:$N$115, 0)), "")</f>
        <v/>
      </c>
      <c r="J282" t="str">
        <f t="shared" si="28"/>
        <v/>
      </c>
      <c r="K282" s="28" t="str">
        <f t="shared" si="25"/>
        <v/>
      </c>
      <c r="L282" s="46" t="str">
        <f t="shared" si="29"/>
        <v/>
      </c>
      <c r="M282" t="str" cm="1">
        <f t="array" ref="M282">IF(L282="","",_xlfn.IFS(
  AND(L282&gt;=TIME(9,0,0), L282&lt;TIME(16,0,0)),"Morning",
  AND(L282&gt;=TIME(16,0,0), L282&lt;TIME(23,59,0)),"Evening",
  L282&gt;=TIME(23,59,0),"Night",
  L282&lt;TIME(9,0,0),"Night"
))</f>
        <v/>
      </c>
      <c r="O282" t="str">
        <f t="shared" si="26"/>
        <v/>
      </c>
    </row>
    <row r="283" spans="1:15" x14ac:dyDescent="0.25">
      <c r="A283" s="49"/>
      <c r="B283" s="50"/>
      <c r="G283" t="str">
        <f t="shared" si="24"/>
        <v/>
      </c>
      <c r="H283" s="13" t="str">
        <f t="shared" si="27"/>
        <v/>
      </c>
      <c r="I283" t="str">
        <f>IFERROR(INDEX(Analysis!$D$116:$N$137, MATCH(B283, Analysis!$C$116:$C$137, 0), MATCH(C283, Analysis!$D$115:$N$115, 0)), "")</f>
        <v/>
      </c>
      <c r="J283" t="str">
        <f t="shared" si="28"/>
        <v/>
      </c>
      <c r="K283" s="28" t="str">
        <f t="shared" si="25"/>
        <v/>
      </c>
      <c r="L283" s="46" t="str">
        <f t="shared" si="29"/>
        <v/>
      </c>
      <c r="M283" t="str" cm="1">
        <f t="array" ref="M283">IF(L283="","",_xlfn.IFS(
  AND(L283&gt;=TIME(9,0,0), L283&lt;TIME(16,0,0)),"Morning",
  AND(L283&gt;=TIME(16,0,0), L283&lt;TIME(23,59,0)),"Evening",
  L283&gt;=TIME(23,59,0),"Night",
  L283&lt;TIME(9,0,0),"Night"
))</f>
        <v/>
      </c>
      <c r="O283" t="str">
        <f t="shared" si="26"/>
        <v/>
      </c>
    </row>
    <row r="284" spans="1:15" x14ac:dyDescent="0.25">
      <c r="A284" s="49"/>
      <c r="B284" s="50"/>
      <c r="G284" t="str">
        <f t="shared" si="24"/>
        <v/>
      </c>
      <c r="H284" s="13" t="str">
        <f t="shared" si="27"/>
        <v/>
      </c>
      <c r="I284" t="str">
        <f>IFERROR(INDEX(Analysis!$D$116:$N$137, MATCH(B284, Analysis!$C$116:$C$137, 0), MATCH(C284, Analysis!$D$115:$N$115, 0)), "")</f>
        <v/>
      </c>
      <c r="J284" t="str">
        <f t="shared" si="28"/>
        <v/>
      </c>
      <c r="K284" s="28" t="str">
        <f t="shared" si="25"/>
        <v/>
      </c>
      <c r="L284" s="46" t="str">
        <f t="shared" si="29"/>
        <v/>
      </c>
      <c r="M284" t="str" cm="1">
        <f t="array" ref="M284">IF(L284="","",_xlfn.IFS(
  AND(L284&gt;=TIME(9,0,0), L284&lt;TIME(16,0,0)),"Morning",
  AND(L284&gt;=TIME(16,0,0), L284&lt;TIME(23,59,0)),"Evening",
  L284&gt;=TIME(23,59,0),"Night",
  L284&lt;TIME(9,0,0),"Night"
))</f>
        <v/>
      </c>
      <c r="O284" t="str">
        <f t="shared" si="26"/>
        <v/>
      </c>
    </row>
    <row r="285" spans="1:15" x14ac:dyDescent="0.25">
      <c r="A285" s="49"/>
      <c r="B285" s="50"/>
      <c r="G285" t="str">
        <f t="shared" si="24"/>
        <v/>
      </c>
      <c r="H285" s="13" t="str">
        <f t="shared" si="27"/>
        <v/>
      </c>
      <c r="I285" t="str">
        <f>IFERROR(INDEX(Analysis!$D$116:$N$137, MATCH(B285, Analysis!$C$116:$C$137, 0), MATCH(C285, Analysis!$D$115:$N$115, 0)), "")</f>
        <v/>
      </c>
      <c r="J285" t="str">
        <f t="shared" si="28"/>
        <v/>
      </c>
      <c r="K285" s="28" t="str">
        <f t="shared" si="25"/>
        <v/>
      </c>
      <c r="L285" s="46" t="str">
        <f t="shared" si="29"/>
        <v/>
      </c>
      <c r="M285" t="str" cm="1">
        <f t="array" ref="M285">IF(L285="","",_xlfn.IFS(
  AND(L285&gt;=TIME(9,0,0), L285&lt;TIME(16,0,0)),"Morning",
  AND(L285&gt;=TIME(16,0,0), L285&lt;TIME(23,59,0)),"Evening",
  L285&gt;=TIME(23,59,0),"Night",
  L285&lt;TIME(9,0,0),"Night"
))</f>
        <v/>
      </c>
      <c r="O285" t="str">
        <f t="shared" si="26"/>
        <v/>
      </c>
    </row>
    <row r="286" spans="1:15" x14ac:dyDescent="0.25">
      <c r="A286" s="49"/>
      <c r="B286" s="50"/>
      <c r="G286" t="str">
        <f t="shared" si="24"/>
        <v/>
      </c>
      <c r="H286" s="13" t="str">
        <f t="shared" si="27"/>
        <v/>
      </c>
      <c r="I286" t="str">
        <f>IFERROR(INDEX(Analysis!$D$116:$N$137, MATCH(B286, Analysis!$C$116:$C$137, 0), MATCH(C286, Analysis!$D$115:$N$115, 0)), "")</f>
        <v/>
      </c>
      <c r="J286" t="str">
        <f t="shared" si="28"/>
        <v/>
      </c>
      <c r="K286" s="28" t="str">
        <f t="shared" si="25"/>
        <v/>
      </c>
      <c r="L286" s="46" t="str">
        <f t="shared" si="29"/>
        <v/>
      </c>
      <c r="M286" t="str" cm="1">
        <f t="array" ref="M286">IF(L286="","",_xlfn.IFS(
  AND(L286&gt;=TIME(9,0,0), L286&lt;TIME(16,0,0)),"Morning",
  AND(L286&gt;=TIME(16,0,0), L286&lt;TIME(23,59,0)),"Evening",
  L286&gt;=TIME(23,59,0),"Night",
  L286&lt;TIME(9,0,0),"Night"
))</f>
        <v/>
      </c>
      <c r="O286" t="str">
        <f t="shared" si="26"/>
        <v/>
      </c>
    </row>
    <row r="287" spans="1:15" x14ac:dyDescent="0.25">
      <c r="A287" s="49"/>
      <c r="B287" s="50"/>
      <c r="G287" t="str">
        <f t="shared" si="24"/>
        <v/>
      </c>
      <c r="H287" s="13" t="str">
        <f t="shared" si="27"/>
        <v/>
      </c>
      <c r="I287" t="str">
        <f>IFERROR(INDEX(Analysis!$D$116:$N$137, MATCH(B287, Analysis!$C$116:$C$137, 0), MATCH(C287, Analysis!$D$115:$N$115, 0)), "")</f>
        <v/>
      </c>
      <c r="J287" t="str">
        <f t="shared" si="28"/>
        <v/>
      </c>
      <c r="K287" s="28" t="str">
        <f t="shared" si="25"/>
        <v/>
      </c>
      <c r="L287" s="46" t="str">
        <f t="shared" si="29"/>
        <v/>
      </c>
      <c r="M287" t="str" cm="1">
        <f t="array" ref="M287">IF(L287="","",_xlfn.IFS(
  AND(L287&gt;=TIME(9,0,0), L287&lt;TIME(16,0,0)),"Morning",
  AND(L287&gt;=TIME(16,0,0), L287&lt;TIME(23,59,0)),"Evening",
  L287&gt;=TIME(23,59,0),"Night",
  L287&lt;TIME(9,0,0),"Night"
))</f>
        <v/>
      </c>
      <c r="O287" t="str">
        <f t="shared" si="26"/>
        <v/>
      </c>
    </row>
    <row r="288" spans="1:15" x14ac:dyDescent="0.25">
      <c r="A288" s="49"/>
      <c r="B288" s="50"/>
      <c r="G288" t="str">
        <f t="shared" si="24"/>
        <v/>
      </c>
      <c r="H288" s="13" t="str">
        <f t="shared" si="27"/>
        <v/>
      </c>
      <c r="I288" t="str">
        <f>IFERROR(INDEX(Analysis!$D$116:$N$137, MATCH(B288, Analysis!$C$116:$C$137, 0), MATCH(C288, Analysis!$D$115:$N$115, 0)), "")</f>
        <v/>
      </c>
      <c r="J288" t="str">
        <f t="shared" si="28"/>
        <v/>
      </c>
      <c r="K288" s="28" t="str">
        <f t="shared" si="25"/>
        <v/>
      </c>
      <c r="L288" s="46" t="str">
        <f t="shared" si="29"/>
        <v/>
      </c>
      <c r="M288" t="str" cm="1">
        <f t="array" ref="M288">IF(L288="","",_xlfn.IFS(
  AND(L288&gt;=TIME(9,0,0), L288&lt;TIME(16,0,0)),"Morning",
  AND(L288&gt;=TIME(16,0,0), L288&lt;TIME(23,59,0)),"Evening",
  L288&gt;=TIME(23,59,0),"Night",
  L288&lt;TIME(9,0,0),"Night"
))</f>
        <v/>
      </c>
      <c r="O288" t="str">
        <f t="shared" si="26"/>
        <v/>
      </c>
    </row>
    <row r="289" spans="1:15" x14ac:dyDescent="0.25">
      <c r="A289" s="49"/>
      <c r="B289" s="50"/>
      <c r="G289" t="str">
        <f t="shared" si="24"/>
        <v/>
      </c>
      <c r="H289" s="13" t="str">
        <f t="shared" si="27"/>
        <v/>
      </c>
      <c r="I289" t="str">
        <f>IFERROR(INDEX(Analysis!$D$116:$N$137, MATCH(B289, Analysis!$C$116:$C$137, 0), MATCH(C289, Analysis!$D$115:$N$115, 0)), "")</f>
        <v/>
      </c>
      <c r="J289" t="str">
        <f t="shared" si="28"/>
        <v/>
      </c>
      <c r="K289" s="28" t="str">
        <f t="shared" si="25"/>
        <v/>
      </c>
      <c r="L289" s="46" t="str">
        <f t="shared" si="29"/>
        <v/>
      </c>
      <c r="M289" t="str" cm="1">
        <f t="array" ref="M289">IF(L289="","",_xlfn.IFS(
  AND(L289&gt;=TIME(9,0,0), L289&lt;TIME(16,0,0)),"Morning",
  AND(L289&gt;=TIME(16,0,0), L289&lt;TIME(23,59,0)),"Evening",
  L289&gt;=TIME(23,59,0),"Night",
  L289&lt;TIME(9,0,0),"Night"
))</f>
        <v/>
      </c>
      <c r="O289" t="str">
        <f t="shared" si="26"/>
        <v/>
      </c>
    </row>
    <row r="290" spans="1:15" x14ac:dyDescent="0.25">
      <c r="A290" s="49"/>
      <c r="B290" s="50"/>
      <c r="G290" t="str">
        <f t="shared" si="24"/>
        <v/>
      </c>
      <c r="H290" s="13" t="str">
        <f t="shared" si="27"/>
        <v/>
      </c>
      <c r="I290" t="str">
        <f>IFERROR(INDEX(Analysis!$D$116:$N$137, MATCH(B290, Analysis!$C$116:$C$137, 0), MATCH(C290, Analysis!$D$115:$N$115, 0)), "")</f>
        <v/>
      </c>
      <c r="J290" t="str">
        <f t="shared" si="28"/>
        <v/>
      </c>
      <c r="K290" s="28" t="str">
        <f t="shared" si="25"/>
        <v/>
      </c>
      <c r="L290" s="46" t="str">
        <f t="shared" si="29"/>
        <v/>
      </c>
      <c r="M290" t="str" cm="1">
        <f t="array" ref="M290">IF(L290="","",_xlfn.IFS(
  AND(L290&gt;=TIME(9,0,0), L290&lt;TIME(16,0,0)),"Morning",
  AND(L290&gt;=TIME(16,0,0), L290&lt;TIME(23,59,0)),"Evening",
  L290&gt;=TIME(23,59,0),"Night",
  L290&lt;TIME(9,0,0),"Night"
))</f>
        <v/>
      </c>
      <c r="O290" t="str">
        <f t="shared" si="26"/>
        <v/>
      </c>
    </row>
    <row r="291" spans="1:15" x14ac:dyDescent="0.25">
      <c r="A291" s="49"/>
      <c r="B291" s="50"/>
      <c r="G291" t="str">
        <f t="shared" si="24"/>
        <v/>
      </c>
      <c r="H291" s="13" t="str">
        <f t="shared" si="27"/>
        <v/>
      </c>
      <c r="I291" t="str">
        <f>IFERROR(INDEX(Analysis!$D$116:$N$137, MATCH(B291, Analysis!$C$116:$C$137, 0), MATCH(C291, Analysis!$D$115:$N$115, 0)), "")</f>
        <v/>
      </c>
      <c r="J291" t="str">
        <f t="shared" si="28"/>
        <v/>
      </c>
      <c r="K291" s="28" t="str">
        <f t="shared" si="25"/>
        <v/>
      </c>
      <c r="L291" s="46" t="str">
        <f t="shared" si="29"/>
        <v/>
      </c>
      <c r="M291" t="str" cm="1">
        <f t="array" ref="M291">IF(L291="","",_xlfn.IFS(
  AND(L291&gt;=TIME(9,0,0), L291&lt;TIME(16,0,0)),"Morning",
  AND(L291&gt;=TIME(16,0,0), L291&lt;TIME(23,59,0)),"Evening",
  L291&gt;=TIME(23,59,0),"Night",
  L291&lt;TIME(9,0,0),"Night"
))</f>
        <v/>
      </c>
      <c r="O291" t="str">
        <f t="shared" si="26"/>
        <v/>
      </c>
    </row>
    <row r="292" spans="1:15" x14ac:dyDescent="0.25">
      <c r="A292" s="49"/>
      <c r="B292" s="50"/>
      <c r="G292" t="str">
        <f t="shared" si="24"/>
        <v/>
      </c>
      <c r="H292" s="13" t="str">
        <f t="shared" si="27"/>
        <v/>
      </c>
      <c r="I292" t="str">
        <f>IFERROR(INDEX(Analysis!$D$116:$N$137, MATCH(B292, Analysis!$C$116:$C$137, 0), MATCH(C292, Analysis!$D$115:$N$115, 0)), "")</f>
        <v/>
      </c>
      <c r="J292" t="str">
        <f t="shared" si="28"/>
        <v/>
      </c>
      <c r="K292" s="28" t="str">
        <f t="shared" si="25"/>
        <v/>
      </c>
      <c r="L292" s="46" t="str">
        <f t="shared" si="29"/>
        <v/>
      </c>
      <c r="M292" t="str" cm="1">
        <f t="array" ref="M292">IF(L292="","",_xlfn.IFS(
  AND(L292&gt;=TIME(9,0,0), L292&lt;TIME(16,0,0)),"Morning",
  AND(L292&gt;=TIME(16,0,0), L292&lt;TIME(23,59,0)),"Evening",
  L292&gt;=TIME(23,59,0),"Night",
  L292&lt;TIME(9,0,0),"Night"
))</f>
        <v/>
      </c>
      <c r="O292" t="str">
        <f t="shared" si="26"/>
        <v/>
      </c>
    </row>
    <row r="293" spans="1:15" x14ac:dyDescent="0.25">
      <c r="A293" s="49"/>
      <c r="B293" s="50"/>
      <c r="G293" t="str">
        <f t="shared" si="24"/>
        <v/>
      </c>
      <c r="H293" s="13" t="str">
        <f t="shared" si="27"/>
        <v/>
      </c>
      <c r="I293" t="str">
        <f>IFERROR(INDEX(Analysis!$D$116:$N$137, MATCH(B293, Analysis!$C$116:$C$137, 0), MATCH(C293, Analysis!$D$115:$N$115, 0)), "")</f>
        <v/>
      </c>
      <c r="J293" t="str">
        <f t="shared" si="28"/>
        <v/>
      </c>
      <c r="K293" s="28" t="str">
        <f t="shared" si="25"/>
        <v/>
      </c>
      <c r="L293" s="46" t="str">
        <f t="shared" si="29"/>
        <v/>
      </c>
      <c r="M293" t="str" cm="1">
        <f t="array" ref="M293">IF(L293="","",_xlfn.IFS(
  AND(L293&gt;=TIME(9,0,0), L293&lt;TIME(16,0,0)),"Morning",
  AND(L293&gt;=TIME(16,0,0), L293&lt;TIME(23,59,0)),"Evening",
  L293&gt;=TIME(23,59,0),"Night",
  L293&lt;TIME(9,0,0),"Night"
))</f>
        <v/>
      </c>
      <c r="O293" t="str">
        <f t="shared" si="26"/>
        <v/>
      </c>
    </row>
    <row r="294" spans="1:15" x14ac:dyDescent="0.25">
      <c r="A294" s="49"/>
      <c r="B294" s="50"/>
      <c r="G294" t="str">
        <f t="shared" si="24"/>
        <v/>
      </c>
      <c r="H294" s="13" t="str">
        <f t="shared" si="27"/>
        <v/>
      </c>
      <c r="I294" t="str">
        <f>IFERROR(INDEX(Analysis!$D$116:$N$137, MATCH(B294, Analysis!$C$116:$C$137, 0), MATCH(C294, Analysis!$D$115:$N$115, 0)), "")</f>
        <v/>
      </c>
      <c r="J294" t="str">
        <f t="shared" si="28"/>
        <v/>
      </c>
      <c r="K294" s="28" t="str">
        <f t="shared" si="25"/>
        <v/>
      </c>
      <c r="L294" s="46" t="str">
        <f t="shared" si="29"/>
        <v/>
      </c>
      <c r="M294" t="str" cm="1">
        <f t="array" ref="M294">IF(L294="","",_xlfn.IFS(
  AND(L294&gt;=TIME(9,0,0), L294&lt;TIME(16,0,0)),"Morning",
  AND(L294&gt;=TIME(16,0,0), L294&lt;TIME(23,59,0)),"Evening",
  L294&gt;=TIME(23,59,0),"Night",
  L294&lt;TIME(9,0,0),"Night"
))</f>
        <v/>
      </c>
      <c r="O294" t="str">
        <f t="shared" si="26"/>
        <v/>
      </c>
    </row>
    <row r="295" spans="1:15" x14ac:dyDescent="0.25">
      <c r="A295" s="49"/>
      <c r="B295" s="50"/>
      <c r="G295" t="str">
        <f t="shared" si="24"/>
        <v/>
      </c>
      <c r="H295" s="13" t="str">
        <f t="shared" si="27"/>
        <v/>
      </c>
      <c r="I295" t="str">
        <f>IFERROR(INDEX(Analysis!$D$116:$N$137, MATCH(B295, Analysis!$C$116:$C$137, 0), MATCH(C295, Analysis!$D$115:$N$115, 0)), "")</f>
        <v/>
      </c>
      <c r="J295" t="str">
        <f t="shared" si="28"/>
        <v/>
      </c>
      <c r="K295" s="28" t="str">
        <f t="shared" si="25"/>
        <v/>
      </c>
      <c r="L295" s="46" t="str">
        <f t="shared" si="29"/>
        <v/>
      </c>
      <c r="M295" t="str" cm="1">
        <f t="array" ref="M295">IF(L295="","",_xlfn.IFS(
  AND(L295&gt;=TIME(9,0,0), L295&lt;TIME(16,0,0)),"Morning",
  AND(L295&gt;=TIME(16,0,0), L295&lt;TIME(23,59,0)),"Evening",
  L295&gt;=TIME(23,59,0),"Night",
  L295&lt;TIME(9,0,0),"Night"
))</f>
        <v/>
      </c>
      <c r="O295" t="str">
        <f t="shared" si="26"/>
        <v/>
      </c>
    </row>
    <row r="296" spans="1:15" x14ac:dyDescent="0.25">
      <c r="A296" s="49"/>
      <c r="B296" s="50"/>
      <c r="G296" t="str">
        <f t="shared" si="24"/>
        <v/>
      </c>
      <c r="H296" s="13" t="str">
        <f t="shared" si="27"/>
        <v/>
      </c>
      <c r="I296" t="str">
        <f>IFERROR(INDEX(Analysis!$D$116:$N$137, MATCH(B296, Analysis!$C$116:$C$137, 0), MATCH(C296, Analysis!$D$115:$N$115, 0)), "")</f>
        <v/>
      </c>
      <c r="J296" t="str">
        <f t="shared" si="28"/>
        <v/>
      </c>
      <c r="K296" s="28" t="str">
        <f t="shared" si="25"/>
        <v/>
      </c>
      <c r="L296" s="46" t="str">
        <f t="shared" si="29"/>
        <v/>
      </c>
      <c r="M296" t="str" cm="1">
        <f t="array" ref="M296">IF(L296="","",_xlfn.IFS(
  AND(L296&gt;=TIME(9,0,0), L296&lt;TIME(16,0,0)),"Morning",
  AND(L296&gt;=TIME(16,0,0), L296&lt;TIME(23,59,0)),"Evening",
  L296&gt;=TIME(23,59,0),"Night",
  L296&lt;TIME(9,0,0),"Night"
))</f>
        <v/>
      </c>
      <c r="O296" t="str">
        <f t="shared" si="26"/>
        <v/>
      </c>
    </row>
    <row r="297" spans="1:15" x14ac:dyDescent="0.25">
      <c r="A297" s="49"/>
      <c r="B297" s="50"/>
      <c r="G297" t="str">
        <f t="shared" si="24"/>
        <v/>
      </c>
      <c r="H297" s="13" t="str">
        <f t="shared" si="27"/>
        <v/>
      </c>
      <c r="I297" t="str">
        <f>IFERROR(INDEX(Analysis!$D$116:$N$137, MATCH(B297, Analysis!$C$116:$C$137, 0), MATCH(C297, Analysis!$D$115:$N$115, 0)), "")</f>
        <v/>
      </c>
      <c r="J297" t="str">
        <f t="shared" si="28"/>
        <v/>
      </c>
      <c r="K297" s="28" t="str">
        <f t="shared" si="25"/>
        <v/>
      </c>
      <c r="L297" s="46" t="str">
        <f t="shared" si="29"/>
        <v/>
      </c>
      <c r="M297" t="str" cm="1">
        <f t="array" ref="M297">IF(L297="","",_xlfn.IFS(
  AND(L297&gt;=TIME(9,0,0), L297&lt;TIME(16,0,0)),"Morning",
  AND(L297&gt;=TIME(16,0,0), L297&lt;TIME(23,59,0)),"Evening",
  L297&gt;=TIME(23,59,0),"Night",
  L297&lt;TIME(9,0,0),"Night"
))</f>
        <v/>
      </c>
      <c r="O297" t="str">
        <f t="shared" si="26"/>
        <v/>
      </c>
    </row>
    <row r="298" spans="1:15" x14ac:dyDescent="0.25">
      <c r="A298" s="49"/>
      <c r="B298" s="50"/>
      <c r="G298" t="str">
        <f t="shared" si="24"/>
        <v/>
      </c>
      <c r="H298" s="13" t="str">
        <f t="shared" si="27"/>
        <v/>
      </c>
      <c r="I298" t="str">
        <f>IFERROR(INDEX(Analysis!$D$116:$N$137, MATCH(B298, Analysis!$C$116:$C$137, 0), MATCH(C298, Analysis!$D$115:$N$115, 0)), "")</f>
        <v/>
      </c>
      <c r="J298" t="str">
        <f t="shared" si="28"/>
        <v/>
      </c>
      <c r="K298" s="28" t="str">
        <f t="shared" si="25"/>
        <v/>
      </c>
      <c r="L298" s="46" t="str">
        <f t="shared" si="29"/>
        <v/>
      </c>
      <c r="M298" t="str" cm="1">
        <f t="array" ref="M298">IF(L298="","",_xlfn.IFS(
  AND(L298&gt;=TIME(9,0,0), L298&lt;TIME(16,0,0)),"Morning",
  AND(L298&gt;=TIME(16,0,0), L298&lt;TIME(23,59,0)),"Evening",
  L298&gt;=TIME(23,59,0),"Night",
  L298&lt;TIME(9,0,0),"Night"
))</f>
        <v/>
      </c>
      <c r="O298" t="str">
        <f t="shared" si="26"/>
        <v/>
      </c>
    </row>
    <row r="299" spans="1:15" x14ac:dyDescent="0.25">
      <c r="A299" s="49"/>
      <c r="B299" s="50"/>
      <c r="G299" t="str">
        <f t="shared" si="24"/>
        <v/>
      </c>
      <c r="H299" s="13" t="str">
        <f t="shared" si="27"/>
        <v/>
      </c>
      <c r="I299" t="str">
        <f>IFERROR(INDEX(Analysis!$D$116:$N$137, MATCH(B299, Analysis!$C$116:$C$137, 0), MATCH(C299, Analysis!$D$115:$N$115, 0)), "")</f>
        <v/>
      </c>
      <c r="J299" t="str">
        <f t="shared" si="28"/>
        <v/>
      </c>
      <c r="K299" s="28" t="str">
        <f t="shared" si="25"/>
        <v/>
      </c>
      <c r="L299" s="46" t="str">
        <f t="shared" si="29"/>
        <v/>
      </c>
      <c r="M299" t="str" cm="1">
        <f t="array" ref="M299">IF(L299="","",_xlfn.IFS(
  AND(L299&gt;=TIME(9,0,0), L299&lt;TIME(16,0,0)),"Morning",
  AND(L299&gt;=TIME(16,0,0), L299&lt;TIME(23,59,0)),"Evening",
  L299&gt;=TIME(23,59,0),"Night",
  L299&lt;TIME(9,0,0),"Night"
))</f>
        <v/>
      </c>
      <c r="O299" t="str">
        <f t="shared" si="26"/>
        <v/>
      </c>
    </row>
    <row r="300" spans="1:15" x14ac:dyDescent="0.25">
      <c r="A300" s="49"/>
      <c r="B300" s="50"/>
      <c r="G300" t="str">
        <f t="shared" si="24"/>
        <v/>
      </c>
      <c r="H300" s="13" t="str">
        <f t="shared" si="27"/>
        <v/>
      </c>
      <c r="I300" t="str">
        <f>IFERROR(INDEX(Analysis!$D$116:$N$137, MATCH(B300, Analysis!$C$116:$C$137, 0), MATCH(C300, Analysis!$D$115:$N$115, 0)), "")</f>
        <v/>
      </c>
      <c r="J300" t="str">
        <f t="shared" si="28"/>
        <v/>
      </c>
      <c r="K300" s="28" t="str">
        <f t="shared" si="25"/>
        <v/>
      </c>
      <c r="L300" s="46" t="str">
        <f t="shared" si="29"/>
        <v/>
      </c>
      <c r="M300" t="str" cm="1">
        <f t="array" ref="M300">IF(L300="","",_xlfn.IFS(
  AND(L300&gt;=TIME(9,0,0), L300&lt;TIME(16,0,0)),"Morning",
  AND(L300&gt;=TIME(16,0,0), L300&lt;TIME(23,59,0)),"Evening",
  L300&gt;=TIME(23,59,0),"Night",
  L300&lt;TIME(9,0,0),"Night"
))</f>
        <v/>
      </c>
      <c r="O300" t="str">
        <f t="shared" si="26"/>
        <v/>
      </c>
    </row>
    <row r="301" spans="1:15" x14ac:dyDescent="0.25">
      <c r="A301" s="49"/>
      <c r="B301" s="50"/>
      <c r="G301" t="str">
        <f t="shared" si="24"/>
        <v/>
      </c>
      <c r="H301" s="13" t="str">
        <f t="shared" si="27"/>
        <v/>
      </c>
      <c r="I301" t="str">
        <f>IFERROR(INDEX(Analysis!$D$116:$N$137, MATCH(B301, Analysis!$C$116:$C$137, 0), MATCH(C301, Analysis!$D$115:$N$115, 0)), "")</f>
        <v/>
      </c>
      <c r="J301" t="str">
        <f t="shared" si="28"/>
        <v/>
      </c>
      <c r="K301" s="28" t="str">
        <f t="shared" si="25"/>
        <v/>
      </c>
      <c r="L301" s="46" t="str">
        <f t="shared" si="29"/>
        <v/>
      </c>
      <c r="M301" t="str" cm="1">
        <f t="array" ref="M301">IF(L301="","",_xlfn.IFS(
  AND(L301&gt;=TIME(9,0,0), L301&lt;TIME(16,0,0)),"Morning",
  AND(L301&gt;=TIME(16,0,0), L301&lt;TIME(23,59,0)),"Evening",
  L301&gt;=TIME(23,59,0),"Night",
  L301&lt;TIME(9,0,0),"Night"
))</f>
        <v/>
      </c>
      <c r="O301" t="str">
        <f t="shared" si="26"/>
        <v/>
      </c>
    </row>
    <row r="302" spans="1:15" x14ac:dyDescent="0.25">
      <c r="A302" s="49"/>
      <c r="B302" s="50"/>
      <c r="G302" t="str">
        <f t="shared" si="24"/>
        <v/>
      </c>
      <c r="H302" s="13" t="str">
        <f t="shared" si="27"/>
        <v/>
      </c>
      <c r="I302" t="str">
        <f>IFERROR(INDEX(Analysis!$D$116:$N$137, MATCH(B302, Analysis!$C$116:$C$137, 0), MATCH(C302, Analysis!$D$115:$N$115, 0)), "")</f>
        <v/>
      </c>
      <c r="J302" t="str">
        <f t="shared" si="28"/>
        <v/>
      </c>
      <c r="K302" s="28" t="str">
        <f t="shared" si="25"/>
        <v/>
      </c>
      <c r="L302" s="46" t="str">
        <f t="shared" si="29"/>
        <v/>
      </c>
      <c r="M302" t="str" cm="1">
        <f t="array" ref="M302">IF(L302="","",_xlfn.IFS(
  AND(L302&gt;=TIME(9,0,0), L302&lt;TIME(16,0,0)),"Morning",
  AND(L302&gt;=TIME(16,0,0), L302&lt;TIME(23,59,0)),"Evening",
  L302&gt;=TIME(23,59,0),"Night",
  L302&lt;TIME(9,0,0),"Night"
))</f>
        <v/>
      </c>
      <c r="O302" t="str">
        <f t="shared" si="26"/>
        <v/>
      </c>
    </row>
    <row r="303" spans="1:15" x14ac:dyDescent="0.25">
      <c r="A303" s="49"/>
      <c r="B303" s="50"/>
      <c r="G303" t="str">
        <f t="shared" si="24"/>
        <v/>
      </c>
      <c r="H303" s="13" t="str">
        <f t="shared" si="27"/>
        <v/>
      </c>
      <c r="I303" t="str">
        <f>IFERROR(INDEX(Analysis!$D$116:$N$137, MATCH(B303, Analysis!$C$116:$C$137, 0), MATCH(C303, Analysis!$D$115:$N$115, 0)), "")</f>
        <v/>
      </c>
      <c r="J303" t="str">
        <f t="shared" si="28"/>
        <v/>
      </c>
      <c r="K303" s="28" t="str">
        <f t="shared" si="25"/>
        <v/>
      </c>
      <c r="L303" s="46" t="str">
        <f t="shared" si="29"/>
        <v/>
      </c>
      <c r="M303" t="str" cm="1">
        <f t="array" ref="M303">IF(L303="","",_xlfn.IFS(
  AND(L303&gt;=TIME(9,0,0), L303&lt;TIME(16,0,0)),"Morning",
  AND(L303&gt;=TIME(16,0,0), L303&lt;TIME(23,59,0)),"Evening",
  L303&gt;=TIME(23,59,0),"Night",
  L303&lt;TIME(9,0,0),"Night"
))</f>
        <v/>
      </c>
      <c r="O303" t="str">
        <f t="shared" si="26"/>
        <v/>
      </c>
    </row>
    <row r="304" spans="1:15" x14ac:dyDescent="0.25">
      <c r="A304" s="49"/>
      <c r="B304" s="50"/>
      <c r="G304" t="str">
        <f t="shared" si="24"/>
        <v/>
      </c>
      <c r="H304" s="13" t="str">
        <f t="shared" si="27"/>
        <v/>
      </c>
      <c r="I304" t="str">
        <f>IFERROR(INDEX(Analysis!$D$116:$N$137, MATCH(B304, Analysis!$C$116:$C$137, 0), MATCH(C304, Analysis!$D$115:$N$115, 0)), "")</f>
        <v/>
      </c>
      <c r="J304" t="str">
        <f t="shared" si="28"/>
        <v/>
      </c>
      <c r="K304" s="28" t="str">
        <f t="shared" si="25"/>
        <v/>
      </c>
      <c r="L304" s="46" t="str">
        <f t="shared" si="29"/>
        <v/>
      </c>
      <c r="M304" t="str" cm="1">
        <f t="array" ref="M304">IF(L304="","",_xlfn.IFS(
  AND(L304&gt;=TIME(9,0,0), L304&lt;TIME(16,0,0)),"Morning",
  AND(L304&gt;=TIME(16,0,0), L304&lt;TIME(23,59,0)),"Evening",
  L304&gt;=TIME(23,59,0),"Night",
  L304&lt;TIME(9,0,0),"Night"
))</f>
        <v/>
      </c>
      <c r="O304" t="str">
        <f t="shared" si="26"/>
        <v/>
      </c>
    </row>
    <row r="305" spans="1:15" x14ac:dyDescent="0.25">
      <c r="A305" s="49"/>
      <c r="B305" s="50"/>
      <c r="G305" t="str">
        <f t="shared" si="24"/>
        <v/>
      </c>
      <c r="H305" s="13" t="str">
        <f t="shared" si="27"/>
        <v/>
      </c>
      <c r="I305" t="str">
        <f>IFERROR(INDEX(Analysis!$D$116:$N$137, MATCH(B305, Analysis!$C$116:$C$137, 0), MATCH(C305, Analysis!$D$115:$N$115, 0)), "")</f>
        <v/>
      </c>
      <c r="J305" t="str">
        <f t="shared" si="28"/>
        <v/>
      </c>
      <c r="K305" s="28" t="str">
        <f t="shared" si="25"/>
        <v/>
      </c>
      <c r="L305" s="46" t="str">
        <f t="shared" si="29"/>
        <v/>
      </c>
      <c r="M305" t="str" cm="1">
        <f t="array" ref="M305">IF(L305="","",_xlfn.IFS(
  AND(L305&gt;=TIME(9,0,0), L305&lt;TIME(16,0,0)),"Morning",
  AND(L305&gt;=TIME(16,0,0), L305&lt;TIME(23,59,0)),"Evening",
  L305&gt;=TIME(23,59,0),"Night",
  L305&lt;TIME(9,0,0),"Night"
))</f>
        <v/>
      </c>
      <c r="O305" t="str">
        <f t="shared" si="26"/>
        <v/>
      </c>
    </row>
    <row r="306" spans="1:15" x14ac:dyDescent="0.25">
      <c r="A306" s="49"/>
      <c r="B306" s="50"/>
      <c r="G306" t="str">
        <f t="shared" si="24"/>
        <v/>
      </c>
      <c r="H306" s="13" t="str">
        <f t="shared" si="27"/>
        <v/>
      </c>
      <c r="I306" t="str">
        <f>IFERROR(INDEX(Analysis!$D$116:$N$137, MATCH(B306, Analysis!$C$116:$C$137, 0), MATCH(C306, Analysis!$D$115:$N$115, 0)), "")</f>
        <v/>
      </c>
      <c r="J306" t="str">
        <f t="shared" si="28"/>
        <v/>
      </c>
      <c r="K306" s="28" t="str">
        <f t="shared" si="25"/>
        <v/>
      </c>
      <c r="L306" s="46" t="str">
        <f t="shared" si="29"/>
        <v/>
      </c>
      <c r="M306" t="str" cm="1">
        <f t="array" ref="M306">IF(L306="","",_xlfn.IFS(
  AND(L306&gt;=TIME(9,0,0), L306&lt;TIME(16,0,0)),"Morning",
  AND(L306&gt;=TIME(16,0,0), L306&lt;TIME(23,59,0)),"Evening",
  L306&gt;=TIME(23,59,0),"Night",
  L306&lt;TIME(9,0,0),"Night"
))</f>
        <v/>
      </c>
      <c r="O306" t="str">
        <f t="shared" si="26"/>
        <v/>
      </c>
    </row>
    <row r="307" spans="1:15" x14ac:dyDescent="0.25">
      <c r="A307" s="49"/>
      <c r="B307" s="50"/>
      <c r="G307" t="str">
        <f t="shared" si="24"/>
        <v/>
      </c>
      <c r="H307" s="13" t="str">
        <f t="shared" si="27"/>
        <v/>
      </c>
      <c r="I307" t="str">
        <f>IFERROR(INDEX(Analysis!$D$116:$N$137, MATCH(B307, Analysis!$C$116:$C$137, 0), MATCH(C307, Analysis!$D$115:$N$115, 0)), "")</f>
        <v/>
      </c>
      <c r="J307" t="str">
        <f t="shared" si="28"/>
        <v/>
      </c>
      <c r="K307" s="28" t="str">
        <f t="shared" si="25"/>
        <v/>
      </c>
      <c r="L307" s="46" t="str">
        <f t="shared" si="29"/>
        <v/>
      </c>
      <c r="M307" t="str" cm="1">
        <f t="array" ref="M307">IF(L307="","",_xlfn.IFS(
  AND(L307&gt;=TIME(9,0,0), L307&lt;TIME(16,0,0)),"Morning",
  AND(L307&gt;=TIME(16,0,0), L307&lt;TIME(23,59,0)),"Evening",
  L307&gt;=TIME(23,59,0),"Night",
  L307&lt;TIME(9,0,0),"Night"
))</f>
        <v/>
      </c>
      <c r="O307" t="str">
        <f t="shared" si="26"/>
        <v/>
      </c>
    </row>
    <row r="308" spans="1:15" x14ac:dyDescent="0.25">
      <c r="A308" s="49"/>
      <c r="B308" s="50"/>
      <c r="G308" t="str">
        <f t="shared" si="24"/>
        <v/>
      </c>
      <c r="H308" s="13" t="str">
        <f t="shared" si="27"/>
        <v/>
      </c>
      <c r="I308" t="str">
        <f>IFERROR(INDEX(Analysis!$D$116:$N$137, MATCH(B308, Analysis!$C$116:$C$137, 0), MATCH(C308, Analysis!$D$115:$N$115, 0)), "")</f>
        <v/>
      </c>
      <c r="J308" t="str">
        <f t="shared" si="28"/>
        <v/>
      </c>
      <c r="K308" s="28" t="str">
        <f t="shared" si="25"/>
        <v/>
      </c>
      <c r="L308" s="46" t="str">
        <f t="shared" si="29"/>
        <v/>
      </c>
      <c r="M308" t="str" cm="1">
        <f t="array" ref="M308">IF(L308="","",_xlfn.IFS(
  AND(L308&gt;=TIME(9,0,0), L308&lt;TIME(16,0,0)),"Morning",
  AND(L308&gt;=TIME(16,0,0), L308&lt;TIME(23,59,0)),"Evening",
  L308&gt;=TIME(23,59,0),"Night",
  L308&lt;TIME(9,0,0),"Night"
))</f>
        <v/>
      </c>
      <c r="O308" t="str">
        <f t="shared" si="26"/>
        <v/>
      </c>
    </row>
    <row r="309" spans="1:15" x14ac:dyDescent="0.25">
      <c r="A309" s="49"/>
      <c r="B309" s="50"/>
      <c r="G309" t="str">
        <f t="shared" si="24"/>
        <v/>
      </c>
      <c r="H309" s="13" t="str">
        <f t="shared" si="27"/>
        <v/>
      </c>
      <c r="I309" t="str">
        <f>IFERROR(INDEX(Analysis!$D$116:$N$137, MATCH(B309, Analysis!$C$116:$C$137, 0), MATCH(C309, Analysis!$D$115:$N$115, 0)), "")</f>
        <v/>
      </c>
      <c r="J309" t="str">
        <f t="shared" si="28"/>
        <v/>
      </c>
      <c r="K309" s="28" t="str">
        <f t="shared" si="25"/>
        <v/>
      </c>
      <c r="L309" s="46" t="str">
        <f t="shared" si="29"/>
        <v/>
      </c>
      <c r="M309" t="str" cm="1">
        <f t="array" ref="M309">IF(L309="","",_xlfn.IFS(
  AND(L309&gt;=TIME(9,0,0), L309&lt;TIME(16,0,0)),"Morning",
  AND(L309&gt;=TIME(16,0,0), L309&lt;TIME(23,59,0)),"Evening",
  L309&gt;=TIME(23,59,0),"Night",
  L309&lt;TIME(9,0,0),"Night"
))</f>
        <v/>
      </c>
      <c r="O309" t="str">
        <f t="shared" si="26"/>
        <v/>
      </c>
    </row>
    <row r="310" spans="1:15" x14ac:dyDescent="0.25">
      <c r="A310" s="49"/>
      <c r="B310" s="50"/>
      <c r="G310" t="str">
        <f t="shared" si="24"/>
        <v/>
      </c>
      <c r="H310" s="13" t="str">
        <f t="shared" si="27"/>
        <v/>
      </c>
      <c r="I310" t="str">
        <f>IFERROR(INDEX(Analysis!$D$116:$N$137, MATCH(B310, Analysis!$C$116:$C$137, 0), MATCH(C310, Analysis!$D$115:$N$115, 0)), "")</f>
        <v/>
      </c>
      <c r="J310" t="str">
        <f t="shared" si="28"/>
        <v/>
      </c>
      <c r="K310" s="28" t="str">
        <f t="shared" si="25"/>
        <v/>
      </c>
      <c r="L310" s="46" t="str">
        <f t="shared" si="29"/>
        <v/>
      </c>
      <c r="M310" t="str" cm="1">
        <f t="array" ref="M310">IF(L310="","",_xlfn.IFS(
  AND(L310&gt;=TIME(9,0,0), L310&lt;TIME(16,0,0)),"Morning",
  AND(L310&gt;=TIME(16,0,0), L310&lt;TIME(23,59,0)),"Evening",
  L310&gt;=TIME(23,59,0),"Night",
  L310&lt;TIME(9,0,0),"Night"
))</f>
        <v/>
      </c>
      <c r="O310" t="str">
        <f t="shared" si="26"/>
        <v/>
      </c>
    </row>
    <row r="311" spans="1:15" x14ac:dyDescent="0.25">
      <c r="A311" s="49"/>
      <c r="B311" s="50"/>
      <c r="G311" t="str">
        <f t="shared" si="24"/>
        <v/>
      </c>
      <c r="H311" s="13" t="str">
        <f t="shared" si="27"/>
        <v/>
      </c>
      <c r="I311" t="str">
        <f>IFERROR(INDEX(Analysis!$D$116:$N$137, MATCH(B311, Analysis!$C$116:$C$137, 0), MATCH(C311, Analysis!$D$115:$N$115, 0)), "")</f>
        <v/>
      </c>
      <c r="J311" t="str">
        <f t="shared" si="28"/>
        <v/>
      </c>
      <c r="K311" s="28" t="str">
        <f t="shared" si="25"/>
        <v/>
      </c>
      <c r="L311" s="46" t="str">
        <f t="shared" si="29"/>
        <v/>
      </c>
      <c r="M311" t="str" cm="1">
        <f t="array" ref="M311">IF(L311="","",_xlfn.IFS(
  AND(L311&gt;=TIME(9,0,0), L311&lt;TIME(16,0,0)),"Morning",
  AND(L311&gt;=TIME(16,0,0), L311&lt;TIME(23,59,0)),"Evening",
  L311&gt;=TIME(23,59,0),"Night",
  L311&lt;TIME(9,0,0),"Night"
))</f>
        <v/>
      </c>
      <c r="O311" t="str">
        <f t="shared" si="26"/>
        <v/>
      </c>
    </row>
    <row r="312" spans="1:15" x14ac:dyDescent="0.25">
      <c r="A312" s="49"/>
      <c r="B312" s="50"/>
      <c r="G312" t="str">
        <f t="shared" si="24"/>
        <v/>
      </c>
      <c r="H312" s="13" t="str">
        <f t="shared" si="27"/>
        <v/>
      </c>
      <c r="I312" t="str">
        <f>IFERROR(INDEX(Analysis!$D$116:$N$137, MATCH(B312, Analysis!$C$116:$C$137, 0), MATCH(C312, Analysis!$D$115:$N$115, 0)), "")</f>
        <v/>
      </c>
      <c r="J312" t="str">
        <f t="shared" si="28"/>
        <v/>
      </c>
      <c r="K312" s="28" t="str">
        <f t="shared" si="25"/>
        <v/>
      </c>
      <c r="L312" s="46" t="str">
        <f t="shared" si="29"/>
        <v/>
      </c>
      <c r="M312" t="str" cm="1">
        <f t="array" ref="M312">IF(L312="","",_xlfn.IFS(
  AND(L312&gt;=TIME(9,0,0), L312&lt;TIME(16,0,0)),"Morning",
  AND(L312&gt;=TIME(16,0,0), L312&lt;TIME(23,59,0)),"Evening",
  L312&gt;=TIME(23,59,0),"Night",
  L312&lt;TIME(9,0,0),"Night"
))</f>
        <v/>
      </c>
      <c r="O312" t="str">
        <f t="shared" si="26"/>
        <v/>
      </c>
    </row>
    <row r="313" spans="1:15" x14ac:dyDescent="0.25">
      <c r="A313" s="49"/>
      <c r="B313" s="50"/>
      <c r="G313" t="str">
        <f t="shared" si="24"/>
        <v/>
      </c>
      <c r="H313" s="13" t="str">
        <f t="shared" si="27"/>
        <v/>
      </c>
      <c r="I313" t="str">
        <f>IFERROR(INDEX(Analysis!$D$116:$N$137, MATCH(B313, Analysis!$C$116:$C$137, 0), MATCH(C313, Analysis!$D$115:$N$115, 0)), "")</f>
        <v/>
      </c>
      <c r="J313" t="str">
        <f t="shared" si="28"/>
        <v/>
      </c>
      <c r="K313" s="28" t="str">
        <f t="shared" si="25"/>
        <v/>
      </c>
      <c r="L313" s="46" t="str">
        <f t="shared" si="29"/>
        <v/>
      </c>
      <c r="M313" t="str" cm="1">
        <f t="array" ref="M313">IF(L313="","",_xlfn.IFS(
  AND(L313&gt;=TIME(9,0,0), L313&lt;TIME(16,0,0)),"Morning",
  AND(L313&gt;=TIME(16,0,0), L313&lt;TIME(23,59,0)),"Evening",
  L313&gt;=TIME(23,59,0),"Night",
  L313&lt;TIME(9,0,0),"Night"
))</f>
        <v/>
      </c>
      <c r="O313" t="str">
        <f t="shared" si="26"/>
        <v/>
      </c>
    </row>
    <row r="314" spans="1:15" x14ac:dyDescent="0.25">
      <c r="A314" s="49"/>
      <c r="B314" s="50"/>
      <c r="G314" t="str">
        <f t="shared" si="24"/>
        <v/>
      </c>
      <c r="H314" s="13" t="str">
        <f t="shared" si="27"/>
        <v/>
      </c>
      <c r="I314" t="str">
        <f>IFERROR(INDEX(Analysis!$D$116:$N$137, MATCH(B314, Analysis!$C$116:$C$137, 0), MATCH(C314, Analysis!$D$115:$N$115, 0)), "")</f>
        <v/>
      </c>
      <c r="J314" t="str">
        <f t="shared" si="28"/>
        <v/>
      </c>
      <c r="K314" s="28" t="str">
        <f t="shared" si="25"/>
        <v/>
      </c>
      <c r="L314" s="46" t="str">
        <f t="shared" si="29"/>
        <v/>
      </c>
      <c r="M314" t="str" cm="1">
        <f t="array" ref="M314">IF(L314="","",_xlfn.IFS(
  AND(L314&gt;=TIME(9,0,0), L314&lt;TIME(16,0,0)),"Morning",
  AND(L314&gt;=TIME(16,0,0), L314&lt;TIME(23,59,0)),"Evening",
  L314&gt;=TIME(23,59,0),"Night",
  L314&lt;TIME(9,0,0),"Night"
))</f>
        <v/>
      </c>
      <c r="O314" t="str">
        <f t="shared" si="26"/>
        <v/>
      </c>
    </row>
    <row r="315" spans="1:15" x14ac:dyDescent="0.25">
      <c r="A315" s="49"/>
      <c r="B315" s="50"/>
      <c r="G315" t="str">
        <f t="shared" si="24"/>
        <v/>
      </c>
      <c r="H315" s="13" t="str">
        <f t="shared" si="27"/>
        <v/>
      </c>
      <c r="I315" t="str">
        <f>IFERROR(INDEX(Analysis!$D$116:$N$137, MATCH(B315, Analysis!$C$116:$C$137, 0), MATCH(C315, Analysis!$D$115:$N$115, 0)), "")</f>
        <v/>
      </c>
      <c r="J315" t="str">
        <f t="shared" si="28"/>
        <v/>
      </c>
      <c r="K315" s="28" t="str">
        <f t="shared" si="25"/>
        <v/>
      </c>
      <c r="L315" s="46" t="str">
        <f t="shared" si="29"/>
        <v/>
      </c>
      <c r="M315" t="str" cm="1">
        <f t="array" ref="M315">IF(L315="","",_xlfn.IFS(
  AND(L315&gt;=TIME(9,0,0), L315&lt;TIME(16,0,0)),"Morning",
  AND(L315&gt;=TIME(16,0,0), L315&lt;TIME(23,59,0)),"Evening",
  L315&gt;=TIME(23,59,0),"Night",
  L315&lt;TIME(9,0,0),"Night"
))</f>
        <v/>
      </c>
      <c r="O315" t="str">
        <f t="shared" si="26"/>
        <v/>
      </c>
    </row>
    <row r="316" spans="1:15" x14ac:dyDescent="0.25">
      <c r="A316" s="49"/>
      <c r="B316" s="50"/>
      <c r="G316" t="str">
        <f t="shared" si="24"/>
        <v/>
      </c>
      <c r="H316" s="13" t="str">
        <f t="shared" si="27"/>
        <v/>
      </c>
      <c r="I316" t="str">
        <f>IFERROR(INDEX(Analysis!$D$116:$N$137, MATCH(B316, Analysis!$C$116:$C$137, 0), MATCH(C316, Analysis!$D$115:$N$115, 0)), "")</f>
        <v/>
      </c>
      <c r="J316" t="str">
        <f t="shared" si="28"/>
        <v/>
      </c>
      <c r="K316" s="28" t="str">
        <f t="shared" si="25"/>
        <v/>
      </c>
      <c r="L316" s="46" t="str">
        <f t="shared" si="29"/>
        <v/>
      </c>
      <c r="M316" t="str" cm="1">
        <f t="array" ref="M316">IF(L316="","",_xlfn.IFS(
  AND(L316&gt;=TIME(9,0,0), L316&lt;TIME(16,0,0)),"Morning",
  AND(L316&gt;=TIME(16,0,0), L316&lt;TIME(23,59,0)),"Evening",
  L316&gt;=TIME(23,59,0),"Night",
  L316&lt;TIME(9,0,0),"Night"
))</f>
        <v/>
      </c>
      <c r="O316" t="str">
        <f t="shared" si="26"/>
        <v/>
      </c>
    </row>
    <row r="317" spans="1:15" x14ac:dyDescent="0.25">
      <c r="A317" s="49"/>
      <c r="B317" s="50"/>
      <c r="G317" t="str">
        <f t="shared" si="24"/>
        <v/>
      </c>
      <c r="H317" s="13" t="str">
        <f t="shared" si="27"/>
        <v/>
      </c>
      <c r="I317" t="str">
        <f>IFERROR(INDEX(Analysis!$D$116:$N$137, MATCH(B317, Analysis!$C$116:$C$137, 0), MATCH(C317, Analysis!$D$115:$N$115, 0)), "")</f>
        <v/>
      </c>
      <c r="J317" t="str">
        <f t="shared" si="28"/>
        <v/>
      </c>
      <c r="K317" s="28" t="str">
        <f t="shared" si="25"/>
        <v/>
      </c>
      <c r="L317" s="46" t="str">
        <f t="shared" si="29"/>
        <v/>
      </c>
      <c r="M317" t="str" cm="1">
        <f t="array" ref="M317">IF(L317="","",_xlfn.IFS(
  AND(L317&gt;=TIME(9,0,0), L317&lt;TIME(16,0,0)),"Morning",
  AND(L317&gt;=TIME(16,0,0), L317&lt;TIME(23,59,0)),"Evening",
  L317&gt;=TIME(23,59,0),"Night",
  L317&lt;TIME(9,0,0),"Night"
))</f>
        <v/>
      </c>
      <c r="O317" t="str">
        <f t="shared" si="26"/>
        <v/>
      </c>
    </row>
    <row r="318" spans="1:15" x14ac:dyDescent="0.25">
      <c r="A318" s="49"/>
      <c r="B318" s="50"/>
      <c r="G318" t="str">
        <f t="shared" si="24"/>
        <v/>
      </c>
      <c r="H318" s="13" t="str">
        <f t="shared" si="27"/>
        <v/>
      </c>
      <c r="I318" t="str">
        <f>IFERROR(INDEX(Analysis!$D$116:$N$137, MATCH(B318, Analysis!$C$116:$C$137, 0), MATCH(C318, Analysis!$D$115:$N$115, 0)), "")</f>
        <v/>
      </c>
      <c r="J318" t="str">
        <f t="shared" si="28"/>
        <v/>
      </c>
      <c r="K318" s="28" t="str">
        <f t="shared" si="25"/>
        <v/>
      </c>
      <c r="L318" s="46" t="str">
        <f t="shared" si="29"/>
        <v/>
      </c>
      <c r="M318" t="str" cm="1">
        <f t="array" ref="M318">IF(L318="","",_xlfn.IFS(
  AND(L318&gt;=TIME(9,0,0), L318&lt;TIME(16,0,0)),"Morning",
  AND(L318&gt;=TIME(16,0,0), L318&lt;TIME(23,59,0)),"Evening",
  L318&gt;=TIME(23,59,0),"Night",
  L318&lt;TIME(9,0,0),"Night"
))</f>
        <v/>
      </c>
      <c r="O318" t="str">
        <f t="shared" si="26"/>
        <v/>
      </c>
    </row>
    <row r="319" spans="1:15" x14ac:dyDescent="0.25">
      <c r="A319" s="49"/>
      <c r="B319" s="50"/>
      <c r="G319" t="str">
        <f t="shared" si="24"/>
        <v/>
      </c>
      <c r="H319" s="13" t="str">
        <f t="shared" si="27"/>
        <v/>
      </c>
      <c r="I319" t="str">
        <f>IFERROR(INDEX(Analysis!$D$116:$N$137, MATCH(B319, Analysis!$C$116:$C$137, 0), MATCH(C319, Analysis!$D$115:$N$115, 0)), "")</f>
        <v/>
      </c>
      <c r="J319" t="str">
        <f t="shared" si="28"/>
        <v/>
      </c>
      <c r="K319" s="28" t="str">
        <f t="shared" si="25"/>
        <v/>
      </c>
      <c r="L319" s="46" t="str">
        <f t="shared" si="29"/>
        <v/>
      </c>
      <c r="M319" t="str" cm="1">
        <f t="array" ref="M319">IF(L319="","",_xlfn.IFS(
  AND(L319&gt;=TIME(9,0,0), L319&lt;TIME(16,0,0)),"Morning",
  AND(L319&gt;=TIME(16,0,0), L319&lt;TIME(23,59,0)),"Evening",
  L319&gt;=TIME(23,59,0),"Night",
  L319&lt;TIME(9,0,0),"Night"
))</f>
        <v/>
      </c>
      <c r="O319" t="str">
        <f t="shared" si="26"/>
        <v/>
      </c>
    </row>
    <row r="320" spans="1:15" x14ac:dyDescent="0.25">
      <c r="A320" s="49"/>
      <c r="B320" s="50"/>
      <c r="G320" t="str">
        <f t="shared" si="24"/>
        <v/>
      </c>
      <c r="H320" s="13" t="str">
        <f t="shared" si="27"/>
        <v/>
      </c>
      <c r="I320" t="str">
        <f>IFERROR(INDEX(Analysis!$D$116:$N$137, MATCH(B320, Analysis!$C$116:$C$137, 0), MATCH(C320, Analysis!$D$115:$N$115, 0)), "")</f>
        <v/>
      </c>
      <c r="J320" t="str">
        <f t="shared" si="28"/>
        <v/>
      </c>
      <c r="K320" s="28" t="str">
        <f t="shared" si="25"/>
        <v/>
      </c>
      <c r="L320" s="46" t="str">
        <f t="shared" si="29"/>
        <v/>
      </c>
      <c r="M320" t="str" cm="1">
        <f t="array" ref="M320">IF(L320="","",_xlfn.IFS(
  AND(L320&gt;=TIME(9,0,0), L320&lt;TIME(16,0,0)),"Morning",
  AND(L320&gt;=TIME(16,0,0), L320&lt;TIME(23,59,0)),"Evening",
  L320&gt;=TIME(23,59,0),"Night",
  L320&lt;TIME(9,0,0),"Night"
))</f>
        <v/>
      </c>
      <c r="O320" t="str">
        <f t="shared" si="26"/>
        <v/>
      </c>
    </row>
    <row r="321" spans="1:15" x14ac:dyDescent="0.25">
      <c r="A321" s="49"/>
      <c r="B321" s="50"/>
      <c r="G321" t="str">
        <f t="shared" si="24"/>
        <v/>
      </c>
      <c r="H321" s="13" t="str">
        <f t="shared" si="27"/>
        <v/>
      </c>
      <c r="I321" t="str">
        <f>IFERROR(INDEX(Analysis!$D$116:$N$137, MATCH(B321, Analysis!$C$116:$C$137, 0), MATCH(C321, Analysis!$D$115:$N$115, 0)), "")</f>
        <v/>
      </c>
      <c r="J321" t="str">
        <f t="shared" si="28"/>
        <v/>
      </c>
      <c r="K321" s="28" t="str">
        <f t="shared" si="25"/>
        <v/>
      </c>
      <c r="L321" s="46" t="str">
        <f t="shared" si="29"/>
        <v/>
      </c>
      <c r="M321" t="str" cm="1">
        <f t="array" ref="M321">IF(L321="","",_xlfn.IFS(
  AND(L321&gt;=TIME(9,0,0), L321&lt;TIME(16,0,0)),"Morning",
  AND(L321&gt;=TIME(16,0,0), L321&lt;TIME(23,59,0)),"Evening",
  L321&gt;=TIME(23,59,0),"Night",
  L321&lt;TIME(9,0,0),"Night"
))</f>
        <v/>
      </c>
      <c r="O321" t="str">
        <f t="shared" si="26"/>
        <v/>
      </c>
    </row>
    <row r="322" spans="1:15" x14ac:dyDescent="0.25">
      <c r="A322" s="49"/>
      <c r="B322" s="50"/>
      <c r="G322" t="str">
        <f t="shared" ref="G322:G385" si="30">IF(ISBLANK(A322), "", IF(ISBLANK(F322), 0, F322))</f>
        <v/>
      </c>
      <c r="H322" s="13" t="str">
        <f t="shared" si="27"/>
        <v/>
      </c>
      <c r="I322" t="str">
        <f>IFERROR(INDEX(Analysis!$D$116:$N$137, MATCH(B322, Analysis!$C$116:$C$137, 0), MATCH(C322, Analysis!$D$115:$N$115, 0)), "")</f>
        <v/>
      </c>
      <c r="J322" t="str">
        <f t="shared" si="28"/>
        <v/>
      </c>
      <c r="K322" s="28" t="str">
        <f t="shared" ref="K322:K385" si="31">IF(ISBLANK(A322),"",DATE(YEAR(A322),MONTH(A322),DAY(A322)))</f>
        <v/>
      </c>
      <c r="L322" s="46" t="str">
        <f t="shared" si="29"/>
        <v/>
      </c>
      <c r="M322" t="str" cm="1">
        <f t="array" ref="M322">IF(L322="","",_xlfn.IFS(
  AND(L322&gt;=TIME(9,0,0), L322&lt;TIME(16,0,0)),"Morning",
  AND(L322&gt;=TIME(16,0,0), L322&lt;TIME(23,59,0)),"Evening",
  L322&gt;=TIME(23,59,0),"Night",
  L322&lt;TIME(9,0,0),"Night"
))</f>
        <v/>
      </c>
      <c r="O322" t="str">
        <f t="shared" ref="O322:O385" si="32">IF(N322="ON", _xlfn.IMAGE(E322, 1), "")</f>
        <v/>
      </c>
    </row>
    <row r="323" spans="1:15" x14ac:dyDescent="0.25">
      <c r="A323" s="49"/>
      <c r="B323" s="50"/>
      <c r="G323" t="str">
        <f t="shared" si="30"/>
        <v/>
      </c>
      <c r="H323" s="13" t="str">
        <f t="shared" ref="H323:H386" si="33">IF(ISBLANK(E323),"",HYPERLINK(E323,"Click here"))</f>
        <v/>
      </c>
      <c r="I323" t="str">
        <f>IFERROR(INDEX(Analysis!$D$116:$N$137, MATCH(B323, Analysis!$C$116:$C$137, 0), MATCH(C323, Analysis!$D$115:$N$115, 0)), "")</f>
        <v/>
      </c>
      <c r="J323" t="str">
        <f t="shared" ref="J323:J386" si="34">IF(ISBLANK(A323),"",WEEKNUM(A323))</f>
        <v/>
      </c>
      <c r="K323" s="28" t="str">
        <f t="shared" si="31"/>
        <v/>
      </c>
      <c r="L323" s="46" t="str">
        <f t="shared" ref="L323:L386" si="35">IF(A323="", "", A323 - INT(A323))</f>
        <v/>
      </c>
      <c r="M323" t="str" cm="1">
        <f t="array" ref="M323">IF(L323="","",_xlfn.IFS(
  AND(L323&gt;=TIME(9,0,0), L323&lt;TIME(16,0,0)),"Morning",
  AND(L323&gt;=TIME(16,0,0), L323&lt;TIME(23,59,0)),"Evening",
  L323&gt;=TIME(23,59,0),"Night",
  L323&lt;TIME(9,0,0),"Night"
))</f>
        <v/>
      </c>
      <c r="O323" t="str">
        <f t="shared" si="32"/>
        <v/>
      </c>
    </row>
    <row r="324" spans="1:15" x14ac:dyDescent="0.25">
      <c r="A324" s="49"/>
      <c r="B324" s="50"/>
      <c r="G324" t="str">
        <f t="shared" si="30"/>
        <v/>
      </c>
      <c r="H324" s="13" t="str">
        <f t="shared" si="33"/>
        <v/>
      </c>
      <c r="I324" t="str">
        <f>IFERROR(INDEX(Analysis!$D$116:$N$137, MATCH(B324, Analysis!$C$116:$C$137, 0), MATCH(C324, Analysis!$D$115:$N$115, 0)), "")</f>
        <v/>
      </c>
      <c r="J324" t="str">
        <f t="shared" si="34"/>
        <v/>
      </c>
      <c r="K324" s="28" t="str">
        <f t="shared" si="31"/>
        <v/>
      </c>
      <c r="L324" s="46" t="str">
        <f t="shared" si="35"/>
        <v/>
      </c>
      <c r="M324" t="str" cm="1">
        <f t="array" ref="M324">IF(L324="","",_xlfn.IFS(
  AND(L324&gt;=TIME(9,0,0), L324&lt;TIME(16,0,0)),"Morning",
  AND(L324&gt;=TIME(16,0,0), L324&lt;TIME(23,59,0)),"Evening",
  L324&gt;=TIME(23,59,0),"Night",
  L324&lt;TIME(9,0,0),"Night"
))</f>
        <v/>
      </c>
      <c r="O324" t="str">
        <f t="shared" si="32"/>
        <v/>
      </c>
    </row>
    <row r="325" spans="1:15" x14ac:dyDescent="0.25">
      <c r="A325" s="49"/>
      <c r="B325" s="50"/>
      <c r="G325" t="str">
        <f t="shared" si="30"/>
        <v/>
      </c>
      <c r="H325" s="13" t="str">
        <f t="shared" si="33"/>
        <v/>
      </c>
      <c r="I325" t="str">
        <f>IFERROR(INDEX(Analysis!$D$116:$N$137, MATCH(B325, Analysis!$C$116:$C$137, 0), MATCH(C325, Analysis!$D$115:$N$115, 0)), "")</f>
        <v/>
      </c>
      <c r="J325" t="str">
        <f t="shared" si="34"/>
        <v/>
      </c>
      <c r="K325" s="28" t="str">
        <f t="shared" si="31"/>
        <v/>
      </c>
      <c r="L325" s="46" t="str">
        <f t="shared" si="35"/>
        <v/>
      </c>
      <c r="M325" t="str" cm="1">
        <f t="array" ref="M325">IF(L325="","",_xlfn.IFS(
  AND(L325&gt;=TIME(9,0,0), L325&lt;TIME(16,0,0)),"Morning",
  AND(L325&gt;=TIME(16,0,0), L325&lt;TIME(23,59,0)),"Evening",
  L325&gt;=TIME(23,59,0),"Night",
  L325&lt;TIME(9,0,0),"Night"
))</f>
        <v/>
      </c>
      <c r="O325" t="str">
        <f t="shared" si="32"/>
        <v/>
      </c>
    </row>
    <row r="326" spans="1:15" x14ac:dyDescent="0.25">
      <c r="A326" s="49"/>
      <c r="B326" s="50"/>
      <c r="G326" t="str">
        <f t="shared" si="30"/>
        <v/>
      </c>
      <c r="H326" s="13" t="str">
        <f t="shared" si="33"/>
        <v/>
      </c>
      <c r="I326" t="str">
        <f>IFERROR(INDEX(Analysis!$D$116:$N$137, MATCH(B326, Analysis!$C$116:$C$137, 0), MATCH(C326, Analysis!$D$115:$N$115, 0)), "")</f>
        <v/>
      </c>
      <c r="J326" t="str">
        <f t="shared" si="34"/>
        <v/>
      </c>
      <c r="K326" s="28" t="str">
        <f t="shared" si="31"/>
        <v/>
      </c>
      <c r="L326" s="46" t="str">
        <f t="shared" si="35"/>
        <v/>
      </c>
      <c r="M326" t="str" cm="1">
        <f t="array" ref="M326">IF(L326="","",_xlfn.IFS(
  AND(L326&gt;=TIME(9,0,0), L326&lt;TIME(16,0,0)),"Morning",
  AND(L326&gt;=TIME(16,0,0), L326&lt;TIME(23,59,0)),"Evening",
  L326&gt;=TIME(23,59,0),"Night",
  L326&lt;TIME(9,0,0),"Night"
))</f>
        <v/>
      </c>
      <c r="O326" t="str">
        <f t="shared" si="32"/>
        <v/>
      </c>
    </row>
    <row r="327" spans="1:15" x14ac:dyDescent="0.25">
      <c r="A327" s="49"/>
      <c r="B327" s="50"/>
      <c r="G327" t="str">
        <f t="shared" si="30"/>
        <v/>
      </c>
      <c r="H327" s="13" t="str">
        <f t="shared" si="33"/>
        <v/>
      </c>
      <c r="I327" t="str">
        <f>IFERROR(INDEX(Analysis!$D$116:$N$137, MATCH(B327, Analysis!$C$116:$C$137, 0), MATCH(C327, Analysis!$D$115:$N$115, 0)), "")</f>
        <v/>
      </c>
      <c r="J327" t="str">
        <f t="shared" si="34"/>
        <v/>
      </c>
      <c r="K327" s="28" t="str">
        <f t="shared" si="31"/>
        <v/>
      </c>
      <c r="L327" s="46" t="str">
        <f t="shared" si="35"/>
        <v/>
      </c>
      <c r="M327" t="str" cm="1">
        <f t="array" ref="M327">IF(L327="","",_xlfn.IFS(
  AND(L327&gt;=TIME(9,0,0), L327&lt;TIME(16,0,0)),"Morning",
  AND(L327&gt;=TIME(16,0,0), L327&lt;TIME(23,59,0)),"Evening",
  L327&gt;=TIME(23,59,0),"Night",
  L327&lt;TIME(9,0,0),"Night"
))</f>
        <v/>
      </c>
      <c r="O327" t="str">
        <f t="shared" si="32"/>
        <v/>
      </c>
    </row>
    <row r="328" spans="1:15" x14ac:dyDescent="0.25">
      <c r="A328" s="49"/>
      <c r="B328" s="50"/>
      <c r="G328" t="str">
        <f t="shared" si="30"/>
        <v/>
      </c>
      <c r="H328" s="13" t="str">
        <f t="shared" si="33"/>
        <v/>
      </c>
      <c r="I328" t="str">
        <f>IFERROR(INDEX(Analysis!$D$116:$N$137, MATCH(B328, Analysis!$C$116:$C$137, 0), MATCH(C328, Analysis!$D$115:$N$115, 0)), "")</f>
        <v/>
      </c>
      <c r="J328" t="str">
        <f t="shared" si="34"/>
        <v/>
      </c>
      <c r="K328" s="28" t="str">
        <f t="shared" si="31"/>
        <v/>
      </c>
      <c r="L328" s="46" t="str">
        <f t="shared" si="35"/>
        <v/>
      </c>
      <c r="M328" t="str" cm="1">
        <f t="array" ref="M328">IF(L328="","",_xlfn.IFS(
  AND(L328&gt;=TIME(9,0,0), L328&lt;TIME(16,0,0)),"Morning",
  AND(L328&gt;=TIME(16,0,0), L328&lt;TIME(23,59,0)),"Evening",
  L328&gt;=TIME(23,59,0),"Night",
  L328&lt;TIME(9,0,0),"Night"
))</f>
        <v/>
      </c>
      <c r="O328" t="str">
        <f t="shared" si="32"/>
        <v/>
      </c>
    </row>
    <row r="329" spans="1:15" x14ac:dyDescent="0.25">
      <c r="A329" s="49"/>
      <c r="B329" s="50"/>
      <c r="G329" t="str">
        <f t="shared" si="30"/>
        <v/>
      </c>
      <c r="H329" s="13" t="str">
        <f t="shared" si="33"/>
        <v/>
      </c>
      <c r="I329" t="str">
        <f>IFERROR(INDEX(Analysis!$D$116:$N$137, MATCH(B329, Analysis!$C$116:$C$137, 0), MATCH(C329, Analysis!$D$115:$N$115, 0)), "")</f>
        <v/>
      </c>
      <c r="J329" t="str">
        <f t="shared" si="34"/>
        <v/>
      </c>
      <c r="K329" s="28" t="str">
        <f t="shared" si="31"/>
        <v/>
      </c>
      <c r="L329" s="46" t="str">
        <f t="shared" si="35"/>
        <v/>
      </c>
      <c r="M329" t="str" cm="1">
        <f t="array" ref="M329">IF(L329="","",_xlfn.IFS(
  AND(L329&gt;=TIME(9,0,0), L329&lt;TIME(16,0,0)),"Morning",
  AND(L329&gt;=TIME(16,0,0), L329&lt;TIME(23,59,0)),"Evening",
  L329&gt;=TIME(23,59,0),"Night",
  L329&lt;TIME(9,0,0),"Night"
))</f>
        <v/>
      </c>
      <c r="O329" t="str">
        <f t="shared" si="32"/>
        <v/>
      </c>
    </row>
    <row r="330" spans="1:15" x14ac:dyDescent="0.25">
      <c r="A330" s="49"/>
      <c r="B330" s="50"/>
      <c r="G330" t="str">
        <f t="shared" si="30"/>
        <v/>
      </c>
      <c r="H330" s="13" t="str">
        <f t="shared" si="33"/>
        <v/>
      </c>
      <c r="I330" t="str">
        <f>IFERROR(INDEX(Analysis!$D$116:$N$137, MATCH(B330, Analysis!$C$116:$C$137, 0), MATCH(C330, Analysis!$D$115:$N$115, 0)), "")</f>
        <v/>
      </c>
      <c r="J330" t="str">
        <f t="shared" si="34"/>
        <v/>
      </c>
      <c r="K330" s="28" t="str">
        <f t="shared" si="31"/>
        <v/>
      </c>
      <c r="L330" s="46" t="str">
        <f t="shared" si="35"/>
        <v/>
      </c>
      <c r="M330" t="str" cm="1">
        <f t="array" ref="M330">IF(L330="","",_xlfn.IFS(
  AND(L330&gt;=TIME(9,0,0), L330&lt;TIME(16,0,0)),"Morning",
  AND(L330&gt;=TIME(16,0,0), L330&lt;TIME(23,59,0)),"Evening",
  L330&gt;=TIME(23,59,0),"Night",
  L330&lt;TIME(9,0,0),"Night"
))</f>
        <v/>
      </c>
      <c r="O330" t="str">
        <f t="shared" si="32"/>
        <v/>
      </c>
    </row>
    <row r="331" spans="1:15" x14ac:dyDescent="0.25">
      <c r="A331" s="49"/>
      <c r="B331" s="50"/>
      <c r="G331" t="str">
        <f t="shared" si="30"/>
        <v/>
      </c>
      <c r="H331" s="13" t="str">
        <f t="shared" si="33"/>
        <v/>
      </c>
      <c r="I331" t="str">
        <f>IFERROR(INDEX(Analysis!$D$116:$N$137, MATCH(B331, Analysis!$C$116:$C$137, 0), MATCH(C331, Analysis!$D$115:$N$115, 0)), "")</f>
        <v/>
      </c>
      <c r="J331" t="str">
        <f t="shared" si="34"/>
        <v/>
      </c>
      <c r="K331" s="28" t="str">
        <f t="shared" si="31"/>
        <v/>
      </c>
      <c r="L331" s="46" t="str">
        <f t="shared" si="35"/>
        <v/>
      </c>
      <c r="M331" t="str" cm="1">
        <f t="array" ref="M331">IF(L331="","",_xlfn.IFS(
  AND(L331&gt;=TIME(9,0,0), L331&lt;TIME(16,0,0)),"Morning",
  AND(L331&gt;=TIME(16,0,0), L331&lt;TIME(23,59,0)),"Evening",
  L331&gt;=TIME(23,59,0),"Night",
  L331&lt;TIME(9,0,0),"Night"
))</f>
        <v/>
      </c>
      <c r="O331" t="str">
        <f t="shared" si="32"/>
        <v/>
      </c>
    </row>
    <row r="332" spans="1:15" x14ac:dyDescent="0.25">
      <c r="A332" s="49"/>
      <c r="B332" s="50"/>
      <c r="G332" t="str">
        <f t="shared" si="30"/>
        <v/>
      </c>
      <c r="H332" s="13" t="str">
        <f t="shared" si="33"/>
        <v/>
      </c>
      <c r="I332" t="str">
        <f>IFERROR(INDEX(Analysis!$D$116:$N$137, MATCH(B332, Analysis!$C$116:$C$137, 0), MATCH(C332, Analysis!$D$115:$N$115, 0)), "")</f>
        <v/>
      </c>
      <c r="J332" t="str">
        <f t="shared" si="34"/>
        <v/>
      </c>
      <c r="K332" s="28" t="str">
        <f t="shared" si="31"/>
        <v/>
      </c>
      <c r="L332" s="46" t="str">
        <f t="shared" si="35"/>
        <v/>
      </c>
      <c r="M332" t="str" cm="1">
        <f t="array" ref="M332">IF(L332="","",_xlfn.IFS(
  AND(L332&gt;=TIME(9,0,0), L332&lt;TIME(16,0,0)),"Morning",
  AND(L332&gt;=TIME(16,0,0), L332&lt;TIME(23,59,0)),"Evening",
  L332&gt;=TIME(23,59,0),"Night",
  L332&lt;TIME(9,0,0),"Night"
))</f>
        <v/>
      </c>
      <c r="O332" t="str">
        <f t="shared" si="32"/>
        <v/>
      </c>
    </row>
    <row r="333" spans="1:15" x14ac:dyDescent="0.25">
      <c r="A333" s="49"/>
      <c r="B333" s="50"/>
      <c r="G333" t="str">
        <f t="shared" si="30"/>
        <v/>
      </c>
      <c r="H333" s="13" t="str">
        <f t="shared" si="33"/>
        <v/>
      </c>
      <c r="I333" t="str">
        <f>IFERROR(INDEX(Analysis!$D$116:$N$137, MATCH(B333, Analysis!$C$116:$C$137, 0), MATCH(C333, Analysis!$D$115:$N$115, 0)), "")</f>
        <v/>
      </c>
      <c r="J333" t="str">
        <f t="shared" si="34"/>
        <v/>
      </c>
      <c r="K333" s="28" t="str">
        <f t="shared" si="31"/>
        <v/>
      </c>
      <c r="L333" s="46" t="str">
        <f t="shared" si="35"/>
        <v/>
      </c>
      <c r="M333" t="str" cm="1">
        <f t="array" ref="M333">IF(L333="","",_xlfn.IFS(
  AND(L333&gt;=TIME(9,0,0), L333&lt;TIME(16,0,0)),"Morning",
  AND(L333&gt;=TIME(16,0,0), L333&lt;TIME(23,59,0)),"Evening",
  L333&gt;=TIME(23,59,0),"Night",
  L333&lt;TIME(9,0,0),"Night"
))</f>
        <v/>
      </c>
      <c r="O333" t="str">
        <f t="shared" si="32"/>
        <v/>
      </c>
    </row>
    <row r="334" spans="1:15" x14ac:dyDescent="0.25">
      <c r="A334" s="49"/>
      <c r="B334" s="50"/>
      <c r="G334" t="str">
        <f t="shared" si="30"/>
        <v/>
      </c>
      <c r="H334" s="13" t="str">
        <f t="shared" si="33"/>
        <v/>
      </c>
      <c r="I334" t="str">
        <f>IFERROR(INDEX(Analysis!$D$116:$N$137, MATCH(B334, Analysis!$C$116:$C$137, 0), MATCH(C334, Analysis!$D$115:$N$115, 0)), "")</f>
        <v/>
      </c>
      <c r="J334" t="str">
        <f t="shared" si="34"/>
        <v/>
      </c>
      <c r="K334" s="28" t="str">
        <f t="shared" si="31"/>
        <v/>
      </c>
      <c r="L334" s="46" t="str">
        <f t="shared" si="35"/>
        <v/>
      </c>
      <c r="M334" t="str" cm="1">
        <f t="array" ref="M334">IF(L334="","",_xlfn.IFS(
  AND(L334&gt;=TIME(9,0,0), L334&lt;TIME(16,0,0)),"Morning",
  AND(L334&gt;=TIME(16,0,0), L334&lt;TIME(23,59,0)),"Evening",
  L334&gt;=TIME(23,59,0),"Night",
  L334&lt;TIME(9,0,0),"Night"
))</f>
        <v/>
      </c>
      <c r="O334" t="str">
        <f t="shared" si="32"/>
        <v/>
      </c>
    </row>
    <row r="335" spans="1:15" x14ac:dyDescent="0.25">
      <c r="A335" s="49"/>
      <c r="B335" s="50"/>
      <c r="G335" t="str">
        <f t="shared" si="30"/>
        <v/>
      </c>
      <c r="H335" s="13" t="str">
        <f t="shared" si="33"/>
        <v/>
      </c>
      <c r="I335" t="str">
        <f>IFERROR(INDEX(Analysis!$D$116:$N$137, MATCH(B335, Analysis!$C$116:$C$137, 0), MATCH(C335, Analysis!$D$115:$N$115, 0)), "")</f>
        <v/>
      </c>
      <c r="J335" t="str">
        <f t="shared" si="34"/>
        <v/>
      </c>
      <c r="K335" s="28" t="str">
        <f t="shared" si="31"/>
        <v/>
      </c>
      <c r="L335" s="46" t="str">
        <f t="shared" si="35"/>
        <v/>
      </c>
      <c r="M335" t="str" cm="1">
        <f t="array" ref="M335">IF(L335="","",_xlfn.IFS(
  AND(L335&gt;=TIME(9,0,0), L335&lt;TIME(16,0,0)),"Morning",
  AND(L335&gt;=TIME(16,0,0), L335&lt;TIME(23,59,0)),"Evening",
  L335&gt;=TIME(23,59,0),"Night",
  L335&lt;TIME(9,0,0),"Night"
))</f>
        <v/>
      </c>
      <c r="O335" t="str">
        <f t="shared" si="32"/>
        <v/>
      </c>
    </row>
    <row r="336" spans="1:15" x14ac:dyDescent="0.25">
      <c r="A336" s="49"/>
      <c r="B336" s="50"/>
      <c r="G336" t="str">
        <f t="shared" si="30"/>
        <v/>
      </c>
      <c r="H336" s="13" t="str">
        <f t="shared" si="33"/>
        <v/>
      </c>
      <c r="I336" t="str">
        <f>IFERROR(INDEX(Analysis!$D$116:$N$137, MATCH(B336, Analysis!$C$116:$C$137, 0), MATCH(C336, Analysis!$D$115:$N$115, 0)), "")</f>
        <v/>
      </c>
      <c r="J336" t="str">
        <f t="shared" si="34"/>
        <v/>
      </c>
      <c r="K336" s="28" t="str">
        <f t="shared" si="31"/>
        <v/>
      </c>
      <c r="L336" s="46" t="str">
        <f t="shared" si="35"/>
        <v/>
      </c>
      <c r="M336" t="str" cm="1">
        <f t="array" ref="M336">IF(L336="","",_xlfn.IFS(
  AND(L336&gt;=TIME(9,0,0), L336&lt;TIME(16,0,0)),"Morning",
  AND(L336&gt;=TIME(16,0,0), L336&lt;TIME(23,59,0)),"Evening",
  L336&gt;=TIME(23,59,0),"Night",
  L336&lt;TIME(9,0,0),"Night"
))</f>
        <v/>
      </c>
      <c r="O336" t="str">
        <f t="shared" si="32"/>
        <v/>
      </c>
    </row>
    <row r="337" spans="1:15" x14ac:dyDescent="0.25">
      <c r="A337" s="49"/>
      <c r="B337" s="50"/>
      <c r="G337" t="str">
        <f t="shared" si="30"/>
        <v/>
      </c>
      <c r="H337" s="13" t="str">
        <f t="shared" si="33"/>
        <v/>
      </c>
      <c r="I337" t="str">
        <f>IFERROR(INDEX(Analysis!$D$116:$N$137, MATCH(B337, Analysis!$C$116:$C$137, 0), MATCH(C337, Analysis!$D$115:$N$115, 0)), "")</f>
        <v/>
      </c>
      <c r="J337" t="str">
        <f t="shared" si="34"/>
        <v/>
      </c>
      <c r="K337" s="28" t="str">
        <f t="shared" si="31"/>
        <v/>
      </c>
      <c r="L337" s="46" t="str">
        <f t="shared" si="35"/>
        <v/>
      </c>
      <c r="M337" t="str" cm="1">
        <f t="array" ref="M337">IF(L337="","",_xlfn.IFS(
  AND(L337&gt;=TIME(9,0,0), L337&lt;TIME(16,0,0)),"Morning",
  AND(L337&gt;=TIME(16,0,0), L337&lt;TIME(23,59,0)),"Evening",
  L337&gt;=TIME(23,59,0),"Night",
  L337&lt;TIME(9,0,0),"Night"
))</f>
        <v/>
      </c>
      <c r="O337" t="str">
        <f t="shared" si="32"/>
        <v/>
      </c>
    </row>
    <row r="338" spans="1:15" x14ac:dyDescent="0.25">
      <c r="A338" s="49"/>
      <c r="B338" s="50"/>
      <c r="G338" t="str">
        <f t="shared" si="30"/>
        <v/>
      </c>
      <c r="H338" s="13" t="str">
        <f t="shared" si="33"/>
        <v/>
      </c>
      <c r="I338" t="str">
        <f>IFERROR(INDEX(Analysis!$D$116:$N$137, MATCH(B338, Analysis!$C$116:$C$137, 0), MATCH(C338, Analysis!$D$115:$N$115, 0)), "")</f>
        <v/>
      </c>
      <c r="J338" t="str">
        <f t="shared" si="34"/>
        <v/>
      </c>
      <c r="K338" s="28" t="str">
        <f t="shared" si="31"/>
        <v/>
      </c>
      <c r="L338" s="46" t="str">
        <f t="shared" si="35"/>
        <v/>
      </c>
      <c r="M338" t="str" cm="1">
        <f t="array" ref="M338">IF(L338="","",_xlfn.IFS(
  AND(L338&gt;=TIME(9,0,0), L338&lt;TIME(16,0,0)),"Morning",
  AND(L338&gt;=TIME(16,0,0), L338&lt;TIME(23,59,0)),"Evening",
  L338&gt;=TIME(23,59,0),"Night",
  L338&lt;TIME(9,0,0),"Night"
))</f>
        <v/>
      </c>
      <c r="O338" t="str">
        <f t="shared" si="32"/>
        <v/>
      </c>
    </row>
    <row r="339" spans="1:15" x14ac:dyDescent="0.25">
      <c r="A339" s="49"/>
      <c r="B339" s="50"/>
      <c r="G339" t="str">
        <f t="shared" si="30"/>
        <v/>
      </c>
      <c r="H339" s="13" t="str">
        <f t="shared" si="33"/>
        <v/>
      </c>
      <c r="I339" t="str">
        <f>IFERROR(INDEX(Analysis!$D$116:$N$137, MATCH(B339, Analysis!$C$116:$C$137, 0), MATCH(C339, Analysis!$D$115:$N$115, 0)), "")</f>
        <v/>
      </c>
      <c r="J339" t="str">
        <f t="shared" si="34"/>
        <v/>
      </c>
      <c r="K339" s="28" t="str">
        <f t="shared" si="31"/>
        <v/>
      </c>
      <c r="L339" s="46" t="str">
        <f t="shared" si="35"/>
        <v/>
      </c>
      <c r="M339" t="str" cm="1">
        <f t="array" ref="M339">IF(L339="","",_xlfn.IFS(
  AND(L339&gt;=TIME(9,0,0), L339&lt;TIME(16,0,0)),"Morning",
  AND(L339&gt;=TIME(16,0,0), L339&lt;TIME(23,59,0)),"Evening",
  L339&gt;=TIME(23,59,0),"Night",
  L339&lt;TIME(9,0,0),"Night"
))</f>
        <v/>
      </c>
      <c r="O339" t="str">
        <f t="shared" si="32"/>
        <v/>
      </c>
    </row>
    <row r="340" spans="1:15" x14ac:dyDescent="0.25">
      <c r="A340" s="49"/>
      <c r="B340" s="50"/>
      <c r="G340" t="str">
        <f t="shared" si="30"/>
        <v/>
      </c>
      <c r="H340" s="13" t="str">
        <f t="shared" si="33"/>
        <v/>
      </c>
      <c r="I340" t="str">
        <f>IFERROR(INDEX(Analysis!$D$116:$N$137, MATCH(B340, Analysis!$C$116:$C$137, 0), MATCH(C340, Analysis!$D$115:$N$115, 0)), "")</f>
        <v/>
      </c>
      <c r="J340" t="str">
        <f t="shared" si="34"/>
        <v/>
      </c>
      <c r="K340" s="28" t="str">
        <f t="shared" si="31"/>
        <v/>
      </c>
      <c r="L340" s="46" t="str">
        <f t="shared" si="35"/>
        <v/>
      </c>
      <c r="M340" t="str" cm="1">
        <f t="array" ref="M340">IF(L340="","",_xlfn.IFS(
  AND(L340&gt;=TIME(9,0,0), L340&lt;TIME(16,0,0)),"Morning",
  AND(L340&gt;=TIME(16,0,0), L340&lt;TIME(23,59,0)),"Evening",
  L340&gt;=TIME(23,59,0),"Night",
  L340&lt;TIME(9,0,0),"Night"
))</f>
        <v/>
      </c>
      <c r="O340" t="str">
        <f t="shared" si="32"/>
        <v/>
      </c>
    </row>
    <row r="341" spans="1:15" x14ac:dyDescent="0.25">
      <c r="A341" s="49"/>
      <c r="B341" s="50"/>
      <c r="G341" t="str">
        <f t="shared" si="30"/>
        <v/>
      </c>
      <c r="H341" s="13" t="str">
        <f t="shared" si="33"/>
        <v/>
      </c>
      <c r="I341" t="str">
        <f>IFERROR(INDEX(Analysis!$D$116:$N$137, MATCH(B341, Analysis!$C$116:$C$137, 0), MATCH(C341, Analysis!$D$115:$N$115, 0)), "")</f>
        <v/>
      </c>
      <c r="J341" t="str">
        <f t="shared" si="34"/>
        <v/>
      </c>
      <c r="K341" s="28" t="str">
        <f t="shared" si="31"/>
        <v/>
      </c>
      <c r="L341" s="46" t="str">
        <f t="shared" si="35"/>
        <v/>
      </c>
      <c r="M341" t="str" cm="1">
        <f t="array" ref="M341">IF(L341="","",_xlfn.IFS(
  AND(L341&gt;=TIME(9,0,0), L341&lt;TIME(16,0,0)),"Morning",
  AND(L341&gt;=TIME(16,0,0), L341&lt;TIME(23,59,0)),"Evening",
  L341&gt;=TIME(23,59,0),"Night",
  L341&lt;TIME(9,0,0),"Night"
))</f>
        <v/>
      </c>
      <c r="O341" t="str">
        <f t="shared" si="32"/>
        <v/>
      </c>
    </row>
    <row r="342" spans="1:15" x14ac:dyDescent="0.25">
      <c r="A342" s="49"/>
      <c r="B342" s="50"/>
      <c r="G342" t="str">
        <f t="shared" si="30"/>
        <v/>
      </c>
      <c r="H342" s="13" t="str">
        <f t="shared" si="33"/>
        <v/>
      </c>
      <c r="I342" t="str">
        <f>IFERROR(INDEX(Analysis!$D$116:$N$137, MATCH(B342, Analysis!$C$116:$C$137, 0), MATCH(C342, Analysis!$D$115:$N$115, 0)), "")</f>
        <v/>
      </c>
      <c r="J342" t="str">
        <f t="shared" si="34"/>
        <v/>
      </c>
      <c r="K342" s="28" t="str">
        <f t="shared" si="31"/>
        <v/>
      </c>
      <c r="L342" s="46" t="str">
        <f t="shared" si="35"/>
        <v/>
      </c>
      <c r="M342" t="str" cm="1">
        <f t="array" ref="M342">IF(L342="","",_xlfn.IFS(
  AND(L342&gt;=TIME(9,0,0), L342&lt;TIME(16,0,0)),"Morning",
  AND(L342&gt;=TIME(16,0,0), L342&lt;TIME(23,59,0)),"Evening",
  L342&gt;=TIME(23,59,0),"Night",
  L342&lt;TIME(9,0,0),"Night"
))</f>
        <v/>
      </c>
      <c r="O342" t="str">
        <f t="shared" si="32"/>
        <v/>
      </c>
    </row>
    <row r="343" spans="1:15" x14ac:dyDescent="0.25">
      <c r="A343" s="49"/>
      <c r="B343" s="50"/>
      <c r="G343" t="str">
        <f t="shared" si="30"/>
        <v/>
      </c>
      <c r="H343" s="13" t="str">
        <f t="shared" si="33"/>
        <v/>
      </c>
      <c r="I343" t="str">
        <f>IFERROR(INDEX(Analysis!$D$116:$N$137, MATCH(B343, Analysis!$C$116:$C$137, 0), MATCH(C343, Analysis!$D$115:$N$115, 0)), "")</f>
        <v/>
      </c>
      <c r="J343" t="str">
        <f t="shared" si="34"/>
        <v/>
      </c>
      <c r="K343" s="28" t="str">
        <f t="shared" si="31"/>
        <v/>
      </c>
      <c r="L343" s="46" t="str">
        <f t="shared" si="35"/>
        <v/>
      </c>
      <c r="M343" t="str" cm="1">
        <f t="array" ref="M343">IF(L343="","",_xlfn.IFS(
  AND(L343&gt;=TIME(9,0,0), L343&lt;TIME(16,0,0)),"Morning",
  AND(L343&gt;=TIME(16,0,0), L343&lt;TIME(23,59,0)),"Evening",
  L343&gt;=TIME(23,59,0),"Night",
  L343&lt;TIME(9,0,0),"Night"
))</f>
        <v/>
      </c>
      <c r="O343" t="str">
        <f t="shared" si="32"/>
        <v/>
      </c>
    </row>
    <row r="344" spans="1:15" x14ac:dyDescent="0.25">
      <c r="A344" s="49"/>
      <c r="B344" s="50"/>
      <c r="G344" t="str">
        <f t="shared" si="30"/>
        <v/>
      </c>
      <c r="H344" s="13" t="str">
        <f t="shared" si="33"/>
        <v/>
      </c>
      <c r="I344" t="str">
        <f>IFERROR(INDEX(Analysis!$D$116:$N$137, MATCH(B344, Analysis!$C$116:$C$137, 0), MATCH(C344, Analysis!$D$115:$N$115, 0)), "")</f>
        <v/>
      </c>
      <c r="J344" t="str">
        <f t="shared" si="34"/>
        <v/>
      </c>
      <c r="K344" s="28" t="str">
        <f t="shared" si="31"/>
        <v/>
      </c>
      <c r="L344" s="46" t="str">
        <f t="shared" si="35"/>
        <v/>
      </c>
      <c r="M344" t="str" cm="1">
        <f t="array" ref="M344">IF(L344="","",_xlfn.IFS(
  AND(L344&gt;=TIME(9,0,0), L344&lt;TIME(16,0,0)),"Morning",
  AND(L344&gt;=TIME(16,0,0), L344&lt;TIME(23,59,0)),"Evening",
  L344&gt;=TIME(23,59,0),"Night",
  L344&lt;TIME(9,0,0),"Night"
))</f>
        <v/>
      </c>
      <c r="O344" t="str">
        <f t="shared" si="32"/>
        <v/>
      </c>
    </row>
    <row r="345" spans="1:15" x14ac:dyDescent="0.25">
      <c r="A345" s="49"/>
      <c r="B345" s="50"/>
      <c r="G345" t="str">
        <f t="shared" si="30"/>
        <v/>
      </c>
      <c r="H345" s="13" t="str">
        <f t="shared" si="33"/>
        <v/>
      </c>
      <c r="I345" t="str">
        <f>IFERROR(INDEX(Analysis!$D$116:$N$137, MATCH(B345, Analysis!$C$116:$C$137, 0), MATCH(C345, Analysis!$D$115:$N$115, 0)), "")</f>
        <v/>
      </c>
      <c r="J345" t="str">
        <f t="shared" si="34"/>
        <v/>
      </c>
      <c r="K345" s="28" t="str">
        <f t="shared" si="31"/>
        <v/>
      </c>
      <c r="L345" s="46" t="str">
        <f t="shared" si="35"/>
        <v/>
      </c>
      <c r="M345" t="str" cm="1">
        <f t="array" ref="M345">IF(L345="","",_xlfn.IFS(
  AND(L345&gt;=TIME(9,0,0), L345&lt;TIME(16,0,0)),"Morning",
  AND(L345&gt;=TIME(16,0,0), L345&lt;TIME(23,59,0)),"Evening",
  L345&gt;=TIME(23,59,0),"Night",
  L345&lt;TIME(9,0,0),"Night"
))</f>
        <v/>
      </c>
      <c r="O345" t="str">
        <f t="shared" si="32"/>
        <v/>
      </c>
    </row>
    <row r="346" spans="1:15" x14ac:dyDescent="0.25">
      <c r="A346" s="49"/>
      <c r="B346" s="50"/>
      <c r="G346" t="str">
        <f t="shared" si="30"/>
        <v/>
      </c>
      <c r="H346" s="13" t="str">
        <f t="shared" si="33"/>
        <v/>
      </c>
      <c r="I346" t="str">
        <f>IFERROR(INDEX(Analysis!$D$116:$N$137, MATCH(B346, Analysis!$C$116:$C$137, 0), MATCH(C346, Analysis!$D$115:$N$115, 0)), "")</f>
        <v/>
      </c>
      <c r="J346" t="str">
        <f t="shared" si="34"/>
        <v/>
      </c>
      <c r="K346" s="28" t="str">
        <f t="shared" si="31"/>
        <v/>
      </c>
      <c r="L346" s="46" t="str">
        <f t="shared" si="35"/>
        <v/>
      </c>
      <c r="M346" t="str" cm="1">
        <f t="array" ref="M346">IF(L346="","",_xlfn.IFS(
  AND(L346&gt;=TIME(9,0,0), L346&lt;TIME(16,0,0)),"Morning",
  AND(L346&gt;=TIME(16,0,0), L346&lt;TIME(23,59,0)),"Evening",
  L346&gt;=TIME(23,59,0),"Night",
  L346&lt;TIME(9,0,0),"Night"
))</f>
        <v/>
      </c>
      <c r="O346" t="str">
        <f t="shared" si="32"/>
        <v/>
      </c>
    </row>
    <row r="347" spans="1:15" x14ac:dyDescent="0.25">
      <c r="A347" s="49"/>
      <c r="B347" s="50"/>
      <c r="G347" t="str">
        <f t="shared" si="30"/>
        <v/>
      </c>
      <c r="H347" s="13" t="str">
        <f t="shared" si="33"/>
        <v/>
      </c>
      <c r="I347" t="str">
        <f>IFERROR(INDEX(Analysis!$D$116:$N$137, MATCH(B347, Analysis!$C$116:$C$137, 0), MATCH(C347, Analysis!$D$115:$N$115, 0)), "")</f>
        <v/>
      </c>
      <c r="J347" t="str">
        <f t="shared" si="34"/>
        <v/>
      </c>
      <c r="K347" s="28" t="str">
        <f t="shared" si="31"/>
        <v/>
      </c>
      <c r="L347" s="46" t="str">
        <f t="shared" si="35"/>
        <v/>
      </c>
      <c r="M347" t="str" cm="1">
        <f t="array" ref="M347">IF(L347="","",_xlfn.IFS(
  AND(L347&gt;=TIME(9,0,0), L347&lt;TIME(16,0,0)),"Morning",
  AND(L347&gt;=TIME(16,0,0), L347&lt;TIME(23,59,0)),"Evening",
  L347&gt;=TIME(23,59,0),"Night",
  L347&lt;TIME(9,0,0),"Night"
))</f>
        <v/>
      </c>
      <c r="O347" t="str">
        <f t="shared" si="32"/>
        <v/>
      </c>
    </row>
    <row r="348" spans="1:15" x14ac:dyDescent="0.25">
      <c r="A348" s="49"/>
      <c r="B348" s="50"/>
      <c r="G348" t="str">
        <f t="shared" si="30"/>
        <v/>
      </c>
      <c r="H348" s="13" t="str">
        <f t="shared" si="33"/>
        <v/>
      </c>
      <c r="I348" t="str">
        <f>IFERROR(INDEX(Analysis!$D$116:$N$137, MATCH(B348, Analysis!$C$116:$C$137, 0), MATCH(C348, Analysis!$D$115:$N$115, 0)), "")</f>
        <v/>
      </c>
      <c r="J348" t="str">
        <f t="shared" si="34"/>
        <v/>
      </c>
      <c r="K348" s="28" t="str">
        <f t="shared" si="31"/>
        <v/>
      </c>
      <c r="L348" s="46" t="str">
        <f t="shared" si="35"/>
        <v/>
      </c>
      <c r="M348" t="str" cm="1">
        <f t="array" ref="M348">IF(L348="","",_xlfn.IFS(
  AND(L348&gt;=TIME(9,0,0), L348&lt;TIME(16,0,0)),"Morning",
  AND(L348&gt;=TIME(16,0,0), L348&lt;TIME(23,59,0)),"Evening",
  L348&gt;=TIME(23,59,0),"Night",
  L348&lt;TIME(9,0,0),"Night"
))</f>
        <v/>
      </c>
      <c r="O348" t="str">
        <f t="shared" si="32"/>
        <v/>
      </c>
    </row>
    <row r="349" spans="1:15" x14ac:dyDescent="0.25">
      <c r="A349" s="49"/>
      <c r="B349" s="50"/>
      <c r="G349" t="str">
        <f t="shared" si="30"/>
        <v/>
      </c>
      <c r="H349" s="13" t="str">
        <f t="shared" si="33"/>
        <v/>
      </c>
      <c r="I349" t="str">
        <f>IFERROR(INDEX(Analysis!$D$116:$N$137, MATCH(B349, Analysis!$C$116:$C$137, 0), MATCH(C349, Analysis!$D$115:$N$115, 0)), "")</f>
        <v/>
      </c>
      <c r="J349" t="str">
        <f t="shared" si="34"/>
        <v/>
      </c>
      <c r="K349" s="28" t="str">
        <f t="shared" si="31"/>
        <v/>
      </c>
      <c r="L349" s="46" t="str">
        <f t="shared" si="35"/>
        <v/>
      </c>
      <c r="M349" t="str" cm="1">
        <f t="array" ref="M349">IF(L349="","",_xlfn.IFS(
  AND(L349&gt;=TIME(9,0,0), L349&lt;TIME(16,0,0)),"Morning",
  AND(L349&gt;=TIME(16,0,0), L349&lt;TIME(23,59,0)),"Evening",
  L349&gt;=TIME(23,59,0),"Night",
  L349&lt;TIME(9,0,0),"Night"
))</f>
        <v/>
      </c>
      <c r="O349" t="str">
        <f t="shared" si="32"/>
        <v/>
      </c>
    </row>
    <row r="350" spans="1:15" x14ac:dyDescent="0.25">
      <c r="A350" s="49"/>
      <c r="B350" s="50"/>
      <c r="G350" t="str">
        <f t="shared" si="30"/>
        <v/>
      </c>
      <c r="H350" s="13" t="str">
        <f t="shared" si="33"/>
        <v/>
      </c>
      <c r="I350" t="str">
        <f>IFERROR(INDEX(Analysis!$D$116:$N$137, MATCH(B350, Analysis!$C$116:$C$137, 0), MATCH(C350, Analysis!$D$115:$N$115, 0)), "")</f>
        <v/>
      </c>
      <c r="J350" t="str">
        <f t="shared" si="34"/>
        <v/>
      </c>
      <c r="K350" s="28" t="str">
        <f t="shared" si="31"/>
        <v/>
      </c>
      <c r="L350" s="46" t="str">
        <f t="shared" si="35"/>
        <v/>
      </c>
      <c r="M350" t="str" cm="1">
        <f t="array" ref="M350">IF(L350="","",_xlfn.IFS(
  AND(L350&gt;=TIME(9,0,0), L350&lt;TIME(16,0,0)),"Morning",
  AND(L350&gt;=TIME(16,0,0), L350&lt;TIME(23,59,0)),"Evening",
  L350&gt;=TIME(23,59,0),"Night",
  L350&lt;TIME(9,0,0),"Night"
))</f>
        <v/>
      </c>
      <c r="O350" t="str">
        <f t="shared" si="32"/>
        <v/>
      </c>
    </row>
    <row r="351" spans="1:15" x14ac:dyDescent="0.25">
      <c r="A351" s="49"/>
      <c r="B351" s="50"/>
      <c r="G351" t="str">
        <f t="shared" si="30"/>
        <v/>
      </c>
      <c r="H351" s="13" t="str">
        <f t="shared" si="33"/>
        <v/>
      </c>
      <c r="I351" t="str">
        <f>IFERROR(INDEX(Analysis!$D$116:$N$137, MATCH(B351, Analysis!$C$116:$C$137, 0), MATCH(C351, Analysis!$D$115:$N$115, 0)), "")</f>
        <v/>
      </c>
      <c r="J351" t="str">
        <f t="shared" si="34"/>
        <v/>
      </c>
      <c r="K351" s="28" t="str">
        <f t="shared" si="31"/>
        <v/>
      </c>
      <c r="L351" s="46" t="str">
        <f t="shared" si="35"/>
        <v/>
      </c>
      <c r="M351" t="str" cm="1">
        <f t="array" ref="M351">IF(L351="","",_xlfn.IFS(
  AND(L351&gt;=TIME(9,0,0), L351&lt;TIME(16,0,0)),"Morning",
  AND(L351&gt;=TIME(16,0,0), L351&lt;TIME(23,59,0)),"Evening",
  L351&gt;=TIME(23,59,0),"Night",
  L351&lt;TIME(9,0,0),"Night"
))</f>
        <v/>
      </c>
      <c r="O351" t="str">
        <f t="shared" si="32"/>
        <v/>
      </c>
    </row>
    <row r="352" spans="1:15" x14ac:dyDescent="0.25">
      <c r="A352" s="49"/>
      <c r="B352" s="50"/>
      <c r="G352" t="str">
        <f t="shared" si="30"/>
        <v/>
      </c>
      <c r="H352" s="13" t="str">
        <f t="shared" si="33"/>
        <v/>
      </c>
      <c r="I352" t="str">
        <f>IFERROR(INDEX(Analysis!$D$116:$N$137, MATCH(B352, Analysis!$C$116:$C$137, 0), MATCH(C352, Analysis!$D$115:$N$115, 0)), "")</f>
        <v/>
      </c>
      <c r="J352" t="str">
        <f t="shared" si="34"/>
        <v/>
      </c>
      <c r="K352" s="28" t="str">
        <f t="shared" si="31"/>
        <v/>
      </c>
      <c r="L352" s="46" t="str">
        <f t="shared" si="35"/>
        <v/>
      </c>
      <c r="M352" t="str" cm="1">
        <f t="array" ref="M352">IF(L352="","",_xlfn.IFS(
  AND(L352&gt;=TIME(9,0,0), L352&lt;TIME(16,0,0)),"Morning",
  AND(L352&gt;=TIME(16,0,0), L352&lt;TIME(23,59,0)),"Evening",
  L352&gt;=TIME(23,59,0),"Night",
  L352&lt;TIME(9,0,0),"Night"
))</f>
        <v/>
      </c>
      <c r="O352" t="str">
        <f t="shared" si="32"/>
        <v/>
      </c>
    </row>
    <row r="353" spans="1:15" x14ac:dyDescent="0.25">
      <c r="A353" s="49"/>
      <c r="B353" s="50"/>
      <c r="G353" t="str">
        <f t="shared" si="30"/>
        <v/>
      </c>
      <c r="H353" s="13" t="str">
        <f t="shared" si="33"/>
        <v/>
      </c>
      <c r="I353" t="str">
        <f>IFERROR(INDEX(Analysis!$D$116:$N$137, MATCH(B353, Analysis!$C$116:$C$137, 0), MATCH(C353, Analysis!$D$115:$N$115, 0)), "")</f>
        <v/>
      </c>
      <c r="J353" t="str">
        <f t="shared" si="34"/>
        <v/>
      </c>
      <c r="K353" s="28" t="str">
        <f t="shared" si="31"/>
        <v/>
      </c>
      <c r="L353" s="46" t="str">
        <f t="shared" si="35"/>
        <v/>
      </c>
      <c r="M353" t="str" cm="1">
        <f t="array" ref="M353">IF(L353="","",_xlfn.IFS(
  AND(L353&gt;=TIME(9,0,0), L353&lt;TIME(16,0,0)),"Morning",
  AND(L353&gt;=TIME(16,0,0), L353&lt;TIME(23,59,0)),"Evening",
  L353&gt;=TIME(23,59,0),"Night",
  L353&lt;TIME(9,0,0),"Night"
))</f>
        <v/>
      </c>
      <c r="O353" t="str">
        <f t="shared" si="32"/>
        <v/>
      </c>
    </row>
    <row r="354" spans="1:15" x14ac:dyDescent="0.25">
      <c r="A354" s="49"/>
      <c r="B354" s="50"/>
      <c r="G354" t="str">
        <f t="shared" si="30"/>
        <v/>
      </c>
      <c r="H354" s="13" t="str">
        <f t="shared" si="33"/>
        <v/>
      </c>
      <c r="I354" t="str">
        <f>IFERROR(INDEX(Analysis!$D$116:$N$137, MATCH(B354, Analysis!$C$116:$C$137, 0), MATCH(C354, Analysis!$D$115:$N$115, 0)), "")</f>
        <v/>
      </c>
      <c r="J354" t="str">
        <f t="shared" si="34"/>
        <v/>
      </c>
      <c r="K354" s="28" t="str">
        <f t="shared" si="31"/>
        <v/>
      </c>
      <c r="L354" s="46" t="str">
        <f t="shared" si="35"/>
        <v/>
      </c>
      <c r="M354" t="str" cm="1">
        <f t="array" ref="M354">IF(L354="","",_xlfn.IFS(
  AND(L354&gt;=TIME(9,0,0), L354&lt;TIME(16,0,0)),"Morning",
  AND(L354&gt;=TIME(16,0,0), L354&lt;TIME(23,59,0)),"Evening",
  L354&gt;=TIME(23,59,0),"Night",
  L354&lt;TIME(9,0,0),"Night"
))</f>
        <v/>
      </c>
      <c r="O354" t="str">
        <f t="shared" si="32"/>
        <v/>
      </c>
    </row>
    <row r="355" spans="1:15" x14ac:dyDescent="0.25">
      <c r="A355" s="49"/>
      <c r="B355" s="50"/>
      <c r="G355" t="str">
        <f t="shared" si="30"/>
        <v/>
      </c>
      <c r="H355" s="13" t="str">
        <f t="shared" si="33"/>
        <v/>
      </c>
      <c r="I355" t="str">
        <f>IFERROR(INDEX(Analysis!$D$116:$N$137, MATCH(B355, Analysis!$C$116:$C$137, 0), MATCH(C355, Analysis!$D$115:$N$115, 0)), "")</f>
        <v/>
      </c>
      <c r="J355" t="str">
        <f t="shared" si="34"/>
        <v/>
      </c>
      <c r="K355" s="28" t="str">
        <f t="shared" si="31"/>
        <v/>
      </c>
      <c r="L355" s="46" t="str">
        <f t="shared" si="35"/>
        <v/>
      </c>
      <c r="M355" t="str" cm="1">
        <f t="array" ref="M355">IF(L355="","",_xlfn.IFS(
  AND(L355&gt;=TIME(9,0,0), L355&lt;TIME(16,0,0)),"Morning",
  AND(L355&gt;=TIME(16,0,0), L355&lt;TIME(23,59,0)),"Evening",
  L355&gt;=TIME(23,59,0),"Night",
  L355&lt;TIME(9,0,0),"Night"
))</f>
        <v/>
      </c>
      <c r="O355" t="str">
        <f t="shared" si="32"/>
        <v/>
      </c>
    </row>
    <row r="356" spans="1:15" x14ac:dyDescent="0.25">
      <c r="A356" s="49"/>
      <c r="B356" s="50"/>
      <c r="G356" t="str">
        <f t="shared" si="30"/>
        <v/>
      </c>
      <c r="H356" s="13" t="str">
        <f t="shared" si="33"/>
        <v/>
      </c>
      <c r="I356" t="str">
        <f>IFERROR(INDEX(Analysis!$D$116:$N$137, MATCH(B356, Analysis!$C$116:$C$137, 0), MATCH(C356, Analysis!$D$115:$N$115, 0)), "")</f>
        <v/>
      </c>
      <c r="J356" t="str">
        <f t="shared" si="34"/>
        <v/>
      </c>
      <c r="K356" s="28" t="str">
        <f t="shared" si="31"/>
        <v/>
      </c>
      <c r="L356" s="46" t="str">
        <f t="shared" si="35"/>
        <v/>
      </c>
      <c r="M356" t="str" cm="1">
        <f t="array" ref="M356">IF(L356="","",_xlfn.IFS(
  AND(L356&gt;=TIME(9,0,0), L356&lt;TIME(16,0,0)),"Morning",
  AND(L356&gt;=TIME(16,0,0), L356&lt;TIME(23,59,0)),"Evening",
  L356&gt;=TIME(23,59,0),"Night",
  L356&lt;TIME(9,0,0),"Night"
))</f>
        <v/>
      </c>
      <c r="O356" t="str">
        <f t="shared" si="32"/>
        <v/>
      </c>
    </row>
    <row r="357" spans="1:15" x14ac:dyDescent="0.25">
      <c r="A357" s="49"/>
      <c r="B357" s="50"/>
      <c r="G357" t="str">
        <f t="shared" si="30"/>
        <v/>
      </c>
      <c r="H357" s="13" t="str">
        <f t="shared" si="33"/>
        <v/>
      </c>
      <c r="I357" t="str">
        <f>IFERROR(INDEX(Analysis!$D$116:$N$137, MATCH(B357, Analysis!$C$116:$C$137, 0), MATCH(C357, Analysis!$D$115:$N$115, 0)), "")</f>
        <v/>
      </c>
      <c r="J357" t="str">
        <f t="shared" si="34"/>
        <v/>
      </c>
      <c r="K357" s="28" t="str">
        <f t="shared" si="31"/>
        <v/>
      </c>
      <c r="L357" s="46" t="str">
        <f t="shared" si="35"/>
        <v/>
      </c>
      <c r="M357" t="str" cm="1">
        <f t="array" ref="M357">IF(L357="","",_xlfn.IFS(
  AND(L357&gt;=TIME(9,0,0), L357&lt;TIME(16,0,0)),"Morning",
  AND(L357&gt;=TIME(16,0,0), L357&lt;TIME(23,59,0)),"Evening",
  L357&gt;=TIME(23,59,0),"Night",
  L357&lt;TIME(9,0,0),"Night"
))</f>
        <v/>
      </c>
      <c r="O357" t="str">
        <f t="shared" si="32"/>
        <v/>
      </c>
    </row>
    <row r="358" spans="1:15" x14ac:dyDescent="0.25">
      <c r="A358" s="49"/>
      <c r="B358" s="50"/>
      <c r="G358" t="str">
        <f t="shared" si="30"/>
        <v/>
      </c>
      <c r="H358" s="13" t="str">
        <f t="shared" si="33"/>
        <v/>
      </c>
      <c r="I358" t="str">
        <f>IFERROR(INDEX(Analysis!$D$116:$N$137, MATCH(B358, Analysis!$C$116:$C$137, 0), MATCH(C358, Analysis!$D$115:$N$115, 0)), "")</f>
        <v/>
      </c>
      <c r="J358" t="str">
        <f t="shared" si="34"/>
        <v/>
      </c>
      <c r="K358" s="28" t="str">
        <f t="shared" si="31"/>
        <v/>
      </c>
      <c r="L358" s="46" t="str">
        <f t="shared" si="35"/>
        <v/>
      </c>
      <c r="M358" t="str" cm="1">
        <f t="array" ref="M358">IF(L358="","",_xlfn.IFS(
  AND(L358&gt;=TIME(9,0,0), L358&lt;TIME(16,0,0)),"Morning",
  AND(L358&gt;=TIME(16,0,0), L358&lt;TIME(23,59,0)),"Evening",
  L358&gt;=TIME(23,59,0),"Night",
  L358&lt;TIME(9,0,0),"Night"
))</f>
        <v/>
      </c>
      <c r="O358" t="str">
        <f t="shared" si="32"/>
        <v/>
      </c>
    </row>
    <row r="359" spans="1:15" x14ac:dyDescent="0.25">
      <c r="A359" s="49"/>
      <c r="B359" s="50"/>
      <c r="G359" t="str">
        <f t="shared" si="30"/>
        <v/>
      </c>
      <c r="H359" s="13" t="str">
        <f t="shared" si="33"/>
        <v/>
      </c>
      <c r="I359" t="str">
        <f>IFERROR(INDEX(Analysis!$D$116:$N$137, MATCH(B359, Analysis!$C$116:$C$137, 0), MATCH(C359, Analysis!$D$115:$N$115, 0)), "")</f>
        <v/>
      </c>
      <c r="J359" t="str">
        <f t="shared" si="34"/>
        <v/>
      </c>
      <c r="K359" s="28" t="str">
        <f t="shared" si="31"/>
        <v/>
      </c>
      <c r="L359" s="46" t="str">
        <f t="shared" si="35"/>
        <v/>
      </c>
      <c r="M359" t="str" cm="1">
        <f t="array" ref="M359">IF(L359="","",_xlfn.IFS(
  AND(L359&gt;=TIME(9,0,0), L359&lt;TIME(16,0,0)),"Morning",
  AND(L359&gt;=TIME(16,0,0), L359&lt;TIME(23,59,0)),"Evening",
  L359&gt;=TIME(23,59,0),"Night",
  L359&lt;TIME(9,0,0),"Night"
))</f>
        <v/>
      </c>
      <c r="O359" t="str">
        <f t="shared" si="32"/>
        <v/>
      </c>
    </row>
    <row r="360" spans="1:15" x14ac:dyDescent="0.25">
      <c r="A360" s="49"/>
      <c r="B360" s="50"/>
      <c r="G360" t="str">
        <f t="shared" si="30"/>
        <v/>
      </c>
      <c r="H360" s="13" t="str">
        <f t="shared" si="33"/>
        <v/>
      </c>
      <c r="I360" t="str">
        <f>IFERROR(INDEX(Analysis!$D$116:$N$137, MATCH(B360, Analysis!$C$116:$C$137, 0), MATCH(C360, Analysis!$D$115:$N$115, 0)), "")</f>
        <v/>
      </c>
      <c r="J360" t="str">
        <f t="shared" si="34"/>
        <v/>
      </c>
      <c r="K360" s="28" t="str">
        <f t="shared" si="31"/>
        <v/>
      </c>
      <c r="L360" s="46" t="str">
        <f t="shared" si="35"/>
        <v/>
      </c>
      <c r="M360" t="str" cm="1">
        <f t="array" ref="M360">IF(L360="","",_xlfn.IFS(
  AND(L360&gt;=TIME(9,0,0), L360&lt;TIME(16,0,0)),"Morning",
  AND(L360&gt;=TIME(16,0,0), L360&lt;TIME(23,59,0)),"Evening",
  L360&gt;=TIME(23,59,0),"Night",
  L360&lt;TIME(9,0,0),"Night"
))</f>
        <v/>
      </c>
      <c r="O360" t="str">
        <f t="shared" si="32"/>
        <v/>
      </c>
    </row>
    <row r="361" spans="1:15" x14ac:dyDescent="0.25">
      <c r="A361" s="49"/>
      <c r="B361" s="50"/>
      <c r="G361" t="str">
        <f t="shared" si="30"/>
        <v/>
      </c>
      <c r="H361" s="13" t="str">
        <f t="shared" si="33"/>
        <v/>
      </c>
      <c r="I361" t="str">
        <f>IFERROR(INDEX(Analysis!$D$116:$N$137, MATCH(B361, Analysis!$C$116:$C$137, 0), MATCH(C361, Analysis!$D$115:$N$115, 0)), "")</f>
        <v/>
      </c>
      <c r="J361" t="str">
        <f t="shared" si="34"/>
        <v/>
      </c>
      <c r="K361" s="28" t="str">
        <f t="shared" si="31"/>
        <v/>
      </c>
      <c r="L361" s="46" t="str">
        <f t="shared" si="35"/>
        <v/>
      </c>
      <c r="M361" t="str" cm="1">
        <f t="array" ref="M361">IF(L361="","",_xlfn.IFS(
  AND(L361&gt;=TIME(9,0,0), L361&lt;TIME(16,0,0)),"Morning",
  AND(L361&gt;=TIME(16,0,0), L361&lt;TIME(23,59,0)),"Evening",
  L361&gt;=TIME(23,59,0),"Night",
  L361&lt;TIME(9,0,0),"Night"
))</f>
        <v/>
      </c>
      <c r="O361" t="str">
        <f t="shared" si="32"/>
        <v/>
      </c>
    </row>
    <row r="362" spans="1:15" x14ac:dyDescent="0.25">
      <c r="A362" s="49"/>
      <c r="B362" s="50"/>
      <c r="G362" t="str">
        <f t="shared" si="30"/>
        <v/>
      </c>
      <c r="H362" s="13" t="str">
        <f t="shared" si="33"/>
        <v/>
      </c>
      <c r="I362" t="str">
        <f>IFERROR(INDEX(Analysis!$D$116:$N$137, MATCH(B362, Analysis!$C$116:$C$137, 0), MATCH(C362, Analysis!$D$115:$N$115, 0)), "")</f>
        <v/>
      </c>
      <c r="J362" t="str">
        <f t="shared" si="34"/>
        <v/>
      </c>
      <c r="K362" s="28" t="str">
        <f t="shared" si="31"/>
        <v/>
      </c>
      <c r="L362" s="46" t="str">
        <f t="shared" si="35"/>
        <v/>
      </c>
      <c r="M362" t="str" cm="1">
        <f t="array" ref="M362">IF(L362="","",_xlfn.IFS(
  AND(L362&gt;=TIME(9,0,0), L362&lt;TIME(16,0,0)),"Morning",
  AND(L362&gt;=TIME(16,0,0), L362&lt;TIME(23,59,0)),"Evening",
  L362&gt;=TIME(23,59,0),"Night",
  L362&lt;TIME(9,0,0),"Night"
))</f>
        <v/>
      </c>
      <c r="O362" t="str">
        <f t="shared" si="32"/>
        <v/>
      </c>
    </row>
    <row r="363" spans="1:15" x14ac:dyDescent="0.25">
      <c r="A363" s="49"/>
      <c r="B363" s="50"/>
      <c r="G363" t="str">
        <f t="shared" si="30"/>
        <v/>
      </c>
      <c r="H363" s="13" t="str">
        <f t="shared" si="33"/>
        <v/>
      </c>
      <c r="I363" t="str">
        <f>IFERROR(INDEX(Analysis!$D$116:$N$137, MATCH(B363, Analysis!$C$116:$C$137, 0), MATCH(C363, Analysis!$D$115:$N$115, 0)), "")</f>
        <v/>
      </c>
      <c r="J363" t="str">
        <f t="shared" si="34"/>
        <v/>
      </c>
      <c r="K363" s="28" t="str">
        <f t="shared" si="31"/>
        <v/>
      </c>
      <c r="L363" s="46" t="str">
        <f t="shared" si="35"/>
        <v/>
      </c>
      <c r="M363" t="str" cm="1">
        <f t="array" ref="M363">IF(L363="","",_xlfn.IFS(
  AND(L363&gt;=TIME(9,0,0), L363&lt;TIME(16,0,0)),"Morning",
  AND(L363&gt;=TIME(16,0,0), L363&lt;TIME(23,59,0)),"Evening",
  L363&gt;=TIME(23,59,0),"Night",
  L363&lt;TIME(9,0,0),"Night"
))</f>
        <v/>
      </c>
      <c r="O363" t="str">
        <f t="shared" si="32"/>
        <v/>
      </c>
    </row>
    <row r="364" spans="1:15" x14ac:dyDescent="0.25">
      <c r="A364" s="49"/>
      <c r="B364" s="50"/>
      <c r="G364" t="str">
        <f t="shared" si="30"/>
        <v/>
      </c>
      <c r="H364" s="13" t="str">
        <f t="shared" si="33"/>
        <v/>
      </c>
      <c r="I364" t="str">
        <f>IFERROR(INDEX(Analysis!$D$116:$N$137, MATCH(B364, Analysis!$C$116:$C$137, 0), MATCH(C364, Analysis!$D$115:$N$115, 0)), "")</f>
        <v/>
      </c>
      <c r="J364" t="str">
        <f t="shared" si="34"/>
        <v/>
      </c>
      <c r="K364" s="28" t="str">
        <f t="shared" si="31"/>
        <v/>
      </c>
      <c r="L364" s="46" t="str">
        <f t="shared" si="35"/>
        <v/>
      </c>
      <c r="M364" t="str" cm="1">
        <f t="array" ref="M364">IF(L364="","",_xlfn.IFS(
  AND(L364&gt;=TIME(9,0,0), L364&lt;TIME(16,0,0)),"Morning",
  AND(L364&gt;=TIME(16,0,0), L364&lt;TIME(23,59,0)),"Evening",
  L364&gt;=TIME(23,59,0),"Night",
  L364&lt;TIME(9,0,0),"Night"
))</f>
        <v/>
      </c>
      <c r="O364" t="str">
        <f t="shared" si="32"/>
        <v/>
      </c>
    </row>
    <row r="365" spans="1:15" x14ac:dyDescent="0.25">
      <c r="A365" s="49"/>
      <c r="B365" s="50"/>
      <c r="G365" t="str">
        <f t="shared" si="30"/>
        <v/>
      </c>
      <c r="H365" s="13" t="str">
        <f t="shared" si="33"/>
        <v/>
      </c>
      <c r="I365" t="str">
        <f>IFERROR(INDEX(Analysis!$D$116:$N$137, MATCH(B365, Analysis!$C$116:$C$137, 0), MATCH(C365, Analysis!$D$115:$N$115, 0)), "")</f>
        <v/>
      </c>
      <c r="J365" t="str">
        <f t="shared" si="34"/>
        <v/>
      </c>
      <c r="K365" s="28" t="str">
        <f t="shared" si="31"/>
        <v/>
      </c>
      <c r="L365" s="46" t="str">
        <f t="shared" si="35"/>
        <v/>
      </c>
      <c r="M365" t="str" cm="1">
        <f t="array" ref="M365">IF(L365="","",_xlfn.IFS(
  AND(L365&gt;=TIME(9,0,0), L365&lt;TIME(16,0,0)),"Morning",
  AND(L365&gt;=TIME(16,0,0), L365&lt;TIME(23,59,0)),"Evening",
  L365&gt;=TIME(23,59,0),"Night",
  L365&lt;TIME(9,0,0),"Night"
))</f>
        <v/>
      </c>
      <c r="O365" t="str">
        <f t="shared" si="32"/>
        <v/>
      </c>
    </row>
    <row r="366" spans="1:15" x14ac:dyDescent="0.25">
      <c r="A366" s="49"/>
      <c r="B366" s="50"/>
      <c r="G366" t="str">
        <f t="shared" si="30"/>
        <v/>
      </c>
      <c r="H366" s="13" t="str">
        <f t="shared" si="33"/>
        <v/>
      </c>
      <c r="I366" t="str">
        <f>IFERROR(INDEX(Analysis!$D$116:$N$137, MATCH(B366, Analysis!$C$116:$C$137, 0), MATCH(C366, Analysis!$D$115:$N$115, 0)), "")</f>
        <v/>
      </c>
      <c r="J366" t="str">
        <f t="shared" si="34"/>
        <v/>
      </c>
      <c r="K366" s="28" t="str">
        <f t="shared" si="31"/>
        <v/>
      </c>
      <c r="L366" s="46" t="str">
        <f t="shared" si="35"/>
        <v/>
      </c>
      <c r="M366" t="str" cm="1">
        <f t="array" ref="M366">IF(L366="","",_xlfn.IFS(
  AND(L366&gt;=TIME(9,0,0), L366&lt;TIME(16,0,0)),"Morning",
  AND(L366&gt;=TIME(16,0,0), L366&lt;TIME(23,59,0)),"Evening",
  L366&gt;=TIME(23,59,0),"Night",
  L366&lt;TIME(9,0,0),"Night"
))</f>
        <v/>
      </c>
      <c r="O366" t="str">
        <f t="shared" si="32"/>
        <v/>
      </c>
    </row>
    <row r="367" spans="1:15" x14ac:dyDescent="0.25">
      <c r="A367" s="49"/>
      <c r="B367" s="50"/>
      <c r="G367" t="str">
        <f t="shared" si="30"/>
        <v/>
      </c>
      <c r="H367" s="13" t="str">
        <f t="shared" si="33"/>
        <v/>
      </c>
      <c r="I367" t="str">
        <f>IFERROR(INDEX(Analysis!$D$116:$N$137, MATCH(B367, Analysis!$C$116:$C$137, 0), MATCH(C367, Analysis!$D$115:$N$115, 0)), "")</f>
        <v/>
      </c>
      <c r="J367" t="str">
        <f t="shared" si="34"/>
        <v/>
      </c>
      <c r="K367" s="28" t="str">
        <f t="shared" si="31"/>
        <v/>
      </c>
      <c r="L367" s="46" t="str">
        <f t="shared" si="35"/>
        <v/>
      </c>
      <c r="M367" t="str" cm="1">
        <f t="array" ref="M367">IF(L367="","",_xlfn.IFS(
  AND(L367&gt;=TIME(9,0,0), L367&lt;TIME(16,0,0)),"Morning",
  AND(L367&gt;=TIME(16,0,0), L367&lt;TIME(23,59,0)),"Evening",
  L367&gt;=TIME(23,59,0),"Night",
  L367&lt;TIME(9,0,0),"Night"
))</f>
        <v/>
      </c>
      <c r="O367" t="str">
        <f t="shared" si="32"/>
        <v/>
      </c>
    </row>
    <row r="368" spans="1:15" x14ac:dyDescent="0.25">
      <c r="A368" s="49"/>
      <c r="B368" s="50"/>
      <c r="G368" t="str">
        <f t="shared" si="30"/>
        <v/>
      </c>
      <c r="H368" s="13" t="str">
        <f t="shared" si="33"/>
        <v/>
      </c>
      <c r="I368" t="str">
        <f>IFERROR(INDEX(Analysis!$D$116:$N$137, MATCH(B368, Analysis!$C$116:$C$137, 0), MATCH(C368, Analysis!$D$115:$N$115, 0)), "")</f>
        <v/>
      </c>
      <c r="J368" t="str">
        <f t="shared" si="34"/>
        <v/>
      </c>
      <c r="K368" s="28" t="str">
        <f t="shared" si="31"/>
        <v/>
      </c>
      <c r="L368" s="46" t="str">
        <f t="shared" si="35"/>
        <v/>
      </c>
      <c r="M368" t="str" cm="1">
        <f t="array" ref="M368">IF(L368="","",_xlfn.IFS(
  AND(L368&gt;=TIME(9,0,0), L368&lt;TIME(16,0,0)),"Morning",
  AND(L368&gt;=TIME(16,0,0), L368&lt;TIME(23,59,0)),"Evening",
  L368&gt;=TIME(23,59,0),"Night",
  L368&lt;TIME(9,0,0),"Night"
))</f>
        <v/>
      </c>
      <c r="O368" t="str">
        <f t="shared" si="32"/>
        <v/>
      </c>
    </row>
    <row r="369" spans="1:15" x14ac:dyDescent="0.25">
      <c r="A369" s="49"/>
      <c r="B369" s="50"/>
      <c r="G369" t="str">
        <f t="shared" si="30"/>
        <v/>
      </c>
      <c r="H369" s="13" t="str">
        <f t="shared" si="33"/>
        <v/>
      </c>
      <c r="I369" t="str">
        <f>IFERROR(INDEX(Analysis!$D$116:$N$137, MATCH(B369, Analysis!$C$116:$C$137, 0), MATCH(C369, Analysis!$D$115:$N$115, 0)), "")</f>
        <v/>
      </c>
      <c r="J369" t="str">
        <f t="shared" si="34"/>
        <v/>
      </c>
      <c r="K369" s="28" t="str">
        <f t="shared" si="31"/>
        <v/>
      </c>
      <c r="L369" s="46" t="str">
        <f t="shared" si="35"/>
        <v/>
      </c>
      <c r="M369" t="str" cm="1">
        <f t="array" ref="M369">IF(L369="","",_xlfn.IFS(
  AND(L369&gt;=TIME(9,0,0), L369&lt;TIME(16,0,0)),"Morning",
  AND(L369&gt;=TIME(16,0,0), L369&lt;TIME(23,59,0)),"Evening",
  L369&gt;=TIME(23,59,0),"Night",
  L369&lt;TIME(9,0,0),"Night"
))</f>
        <v/>
      </c>
      <c r="O369" t="str">
        <f t="shared" si="32"/>
        <v/>
      </c>
    </row>
    <row r="370" spans="1:15" x14ac:dyDescent="0.25">
      <c r="A370" s="49"/>
      <c r="B370" s="50"/>
      <c r="G370" t="str">
        <f t="shared" si="30"/>
        <v/>
      </c>
      <c r="H370" s="13" t="str">
        <f t="shared" si="33"/>
        <v/>
      </c>
      <c r="I370" t="str">
        <f>IFERROR(INDEX(Analysis!$D$116:$N$137, MATCH(B370, Analysis!$C$116:$C$137, 0), MATCH(C370, Analysis!$D$115:$N$115, 0)), "")</f>
        <v/>
      </c>
      <c r="J370" t="str">
        <f t="shared" si="34"/>
        <v/>
      </c>
      <c r="K370" s="28" t="str">
        <f t="shared" si="31"/>
        <v/>
      </c>
      <c r="L370" s="46" t="str">
        <f t="shared" si="35"/>
        <v/>
      </c>
      <c r="M370" t="str" cm="1">
        <f t="array" ref="M370">IF(L370="","",_xlfn.IFS(
  AND(L370&gt;=TIME(9,0,0), L370&lt;TIME(16,0,0)),"Morning",
  AND(L370&gt;=TIME(16,0,0), L370&lt;TIME(23,59,0)),"Evening",
  L370&gt;=TIME(23,59,0),"Night",
  L370&lt;TIME(9,0,0),"Night"
))</f>
        <v/>
      </c>
      <c r="O370" t="str">
        <f t="shared" si="32"/>
        <v/>
      </c>
    </row>
    <row r="371" spans="1:15" x14ac:dyDescent="0.25">
      <c r="A371" s="49"/>
      <c r="B371" s="50"/>
      <c r="G371" t="str">
        <f t="shared" si="30"/>
        <v/>
      </c>
      <c r="H371" s="13" t="str">
        <f t="shared" si="33"/>
        <v/>
      </c>
      <c r="I371" t="str">
        <f>IFERROR(INDEX(Analysis!$D$116:$N$137, MATCH(B371, Analysis!$C$116:$C$137, 0), MATCH(C371, Analysis!$D$115:$N$115, 0)), "")</f>
        <v/>
      </c>
      <c r="J371" t="str">
        <f t="shared" si="34"/>
        <v/>
      </c>
      <c r="K371" s="28" t="str">
        <f t="shared" si="31"/>
        <v/>
      </c>
      <c r="L371" s="46" t="str">
        <f t="shared" si="35"/>
        <v/>
      </c>
      <c r="M371" t="str" cm="1">
        <f t="array" ref="M371">IF(L371="","",_xlfn.IFS(
  AND(L371&gt;=TIME(9,0,0), L371&lt;TIME(16,0,0)),"Morning",
  AND(L371&gt;=TIME(16,0,0), L371&lt;TIME(23,59,0)),"Evening",
  L371&gt;=TIME(23,59,0),"Night",
  L371&lt;TIME(9,0,0),"Night"
))</f>
        <v/>
      </c>
      <c r="O371" t="str">
        <f t="shared" si="32"/>
        <v/>
      </c>
    </row>
    <row r="372" spans="1:15" x14ac:dyDescent="0.25">
      <c r="A372" s="49"/>
      <c r="B372" s="50"/>
      <c r="G372" t="str">
        <f t="shared" si="30"/>
        <v/>
      </c>
      <c r="H372" s="13" t="str">
        <f t="shared" si="33"/>
        <v/>
      </c>
      <c r="I372" t="str">
        <f>IFERROR(INDEX(Analysis!$D$116:$N$137, MATCH(B372, Analysis!$C$116:$C$137, 0), MATCH(C372, Analysis!$D$115:$N$115, 0)), "")</f>
        <v/>
      </c>
      <c r="J372" t="str">
        <f t="shared" si="34"/>
        <v/>
      </c>
      <c r="K372" s="28" t="str">
        <f t="shared" si="31"/>
        <v/>
      </c>
      <c r="L372" s="46" t="str">
        <f t="shared" si="35"/>
        <v/>
      </c>
      <c r="M372" t="str" cm="1">
        <f t="array" ref="M372">IF(L372="","",_xlfn.IFS(
  AND(L372&gt;=TIME(9,0,0), L372&lt;TIME(16,0,0)),"Morning",
  AND(L372&gt;=TIME(16,0,0), L372&lt;TIME(23,59,0)),"Evening",
  L372&gt;=TIME(23,59,0),"Night",
  L372&lt;TIME(9,0,0),"Night"
))</f>
        <v/>
      </c>
      <c r="O372" t="str">
        <f t="shared" si="32"/>
        <v/>
      </c>
    </row>
    <row r="373" spans="1:15" x14ac:dyDescent="0.25">
      <c r="A373" s="49"/>
      <c r="B373" s="50"/>
      <c r="G373" t="str">
        <f t="shared" si="30"/>
        <v/>
      </c>
      <c r="H373" s="13" t="str">
        <f t="shared" si="33"/>
        <v/>
      </c>
      <c r="I373" t="str">
        <f>IFERROR(INDEX(Analysis!$D$116:$N$137, MATCH(B373, Analysis!$C$116:$C$137, 0), MATCH(C373, Analysis!$D$115:$N$115, 0)), "")</f>
        <v/>
      </c>
      <c r="J373" t="str">
        <f t="shared" si="34"/>
        <v/>
      </c>
      <c r="K373" s="28" t="str">
        <f t="shared" si="31"/>
        <v/>
      </c>
      <c r="L373" s="46" t="str">
        <f t="shared" si="35"/>
        <v/>
      </c>
      <c r="M373" t="str" cm="1">
        <f t="array" ref="M373">IF(L373="","",_xlfn.IFS(
  AND(L373&gt;=TIME(9,0,0), L373&lt;TIME(16,0,0)),"Morning",
  AND(L373&gt;=TIME(16,0,0), L373&lt;TIME(23,59,0)),"Evening",
  L373&gt;=TIME(23,59,0),"Night",
  L373&lt;TIME(9,0,0),"Night"
))</f>
        <v/>
      </c>
      <c r="O373" t="str">
        <f t="shared" si="32"/>
        <v/>
      </c>
    </row>
    <row r="374" spans="1:15" x14ac:dyDescent="0.25">
      <c r="A374" s="49"/>
      <c r="B374" s="50"/>
      <c r="G374" t="str">
        <f t="shared" si="30"/>
        <v/>
      </c>
      <c r="H374" s="13" t="str">
        <f t="shared" si="33"/>
        <v/>
      </c>
      <c r="I374" t="str">
        <f>IFERROR(INDEX(Analysis!$D$116:$N$137, MATCH(B374, Analysis!$C$116:$C$137, 0), MATCH(C374, Analysis!$D$115:$N$115, 0)), "")</f>
        <v/>
      </c>
      <c r="J374" t="str">
        <f t="shared" si="34"/>
        <v/>
      </c>
      <c r="K374" s="28" t="str">
        <f t="shared" si="31"/>
        <v/>
      </c>
      <c r="L374" s="46" t="str">
        <f t="shared" si="35"/>
        <v/>
      </c>
      <c r="M374" t="str" cm="1">
        <f t="array" ref="M374">IF(L374="","",_xlfn.IFS(
  AND(L374&gt;=TIME(9,0,0), L374&lt;TIME(16,0,0)),"Morning",
  AND(L374&gt;=TIME(16,0,0), L374&lt;TIME(23,59,0)),"Evening",
  L374&gt;=TIME(23,59,0),"Night",
  L374&lt;TIME(9,0,0),"Night"
))</f>
        <v/>
      </c>
      <c r="O374" t="str">
        <f t="shared" si="32"/>
        <v/>
      </c>
    </row>
    <row r="375" spans="1:15" x14ac:dyDescent="0.25">
      <c r="A375" s="49"/>
      <c r="B375" s="50"/>
      <c r="G375" t="str">
        <f t="shared" si="30"/>
        <v/>
      </c>
      <c r="H375" s="13" t="str">
        <f t="shared" si="33"/>
        <v/>
      </c>
      <c r="I375" t="str">
        <f>IFERROR(INDEX(Analysis!$D$116:$N$137, MATCH(B375, Analysis!$C$116:$C$137, 0), MATCH(C375, Analysis!$D$115:$N$115, 0)), "")</f>
        <v/>
      </c>
      <c r="J375" t="str">
        <f t="shared" si="34"/>
        <v/>
      </c>
      <c r="K375" s="28" t="str">
        <f t="shared" si="31"/>
        <v/>
      </c>
      <c r="L375" s="46" t="str">
        <f t="shared" si="35"/>
        <v/>
      </c>
      <c r="M375" t="str" cm="1">
        <f t="array" ref="M375">IF(L375="","",_xlfn.IFS(
  AND(L375&gt;=TIME(9,0,0), L375&lt;TIME(16,0,0)),"Morning",
  AND(L375&gt;=TIME(16,0,0), L375&lt;TIME(23,59,0)),"Evening",
  L375&gt;=TIME(23,59,0),"Night",
  L375&lt;TIME(9,0,0),"Night"
))</f>
        <v/>
      </c>
      <c r="O375" t="str">
        <f t="shared" si="32"/>
        <v/>
      </c>
    </row>
    <row r="376" spans="1:15" x14ac:dyDescent="0.25">
      <c r="A376" s="49"/>
      <c r="B376" s="50"/>
      <c r="G376" t="str">
        <f t="shared" si="30"/>
        <v/>
      </c>
      <c r="H376" s="13" t="str">
        <f t="shared" si="33"/>
        <v/>
      </c>
      <c r="I376" t="str">
        <f>IFERROR(INDEX(Analysis!$D$116:$N$137, MATCH(B376, Analysis!$C$116:$C$137, 0), MATCH(C376, Analysis!$D$115:$N$115, 0)), "")</f>
        <v/>
      </c>
      <c r="J376" t="str">
        <f t="shared" si="34"/>
        <v/>
      </c>
      <c r="K376" s="28" t="str">
        <f t="shared" si="31"/>
        <v/>
      </c>
      <c r="L376" s="46" t="str">
        <f t="shared" si="35"/>
        <v/>
      </c>
      <c r="M376" t="str" cm="1">
        <f t="array" ref="M376">IF(L376="","",_xlfn.IFS(
  AND(L376&gt;=TIME(9,0,0), L376&lt;TIME(16,0,0)),"Morning",
  AND(L376&gt;=TIME(16,0,0), L376&lt;TIME(23,59,0)),"Evening",
  L376&gt;=TIME(23,59,0),"Night",
  L376&lt;TIME(9,0,0),"Night"
))</f>
        <v/>
      </c>
      <c r="O376" t="str">
        <f t="shared" si="32"/>
        <v/>
      </c>
    </row>
    <row r="377" spans="1:15" x14ac:dyDescent="0.25">
      <c r="A377" s="49"/>
      <c r="B377" s="50"/>
      <c r="G377" t="str">
        <f t="shared" si="30"/>
        <v/>
      </c>
      <c r="H377" s="13" t="str">
        <f t="shared" si="33"/>
        <v/>
      </c>
      <c r="I377" t="str">
        <f>IFERROR(INDEX(Analysis!$D$116:$N$137, MATCH(B377, Analysis!$C$116:$C$137, 0), MATCH(C377, Analysis!$D$115:$N$115, 0)), "")</f>
        <v/>
      </c>
      <c r="J377" t="str">
        <f t="shared" si="34"/>
        <v/>
      </c>
      <c r="K377" s="28" t="str">
        <f t="shared" si="31"/>
        <v/>
      </c>
      <c r="L377" s="46" t="str">
        <f t="shared" si="35"/>
        <v/>
      </c>
      <c r="M377" t="str" cm="1">
        <f t="array" ref="M377">IF(L377="","",_xlfn.IFS(
  AND(L377&gt;=TIME(9,0,0), L377&lt;TIME(16,0,0)),"Morning",
  AND(L377&gt;=TIME(16,0,0), L377&lt;TIME(23,59,0)),"Evening",
  L377&gt;=TIME(23,59,0),"Night",
  L377&lt;TIME(9,0,0),"Night"
))</f>
        <v/>
      </c>
      <c r="O377" t="str">
        <f t="shared" si="32"/>
        <v/>
      </c>
    </row>
    <row r="378" spans="1:15" x14ac:dyDescent="0.25">
      <c r="A378" s="49"/>
      <c r="B378" s="50"/>
      <c r="G378" t="str">
        <f t="shared" si="30"/>
        <v/>
      </c>
      <c r="H378" s="13" t="str">
        <f t="shared" si="33"/>
        <v/>
      </c>
      <c r="I378" t="str">
        <f>IFERROR(INDEX(Analysis!$D$116:$N$137, MATCH(B378, Analysis!$C$116:$C$137, 0), MATCH(C378, Analysis!$D$115:$N$115, 0)), "")</f>
        <v/>
      </c>
      <c r="J378" t="str">
        <f t="shared" si="34"/>
        <v/>
      </c>
      <c r="K378" s="28" t="str">
        <f t="shared" si="31"/>
        <v/>
      </c>
      <c r="L378" s="46" t="str">
        <f t="shared" si="35"/>
        <v/>
      </c>
      <c r="M378" t="str" cm="1">
        <f t="array" ref="M378">IF(L378="","",_xlfn.IFS(
  AND(L378&gt;=TIME(9,0,0), L378&lt;TIME(16,0,0)),"Morning",
  AND(L378&gt;=TIME(16,0,0), L378&lt;TIME(23,59,0)),"Evening",
  L378&gt;=TIME(23,59,0),"Night",
  L378&lt;TIME(9,0,0),"Night"
))</f>
        <v/>
      </c>
      <c r="O378" t="str">
        <f t="shared" si="32"/>
        <v/>
      </c>
    </row>
    <row r="379" spans="1:15" x14ac:dyDescent="0.25">
      <c r="A379" s="49"/>
      <c r="B379" s="50"/>
      <c r="G379" t="str">
        <f t="shared" si="30"/>
        <v/>
      </c>
      <c r="H379" s="13" t="str">
        <f t="shared" si="33"/>
        <v/>
      </c>
      <c r="I379" t="str">
        <f>IFERROR(INDEX(Analysis!$D$116:$N$137, MATCH(B379, Analysis!$C$116:$C$137, 0), MATCH(C379, Analysis!$D$115:$N$115, 0)), "")</f>
        <v/>
      </c>
      <c r="J379" t="str">
        <f t="shared" si="34"/>
        <v/>
      </c>
      <c r="K379" s="28" t="str">
        <f t="shared" si="31"/>
        <v/>
      </c>
      <c r="L379" s="46" t="str">
        <f t="shared" si="35"/>
        <v/>
      </c>
      <c r="M379" t="str" cm="1">
        <f t="array" ref="M379">IF(L379="","",_xlfn.IFS(
  AND(L379&gt;=TIME(9,0,0), L379&lt;TIME(16,0,0)),"Morning",
  AND(L379&gt;=TIME(16,0,0), L379&lt;TIME(23,59,0)),"Evening",
  L379&gt;=TIME(23,59,0),"Night",
  L379&lt;TIME(9,0,0),"Night"
))</f>
        <v/>
      </c>
      <c r="O379" t="str">
        <f t="shared" si="32"/>
        <v/>
      </c>
    </row>
    <row r="380" spans="1:15" x14ac:dyDescent="0.25">
      <c r="A380" s="49"/>
      <c r="B380" s="50"/>
      <c r="G380" t="str">
        <f t="shared" si="30"/>
        <v/>
      </c>
      <c r="H380" s="13" t="str">
        <f t="shared" si="33"/>
        <v/>
      </c>
      <c r="I380" t="str">
        <f>IFERROR(INDEX(Analysis!$D$116:$N$137, MATCH(B380, Analysis!$C$116:$C$137, 0), MATCH(C380, Analysis!$D$115:$N$115, 0)), "")</f>
        <v/>
      </c>
      <c r="J380" t="str">
        <f t="shared" si="34"/>
        <v/>
      </c>
      <c r="K380" s="28" t="str">
        <f t="shared" si="31"/>
        <v/>
      </c>
      <c r="L380" s="46" t="str">
        <f t="shared" si="35"/>
        <v/>
      </c>
      <c r="M380" t="str" cm="1">
        <f t="array" ref="M380">IF(L380="","",_xlfn.IFS(
  AND(L380&gt;=TIME(9,0,0), L380&lt;TIME(16,0,0)),"Morning",
  AND(L380&gt;=TIME(16,0,0), L380&lt;TIME(23,59,0)),"Evening",
  L380&gt;=TIME(23,59,0),"Night",
  L380&lt;TIME(9,0,0),"Night"
))</f>
        <v/>
      </c>
      <c r="O380" t="str">
        <f t="shared" si="32"/>
        <v/>
      </c>
    </row>
    <row r="381" spans="1:15" x14ac:dyDescent="0.25">
      <c r="A381" s="49"/>
      <c r="B381" s="50"/>
      <c r="G381" t="str">
        <f t="shared" si="30"/>
        <v/>
      </c>
      <c r="H381" s="13" t="str">
        <f t="shared" si="33"/>
        <v/>
      </c>
      <c r="I381" t="str">
        <f>IFERROR(INDEX(Analysis!$D$116:$N$137, MATCH(B381, Analysis!$C$116:$C$137, 0), MATCH(C381, Analysis!$D$115:$N$115, 0)), "")</f>
        <v/>
      </c>
      <c r="J381" t="str">
        <f t="shared" si="34"/>
        <v/>
      </c>
      <c r="K381" s="28" t="str">
        <f t="shared" si="31"/>
        <v/>
      </c>
      <c r="L381" s="46" t="str">
        <f t="shared" si="35"/>
        <v/>
      </c>
      <c r="M381" t="str" cm="1">
        <f t="array" ref="M381">IF(L381="","",_xlfn.IFS(
  AND(L381&gt;=TIME(9,0,0), L381&lt;TIME(16,0,0)),"Morning",
  AND(L381&gt;=TIME(16,0,0), L381&lt;TIME(23,59,0)),"Evening",
  L381&gt;=TIME(23,59,0),"Night",
  L381&lt;TIME(9,0,0),"Night"
))</f>
        <v/>
      </c>
      <c r="O381" t="str">
        <f t="shared" si="32"/>
        <v/>
      </c>
    </row>
    <row r="382" spans="1:15" x14ac:dyDescent="0.25">
      <c r="A382" s="49"/>
      <c r="B382" s="50"/>
      <c r="G382" t="str">
        <f t="shared" si="30"/>
        <v/>
      </c>
      <c r="H382" s="13" t="str">
        <f t="shared" si="33"/>
        <v/>
      </c>
      <c r="I382" t="str">
        <f>IFERROR(INDEX(Analysis!$D$116:$N$137, MATCH(B382, Analysis!$C$116:$C$137, 0), MATCH(C382, Analysis!$D$115:$N$115, 0)), "")</f>
        <v/>
      </c>
      <c r="J382" t="str">
        <f t="shared" si="34"/>
        <v/>
      </c>
      <c r="K382" s="28" t="str">
        <f t="shared" si="31"/>
        <v/>
      </c>
      <c r="L382" s="46" t="str">
        <f t="shared" si="35"/>
        <v/>
      </c>
      <c r="M382" t="str" cm="1">
        <f t="array" ref="M382">IF(L382="","",_xlfn.IFS(
  AND(L382&gt;=TIME(9,0,0), L382&lt;TIME(16,0,0)),"Morning",
  AND(L382&gt;=TIME(16,0,0), L382&lt;TIME(23,59,0)),"Evening",
  L382&gt;=TIME(23,59,0),"Night",
  L382&lt;TIME(9,0,0),"Night"
))</f>
        <v/>
      </c>
      <c r="O382" t="str">
        <f t="shared" si="32"/>
        <v/>
      </c>
    </row>
    <row r="383" spans="1:15" x14ac:dyDescent="0.25">
      <c r="A383" s="49"/>
      <c r="B383" s="50"/>
      <c r="G383" t="str">
        <f t="shared" si="30"/>
        <v/>
      </c>
      <c r="H383" s="13" t="str">
        <f t="shared" si="33"/>
        <v/>
      </c>
      <c r="I383" t="str">
        <f>IFERROR(INDEX(Analysis!$D$116:$N$137, MATCH(B383, Analysis!$C$116:$C$137, 0), MATCH(C383, Analysis!$D$115:$N$115, 0)), "")</f>
        <v/>
      </c>
      <c r="J383" t="str">
        <f t="shared" si="34"/>
        <v/>
      </c>
      <c r="K383" s="28" t="str">
        <f t="shared" si="31"/>
        <v/>
      </c>
      <c r="L383" s="46" t="str">
        <f t="shared" si="35"/>
        <v/>
      </c>
      <c r="M383" t="str" cm="1">
        <f t="array" ref="M383">IF(L383="","",_xlfn.IFS(
  AND(L383&gt;=TIME(9,0,0), L383&lt;TIME(16,0,0)),"Morning",
  AND(L383&gt;=TIME(16,0,0), L383&lt;TIME(23,59,0)),"Evening",
  L383&gt;=TIME(23,59,0),"Night",
  L383&lt;TIME(9,0,0),"Night"
))</f>
        <v/>
      </c>
      <c r="O383" t="str">
        <f t="shared" si="32"/>
        <v/>
      </c>
    </row>
    <row r="384" spans="1:15" x14ac:dyDescent="0.25">
      <c r="A384" s="49"/>
      <c r="B384" s="50"/>
      <c r="G384" t="str">
        <f t="shared" si="30"/>
        <v/>
      </c>
      <c r="H384" s="13" t="str">
        <f t="shared" si="33"/>
        <v/>
      </c>
      <c r="I384" t="str">
        <f>IFERROR(INDEX(Analysis!$D$116:$N$137, MATCH(B384, Analysis!$C$116:$C$137, 0), MATCH(C384, Analysis!$D$115:$N$115, 0)), "")</f>
        <v/>
      </c>
      <c r="J384" t="str">
        <f t="shared" si="34"/>
        <v/>
      </c>
      <c r="K384" s="28" t="str">
        <f t="shared" si="31"/>
        <v/>
      </c>
      <c r="L384" s="46" t="str">
        <f t="shared" si="35"/>
        <v/>
      </c>
      <c r="M384" t="str" cm="1">
        <f t="array" ref="M384">IF(L384="","",_xlfn.IFS(
  AND(L384&gt;=TIME(9,0,0), L384&lt;TIME(16,0,0)),"Morning",
  AND(L384&gt;=TIME(16,0,0), L384&lt;TIME(23,59,0)),"Evening",
  L384&gt;=TIME(23,59,0),"Night",
  L384&lt;TIME(9,0,0),"Night"
))</f>
        <v/>
      </c>
      <c r="O384" t="str">
        <f t="shared" si="32"/>
        <v/>
      </c>
    </row>
    <row r="385" spans="1:15" x14ac:dyDescent="0.25">
      <c r="A385" s="49"/>
      <c r="B385" s="50"/>
      <c r="G385" t="str">
        <f t="shared" si="30"/>
        <v/>
      </c>
      <c r="H385" s="13" t="str">
        <f t="shared" si="33"/>
        <v/>
      </c>
      <c r="I385" t="str">
        <f>IFERROR(INDEX(Analysis!$D$116:$N$137, MATCH(B385, Analysis!$C$116:$C$137, 0), MATCH(C385, Analysis!$D$115:$N$115, 0)), "")</f>
        <v/>
      </c>
      <c r="J385" t="str">
        <f t="shared" si="34"/>
        <v/>
      </c>
      <c r="K385" s="28" t="str">
        <f t="shared" si="31"/>
        <v/>
      </c>
      <c r="L385" s="46" t="str">
        <f t="shared" si="35"/>
        <v/>
      </c>
      <c r="M385" t="str" cm="1">
        <f t="array" ref="M385">IF(L385="","",_xlfn.IFS(
  AND(L385&gt;=TIME(9,0,0), L385&lt;TIME(16,0,0)),"Morning",
  AND(L385&gt;=TIME(16,0,0), L385&lt;TIME(23,59,0)),"Evening",
  L385&gt;=TIME(23,59,0),"Night",
  L385&lt;TIME(9,0,0),"Night"
))</f>
        <v/>
      </c>
      <c r="O385" t="str">
        <f t="shared" si="32"/>
        <v/>
      </c>
    </row>
    <row r="386" spans="1:15" x14ac:dyDescent="0.25">
      <c r="A386" s="49"/>
      <c r="B386" s="50"/>
      <c r="G386" t="str">
        <f t="shared" ref="G386:G449" si="36">IF(ISBLANK(A386), "", IF(ISBLANK(F386), 0, F386))</f>
        <v/>
      </c>
      <c r="H386" s="13" t="str">
        <f t="shared" si="33"/>
        <v/>
      </c>
      <c r="I386" t="str">
        <f>IFERROR(INDEX(Analysis!$D$116:$N$137, MATCH(B386, Analysis!$C$116:$C$137, 0), MATCH(C386, Analysis!$D$115:$N$115, 0)), "")</f>
        <v/>
      </c>
      <c r="J386" t="str">
        <f t="shared" si="34"/>
        <v/>
      </c>
      <c r="K386" s="28" t="str">
        <f t="shared" ref="K386:K449" si="37">IF(ISBLANK(A386),"",DATE(YEAR(A386),MONTH(A386),DAY(A386)))</f>
        <v/>
      </c>
      <c r="L386" s="46" t="str">
        <f t="shared" si="35"/>
        <v/>
      </c>
      <c r="M386" t="str" cm="1">
        <f t="array" ref="M386">IF(L386="","",_xlfn.IFS(
  AND(L386&gt;=TIME(9,0,0), L386&lt;TIME(16,0,0)),"Morning",
  AND(L386&gt;=TIME(16,0,0), L386&lt;TIME(23,59,0)),"Evening",
  L386&gt;=TIME(23,59,0),"Night",
  L386&lt;TIME(9,0,0),"Night"
))</f>
        <v/>
      </c>
      <c r="O386" t="str">
        <f t="shared" ref="O386:O449" si="38">IF(N386="ON", _xlfn.IMAGE(E386, 1), "")</f>
        <v/>
      </c>
    </row>
    <row r="387" spans="1:15" x14ac:dyDescent="0.25">
      <c r="A387" s="49"/>
      <c r="B387" s="50"/>
      <c r="G387" t="str">
        <f t="shared" si="36"/>
        <v/>
      </c>
      <c r="H387" s="13" t="str">
        <f t="shared" ref="H387:H450" si="39">IF(ISBLANK(E387),"",HYPERLINK(E387,"Click here"))</f>
        <v/>
      </c>
      <c r="I387" t="str">
        <f>IFERROR(INDEX(Analysis!$D$116:$N$137, MATCH(B387, Analysis!$C$116:$C$137, 0), MATCH(C387, Analysis!$D$115:$N$115, 0)), "")</f>
        <v/>
      </c>
      <c r="J387" t="str">
        <f t="shared" ref="J387:J450" si="40">IF(ISBLANK(A387),"",WEEKNUM(A387))</f>
        <v/>
      </c>
      <c r="K387" s="28" t="str">
        <f t="shared" si="37"/>
        <v/>
      </c>
      <c r="L387" s="46" t="str">
        <f t="shared" ref="L387:L450" si="41">IF(A387="", "", A387 - INT(A387))</f>
        <v/>
      </c>
      <c r="M387" t="str" cm="1">
        <f t="array" ref="M387">IF(L387="","",_xlfn.IFS(
  AND(L387&gt;=TIME(9,0,0), L387&lt;TIME(16,0,0)),"Morning",
  AND(L387&gt;=TIME(16,0,0), L387&lt;TIME(23,59,0)),"Evening",
  L387&gt;=TIME(23,59,0),"Night",
  L387&lt;TIME(9,0,0),"Night"
))</f>
        <v/>
      </c>
      <c r="O387" t="str">
        <f t="shared" si="38"/>
        <v/>
      </c>
    </row>
    <row r="388" spans="1:15" x14ac:dyDescent="0.25">
      <c r="A388" s="49"/>
      <c r="B388" s="50"/>
      <c r="G388" t="str">
        <f t="shared" si="36"/>
        <v/>
      </c>
      <c r="H388" s="13" t="str">
        <f t="shared" si="39"/>
        <v/>
      </c>
      <c r="I388" t="str">
        <f>IFERROR(INDEX(Analysis!$D$116:$N$137, MATCH(B388, Analysis!$C$116:$C$137, 0), MATCH(C388, Analysis!$D$115:$N$115, 0)), "")</f>
        <v/>
      </c>
      <c r="J388" t="str">
        <f t="shared" si="40"/>
        <v/>
      </c>
      <c r="K388" s="28" t="str">
        <f t="shared" si="37"/>
        <v/>
      </c>
      <c r="L388" s="46" t="str">
        <f t="shared" si="41"/>
        <v/>
      </c>
      <c r="M388" t="str" cm="1">
        <f t="array" ref="M388">IF(L388="","",_xlfn.IFS(
  AND(L388&gt;=TIME(9,0,0), L388&lt;TIME(16,0,0)),"Morning",
  AND(L388&gt;=TIME(16,0,0), L388&lt;TIME(23,59,0)),"Evening",
  L388&gt;=TIME(23,59,0),"Night",
  L388&lt;TIME(9,0,0),"Night"
))</f>
        <v/>
      </c>
      <c r="O388" t="str">
        <f t="shared" si="38"/>
        <v/>
      </c>
    </row>
    <row r="389" spans="1:15" x14ac:dyDescent="0.25">
      <c r="A389" s="49"/>
      <c r="B389" s="50"/>
      <c r="G389" t="str">
        <f t="shared" si="36"/>
        <v/>
      </c>
      <c r="H389" s="13" t="str">
        <f t="shared" si="39"/>
        <v/>
      </c>
      <c r="I389" t="str">
        <f>IFERROR(INDEX(Analysis!$D$116:$N$137, MATCH(B389, Analysis!$C$116:$C$137, 0), MATCH(C389, Analysis!$D$115:$N$115, 0)), "")</f>
        <v/>
      </c>
      <c r="J389" t="str">
        <f t="shared" si="40"/>
        <v/>
      </c>
      <c r="K389" s="28" t="str">
        <f t="shared" si="37"/>
        <v/>
      </c>
      <c r="L389" s="46" t="str">
        <f t="shared" si="41"/>
        <v/>
      </c>
      <c r="M389" t="str" cm="1">
        <f t="array" ref="M389">IF(L389="","",_xlfn.IFS(
  AND(L389&gt;=TIME(9,0,0), L389&lt;TIME(16,0,0)),"Morning",
  AND(L389&gt;=TIME(16,0,0), L389&lt;TIME(23,59,0)),"Evening",
  L389&gt;=TIME(23,59,0),"Night",
  L389&lt;TIME(9,0,0),"Night"
))</f>
        <v/>
      </c>
      <c r="O389" t="str">
        <f t="shared" si="38"/>
        <v/>
      </c>
    </row>
    <row r="390" spans="1:15" x14ac:dyDescent="0.25">
      <c r="A390" s="49"/>
      <c r="B390" s="50"/>
      <c r="G390" t="str">
        <f t="shared" si="36"/>
        <v/>
      </c>
      <c r="H390" s="13" t="str">
        <f t="shared" si="39"/>
        <v/>
      </c>
      <c r="I390" t="str">
        <f>IFERROR(INDEX(Analysis!$D$116:$N$137, MATCH(B390, Analysis!$C$116:$C$137, 0), MATCH(C390, Analysis!$D$115:$N$115, 0)), "")</f>
        <v/>
      </c>
      <c r="J390" t="str">
        <f t="shared" si="40"/>
        <v/>
      </c>
      <c r="K390" s="28" t="str">
        <f t="shared" si="37"/>
        <v/>
      </c>
      <c r="L390" s="46" t="str">
        <f t="shared" si="41"/>
        <v/>
      </c>
      <c r="M390" t="str" cm="1">
        <f t="array" ref="M390">IF(L390="","",_xlfn.IFS(
  AND(L390&gt;=TIME(9,0,0), L390&lt;TIME(16,0,0)),"Morning",
  AND(L390&gt;=TIME(16,0,0), L390&lt;TIME(23,59,0)),"Evening",
  L390&gt;=TIME(23,59,0),"Night",
  L390&lt;TIME(9,0,0),"Night"
))</f>
        <v/>
      </c>
      <c r="O390" t="str">
        <f t="shared" si="38"/>
        <v/>
      </c>
    </row>
    <row r="391" spans="1:15" x14ac:dyDescent="0.25">
      <c r="A391" s="49"/>
      <c r="B391" s="50"/>
      <c r="G391" t="str">
        <f t="shared" si="36"/>
        <v/>
      </c>
      <c r="H391" s="13" t="str">
        <f t="shared" si="39"/>
        <v/>
      </c>
      <c r="I391" t="str">
        <f>IFERROR(INDEX(Analysis!$D$116:$N$137, MATCH(B391, Analysis!$C$116:$C$137, 0), MATCH(C391, Analysis!$D$115:$N$115, 0)), "")</f>
        <v/>
      </c>
      <c r="J391" t="str">
        <f t="shared" si="40"/>
        <v/>
      </c>
      <c r="K391" s="28" t="str">
        <f t="shared" si="37"/>
        <v/>
      </c>
      <c r="L391" s="46" t="str">
        <f t="shared" si="41"/>
        <v/>
      </c>
      <c r="M391" t="str" cm="1">
        <f t="array" ref="M391">IF(L391="","",_xlfn.IFS(
  AND(L391&gt;=TIME(9,0,0), L391&lt;TIME(16,0,0)),"Morning",
  AND(L391&gt;=TIME(16,0,0), L391&lt;TIME(23,59,0)),"Evening",
  L391&gt;=TIME(23,59,0),"Night",
  L391&lt;TIME(9,0,0),"Night"
))</f>
        <v/>
      </c>
      <c r="O391" t="str">
        <f t="shared" si="38"/>
        <v/>
      </c>
    </row>
    <row r="392" spans="1:15" x14ac:dyDescent="0.25">
      <c r="A392" s="49"/>
      <c r="B392" s="50"/>
      <c r="G392" t="str">
        <f t="shared" si="36"/>
        <v/>
      </c>
      <c r="H392" s="13" t="str">
        <f t="shared" si="39"/>
        <v/>
      </c>
      <c r="I392" t="str">
        <f>IFERROR(INDEX(Analysis!$D$116:$N$137, MATCH(B392, Analysis!$C$116:$C$137, 0), MATCH(C392, Analysis!$D$115:$N$115, 0)), "")</f>
        <v/>
      </c>
      <c r="J392" t="str">
        <f t="shared" si="40"/>
        <v/>
      </c>
      <c r="K392" s="28" t="str">
        <f t="shared" si="37"/>
        <v/>
      </c>
      <c r="L392" s="46" t="str">
        <f t="shared" si="41"/>
        <v/>
      </c>
      <c r="M392" t="str" cm="1">
        <f t="array" ref="M392">IF(L392="","",_xlfn.IFS(
  AND(L392&gt;=TIME(9,0,0), L392&lt;TIME(16,0,0)),"Morning",
  AND(L392&gt;=TIME(16,0,0), L392&lt;TIME(23,59,0)),"Evening",
  L392&gt;=TIME(23,59,0),"Night",
  L392&lt;TIME(9,0,0),"Night"
))</f>
        <v/>
      </c>
      <c r="O392" t="str">
        <f t="shared" si="38"/>
        <v/>
      </c>
    </row>
    <row r="393" spans="1:15" x14ac:dyDescent="0.25">
      <c r="A393" s="49"/>
      <c r="B393" s="50"/>
      <c r="G393" t="str">
        <f t="shared" si="36"/>
        <v/>
      </c>
      <c r="H393" s="13" t="str">
        <f t="shared" si="39"/>
        <v/>
      </c>
      <c r="I393" t="str">
        <f>IFERROR(INDEX(Analysis!$D$116:$N$137, MATCH(B393, Analysis!$C$116:$C$137, 0), MATCH(C393, Analysis!$D$115:$N$115, 0)), "")</f>
        <v/>
      </c>
      <c r="J393" t="str">
        <f t="shared" si="40"/>
        <v/>
      </c>
      <c r="K393" s="28" t="str">
        <f t="shared" si="37"/>
        <v/>
      </c>
      <c r="L393" s="46" t="str">
        <f t="shared" si="41"/>
        <v/>
      </c>
      <c r="M393" t="str" cm="1">
        <f t="array" ref="M393">IF(L393="","",_xlfn.IFS(
  AND(L393&gt;=TIME(9,0,0), L393&lt;TIME(16,0,0)),"Morning",
  AND(L393&gt;=TIME(16,0,0), L393&lt;TIME(23,59,0)),"Evening",
  L393&gt;=TIME(23,59,0),"Night",
  L393&lt;TIME(9,0,0),"Night"
))</f>
        <v/>
      </c>
      <c r="O393" t="str">
        <f t="shared" si="38"/>
        <v/>
      </c>
    </row>
    <row r="394" spans="1:15" x14ac:dyDescent="0.25">
      <c r="A394" s="49"/>
      <c r="B394" s="50"/>
      <c r="G394" t="str">
        <f t="shared" si="36"/>
        <v/>
      </c>
      <c r="H394" s="13" t="str">
        <f t="shared" si="39"/>
        <v/>
      </c>
      <c r="I394" t="str">
        <f>IFERROR(INDEX(Analysis!$D$116:$N$137, MATCH(B394, Analysis!$C$116:$C$137, 0), MATCH(C394, Analysis!$D$115:$N$115, 0)), "")</f>
        <v/>
      </c>
      <c r="J394" t="str">
        <f t="shared" si="40"/>
        <v/>
      </c>
      <c r="K394" s="28" t="str">
        <f t="shared" si="37"/>
        <v/>
      </c>
      <c r="L394" s="46" t="str">
        <f t="shared" si="41"/>
        <v/>
      </c>
      <c r="M394" t="str" cm="1">
        <f t="array" ref="M394">IF(L394="","",_xlfn.IFS(
  AND(L394&gt;=TIME(9,0,0), L394&lt;TIME(16,0,0)),"Morning",
  AND(L394&gt;=TIME(16,0,0), L394&lt;TIME(23,59,0)),"Evening",
  L394&gt;=TIME(23,59,0),"Night",
  L394&lt;TIME(9,0,0),"Night"
))</f>
        <v/>
      </c>
      <c r="O394" t="str">
        <f t="shared" si="38"/>
        <v/>
      </c>
    </row>
    <row r="395" spans="1:15" x14ac:dyDescent="0.25">
      <c r="A395" s="49"/>
      <c r="B395" s="50"/>
      <c r="G395" t="str">
        <f t="shared" si="36"/>
        <v/>
      </c>
      <c r="H395" s="13" t="str">
        <f t="shared" si="39"/>
        <v/>
      </c>
      <c r="I395" t="str">
        <f>IFERROR(INDEX(Analysis!$D$116:$N$137, MATCH(B395, Analysis!$C$116:$C$137, 0), MATCH(C395, Analysis!$D$115:$N$115, 0)), "")</f>
        <v/>
      </c>
      <c r="J395" t="str">
        <f t="shared" si="40"/>
        <v/>
      </c>
      <c r="K395" s="28" t="str">
        <f t="shared" si="37"/>
        <v/>
      </c>
      <c r="L395" s="46" t="str">
        <f t="shared" si="41"/>
        <v/>
      </c>
      <c r="M395" t="str" cm="1">
        <f t="array" ref="M395">IF(L395="","",_xlfn.IFS(
  AND(L395&gt;=TIME(9,0,0), L395&lt;TIME(16,0,0)),"Morning",
  AND(L395&gt;=TIME(16,0,0), L395&lt;TIME(23,59,0)),"Evening",
  L395&gt;=TIME(23,59,0),"Night",
  L395&lt;TIME(9,0,0),"Night"
))</f>
        <v/>
      </c>
      <c r="O395" t="str">
        <f t="shared" si="38"/>
        <v/>
      </c>
    </row>
    <row r="396" spans="1:15" x14ac:dyDescent="0.25">
      <c r="A396" s="49"/>
      <c r="B396" s="50"/>
      <c r="G396" t="str">
        <f t="shared" si="36"/>
        <v/>
      </c>
      <c r="H396" s="13" t="str">
        <f t="shared" si="39"/>
        <v/>
      </c>
      <c r="I396" t="str">
        <f>IFERROR(INDEX(Analysis!$D$116:$N$137, MATCH(B396, Analysis!$C$116:$C$137, 0), MATCH(C396, Analysis!$D$115:$N$115, 0)), "")</f>
        <v/>
      </c>
      <c r="J396" t="str">
        <f t="shared" si="40"/>
        <v/>
      </c>
      <c r="K396" s="28" t="str">
        <f t="shared" si="37"/>
        <v/>
      </c>
      <c r="L396" s="46" t="str">
        <f t="shared" si="41"/>
        <v/>
      </c>
      <c r="M396" t="str" cm="1">
        <f t="array" ref="M396">IF(L396="","",_xlfn.IFS(
  AND(L396&gt;=TIME(9,0,0), L396&lt;TIME(16,0,0)),"Morning",
  AND(L396&gt;=TIME(16,0,0), L396&lt;TIME(23,59,0)),"Evening",
  L396&gt;=TIME(23,59,0),"Night",
  L396&lt;TIME(9,0,0),"Night"
))</f>
        <v/>
      </c>
      <c r="O396" t="str">
        <f t="shared" si="38"/>
        <v/>
      </c>
    </row>
    <row r="397" spans="1:15" x14ac:dyDescent="0.25">
      <c r="A397" s="49"/>
      <c r="B397" s="50"/>
      <c r="G397" t="str">
        <f t="shared" si="36"/>
        <v/>
      </c>
      <c r="H397" s="13" t="str">
        <f t="shared" si="39"/>
        <v/>
      </c>
      <c r="I397" t="str">
        <f>IFERROR(INDEX(Analysis!$D$116:$N$137, MATCH(B397, Analysis!$C$116:$C$137, 0), MATCH(C397, Analysis!$D$115:$N$115, 0)), "")</f>
        <v/>
      </c>
      <c r="J397" t="str">
        <f t="shared" si="40"/>
        <v/>
      </c>
      <c r="K397" s="28" t="str">
        <f t="shared" si="37"/>
        <v/>
      </c>
      <c r="L397" s="46" t="str">
        <f t="shared" si="41"/>
        <v/>
      </c>
      <c r="M397" t="str" cm="1">
        <f t="array" ref="M397">IF(L397="","",_xlfn.IFS(
  AND(L397&gt;=TIME(9,0,0), L397&lt;TIME(16,0,0)),"Morning",
  AND(L397&gt;=TIME(16,0,0), L397&lt;TIME(23,59,0)),"Evening",
  L397&gt;=TIME(23,59,0),"Night",
  L397&lt;TIME(9,0,0),"Night"
))</f>
        <v/>
      </c>
      <c r="O397" t="str">
        <f t="shared" si="38"/>
        <v/>
      </c>
    </row>
    <row r="398" spans="1:15" x14ac:dyDescent="0.25">
      <c r="A398" s="49"/>
      <c r="B398" s="50"/>
      <c r="G398" t="str">
        <f t="shared" si="36"/>
        <v/>
      </c>
      <c r="H398" s="13" t="str">
        <f t="shared" si="39"/>
        <v/>
      </c>
      <c r="I398" t="str">
        <f>IFERROR(INDEX(Analysis!$D$116:$N$137, MATCH(B398, Analysis!$C$116:$C$137, 0), MATCH(C398, Analysis!$D$115:$N$115, 0)), "")</f>
        <v/>
      </c>
      <c r="J398" t="str">
        <f t="shared" si="40"/>
        <v/>
      </c>
      <c r="K398" s="28" t="str">
        <f t="shared" si="37"/>
        <v/>
      </c>
      <c r="L398" s="46" t="str">
        <f t="shared" si="41"/>
        <v/>
      </c>
      <c r="M398" t="str" cm="1">
        <f t="array" ref="M398">IF(L398="","",_xlfn.IFS(
  AND(L398&gt;=TIME(9,0,0), L398&lt;TIME(16,0,0)),"Morning",
  AND(L398&gt;=TIME(16,0,0), L398&lt;TIME(23,59,0)),"Evening",
  L398&gt;=TIME(23,59,0),"Night",
  L398&lt;TIME(9,0,0),"Night"
))</f>
        <v/>
      </c>
      <c r="O398" t="str">
        <f t="shared" si="38"/>
        <v/>
      </c>
    </row>
    <row r="399" spans="1:15" x14ac:dyDescent="0.25">
      <c r="A399" s="49"/>
      <c r="B399" s="50"/>
      <c r="G399" t="str">
        <f t="shared" si="36"/>
        <v/>
      </c>
      <c r="H399" s="13" t="str">
        <f t="shared" si="39"/>
        <v/>
      </c>
      <c r="I399" t="str">
        <f>IFERROR(INDEX(Analysis!$D$116:$N$137, MATCH(B399, Analysis!$C$116:$C$137, 0), MATCH(C399, Analysis!$D$115:$N$115, 0)), "")</f>
        <v/>
      </c>
      <c r="J399" t="str">
        <f t="shared" si="40"/>
        <v/>
      </c>
      <c r="K399" s="28" t="str">
        <f t="shared" si="37"/>
        <v/>
      </c>
      <c r="L399" s="46" t="str">
        <f t="shared" si="41"/>
        <v/>
      </c>
      <c r="M399" t="str" cm="1">
        <f t="array" ref="M399">IF(L399="","",_xlfn.IFS(
  AND(L399&gt;=TIME(9,0,0), L399&lt;TIME(16,0,0)),"Morning",
  AND(L399&gt;=TIME(16,0,0), L399&lt;TIME(23,59,0)),"Evening",
  L399&gt;=TIME(23,59,0),"Night",
  L399&lt;TIME(9,0,0),"Night"
))</f>
        <v/>
      </c>
      <c r="O399" t="str">
        <f t="shared" si="38"/>
        <v/>
      </c>
    </row>
    <row r="400" spans="1:15" x14ac:dyDescent="0.25">
      <c r="A400" s="49"/>
      <c r="B400" s="50"/>
      <c r="G400" t="str">
        <f t="shared" si="36"/>
        <v/>
      </c>
      <c r="H400" s="13" t="str">
        <f t="shared" si="39"/>
        <v/>
      </c>
      <c r="I400" t="str">
        <f>IFERROR(INDEX(Analysis!$D$116:$N$137, MATCH(B400, Analysis!$C$116:$C$137, 0), MATCH(C400, Analysis!$D$115:$N$115, 0)), "")</f>
        <v/>
      </c>
      <c r="J400" t="str">
        <f t="shared" si="40"/>
        <v/>
      </c>
      <c r="K400" s="28" t="str">
        <f t="shared" si="37"/>
        <v/>
      </c>
      <c r="L400" s="46" t="str">
        <f t="shared" si="41"/>
        <v/>
      </c>
      <c r="M400" t="str" cm="1">
        <f t="array" ref="M400">IF(L400="","",_xlfn.IFS(
  AND(L400&gt;=TIME(9,0,0), L400&lt;TIME(16,0,0)),"Morning",
  AND(L400&gt;=TIME(16,0,0), L400&lt;TIME(23,59,0)),"Evening",
  L400&gt;=TIME(23,59,0),"Night",
  L400&lt;TIME(9,0,0),"Night"
))</f>
        <v/>
      </c>
      <c r="O400" t="str">
        <f t="shared" si="38"/>
        <v/>
      </c>
    </row>
    <row r="401" spans="1:15" x14ac:dyDescent="0.25">
      <c r="A401" s="49"/>
      <c r="B401" s="50"/>
      <c r="G401" t="str">
        <f t="shared" si="36"/>
        <v/>
      </c>
      <c r="H401" s="13" t="str">
        <f t="shared" si="39"/>
        <v/>
      </c>
      <c r="I401" t="str">
        <f>IFERROR(INDEX(Analysis!$D$116:$N$137, MATCH(B401, Analysis!$C$116:$C$137, 0), MATCH(C401, Analysis!$D$115:$N$115, 0)), "")</f>
        <v/>
      </c>
      <c r="J401" t="str">
        <f t="shared" si="40"/>
        <v/>
      </c>
      <c r="K401" s="28" t="str">
        <f t="shared" si="37"/>
        <v/>
      </c>
      <c r="L401" s="46" t="str">
        <f t="shared" si="41"/>
        <v/>
      </c>
      <c r="M401" t="str" cm="1">
        <f t="array" ref="M401">IF(L401="","",_xlfn.IFS(
  AND(L401&gt;=TIME(9,0,0), L401&lt;TIME(16,0,0)),"Morning",
  AND(L401&gt;=TIME(16,0,0), L401&lt;TIME(23,59,0)),"Evening",
  L401&gt;=TIME(23,59,0),"Night",
  L401&lt;TIME(9,0,0),"Night"
))</f>
        <v/>
      </c>
      <c r="O401" t="str">
        <f t="shared" si="38"/>
        <v/>
      </c>
    </row>
    <row r="402" spans="1:15" x14ac:dyDescent="0.25">
      <c r="A402" s="49"/>
      <c r="B402" s="50"/>
      <c r="G402" t="str">
        <f t="shared" si="36"/>
        <v/>
      </c>
      <c r="H402" s="13" t="str">
        <f t="shared" si="39"/>
        <v/>
      </c>
      <c r="I402" t="str">
        <f>IFERROR(INDEX(Analysis!$D$116:$N$137, MATCH(B402, Analysis!$C$116:$C$137, 0), MATCH(C402, Analysis!$D$115:$N$115, 0)), "")</f>
        <v/>
      </c>
      <c r="J402" t="str">
        <f t="shared" si="40"/>
        <v/>
      </c>
      <c r="K402" s="28" t="str">
        <f t="shared" si="37"/>
        <v/>
      </c>
      <c r="L402" s="46" t="str">
        <f t="shared" si="41"/>
        <v/>
      </c>
      <c r="M402" t="str" cm="1">
        <f t="array" ref="M402">IF(L402="","",_xlfn.IFS(
  AND(L402&gt;=TIME(9,0,0), L402&lt;TIME(16,0,0)),"Morning",
  AND(L402&gt;=TIME(16,0,0), L402&lt;TIME(23,59,0)),"Evening",
  L402&gt;=TIME(23,59,0),"Night",
  L402&lt;TIME(9,0,0),"Night"
))</f>
        <v/>
      </c>
      <c r="O402" t="str">
        <f t="shared" si="38"/>
        <v/>
      </c>
    </row>
    <row r="403" spans="1:15" x14ac:dyDescent="0.25">
      <c r="A403" s="49"/>
      <c r="B403" s="50"/>
      <c r="G403" t="str">
        <f t="shared" si="36"/>
        <v/>
      </c>
      <c r="H403" s="13" t="str">
        <f t="shared" si="39"/>
        <v/>
      </c>
      <c r="I403" t="str">
        <f>IFERROR(INDEX(Analysis!$D$116:$N$137, MATCH(B403, Analysis!$C$116:$C$137, 0), MATCH(C403, Analysis!$D$115:$N$115, 0)), "")</f>
        <v/>
      </c>
      <c r="J403" t="str">
        <f t="shared" si="40"/>
        <v/>
      </c>
      <c r="K403" s="28" t="str">
        <f t="shared" si="37"/>
        <v/>
      </c>
      <c r="L403" s="46" t="str">
        <f t="shared" si="41"/>
        <v/>
      </c>
      <c r="M403" t="str" cm="1">
        <f t="array" ref="M403">IF(L403="","",_xlfn.IFS(
  AND(L403&gt;=TIME(9,0,0), L403&lt;TIME(16,0,0)),"Morning",
  AND(L403&gt;=TIME(16,0,0), L403&lt;TIME(23,59,0)),"Evening",
  L403&gt;=TIME(23,59,0),"Night",
  L403&lt;TIME(9,0,0),"Night"
))</f>
        <v/>
      </c>
      <c r="O403" t="str">
        <f t="shared" si="38"/>
        <v/>
      </c>
    </row>
    <row r="404" spans="1:15" x14ac:dyDescent="0.25">
      <c r="A404" s="49"/>
      <c r="B404" s="50"/>
      <c r="G404" t="str">
        <f t="shared" si="36"/>
        <v/>
      </c>
      <c r="H404" s="13" t="str">
        <f t="shared" si="39"/>
        <v/>
      </c>
      <c r="I404" t="str">
        <f>IFERROR(INDEX(Analysis!$D$116:$N$137, MATCH(B404, Analysis!$C$116:$C$137, 0), MATCH(C404, Analysis!$D$115:$N$115, 0)), "")</f>
        <v/>
      </c>
      <c r="J404" t="str">
        <f t="shared" si="40"/>
        <v/>
      </c>
      <c r="K404" s="28" t="str">
        <f t="shared" si="37"/>
        <v/>
      </c>
      <c r="L404" s="46" t="str">
        <f t="shared" si="41"/>
        <v/>
      </c>
      <c r="M404" t="str" cm="1">
        <f t="array" ref="M404">IF(L404="","",_xlfn.IFS(
  AND(L404&gt;=TIME(9,0,0), L404&lt;TIME(16,0,0)),"Morning",
  AND(L404&gt;=TIME(16,0,0), L404&lt;TIME(23,59,0)),"Evening",
  L404&gt;=TIME(23,59,0),"Night",
  L404&lt;TIME(9,0,0),"Night"
))</f>
        <v/>
      </c>
      <c r="O404" t="str">
        <f t="shared" si="38"/>
        <v/>
      </c>
    </row>
    <row r="405" spans="1:15" x14ac:dyDescent="0.25">
      <c r="A405" s="49"/>
      <c r="B405" s="50"/>
      <c r="G405" t="str">
        <f t="shared" si="36"/>
        <v/>
      </c>
      <c r="H405" s="13" t="str">
        <f t="shared" si="39"/>
        <v/>
      </c>
      <c r="I405" t="str">
        <f>IFERROR(INDEX(Analysis!$D$116:$N$137, MATCH(B405, Analysis!$C$116:$C$137, 0), MATCH(C405, Analysis!$D$115:$N$115, 0)), "")</f>
        <v/>
      </c>
      <c r="J405" t="str">
        <f t="shared" si="40"/>
        <v/>
      </c>
      <c r="K405" s="28" t="str">
        <f t="shared" si="37"/>
        <v/>
      </c>
      <c r="L405" s="46" t="str">
        <f t="shared" si="41"/>
        <v/>
      </c>
      <c r="M405" t="str" cm="1">
        <f t="array" ref="M405">IF(L405="","",_xlfn.IFS(
  AND(L405&gt;=TIME(9,0,0), L405&lt;TIME(16,0,0)),"Morning",
  AND(L405&gt;=TIME(16,0,0), L405&lt;TIME(23,59,0)),"Evening",
  L405&gt;=TIME(23,59,0),"Night",
  L405&lt;TIME(9,0,0),"Night"
))</f>
        <v/>
      </c>
      <c r="O405" t="str">
        <f t="shared" si="38"/>
        <v/>
      </c>
    </row>
    <row r="406" spans="1:15" x14ac:dyDescent="0.25">
      <c r="A406" s="49"/>
      <c r="B406" s="50"/>
      <c r="G406" t="str">
        <f t="shared" si="36"/>
        <v/>
      </c>
      <c r="H406" s="13" t="str">
        <f t="shared" si="39"/>
        <v/>
      </c>
      <c r="I406" t="str">
        <f>IFERROR(INDEX(Analysis!$D$116:$N$137, MATCH(B406, Analysis!$C$116:$C$137, 0), MATCH(C406, Analysis!$D$115:$N$115, 0)), "")</f>
        <v/>
      </c>
      <c r="J406" t="str">
        <f t="shared" si="40"/>
        <v/>
      </c>
      <c r="K406" s="28" t="str">
        <f t="shared" si="37"/>
        <v/>
      </c>
      <c r="L406" s="46" t="str">
        <f t="shared" si="41"/>
        <v/>
      </c>
      <c r="M406" t="str" cm="1">
        <f t="array" ref="M406">IF(L406="","",_xlfn.IFS(
  AND(L406&gt;=TIME(9,0,0), L406&lt;TIME(16,0,0)),"Morning",
  AND(L406&gt;=TIME(16,0,0), L406&lt;TIME(23,59,0)),"Evening",
  L406&gt;=TIME(23,59,0),"Night",
  L406&lt;TIME(9,0,0),"Night"
))</f>
        <v/>
      </c>
      <c r="O406" t="str">
        <f t="shared" si="38"/>
        <v/>
      </c>
    </row>
    <row r="407" spans="1:15" x14ac:dyDescent="0.25">
      <c r="A407" s="49"/>
      <c r="B407" s="50"/>
      <c r="G407" t="str">
        <f t="shared" si="36"/>
        <v/>
      </c>
      <c r="H407" s="13" t="str">
        <f t="shared" si="39"/>
        <v/>
      </c>
      <c r="I407" t="str">
        <f>IFERROR(INDEX(Analysis!$D$116:$N$137, MATCH(B407, Analysis!$C$116:$C$137, 0), MATCH(C407, Analysis!$D$115:$N$115, 0)), "")</f>
        <v/>
      </c>
      <c r="J407" t="str">
        <f t="shared" si="40"/>
        <v/>
      </c>
      <c r="K407" s="28" t="str">
        <f t="shared" si="37"/>
        <v/>
      </c>
      <c r="L407" s="46" t="str">
        <f t="shared" si="41"/>
        <v/>
      </c>
      <c r="M407" t="str" cm="1">
        <f t="array" ref="M407">IF(L407="","",_xlfn.IFS(
  AND(L407&gt;=TIME(9,0,0), L407&lt;TIME(16,0,0)),"Morning",
  AND(L407&gt;=TIME(16,0,0), L407&lt;TIME(23,59,0)),"Evening",
  L407&gt;=TIME(23,59,0),"Night",
  L407&lt;TIME(9,0,0),"Night"
))</f>
        <v/>
      </c>
      <c r="O407" t="str">
        <f t="shared" si="38"/>
        <v/>
      </c>
    </row>
    <row r="408" spans="1:15" x14ac:dyDescent="0.25">
      <c r="A408" s="49"/>
      <c r="B408" s="50"/>
      <c r="G408" t="str">
        <f t="shared" si="36"/>
        <v/>
      </c>
      <c r="H408" s="13" t="str">
        <f t="shared" si="39"/>
        <v/>
      </c>
      <c r="I408" t="str">
        <f>IFERROR(INDEX(Analysis!$D$116:$N$137, MATCH(B408, Analysis!$C$116:$C$137, 0), MATCH(C408, Analysis!$D$115:$N$115, 0)), "")</f>
        <v/>
      </c>
      <c r="J408" t="str">
        <f t="shared" si="40"/>
        <v/>
      </c>
      <c r="K408" s="28" t="str">
        <f t="shared" si="37"/>
        <v/>
      </c>
      <c r="L408" s="46" t="str">
        <f t="shared" si="41"/>
        <v/>
      </c>
      <c r="M408" t="str" cm="1">
        <f t="array" ref="M408">IF(L408="","",_xlfn.IFS(
  AND(L408&gt;=TIME(9,0,0), L408&lt;TIME(16,0,0)),"Morning",
  AND(L408&gt;=TIME(16,0,0), L408&lt;TIME(23,59,0)),"Evening",
  L408&gt;=TIME(23,59,0),"Night",
  L408&lt;TIME(9,0,0),"Night"
))</f>
        <v/>
      </c>
      <c r="O408" t="str">
        <f t="shared" si="38"/>
        <v/>
      </c>
    </row>
    <row r="409" spans="1:15" x14ac:dyDescent="0.25">
      <c r="A409" s="49"/>
      <c r="B409" s="50"/>
      <c r="G409" t="str">
        <f t="shared" si="36"/>
        <v/>
      </c>
      <c r="H409" s="13" t="str">
        <f t="shared" si="39"/>
        <v/>
      </c>
      <c r="I409" t="str">
        <f>IFERROR(INDEX(Analysis!$D$116:$N$137, MATCH(B409, Analysis!$C$116:$C$137, 0), MATCH(C409, Analysis!$D$115:$N$115, 0)), "")</f>
        <v/>
      </c>
      <c r="J409" t="str">
        <f t="shared" si="40"/>
        <v/>
      </c>
      <c r="K409" s="28" t="str">
        <f t="shared" si="37"/>
        <v/>
      </c>
      <c r="L409" s="46" t="str">
        <f t="shared" si="41"/>
        <v/>
      </c>
      <c r="M409" t="str" cm="1">
        <f t="array" ref="M409">IF(L409="","",_xlfn.IFS(
  AND(L409&gt;=TIME(9,0,0), L409&lt;TIME(16,0,0)),"Morning",
  AND(L409&gt;=TIME(16,0,0), L409&lt;TIME(23,59,0)),"Evening",
  L409&gt;=TIME(23,59,0),"Night",
  L409&lt;TIME(9,0,0),"Night"
))</f>
        <v/>
      </c>
      <c r="O409" t="str">
        <f t="shared" si="38"/>
        <v/>
      </c>
    </row>
    <row r="410" spans="1:15" x14ac:dyDescent="0.25">
      <c r="A410" s="49"/>
      <c r="B410" s="50"/>
      <c r="G410" t="str">
        <f t="shared" si="36"/>
        <v/>
      </c>
      <c r="H410" s="13" t="str">
        <f t="shared" si="39"/>
        <v/>
      </c>
      <c r="I410" t="str">
        <f>IFERROR(INDEX(Analysis!$D$116:$N$137, MATCH(B410, Analysis!$C$116:$C$137, 0), MATCH(C410, Analysis!$D$115:$N$115, 0)), "")</f>
        <v/>
      </c>
      <c r="J410" t="str">
        <f t="shared" si="40"/>
        <v/>
      </c>
      <c r="K410" s="28" t="str">
        <f t="shared" si="37"/>
        <v/>
      </c>
      <c r="L410" s="46" t="str">
        <f t="shared" si="41"/>
        <v/>
      </c>
      <c r="M410" t="str" cm="1">
        <f t="array" ref="M410">IF(L410="","",_xlfn.IFS(
  AND(L410&gt;=TIME(9,0,0), L410&lt;TIME(16,0,0)),"Morning",
  AND(L410&gt;=TIME(16,0,0), L410&lt;TIME(23,59,0)),"Evening",
  L410&gt;=TIME(23,59,0),"Night",
  L410&lt;TIME(9,0,0),"Night"
))</f>
        <v/>
      </c>
      <c r="O410" t="str">
        <f t="shared" si="38"/>
        <v/>
      </c>
    </row>
    <row r="411" spans="1:15" x14ac:dyDescent="0.25">
      <c r="A411" s="49"/>
      <c r="B411" s="50"/>
      <c r="G411" t="str">
        <f t="shared" si="36"/>
        <v/>
      </c>
      <c r="H411" s="13" t="str">
        <f t="shared" si="39"/>
        <v/>
      </c>
      <c r="I411" t="str">
        <f>IFERROR(INDEX(Analysis!$D$116:$N$137, MATCH(B411, Analysis!$C$116:$C$137, 0), MATCH(C411, Analysis!$D$115:$N$115, 0)), "")</f>
        <v/>
      </c>
      <c r="J411" t="str">
        <f t="shared" si="40"/>
        <v/>
      </c>
      <c r="K411" s="28" t="str">
        <f t="shared" si="37"/>
        <v/>
      </c>
      <c r="L411" s="46" t="str">
        <f t="shared" si="41"/>
        <v/>
      </c>
      <c r="M411" t="str" cm="1">
        <f t="array" ref="M411">IF(L411="","",_xlfn.IFS(
  AND(L411&gt;=TIME(9,0,0), L411&lt;TIME(16,0,0)),"Morning",
  AND(L411&gt;=TIME(16,0,0), L411&lt;TIME(23,59,0)),"Evening",
  L411&gt;=TIME(23,59,0),"Night",
  L411&lt;TIME(9,0,0),"Night"
))</f>
        <v/>
      </c>
      <c r="O411" t="str">
        <f t="shared" si="38"/>
        <v/>
      </c>
    </row>
    <row r="412" spans="1:15" x14ac:dyDescent="0.25">
      <c r="A412" s="49"/>
      <c r="B412" s="50"/>
      <c r="G412" t="str">
        <f t="shared" si="36"/>
        <v/>
      </c>
      <c r="H412" s="13" t="str">
        <f t="shared" si="39"/>
        <v/>
      </c>
      <c r="I412" t="str">
        <f>IFERROR(INDEX(Analysis!$D$116:$N$137, MATCH(B412, Analysis!$C$116:$C$137, 0), MATCH(C412, Analysis!$D$115:$N$115, 0)), "")</f>
        <v/>
      </c>
      <c r="J412" t="str">
        <f t="shared" si="40"/>
        <v/>
      </c>
      <c r="K412" s="28" t="str">
        <f t="shared" si="37"/>
        <v/>
      </c>
      <c r="L412" s="46" t="str">
        <f t="shared" si="41"/>
        <v/>
      </c>
      <c r="M412" t="str" cm="1">
        <f t="array" ref="M412">IF(L412="","",_xlfn.IFS(
  AND(L412&gt;=TIME(9,0,0), L412&lt;TIME(16,0,0)),"Morning",
  AND(L412&gt;=TIME(16,0,0), L412&lt;TIME(23,59,0)),"Evening",
  L412&gt;=TIME(23,59,0),"Night",
  L412&lt;TIME(9,0,0),"Night"
))</f>
        <v/>
      </c>
      <c r="O412" t="str">
        <f t="shared" si="38"/>
        <v/>
      </c>
    </row>
    <row r="413" spans="1:15" x14ac:dyDescent="0.25">
      <c r="A413" s="49"/>
      <c r="B413" s="50"/>
      <c r="G413" t="str">
        <f t="shared" si="36"/>
        <v/>
      </c>
      <c r="H413" s="13" t="str">
        <f t="shared" si="39"/>
        <v/>
      </c>
      <c r="I413" t="str">
        <f>IFERROR(INDEX(Analysis!$D$116:$N$137, MATCH(B413, Analysis!$C$116:$C$137, 0), MATCH(C413, Analysis!$D$115:$N$115, 0)), "")</f>
        <v/>
      </c>
      <c r="J413" t="str">
        <f t="shared" si="40"/>
        <v/>
      </c>
      <c r="K413" s="28" t="str">
        <f t="shared" si="37"/>
        <v/>
      </c>
      <c r="L413" s="46" t="str">
        <f t="shared" si="41"/>
        <v/>
      </c>
      <c r="M413" t="str" cm="1">
        <f t="array" ref="M413">IF(L413="","",_xlfn.IFS(
  AND(L413&gt;=TIME(9,0,0), L413&lt;TIME(16,0,0)),"Morning",
  AND(L413&gt;=TIME(16,0,0), L413&lt;TIME(23,59,0)),"Evening",
  L413&gt;=TIME(23,59,0),"Night",
  L413&lt;TIME(9,0,0),"Night"
))</f>
        <v/>
      </c>
      <c r="O413" t="str">
        <f t="shared" si="38"/>
        <v/>
      </c>
    </row>
    <row r="414" spans="1:15" x14ac:dyDescent="0.25">
      <c r="A414" s="49"/>
      <c r="B414" s="50"/>
      <c r="G414" t="str">
        <f t="shared" si="36"/>
        <v/>
      </c>
      <c r="H414" s="13" t="str">
        <f t="shared" si="39"/>
        <v/>
      </c>
      <c r="I414" t="str">
        <f>IFERROR(INDEX(Analysis!$D$116:$N$137, MATCH(B414, Analysis!$C$116:$C$137, 0), MATCH(C414, Analysis!$D$115:$N$115, 0)), "")</f>
        <v/>
      </c>
      <c r="J414" t="str">
        <f t="shared" si="40"/>
        <v/>
      </c>
      <c r="K414" s="28" t="str">
        <f t="shared" si="37"/>
        <v/>
      </c>
      <c r="L414" s="46" t="str">
        <f t="shared" si="41"/>
        <v/>
      </c>
      <c r="M414" t="str" cm="1">
        <f t="array" ref="M414">IF(L414="","",_xlfn.IFS(
  AND(L414&gt;=TIME(9,0,0), L414&lt;TIME(16,0,0)),"Morning",
  AND(L414&gt;=TIME(16,0,0), L414&lt;TIME(23,59,0)),"Evening",
  L414&gt;=TIME(23,59,0),"Night",
  L414&lt;TIME(9,0,0),"Night"
))</f>
        <v/>
      </c>
      <c r="O414" t="str">
        <f t="shared" si="38"/>
        <v/>
      </c>
    </row>
    <row r="415" spans="1:15" x14ac:dyDescent="0.25">
      <c r="A415" s="49"/>
      <c r="B415" s="50"/>
      <c r="G415" t="str">
        <f t="shared" si="36"/>
        <v/>
      </c>
      <c r="H415" s="13" t="str">
        <f t="shared" si="39"/>
        <v/>
      </c>
      <c r="I415" t="str">
        <f>IFERROR(INDEX(Analysis!$D$116:$N$137, MATCH(B415, Analysis!$C$116:$C$137, 0), MATCH(C415, Analysis!$D$115:$N$115, 0)), "")</f>
        <v/>
      </c>
      <c r="J415" t="str">
        <f t="shared" si="40"/>
        <v/>
      </c>
      <c r="K415" s="28" t="str">
        <f t="shared" si="37"/>
        <v/>
      </c>
      <c r="L415" s="46" t="str">
        <f t="shared" si="41"/>
        <v/>
      </c>
      <c r="M415" t="str" cm="1">
        <f t="array" ref="M415">IF(L415="","",_xlfn.IFS(
  AND(L415&gt;=TIME(9,0,0), L415&lt;TIME(16,0,0)),"Morning",
  AND(L415&gt;=TIME(16,0,0), L415&lt;TIME(23,59,0)),"Evening",
  L415&gt;=TIME(23,59,0),"Night",
  L415&lt;TIME(9,0,0),"Night"
))</f>
        <v/>
      </c>
      <c r="O415" t="str">
        <f t="shared" si="38"/>
        <v/>
      </c>
    </row>
    <row r="416" spans="1:15" x14ac:dyDescent="0.25">
      <c r="A416" s="49"/>
      <c r="B416" s="50"/>
      <c r="G416" t="str">
        <f t="shared" si="36"/>
        <v/>
      </c>
      <c r="H416" s="13" t="str">
        <f t="shared" si="39"/>
        <v/>
      </c>
      <c r="I416" t="str">
        <f>IFERROR(INDEX(Analysis!$D$116:$N$137, MATCH(B416, Analysis!$C$116:$C$137, 0), MATCH(C416, Analysis!$D$115:$N$115, 0)), "")</f>
        <v/>
      </c>
      <c r="J416" t="str">
        <f t="shared" si="40"/>
        <v/>
      </c>
      <c r="K416" s="28" t="str">
        <f t="shared" si="37"/>
        <v/>
      </c>
      <c r="L416" s="46" t="str">
        <f t="shared" si="41"/>
        <v/>
      </c>
      <c r="M416" t="str" cm="1">
        <f t="array" ref="M416">IF(L416="","",_xlfn.IFS(
  AND(L416&gt;=TIME(9,0,0), L416&lt;TIME(16,0,0)),"Morning",
  AND(L416&gt;=TIME(16,0,0), L416&lt;TIME(23,59,0)),"Evening",
  L416&gt;=TIME(23,59,0),"Night",
  L416&lt;TIME(9,0,0),"Night"
))</f>
        <v/>
      </c>
      <c r="O416" t="str">
        <f t="shared" si="38"/>
        <v/>
      </c>
    </row>
    <row r="417" spans="1:15" x14ac:dyDescent="0.25">
      <c r="A417" s="49"/>
      <c r="B417" s="50"/>
      <c r="G417" t="str">
        <f t="shared" si="36"/>
        <v/>
      </c>
      <c r="H417" s="13" t="str">
        <f t="shared" si="39"/>
        <v/>
      </c>
      <c r="I417" t="str">
        <f>IFERROR(INDEX(Analysis!$D$116:$N$137, MATCH(B417, Analysis!$C$116:$C$137, 0), MATCH(C417, Analysis!$D$115:$N$115, 0)), "")</f>
        <v/>
      </c>
      <c r="J417" t="str">
        <f t="shared" si="40"/>
        <v/>
      </c>
      <c r="K417" s="28" t="str">
        <f t="shared" si="37"/>
        <v/>
      </c>
      <c r="L417" s="46" t="str">
        <f t="shared" si="41"/>
        <v/>
      </c>
      <c r="M417" t="str" cm="1">
        <f t="array" ref="M417">IF(L417="","",_xlfn.IFS(
  AND(L417&gt;=TIME(9,0,0), L417&lt;TIME(16,0,0)),"Morning",
  AND(L417&gt;=TIME(16,0,0), L417&lt;TIME(23,59,0)),"Evening",
  L417&gt;=TIME(23,59,0),"Night",
  L417&lt;TIME(9,0,0),"Night"
))</f>
        <v/>
      </c>
      <c r="O417" t="str">
        <f t="shared" si="38"/>
        <v/>
      </c>
    </row>
    <row r="418" spans="1:15" x14ac:dyDescent="0.25">
      <c r="A418" s="49"/>
      <c r="B418" s="50"/>
      <c r="G418" t="str">
        <f t="shared" si="36"/>
        <v/>
      </c>
      <c r="H418" s="13" t="str">
        <f t="shared" si="39"/>
        <v/>
      </c>
      <c r="I418" t="str">
        <f>IFERROR(INDEX(Analysis!$D$116:$N$137, MATCH(B418, Analysis!$C$116:$C$137, 0), MATCH(C418, Analysis!$D$115:$N$115, 0)), "")</f>
        <v/>
      </c>
      <c r="J418" t="str">
        <f t="shared" si="40"/>
        <v/>
      </c>
      <c r="K418" s="28" t="str">
        <f t="shared" si="37"/>
        <v/>
      </c>
      <c r="L418" s="46" t="str">
        <f t="shared" si="41"/>
        <v/>
      </c>
      <c r="M418" t="str" cm="1">
        <f t="array" ref="M418">IF(L418="","",_xlfn.IFS(
  AND(L418&gt;=TIME(9,0,0), L418&lt;TIME(16,0,0)),"Morning",
  AND(L418&gt;=TIME(16,0,0), L418&lt;TIME(23,59,0)),"Evening",
  L418&gt;=TIME(23,59,0),"Night",
  L418&lt;TIME(9,0,0),"Night"
))</f>
        <v/>
      </c>
      <c r="O418" t="str">
        <f t="shared" si="38"/>
        <v/>
      </c>
    </row>
    <row r="419" spans="1:15" x14ac:dyDescent="0.25">
      <c r="A419" s="49"/>
      <c r="B419" s="50"/>
      <c r="G419" t="str">
        <f t="shared" si="36"/>
        <v/>
      </c>
      <c r="H419" s="13" t="str">
        <f t="shared" si="39"/>
        <v/>
      </c>
      <c r="I419" t="str">
        <f>IFERROR(INDEX(Analysis!$D$116:$N$137, MATCH(B419, Analysis!$C$116:$C$137, 0), MATCH(C419, Analysis!$D$115:$N$115, 0)), "")</f>
        <v/>
      </c>
      <c r="J419" t="str">
        <f t="shared" si="40"/>
        <v/>
      </c>
      <c r="K419" s="28" t="str">
        <f t="shared" si="37"/>
        <v/>
      </c>
      <c r="L419" s="46" t="str">
        <f t="shared" si="41"/>
        <v/>
      </c>
      <c r="M419" t="str" cm="1">
        <f t="array" ref="M419">IF(L419="","",_xlfn.IFS(
  AND(L419&gt;=TIME(9,0,0), L419&lt;TIME(16,0,0)),"Morning",
  AND(L419&gt;=TIME(16,0,0), L419&lt;TIME(23,59,0)),"Evening",
  L419&gt;=TIME(23,59,0),"Night",
  L419&lt;TIME(9,0,0),"Night"
))</f>
        <v/>
      </c>
      <c r="O419" t="str">
        <f t="shared" si="38"/>
        <v/>
      </c>
    </row>
    <row r="420" spans="1:15" x14ac:dyDescent="0.25">
      <c r="A420" s="49"/>
      <c r="B420" s="50"/>
      <c r="G420" t="str">
        <f t="shared" si="36"/>
        <v/>
      </c>
      <c r="H420" s="13" t="str">
        <f t="shared" si="39"/>
        <v/>
      </c>
      <c r="I420" t="str">
        <f>IFERROR(INDEX(Analysis!$D$116:$N$137, MATCH(B420, Analysis!$C$116:$C$137, 0), MATCH(C420, Analysis!$D$115:$N$115, 0)), "")</f>
        <v/>
      </c>
      <c r="J420" t="str">
        <f t="shared" si="40"/>
        <v/>
      </c>
      <c r="K420" s="28" t="str">
        <f t="shared" si="37"/>
        <v/>
      </c>
      <c r="L420" s="46" t="str">
        <f t="shared" si="41"/>
        <v/>
      </c>
      <c r="M420" t="str" cm="1">
        <f t="array" ref="M420">IF(L420="","",_xlfn.IFS(
  AND(L420&gt;=TIME(9,0,0), L420&lt;TIME(16,0,0)),"Morning",
  AND(L420&gt;=TIME(16,0,0), L420&lt;TIME(23,59,0)),"Evening",
  L420&gt;=TIME(23,59,0),"Night",
  L420&lt;TIME(9,0,0),"Night"
))</f>
        <v/>
      </c>
      <c r="O420" t="str">
        <f t="shared" si="38"/>
        <v/>
      </c>
    </row>
    <row r="421" spans="1:15" x14ac:dyDescent="0.25">
      <c r="A421" s="49"/>
      <c r="B421" s="50"/>
      <c r="G421" t="str">
        <f t="shared" si="36"/>
        <v/>
      </c>
      <c r="H421" s="13" t="str">
        <f t="shared" si="39"/>
        <v/>
      </c>
      <c r="I421" t="str">
        <f>IFERROR(INDEX(Analysis!$D$116:$N$137, MATCH(B421, Analysis!$C$116:$C$137, 0), MATCH(C421, Analysis!$D$115:$N$115, 0)), "")</f>
        <v/>
      </c>
      <c r="J421" t="str">
        <f t="shared" si="40"/>
        <v/>
      </c>
      <c r="K421" s="28" t="str">
        <f t="shared" si="37"/>
        <v/>
      </c>
      <c r="L421" s="46" t="str">
        <f t="shared" si="41"/>
        <v/>
      </c>
      <c r="M421" t="str" cm="1">
        <f t="array" ref="M421">IF(L421="","",_xlfn.IFS(
  AND(L421&gt;=TIME(9,0,0), L421&lt;TIME(16,0,0)),"Morning",
  AND(L421&gt;=TIME(16,0,0), L421&lt;TIME(23,59,0)),"Evening",
  L421&gt;=TIME(23,59,0),"Night",
  L421&lt;TIME(9,0,0),"Night"
))</f>
        <v/>
      </c>
      <c r="O421" t="str">
        <f t="shared" si="38"/>
        <v/>
      </c>
    </row>
    <row r="422" spans="1:15" x14ac:dyDescent="0.25">
      <c r="A422" s="49"/>
      <c r="B422" s="50"/>
      <c r="G422" t="str">
        <f t="shared" si="36"/>
        <v/>
      </c>
      <c r="H422" s="13" t="str">
        <f t="shared" si="39"/>
        <v/>
      </c>
      <c r="I422" t="str">
        <f>IFERROR(INDEX(Analysis!$D$116:$N$137, MATCH(B422, Analysis!$C$116:$C$137, 0), MATCH(C422, Analysis!$D$115:$N$115, 0)), "")</f>
        <v/>
      </c>
      <c r="J422" t="str">
        <f t="shared" si="40"/>
        <v/>
      </c>
      <c r="K422" s="28" t="str">
        <f t="shared" si="37"/>
        <v/>
      </c>
      <c r="L422" s="46" t="str">
        <f t="shared" si="41"/>
        <v/>
      </c>
      <c r="M422" t="str" cm="1">
        <f t="array" ref="M422">IF(L422="","",_xlfn.IFS(
  AND(L422&gt;=TIME(9,0,0), L422&lt;TIME(16,0,0)),"Morning",
  AND(L422&gt;=TIME(16,0,0), L422&lt;TIME(23,59,0)),"Evening",
  L422&gt;=TIME(23,59,0),"Night",
  L422&lt;TIME(9,0,0),"Night"
))</f>
        <v/>
      </c>
      <c r="O422" t="str">
        <f t="shared" si="38"/>
        <v/>
      </c>
    </row>
    <row r="423" spans="1:15" x14ac:dyDescent="0.25">
      <c r="A423" s="49"/>
      <c r="B423" s="50"/>
      <c r="G423" t="str">
        <f t="shared" si="36"/>
        <v/>
      </c>
      <c r="H423" s="13" t="str">
        <f t="shared" si="39"/>
        <v/>
      </c>
      <c r="I423" t="str">
        <f>IFERROR(INDEX(Analysis!$D$116:$N$137, MATCH(B423, Analysis!$C$116:$C$137, 0), MATCH(C423, Analysis!$D$115:$N$115, 0)), "")</f>
        <v/>
      </c>
      <c r="J423" t="str">
        <f t="shared" si="40"/>
        <v/>
      </c>
      <c r="K423" s="28" t="str">
        <f t="shared" si="37"/>
        <v/>
      </c>
      <c r="L423" s="46" t="str">
        <f t="shared" si="41"/>
        <v/>
      </c>
      <c r="M423" t="str" cm="1">
        <f t="array" ref="M423">IF(L423="","",_xlfn.IFS(
  AND(L423&gt;=TIME(9,0,0), L423&lt;TIME(16,0,0)),"Morning",
  AND(L423&gt;=TIME(16,0,0), L423&lt;TIME(23,59,0)),"Evening",
  L423&gt;=TIME(23,59,0),"Night",
  L423&lt;TIME(9,0,0),"Night"
))</f>
        <v/>
      </c>
      <c r="O423" t="str">
        <f t="shared" si="38"/>
        <v/>
      </c>
    </row>
    <row r="424" spans="1:15" x14ac:dyDescent="0.25">
      <c r="A424" s="49"/>
      <c r="B424" s="50"/>
      <c r="G424" t="str">
        <f t="shared" si="36"/>
        <v/>
      </c>
      <c r="H424" s="13" t="str">
        <f t="shared" si="39"/>
        <v/>
      </c>
      <c r="I424" t="str">
        <f>IFERROR(INDEX(Analysis!$D$116:$N$137, MATCH(B424, Analysis!$C$116:$C$137, 0), MATCH(C424, Analysis!$D$115:$N$115, 0)), "")</f>
        <v/>
      </c>
      <c r="J424" t="str">
        <f t="shared" si="40"/>
        <v/>
      </c>
      <c r="K424" s="28" t="str">
        <f t="shared" si="37"/>
        <v/>
      </c>
      <c r="L424" s="46" t="str">
        <f t="shared" si="41"/>
        <v/>
      </c>
      <c r="M424" t="str" cm="1">
        <f t="array" ref="M424">IF(L424="","",_xlfn.IFS(
  AND(L424&gt;=TIME(9,0,0), L424&lt;TIME(16,0,0)),"Morning",
  AND(L424&gt;=TIME(16,0,0), L424&lt;TIME(23,59,0)),"Evening",
  L424&gt;=TIME(23,59,0),"Night",
  L424&lt;TIME(9,0,0),"Night"
))</f>
        <v/>
      </c>
      <c r="O424" t="str">
        <f t="shared" si="38"/>
        <v/>
      </c>
    </row>
    <row r="425" spans="1:15" x14ac:dyDescent="0.25">
      <c r="A425" s="49"/>
      <c r="B425" s="50"/>
      <c r="G425" t="str">
        <f t="shared" si="36"/>
        <v/>
      </c>
      <c r="H425" s="13" t="str">
        <f t="shared" si="39"/>
        <v/>
      </c>
      <c r="I425" t="str">
        <f>IFERROR(INDEX(Analysis!$D$116:$N$137, MATCH(B425, Analysis!$C$116:$C$137, 0), MATCH(C425, Analysis!$D$115:$N$115, 0)), "")</f>
        <v/>
      </c>
      <c r="J425" t="str">
        <f t="shared" si="40"/>
        <v/>
      </c>
      <c r="K425" s="28" t="str">
        <f t="shared" si="37"/>
        <v/>
      </c>
      <c r="L425" s="46" t="str">
        <f t="shared" si="41"/>
        <v/>
      </c>
      <c r="M425" t="str" cm="1">
        <f t="array" ref="M425">IF(L425="","",_xlfn.IFS(
  AND(L425&gt;=TIME(9,0,0), L425&lt;TIME(16,0,0)),"Morning",
  AND(L425&gt;=TIME(16,0,0), L425&lt;TIME(23,59,0)),"Evening",
  L425&gt;=TIME(23,59,0),"Night",
  L425&lt;TIME(9,0,0),"Night"
))</f>
        <v/>
      </c>
      <c r="O425" t="str">
        <f t="shared" si="38"/>
        <v/>
      </c>
    </row>
    <row r="426" spans="1:15" x14ac:dyDescent="0.25">
      <c r="A426" s="49"/>
      <c r="B426" s="50"/>
      <c r="G426" t="str">
        <f t="shared" si="36"/>
        <v/>
      </c>
      <c r="H426" s="13" t="str">
        <f t="shared" si="39"/>
        <v/>
      </c>
      <c r="I426" t="str">
        <f>IFERROR(INDEX(Analysis!$D$116:$N$137, MATCH(B426, Analysis!$C$116:$C$137, 0), MATCH(C426, Analysis!$D$115:$N$115, 0)), "")</f>
        <v/>
      </c>
      <c r="J426" t="str">
        <f t="shared" si="40"/>
        <v/>
      </c>
      <c r="K426" s="28" t="str">
        <f t="shared" si="37"/>
        <v/>
      </c>
      <c r="L426" s="46" t="str">
        <f t="shared" si="41"/>
        <v/>
      </c>
      <c r="M426" t="str" cm="1">
        <f t="array" ref="M426">IF(L426="","",_xlfn.IFS(
  AND(L426&gt;=TIME(9,0,0), L426&lt;TIME(16,0,0)),"Morning",
  AND(L426&gt;=TIME(16,0,0), L426&lt;TIME(23,59,0)),"Evening",
  L426&gt;=TIME(23,59,0),"Night",
  L426&lt;TIME(9,0,0),"Night"
))</f>
        <v/>
      </c>
      <c r="O426" t="str">
        <f t="shared" si="38"/>
        <v/>
      </c>
    </row>
    <row r="427" spans="1:15" x14ac:dyDescent="0.25">
      <c r="A427" s="49"/>
      <c r="B427" s="50"/>
      <c r="G427" t="str">
        <f t="shared" si="36"/>
        <v/>
      </c>
      <c r="H427" s="13" t="str">
        <f t="shared" si="39"/>
        <v/>
      </c>
      <c r="I427" t="str">
        <f>IFERROR(INDEX(Analysis!$D$116:$N$137, MATCH(B427, Analysis!$C$116:$C$137, 0), MATCH(C427, Analysis!$D$115:$N$115, 0)), "")</f>
        <v/>
      </c>
      <c r="J427" t="str">
        <f t="shared" si="40"/>
        <v/>
      </c>
      <c r="K427" s="28" t="str">
        <f t="shared" si="37"/>
        <v/>
      </c>
      <c r="L427" s="46" t="str">
        <f t="shared" si="41"/>
        <v/>
      </c>
      <c r="M427" t="str" cm="1">
        <f t="array" ref="M427">IF(L427="","",_xlfn.IFS(
  AND(L427&gt;=TIME(9,0,0), L427&lt;TIME(16,0,0)),"Morning",
  AND(L427&gt;=TIME(16,0,0), L427&lt;TIME(23,59,0)),"Evening",
  L427&gt;=TIME(23,59,0),"Night",
  L427&lt;TIME(9,0,0),"Night"
))</f>
        <v/>
      </c>
      <c r="O427" t="str">
        <f t="shared" si="38"/>
        <v/>
      </c>
    </row>
    <row r="428" spans="1:15" x14ac:dyDescent="0.25">
      <c r="A428" s="49"/>
      <c r="B428" s="50"/>
      <c r="G428" t="str">
        <f t="shared" si="36"/>
        <v/>
      </c>
      <c r="H428" s="13" t="str">
        <f t="shared" si="39"/>
        <v/>
      </c>
      <c r="I428" t="str">
        <f>IFERROR(INDEX(Analysis!$D$116:$N$137, MATCH(B428, Analysis!$C$116:$C$137, 0), MATCH(C428, Analysis!$D$115:$N$115, 0)), "")</f>
        <v/>
      </c>
      <c r="J428" t="str">
        <f t="shared" si="40"/>
        <v/>
      </c>
      <c r="K428" s="28" t="str">
        <f t="shared" si="37"/>
        <v/>
      </c>
      <c r="L428" s="46" t="str">
        <f t="shared" si="41"/>
        <v/>
      </c>
      <c r="M428" t="str" cm="1">
        <f t="array" ref="M428">IF(L428="","",_xlfn.IFS(
  AND(L428&gt;=TIME(9,0,0), L428&lt;TIME(16,0,0)),"Morning",
  AND(L428&gt;=TIME(16,0,0), L428&lt;TIME(23,59,0)),"Evening",
  L428&gt;=TIME(23,59,0),"Night",
  L428&lt;TIME(9,0,0),"Night"
))</f>
        <v/>
      </c>
      <c r="O428" t="str">
        <f t="shared" si="38"/>
        <v/>
      </c>
    </row>
    <row r="429" spans="1:15" x14ac:dyDescent="0.25">
      <c r="A429" s="49"/>
      <c r="B429" s="50"/>
      <c r="G429" t="str">
        <f t="shared" si="36"/>
        <v/>
      </c>
      <c r="H429" s="13" t="str">
        <f t="shared" si="39"/>
        <v/>
      </c>
      <c r="I429" t="str">
        <f>IFERROR(INDEX(Analysis!$D$116:$N$137, MATCH(B429, Analysis!$C$116:$C$137, 0), MATCH(C429, Analysis!$D$115:$N$115, 0)), "")</f>
        <v/>
      </c>
      <c r="J429" t="str">
        <f t="shared" si="40"/>
        <v/>
      </c>
      <c r="K429" s="28" t="str">
        <f t="shared" si="37"/>
        <v/>
      </c>
      <c r="L429" s="46" t="str">
        <f t="shared" si="41"/>
        <v/>
      </c>
      <c r="M429" t="str" cm="1">
        <f t="array" ref="M429">IF(L429="","",_xlfn.IFS(
  AND(L429&gt;=TIME(9,0,0), L429&lt;TIME(16,0,0)),"Morning",
  AND(L429&gt;=TIME(16,0,0), L429&lt;TIME(23,59,0)),"Evening",
  L429&gt;=TIME(23,59,0),"Night",
  L429&lt;TIME(9,0,0),"Night"
))</f>
        <v/>
      </c>
      <c r="O429" t="str">
        <f t="shared" si="38"/>
        <v/>
      </c>
    </row>
    <row r="430" spans="1:15" x14ac:dyDescent="0.25">
      <c r="A430" s="49"/>
      <c r="B430" s="50"/>
      <c r="G430" t="str">
        <f t="shared" si="36"/>
        <v/>
      </c>
      <c r="H430" s="13" t="str">
        <f t="shared" si="39"/>
        <v/>
      </c>
      <c r="I430" t="str">
        <f>IFERROR(INDEX(Analysis!$D$116:$N$137, MATCH(B430, Analysis!$C$116:$C$137, 0), MATCH(C430, Analysis!$D$115:$N$115, 0)), "")</f>
        <v/>
      </c>
      <c r="J430" t="str">
        <f t="shared" si="40"/>
        <v/>
      </c>
      <c r="K430" s="28" t="str">
        <f t="shared" si="37"/>
        <v/>
      </c>
      <c r="L430" s="46" t="str">
        <f t="shared" si="41"/>
        <v/>
      </c>
      <c r="M430" t="str" cm="1">
        <f t="array" ref="M430">IF(L430="","",_xlfn.IFS(
  AND(L430&gt;=TIME(9,0,0), L430&lt;TIME(16,0,0)),"Morning",
  AND(L430&gt;=TIME(16,0,0), L430&lt;TIME(23,59,0)),"Evening",
  L430&gt;=TIME(23,59,0),"Night",
  L430&lt;TIME(9,0,0),"Night"
))</f>
        <v/>
      </c>
      <c r="O430" t="str">
        <f t="shared" si="38"/>
        <v/>
      </c>
    </row>
    <row r="431" spans="1:15" x14ac:dyDescent="0.25">
      <c r="A431" s="49"/>
      <c r="B431" s="50"/>
      <c r="G431" t="str">
        <f t="shared" si="36"/>
        <v/>
      </c>
      <c r="H431" s="13" t="str">
        <f t="shared" si="39"/>
        <v/>
      </c>
      <c r="I431" t="str">
        <f>IFERROR(INDEX(Analysis!$D$116:$N$137, MATCH(B431, Analysis!$C$116:$C$137, 0), MATCH(C431, Analysis!$D$115:$N$115, 0)), "")</f>
        <v/>
      </c>
      <c r="J431" t="str">
        <f t="shared" si="40"/>
        <v/>
      </c>
      <c r="K431" s="28" t="str">
        <f t="shared" si="37"/>
        <v/>
      </c>
      <c r="L431" s="46" t="str">
        <f t="shared" si="41"/>
        <v/>
      </c>
      <c r="M431" t="str" cm="1">
        <f t="array" ref="M431">IF(L431="","",_xlfn.IFS(
  AND(L431&gt;=TIME(9,0,0), L431&lt;TIME(16,0,0)),"Morning",
  AND(L431&gt;=TIME(16,0,0), L431&lt;TIME(23,59,0)),"Evening",
  L431&gt;=TIME(23,59,0),"Night",
  L431&lt;TIME(9,0,0),"Night"
))</f>
        <v/>
      </c>
      <c r="O431" t="str">
        <f t="shared" si="38"/>
        <v/>
      </c>
    </row>
    <row r="432" spans="1:15" x14ac:dyDescent="0.25">
      <c r="A432" s="49"/>
      <c r="B432" s="50"/>
      <c r="G432" t="str">
        <f t="shared" si="36"/>
        <v/>
      </c>
      <c r="H432" s="13" t="str">
        <f t="shared" si="39"/>
        <v/>
      </c>
      <c r="I432" t="str">
        <f>IFERROR(INDEX(Analysis!$D$116:$N$137, MATCH(B432, Analysis!$C$116:$C$137, 0), MATCH(C432, Analysis!$D$115:$N$115, 0)), "")</f>
        <v/>
      </c>
      <c r="J432" t="str">
        <f t="shared" si="40"/>
        <v/>
      </c>
      <c r="K432" s="28" t="str">
        <f t="shared" si="37"/>
        <v/>
      </c>
      <c r="L432" s="46" t="str">
        <f t="shared" si="41"/>
        <v/>
      </c>
      <c r="M432" t="str" cm="1">
        <f t="array" ref="M432">IF(L432="","",_xlfn.IFS(
  AND(L432&gt;=TIME(9,0,0), L432&lt;TIME(16,0,0)),"Morning",
  AND(L432&gt;=TIME(16,0,0), L432&lt;TIME(23,59,0)),"Evening",
  L432&gt;=TIME(23,59,0),"Night",
  L432&lt;TIME(9,0,0),"Night"
))</f>
        <v/>
      </c>
      <c r="O432" t="str">
        <f t="shared" si="38"/>
        <v/>
      </c>
    </row>
    <row r="433" spans="1:15" x14ac:dyDescent="0.25">
      <c r="A433" s="49"/>
      <c r="B433" s="50"/>
      <c r="G433" t="str">
        <f t="shared" si="36"/>
        <v/>
      </c>
      <c r="H433" s="13" t="str">
        <f t="shared" si="39"/>
        <v/>
      </c>
      <c r="I433" t="str">
        <f>IFERROR(INDEX(Analysis!$D$116:$N$137, MATCH(B433, Analysis!$C$116:$C$137, 0), MATCH(C433, Analysis!$D$115:$N$115, 0)), "")</f>
        <v/>
      </c>
      <c r="J433" t="str">
        <f t="shared" si="40"/>
        <v/>
      </c>
      <c r="K433" s="28" t="str">
        <f t="shared" si="37"/>
        <v/>
      </c>
      <c r="L433" s="46" t="str">
        <f t="shared" si="41"/>
        <v/>
      </c>
      <c r="M433" t="str" cm="1">
        <f t="array" ref="M433">IF(L433="","",_xlfn.IFS(
  AND(L433&gt;=TIME(9,0,0), L433&lt;TIME(16,0,0)),"Morning",
  AND(L433&gt;=TIME(16,0,0), L433&lt;TIME(23,59,0)),"Evening",
  L433&gt;=TIME(23,59,0),"Night",
  L433&lt;TIME(9,0,0),"Night"
))</f>
        <v/>
      </c>
      <c r="O433" t="str">
        <f t="shared" si="38"/>
        <v/>
      </c>
    </row>
    <row r="434" spans="1:15" x14ac:dyDescent="0.25">
      <c r="A434" s="49"/>
      <c r="B434" s="50"/>
      <c r="G434" t="str">
        <f t="shared" si="36"/>
        <v/>
      </c>
      <c r="H434" s="13" t="str">
        <f t="shared" si="39"/>
        <v/>
      </c>
      <c r="I434" t="str">
        <f>IFERROR(INDEX(Analysis!$D$116:$N$137, MATCH(B434, Analysis!$C$116:$C$137, 0), MATCH(C434, Analysis!$D$115:$N$115, 0)), "")</f>
        <v/>
      </c>
      <c r="J434" t="str">
        <f t="shared" si="40"/>
        <v/>
      </c>
      <c r="K434" s="28" t="str">
        <f t="shared" si="37"/>
        <v/>
      </c>
      <c r="L434" s="46" t="str">
        <f t="shared" si="41"/>
        <v/>
      </c>
      <c r="M434" t="str" cm="1">
        <f t="array" ref="M434">IF(L434="","",_xlfn.IFS(
  AND(L434&gt;=TIME(9,0,0), L434&lt;TIME(16,0,0)),"Morning",
  AND(L434&gt;=TIME(16,0,0), L434&lt;TIME(23,59,0)),"Evening",
  L434&gt;=TIME(23,59,0),"Night",
  L434&lt;TIME(9,0,0),"Night"
))</f>
        <v/>
      </c>
      <c r="O434" t="str">
        <f t="shared" si="38"/>
        <v/>
      </c>
    </row>
    <row r="435" spans="1:15" x14ac:dyDescent="0.25">
      <c r="A435" s="49"/>
      <c r="B435" s="50"/>
      <c r="G435" t="str">
        <f t="shared" si="36"/>
        <v/>
      </c>
      <c r="H435" s="13" t="str">
        <f t="shared" si="39"/>
        <v/>
      </c>
      <c r="I435" t="str">
        <f>IFERROR(INDEX(Analysis!$D$116:$N$137, MATCH(B435, Analysis!$C$116:$C$137, 0), MATCH(C435, Analysis!$D$115:$N$115, 0)), "")</f>
        <v/>
      </c>
      <c r="J435" t="str">
        <f t="shared" si="40"/>
        <v/>
      </c>
      <c r="K435" s="28" t="str">
        <f t="shared" si="37"/>
        <v/>
      </c>
      <c r="L435" s="46" t="str">
        <f t="shared" si="41"/>
        <v/>
      </c>
      <c r="M435" t="str" cm="1">
        <f t="array" ref="M435">IF(L435="","",_xlfn.IFS(
  AND(L435&gt;=TIME(9,0,0), L435&lt;TIME(16,0,0)),"Morning",
  AND(L435&gt;=TIME(16,0,0), L435&lt;TIME(23,59,0)),"Evening",
  L435&gt;=TIME(23,59,0),"Night",
  L435&lt;TIME(9,0,0),"Night"
))</f>
        <v/>
      </c>
      <c r="O435" t="str">
        <f t="shared" si="38"/>
        <v/>
      </c>
    </row>
    <row r="436" spans="1:15" x14ac:dyDescent="0.25">
      <c r="A436" s="49"/>
      <c r="B436" s="50"/>
      <c r="G436" t="str">
        <f t="shared" si="36"/>
        <v/>
      </c>
      <c r="H436" s="13" t="str">
        <f t="shared" si="39"/>
        <v/>
      </c>
      <c r="I436" t="str">
        <f>IFERROR(INDEX(Analysis!$D$116:$N$137, MATCH(B436, Analysis!$C$116:$C$137, 0), MATCH(C436, Analysis!$D$115:$N$115, 0)), "")</f>
        <v/>
      </c>
      <c r="J436" t="str">
        <f t="shared" si="40"/>
        <v/>
      </c>
      <c r="K436" s="28" t="str">
        <f t="shared" si="37"/>
        <v/>
      </c>
      <c r="L436" s="46" t="str">
        <f t="shared" si="41"/>
        <v/>
      </c>
      <c r="M436" t="str" cm="1">
        <f t="array" ref="M436">IF(L436="","",_xlfn.IFS(
  AND(L436&gt;=TIME(9,0,0), L436&lt;TIME(16,0,0)),"Morning",
  AND(L436&gt;=TIME(16,0,0), L436&lt;TIME(23,59,0)),"Evening",
  L436&gt;=TIME(23,59,0),"Night",
  L436&lt;TIME(9,0,0),"Night"
))</f>
        <v/>
      </c>
      <c r="O436" t="str">
        <f t="shared" si="38"/>
        <v/>
      </c>
    </row>
    <row r="437" spans="1:15" x14ac:dyDescent="0.25">
      <c r="A437" s="49"/>
      <c r="B437" s="50"/>
      <c r="G437" t="str">
        <f t="shared" si="36"/>
        <v/>
      </c>
      <c r="H437" s="13" t="str">
        <f t="shared" si="39"/>
        <v/>
      </c>
      <c r="I437" t="str">
        <f>IFERROR(INDEX(Analysis!$D$116:$N$137, MATCH(B437, Analysis!$C$116:$C$137, 0), MATCH(C437, Analysis!$D$115:$N$115, 0)), "")</f>
        <v/>
      </c>
      <c r="J437" t="str">
        <f t="shared" si="40"/>
        <v/>
      </c>
      <c r="K437" s="28" t="str">
        <f t="shared" si="37"/>
        <v/>
      </c>
      <c r="L437" s="46" t="str">
        <f t="shared" si="41"/>
        <v/>
      </c>
      <c r="M437" t="str" cm="1">
        <f t="array" ref="M437">IF(L437="","",_xlfn.IFS(
  AND(L437&gt;=TIME(9,0,0), L437&lt;TIME(16,0,0)),"Morning",
  AND(L437&gt;=TIME(16,0,0), L437&lt;TIME(23,59,0)),"Evening",
  L437&gt;=TIME(23,59,0),"Night",
  L437&lt;TIME(9,0,0),"Night"
))</f>
        <v/>
      </c>
      <c r="O437" t="str">
        <f t="shared" si="38"/>
        <v/>
      </c>
    </row>
    <row r="438" spans="1:15" x14ac:dyDescent="0.25">
      <c r="A438" s="49"/>
      <c r="B438" s="50"/>
      <c r="G438" t="str">
        <f t="shared" si="36"/>
        <v/>
      </c>
      <c r="H438" s="13" t="str">
        <f t="shared" si="39"/>
        <v/>
      </c>
      <c r="I438" t="str">
        <f>IFERROR(INDEX(Analysis!$D$116:$N$137, MATCH(B438, Analysis!$C$116:$C$137, 0), MATCH(C438, Analysis!$D$115:$N$115, 0)), "")</f>
        <v/>
      </c>
      <c r="J438" t="str">
        <f t="shared" si="40"/>
        <v/>
      </c>
      <c r="K438" s="28" t="str">
        <f t="shared" si="37"/>
        <v/>
      </c>
      <c r="L438" s="46" t="str">
        <f t="shared" si="41"/>
        <v/>
      </c>
      <c r="M438" t="str" cm="1">
        <f t="array" ref="M438">IF(L438="","",_xlfn.IFS(
  AND(L438&gt;=TIME(9,0,0), L438&lt;TIME(16,0,0)),"Morning",
  AND(L438&gt;=TIME(16,0,0), L438&lt;TIME(23,59,0)),"Evening",
  L438&gt;=TIME(23,59,0),"Night",
  L438&lt;TIME(9,0,0),"Night"
))</f>
        <v/>
      </c>
      <c r="O438" t="str">
        <f t="shared" si="38"/>
        <v/>
      </c>
    </row>
    <row r="439" spans="1:15" x14ac:dyDescent="0.25">
      <c r="A439" s="49"/>
      <c r="B439" s="50"/>
      <c r="G439" t="str">
        <f t="shared" si="36"/>
        <v/>
      </c>
      <c r="H439" s="13" t="str">
        <f t="shared" si="39"/>
        <v/>
      </c>
      <c r="I439" t="str">
        <f>IFERROR(INDEX(Analysis!$D$116:$N$137, MATCH(B439, Analysis!$C$116:$C$137, 0), MATCH(C439, Analysis!$D$115:$N$115, 0)), "")</f>
        <v/>
      </c>
      <c r="J439" t="str">
        <f t="shared" si="40"/>
        <v/>
      </c>
      <c r="K439" s="28" t="str">
        <f t="shared" si="37"/>
        <v/>
      </c>
      <c r="L439" s="46" t="str">
        <f t="shared" si="41"/>
        <v/>
      </c>
      <c r="M439" t="str" cm="1">
        <f t="array" ref="M439">IF(L439="","",_xlfn.IFS(
  AND(L439&gt;=TIME(9,0,0), L439&lt;TIME(16,0,0)),"Morning",
  AND(L439&gt;=TIME(16,0,0), L439&lt;TIME(23,59,0)),"Evening",
  L439&gt;=TIME(23,59,0),"Night",
  L439&lt;TIME(9,0,0),"Night"
))</f>
        <v/>
      </c>
      <c r="O439" t="str">
        <f t="shared" si="38"/>
        <v/>
      </c>
    </row>
    <row r="440" spans="1:15" x14ac:dyDescent="0.25">
      <c r="A440" s="49"/>
      <c r="B440" s="50"/>
      <c r="G440" t="str">
        <f t="shared" si="36"/>
        <v/>
      </c>
      <c r="H440" s="13" t="str">
        <f t="shared" si="39"/>
        <v/>
      </c>
      <c r="I440" t="str">
        <f>IFERROR(INDEX(Analysis!$D$116:$N$137, MATCH(B440, Analysis!$C$116:$C$137, 0), MATCH(C440, Analysis!$D$115:$N$115, 0)), "")</f>
        <v/>
      </c>
      <c r="J440" t="str">
        <f t="shared" si="40"/>
        <v/>
      </c>
      <c r="K440" s="28" t="str">
        <f t="shared" si="37"/>
        <v/>
      </c>
      <c r="L440" s="46" t="str">
        <f t="shared" si="41"/>
        <v/>
      </c>
      <c r="M440" t="str" cm="1">
        <f t="array" ref="M440">IF(L440="","",_xlfn.IFS(
  AND(L440&gt;=TIME(9,0,0), L440&lt;TIME(16,0,0)),"Morning",
  AND(L440&gt;=TIME(16,0,0), L440&lt;TIME(23,59,0)),"Evening",
  L440&gt;=TIME(23,59,0),"Night",
  L440&lt;TIME(9,0,0),"Night"
))</f>
        <v/>
      </c>
      <c r="O440" t="str">
        <f t="shared" si="38"/>
        <v/>
      </c>
    </row>
    <row r="441" spans="1:15" x14ac:dyDescent="0.25">
      <c r="A441" s="49"/>
      <c r="B441" s="50"/>
      <c r="G441" t="str">
        <f t="shared" si="36"/>
        <v/>
      </c>
      <c r="H441" s="13" t="str">
        <f t="shared" si="39"/>
        <v/>
      </c>
      <c r="I441" t="str">
        <f>IFERROR(INDEX(Analysis!$D$116:$N$137, MATCH(B441, Analysis!$C$116:$C$137, 0), MATCH(C441, Analysis!$D$115:$N$115, 0)), "")</f>
        <v/>
      </c>
      <c r="J441" t="str">
        <f t="shared" si="40"/>
        <v/>
      </c>
      <c r="K441" s="28" t="str">
        <f t="shared" si="37"/>
        <v/>
      </c>
      <c r="L441" s="46" t="str">
        <f t="shared" si="41"/>
        <v/>
      </c>
      <c r="M441" t="str" cm="1">
        <f t="array" ref="M441">IF(L441="","",_xlfn.IFS(
  AND(L441&gt;=TIME(9,0,0), L441&lt;TIME(16,0,0)),"Morning",
  AND(L441&gt;=TIME(16,0,0), L441&lt;TIME(23,59,0)),"Evening",
  L441&gt;=TIME(23,59,0),"Night",
  L441&lt;TIME(9,0,0),"Night"
))</f>
        <v/>
      </c>
      <c r="O441" t="str">
        <f t="shared" si="38"/>
        <v/>
      </c>
    </row>
    <row r="442" spans="1:15" x14ac:dyDescent="0.25">
      <c r="A442" s="49"/>
      <c r="B442" s="50"/>
      <c r="G442" t="str">
        <f t="shared" si="36"/>
        <v/>
      </c>
      <c r="H442" s="13" t="str">
        <f t="shared" si="39"/>
        <v/>
      </c>
      <c r="I442" t="str">
        <f>IFERROR(INDEX(Analysis!$D$116:$N$137, MATCH(B442, Analysis!$C$116:$C$137, 0), MATCH(C442, Analysis!$D$115:$N$115, 0)), "")</f>
        <v/>
      </c>
      <c r="J442" t="str">
        <f t="shared" si="40"/>
        <v/>
      </c>
      <c r="K442" s="28" t="str">
        <f t="shared" si="37"/>
        <v/>
      </c>
      <c r="L442" s="46" t="str">
        <f t="shared" si="41"/>
        <v/>
      </c>
      <c r="M442" t="str" cm="1">
        <f t="array" ref="M442">IF(L442="","",_xlfn.IFS(
  AND(L442&gt;=TIME(9,0,0), L442&lt;TIME(16,0,0)),"Morning",
  AND(L442&gt;=TIME(16,0,0), L442&lt;TIME(23,59,0)),"Evening",
  L442&gt;=TIME(23,59,0),"Night",
  L442&lt;TIME(9,0,0),"Night"
))</f>
        <v/>
      </c>
      <c r="O442" t="str">
        <f t="shared" si="38"/>
        <v/>
      </c>
    </row>
    <row r="443" spans="1:15" x14ac:dyDescent="0.25">
      <c r="A443" s="49"/>
      <c r="B443" s="50"/>
      <c r="G443" t="str">
        <f t="shared" si="36"/>
        <v/>
      </c>
      <c r="H443" s="13" t="str">
        <f t="shared" si="39"/>
        <v/>
      </c>
      <c r="I443" t="str">
        <f>IFERROR(INDEX(Analysis!$D$116:$N$137, MATCH(B443, Analysis!$C$116:$C$137, 0), MATCH(C443, Analysis!$D$115:$N$115, 0)), "")</f>
        <v/>
      </c>
      <c r="J443" t="str">
        <f t="shared" si="40"/>
        <v/>
      </c>
      <c r="K443" s="28" t="str">
        <f t="shared" si="37"/>
        <v/>
      </c>
      <c r="L443" s="46" t="str">
        <f t="shared" si="41"/>
        <v/>
      </c>
      <c r="M443" t="str" cm="1">
        <f t="array" ref="M443">IF(L443="","",_xlfn.IFS(
  AND(L443&gt;=TIME(9,0,0), L443&lt;TIME(16,0,0)),"Morning",
  AND(L443&gt;=TIME(16,0,0), L443&lt;TIME(23,59,0)),"Evening",
  L443&gt;=TIME(23,59,0),"Night",
  L443&lt;TIME(9,0,0),"Night"
))</f>
        <v/>
      </c>
      <c r="O443" t="str">
        <f t="shared" si="38"/>
        <v/>
      </c>
    </row>
    <row r="444" spans="1:15" x14ac:dyDescent="0.25">
      <c r="A444" s="49"/>
      <c r="B444" s="50"/>
      <c r="G444" t="str">
        <f t="shared" si="36"/>
        <v/>
      </c>
      <c r="H444" s="13" t="str">
        <f t="shared" si="39"/>
        <v/>
      </c>
      <c r="I444" t="str">
        <f>IFERROR(INDEX(Analysis!$D$116:$N$137, MATCH(B444, Analysis!$C$116:$C$137, 0), MATCH(C444, Analysis!$D$115:$N$115, 0)), "")</f>
        <v/>
      </c>
      <c r="J444" t="str">
        <f t="shared" si="40"/>
        <v/>
      </c>
      <c r="K444" s="28" t="str">
        <f t="shared" si="37"/>
        <v/>
      </c>
      <c r="L444" s="46" t="str">
        <f t="shared" si="41"/>
        <v/>
      </c>
      <c r="M444" t="str" cm="1">
        <f t="array" ref="M444">IF(L444="","",_xlfn.IFS(
  AND(L444&gt;=TIME(9,0,0), L444&lt;TIME(16,0,0)),"Morning",
  AND(L444&gt;=TIME(16,0,0), L444&lt;TIME(23,59,0)),"Evening",
  L444&gt;=TIME(23,59,0),"Night",
  L444&lt;TIME(9,0,0),"Night"
))</f>
        <v/>
      </c>
      <c r="O444" t="str">
        <f t="shared" si="38"/>
        <v/>
      </c>
    </row>
    <row r="445" spans="1:15" x14ac:dyDescent="0.25">
      <c r="A445" s="49"/>
      <c r="B445" s="50"/>
      <c r="G445" t="str">
        <f t="shared" si="36"/>
        <v/>
      </c>
      <c r="H445" s="13" t="str">
        <f t="shared" si="39"/>
        <v/>
      </c>
      <c r="I445" t="str">
        <f>IFERROR(INDEX(Analysis!$D$116:$N$137, MATCH(B445, Analysis!$C$116:$C$137, 0), MATCH(C445, Analysis!$D$115:$N$115, 0)), "")</f>
        <v/>
      </c>
      <c r="J445" t="str">
        <f t="shared" si="40"/>
        <v/>
      </c>
      <c r="K445" s="28" t="str">
        <f t="shared" si="37"/>
        <v/>
      </c>
      <c r="L445" s="46" t="str">
        <f t="shared" si="41"/>
        <v/>
      </c>
      <c r="M445" t="str" cm="1">
        <f t="array" ref="M445">IF(L445="","",_xlfn.IFS(
  AND(L445&gt;=TIME(9,0,0), L445&lt;TIME(16,0,0)),"Morning",
  AND(L445&gt;=TIME(16,0,0), L445&lt;TIME(23,59,0)),"Evening",
  L445&gt;=TIME(23,59,0),"Night",
  L445&lt;TIME(9,0,0),"Night"
))</f>
        <v/>
      </c>
      <c r="O445" t="str">
        <f t="shared" si="38"/>
        <v/>
      </c>
    </row>
    <row r="446" spans="1:15" x14ac:dyDescent="0.25">
      <c r="A446" s="49"/>
      <c r="B446" s="50"/>
      <c r="G446" t="str">
        <f t="shared" si="36"/>
        <v/>
      </c>
      <c r="H446" s="13" t="str">
        <f t="shared" si="39"/>
        <v/>
      </c>
      <c r="I446" t="str">
        <f>IFERROR(INDEX(Analysis!$D$116:$N$137, MATCH(B446, Analysis!$C$116:$C$137, 0), MATCH(C446, Analysis!$D$115:$N$115, 0)), "")</f>
        <v/>
      </c>
      <c r="J446" t="str">
        <f t="shared" si="40"/>
        <v/>
      </c>
      <c r="K446" s="28" t="str">
        <f t="shared" si="37"/>
        <v/>
      </c>
      <c r="L446" s="46" t="str">
        <f t="shared" si="41"/>
        <v/>
      </c>
      <c r="M446" t="str" cm="1">
        <f t="array" ref="M446">IF(L446="","",_xlfn.IFS(
  AND(L446&gt;=TIME(9,0,0), L446&lt;TIME(16,0,0)),"Morning",
  AND(L446&gt;=TIME(16,0,0), L446&lt;TIME(23,59,0)),"Evening",
  L446&gt;=TIME(23,59,0),"Night",
  L446&lt;TIME(9,0,0),"Night"
))</f>
        <v/>
      </c>
      <c r="O446" t="str">
        <f t="shared" si="38"/>
        <v/>
      </c>
    </row>
    <row r="447" spans="1:15" x14ac:dyDescent="0.25">
      <c r="A447" s="49"/>
      <c r="B447" s="50"/>
      <c r="G447" t="str">
        <f t="shared" si="36"/>
        <v/>
      </c>
      <c r="H447" s="13" t="str">
        <f t="shared" si="39"/>
        <v/>
      </c>
      <c r="I447" t="str">
        <f>IFERROR(INDEX(Analysis!$D$116:$N$137, MATCH(B447, Analysis!$C$116:$C$137, 0), MATCH(C447, Analysis!$D$115:$N$115, 0)), "")</f>
        <v/>
      </c>
      <c r="J447" t="str">
        <f t="shared" si="40"/>
        <v/>
      </c>
      <c r="K447" s="28" t="str">
        <f t="shared" si="37"/>
        <v/>
      </c>
      <c r="L447" s="46" t="str">
        <f t="shared" si="41"/>
        <v/>
      </c>
      <c r="M447" t="str" cm="1">
        <f t="array" ref="M447">IF(L447="","",_xlfn.IFS(
  AND(L447&gt;=TIME(9,0,0), L447&lt;TIME(16,0,0)),"Morning",
  AND(L447&gt;=TIME(16,0,0), L447&lt;TIME(23,59,0)),"Evening",
  L447&gt;=TIME(23,59,0),"Night",
  L447&lt;TIME(9,0,0),"Night"
))</f>
        <v/>
      </c>
      <c r="O447" t="str">
        <f t="shared" si="38"/>
        <v/>
      </c>
    </row>
    <row r="448" spans="1:15" x14ac:dyDescent="0.25">
      <c r="A448" s="49"/>
      <c r="B448" s="50"/>
      <c r="G448" t="str">
        <f t="shared" si="36"/>
        <v/>
      </c>
      <c r="H448" s="13" t="str">
        <f t="shared" si="39"/>
        <v/>
      </c>
      <c r="I448" t="str">
        <f>IFERROR(INDEX(Analysis!$D$116:$N$137, MATCH(B448, Analysis!$C$116:$C$137, 0), MATCH(C448, Analysis!$D$115:$N$115, 0)), "")</f>
        <v/>
      </c>
      <c r="J448" t="str">
        <f t="shared" si="40"/>
        <v/>
      </c>
      <c r="K448" s="28" t="str">
        <f t="shared" si="37"/>
        <v/>
      </c>
      <c r="L448" s="46" t="str">
        <f t="shared" si="41"/>
        <v/>
      </c>
      <c r="M448" t="str" cm="1">
        <f t="array" ref="M448">IF(L448="","",_xlfn.IFS(
  AND(L448&gt;=TIME(9,0,0), L448&lt;TIME(16,0,0)),"Morning",
  AND(L448&gt;=TIME(16,0,0), L448&lt;TIME(23,59,0)),"Evening",
  L448&gt;=TIME(23,59,0),"Night",
  L448&lt;TIME(9,0,0),"Night"
))</f>
        <v/>
      </c>
      <c r="O448" t="str">
        <f t="shared" si="38"/>
        <v/>
      </c>
    </row>
    <row r="449" spans="1:15" x14ac:dyDescent="0.25">
      <c r="A449" s="49"/>
      <c r="B449" s="50"/>
      <c r="G449" t="str">
        <f t="shared" si="36"/>
        <v/>
      </c>
      <c r="H449" s="13" t="str">
        <f t="shared" si="39"/>
        <v/>
      </c>
      <c r="I449" t="str">
        <f>IFERROR(INDEX(Analysis!$D$116:$N$137, MATCH(B449, Analysis!$C$116:$C$137, 0), MATCH(C449, Analysis!$D$115:$N$115, 0)), "")</f>
        <v/>
      </c>
      <c r="J449" t="str">
        <f t="shared" si="40"/>
        <v/>
      </c>
      <c r="K449" s="28" t="str">
        <f t="shared" si="37"/>
        <v/>
      </c>
      <c r="L449" s="46" t="str">
        <f t="shared" si="41"/>
        <v/>
      </c>
      <c r="M449" t="str" cm="1">
        <f t="array" ref="M449">IF(L449="","",_xlfn.IFS(
  AND(L449&gt;=TIME(9,0,0), L449&lt;TIME(16,0,0)),"Morning",
  AND(L449&gt;=TIME(16,0,0), L449&lt;TIME(23,59,0)),"Evening",
  L449&gt;=TIME(23,59,0),"Night",
  L449&lt;TIME(9,0,0),"Night"
))</f>
        <v/>
      </c>
      <c r="O449" t="str">
        <f t="shared" si="38"/>
        <v/>
      </c>
    </row>
    <row r="450" spans="1:15" x14ac:dyDescent="0.25">
      <c r="A450" s="49"/>
      <c r="B450" s="50"/>
      <c r="G450" t="str">
        <f t="shared" ref="G450:G513" si="42">IF(ISBLANK(A450), "", IF(ISBLANK(F450), 0, F450))</f>
        <v/>
      </c>
      <c r="H450" s="13" t="str">
        <f t="shared" si="39"/>
        <v/>
      </c>
      <c r="I450" t="str">
        <f>IFERROR(INDEX(Analysis!$D$116:$N$137, MATCH(B450, Analysis!$C$116:$C$137, 0), MATCH(C450, Analysis!$D$115:$N$115, 0)), "")</f>
        <v/>
      </c>
      <c r="J450" t="str">
        <f t="shared" si="40"/>
        <v/>
      </c>
      <c r="K450" s="28" t="str">
        <f t="shared" ref="K450:K513" si="43">IF(ISBLANK(A450),"",DATE(YEAR(A450),MONTH(A450),DAY(A450)))</f>
        <v/>
      </c>
      <c r="L450" s="46" t="str">
        <f t="shared" si="41"/>
        <v/>
      </c>
      <c r="M450" t="str" cm="1">
        <f t="array" ref="M450">IF(L450="","",_xlfn.IFS(
  AND(L450&gt;=TIME(9,0,0), L450&lt;TIME(16,0,0)),"Morning",
  AND(L450&gt;=TIME(16,0,0), L450&lt;TIME(23,59,0)),"Evening",
  L450&gt;=TIME(23,59,0),"Night",
  L450&lt;TIME(9,0,0),"Night"
))</f>
        <v/>
      </c>
      <c r="O450" t="str">
        <f t="shared" ref="O450:O513" si="44">IF(N450="ON", _xlfn.IMAGE(E450, 1), "")</f>
        <v/>
      </c>
    </row>
    <row r="451" spans="1:15" x14ac:dyDescent="0.25">
      <c r="A451" s="49"/>
      <c r="B451" s="50"/>
      <c r="G451" t="str">
        <f t="shared" si="42"/>
        <v/>
      </c>
      <c r="H451" s="13" t="str">
        <f t="shared" ref="H451:H514" si="45">IF(ISBLANK(E451),"",HYPERLINK(E451,"Click here"))</f>
        <v/>
      </c>
      <c r="I451" t="str">
        <f>IFERROR(INDEX(Analysis!$D$116:$N$137, MATCH(B451, Analysis!$C$116:$C$137, 0), MATCH(C451, Analysis!$D$115:$N$115, 0)), "")</f>
        <v/>
      </c>
      <c r="J451" t="str">
        <f t="shared" ref="J451:J514" si="46">IF(ISBLANK(A451),"",WEEKNUM(A451))</f>
        <v/>
      </c>
      <c r="K451" s="28" t="str">
        <f t="shared" si="43"/>
        <v/>
      </c>
      <c r="L451" s="46" t="str">
        <f t="shared" ref="L451:L514" si="47">IF(A451="", "", A451 - INT(A451))</f>
        <v/>
      </c>
      <c r="M451" t="str" cm="1">
        <f t="array" ref="M451">IF(L451="","",_xlfn.IFS(
  AND(L451&gt;=TIME(9,0,0), L451&lt;TIME(16,0,0)),"Morning",
  AND(L451&gt;=TIME(16,0,0), L451&lt;TIME(23,59,0)),"Evening",
  L451&gt;=TIME(23,59,0),"Night",
  L451&lt;TIME(9,0,0),"Night"
))</f>
        <v/>
      </c>
      <c r="O451" t="str">
        <f t="shared" si="44"/>
        <v/>
      </c>
    </row>
    <row r="452" spans="1:15" x14ac:dyDescent="0.25">
      <c r="A452" s="49"/>
      <c r="B452" s="50"/>
      <c r="G452" t="str">
        <f t="shared" si="42"/>
        <v/>
      </c>
      <c r="H452" s="13" t="str">
        <f t="shared" si="45"/>
        <v/>
      </c>
      <c r="I452" t="str">
        <f>IFERROR(INDEX(Analysis!$D$116:$N$137, MATCH(B452, Analysis!$C$116:$C$137, 0), MATCH(C452, Analysis!$D$115:$N$115, 0)), "")</f>
        <v/>
      </c>
      <c r="J452" t="str">
        <f t="shared" si="46"/>
        <v/>
      </c>
      <c r="K452" s="28" t="str">
        <f t="shared" si="43"/>
        <v/>
      </c>
      <c r="L452" s="46" t="str">
        <f t="shared" si="47"/>
        <v/>
      </c>
      <c r="M452" t="str" cm="1">
        <f t="array" ref="M452">IF(L452="","",_xlfn.IFS(
  AND(L452&gt;=TIME(9,0,0), L452&lt;TIME(16,0,0)),"Morning",
  AND(L452&gt;=TIME(16,0,0), L452&lt;TIME(23,59,0)),"Evening",
  L452&gt;=TIME(23,59,0),"Night",
  L452&lt;TIME(9,0,0),"Night"
))</f>
        <v/>
      </c>
      <c r="O452" t="str">
        <f t="shared" si="44"/>
        <v/>
      </c>
    </row>
    <row r="453" spans="1:15" x14ac:dyDescent="0.25">
      <c r="A453" s="49"/>
      <c r="B453" s="50"/>
      <c r="G453" t="str">
        <f t="shared" si="42"/>
        <v/>
      </c>
      <c r="H453" s="13" t="str">
        <f t="shared" si="45"/>
        <v/>
      </c>
      <c r="I453" t="str">
        <f>IFERROR(INDEX(Analysis!$D$116:$N$137, MATCH(B453, Analysis!$C$116:$C$137, 0), MATCH(C453, Analysis!$D$115:$N$115, 0)), "")</f>
        <v/>
      </c>
      <c r="J453" t="str">
        <f t="shared" si="46"/>
        <v/>
      </c>
      <c r="K453" s="28" t="str">
        <f t="shared" si="43"/>
        <v/>
      </c>
      <c r="L453" s="46" t="str">
        <f t="shared" si="47"/>
        <v/>
      </c>
      <c r="M453" t="str" cm="1">
        <f t="array" ref="M453">IF(L453="","",_xlfn.IFS(
  AND(L453&gt;=TIME(9,0,0), L453&lt;TIME(16,0,0)),"Morning",
  AND(L453&gt;=TIME(16,0,0), L453&lt;TIME(23,59,0)),"Evening",
  L453&gt;=TIME(23,59,0),"Night",
  L453&lt;TIME(9,0,0),"Night"
))</f>
        <v/>
      </c>
      <c r="O453" t="str">
        <f t="shared" si="44"/>
        <v/>
      </c>
    </row>
    <row r="454" spans="1:15" x14ac:dyDescent="0.25">
      <c r="A454" s="49"/>
      <c r="B454" s="50"/>
      <c r="G454" t="str">
        <f t="shared" si="42"/>
        <v/>
      </c>
      <c r="H454" s="13" t="str">
        <f t="shared" si="45"/>
        <v/>
      </c>
      <c r="I454" t="str">
        <f>IFERROR(INDEX(Analysis!$D$116:$N$137, MATCH(B454, Analysis!$C$116:$C$137, 0), MATCH(C454, Analysis!$D$115:$N$115, 0)), "")</f>
        <v/>
      </c>
      <c r="J454" t="str">
        <f t="shared" si="46"/>
        <v/>
      </c>
      <c r="K454" s="28" t="str">
        <f t="shared" si="43"/>
        <v/>
      </c>
      <c r="L454" s="46" t="str">
        <f t="shared" si="47"/>
        <v/>
      </c>
      <c r="M454" t="str" cm="1">
        <f t="array" ref="M454">IF(L454="","",_xlfn.IFS(
  AND(L454&gt;=TIME(9,0,0), L454&lt;TIME(16,0,0)),"Morning",
  AND(L454&gt;=TIME(16,0,0), L454&lt;TIME(23,59,0)),"Evening",
  L454&gt;=TIME(23,59,0),"Night",
  L454&lt;TIME(9,0,0),"Night"
))</f>
        <v/>
      </c>
      <c r="O454" t="str">
        <f t="shared" si="44"/>
        <v/>
      </c>
    </row>
    <row r="455" spans="1:15" x14ac:dyDescent="0.25">
      <c r="A455" s="49"/>
      <c r="B455" s="50"/>
      <c r="G455" t="str">
        <f t="shared" si="42"/>
        <v/>
      </c>
      <c r="H455" s="13" t="str">
        <f t="shared" si="45"/>
        <v/>
      </c>
      <c r="I455" t="str">
        <f>IFERROR(INDEX(Analysis!$D$116:$N$137, MATCH(B455, Analysis!$C$116:$C$137, 0), MATCH(C455, Analysis!$D$115:$N$115, 0)), "")</f>
        <v/>
      </c>
      <c r="J455" t="str">
        <f t="shared" si="46"/>
        <v/>
      </c>
      <c r="K455" s="28" t="str">
        <f t="shared" si="43"/>
        <v/>
      </c>
      <c r="L455" s="46" t="str">
        <f t="shared" si="47"/>
        <v/>
      </c>
      <c r="M455" t="str" cm="1">
        <f t="array" ref="M455">IF(L455="","",_xlfn.IFS(
  AND(L455&gt;=TIME(9,0,0), L455&lt;TIME(16,0,0)),"Morning",
  AND(L455&gt;=TIME(16,0,0), L455&lt;TIME(23,59,0)),"Evening",
  L455&gt;=TIME(23,59,0),"Night",
  L455&lt;TIME(9,0,0),"Night"
))</f>
        <v/>
      </c>
      <c r="O455" t="str">
        <f t="shared" si="44"/>
        <v/>
      </c>
    </row>
    <row r="456" spans="1:15" x14ac:dyDescent="0.25">
      <c r="A456" s="49"/>
      <c r="B456" s="50"/>
      <c r="G456" t="str">
        <f t="shared" si="42"/>
        <v/>
      </c>
      <c r="H456" s="13" t="str">
        <f t="shared" si="45"/>
        <v/>
      </c>
      <c r="I456" t="str">
        <f>IFERROR(INDEX(Analysis!$D$116:$N$137, MATCH(B456, Analysis!$C$116:$C$137, 0), MATCH(C456, Analysis!$D$115:$N$115, 0)), "")</f>
        <v/>
      </c>
      <c r="J456" t="str">
        <f t="shared" si="46"/>
        <v/>
      </c>
      <c r="K456" s="28" t="str">
        <f t="shared" si="43"/>
        <v/>
      </c>
      <c r="L456" s="46" t="str">
        <f t="shared" si="47"/>
        <v/>
      </c>
      <c r="M456" t="str" cm="1">
        <f t="array" ref="M456">IF(L456="","",_xlfn.IFS(
  AND(L456&gt;=TIME(9,0,0), L456&lt;TIME(16,0,0)),"Morning",
  AND(L456&gt;=TIME(16,0,0), L456&lt;TIME(23,59,0)),"Evening",
  L456&gt;=TIME(23,59,0),"Night",
  L456&lt;TIME(9,0,0),"Night"
))</f>
        <v/>
      </c>
      <c r="O456" t="str">
        <f t="shared" si="44"/>
        <v/>
      </c>
    </row>
    <row r="457" spans="1:15" x14ac:dyDescent="0.25">
      <c r="A457" s="49"/>
      <c r="B457" s="50"/>
      <c r="G457" t="str">
        <f t="shared" si="42"/>
        <v/>
      </c>
      <c r="H457" s="13" t="str">
        <f t="shared" si="45"/>
        <v/>
      </c>
      <c r="I457" t="str">
        <f>IFERROR(INDEX(Analysis!$D$116:$N$137, MATCH(B457, Analysis!$C$116:$C$137, 0), MATCH(C457, Analysis!$D$115:$N$115, 0)), "")</f>
        <v/>
      </c>
      <c r="J457" t="str">
        <f t="shared" si="46"/>
        <v/>
      </c>
      <c r="K457" s="28" t="str">
        <f t="shared" si="43"/>
        <v/>
      </c>
      <c r="L457" s="46" t="str">
        <f t="shared" si="47"/>
        <v/>
      </c>
      <c r="M457" t="str" cm="1">
        <f t="array" ref="M457">IF(L457="","",_xlfn.IFS(
  AND(L457&gt;=TIME(9,0,0), L457&lt;TIME(16,0,0)),"Morning",
  AND(L457&gt;=TIME(16,0,0), L457&lt;TIME(23,59,0)),"Evening",
  L457&gt;=TIME(23,59,0),"Night",
  L457&lt;TIME(9,0,0),"Night"
))</f>
        <v/>
      </c>
      <c r="O457" t="str">
        <f t="shared" si="44"/>
        <v/>
      </c>
    </row>
    <row r="458" spans="1:15" x14ac:dyDescent="0.25">
      <c r="A458" s="49"/>
      <c r="B458" s="50"/>
      <c r="G458" t="str">
        <f t="shared" si="42"/>
        <v/>
      </c>
      <c r="H458" s="13" t="str">
        <f t="shared" si="45"/>
        <v/>
      </c>
      <c r="I458" t="str">
        <f>IFERROR(INDEX(Analysis!$D$116:$N$137, MATCH(B458, Analysis!$C$116:$C$137, 0), MATCH(C458, Analysis!$D$115:$N$115, 0)), "")</f>
        <v/>
      </c>
      <c r="J458" t="str">
        <f t="shared" si="46"/>
        <v/>
      </c>
      <c r="K458" s="28" t="str">
        <f t="shared" si="43"/>
        <v/>
      </c>
      <c r="L458" s="46" t="str">
        <f t="shared" si="47"/>
        <v/>
      </c>
      <c r="M458" t="str" cm="1">
        <f t="array" ref="M458">IF(L458="","",_xlfn.IFS(
  AND(L458&gt;=TIME(9,0,0), L458&lt;TIME(16,0,0)),"Morning",
  AND(L458&gt;=TIME(16,0,0), L458&lt;TIME(23,59,0)),"Evening",
  L458&gt;=TIME(23,59,0),"Night",
  L458&lt;TIME(9,0,0),"Night"
))</f>
        <v/>
      </c>
      <c r="O458" t="str">
        <f t="shared" si="44"/>
        <v/>
      </c>
    </row>
    <row r="459" spans="1:15" x14ac:dyDescent="0.25">
      <c r="A459" s="49"/>
      <c r="B459" s="50"/>
      <c r="G459" t="str">
        <f t="shared" si="42"/>
        <v/>
      </c>
      <c r="H459" s="13" t="str">
        <f t="shared" si="45"/>
        <v/>
      </c>
      <c r="I459" t="str">
        <f>IFERROR(INDEX(Analysis!$D$116:$N$137, MATCH(B459, Analysis!$C$116:$C$137, 0), MATCH(C459, Analysis!$D$115:$N$115, 0)), "")</f>
        <v/>
      </c>
      <c r="J459" t="str">
        <f t="shared" si="46"/>
        <v/>
      </c>
      <c r="K459" s="28" t="str">
        <f t="shared" si="43"/>
        <v/>
      </c>
      <c r="L459" s="46" t="str">
        <f t="shared" si="47"/>
        <v/>
      </c>
      <c r="M459" t="str" cm="1">
        <f t="array" ref="M459">IF(L459="","",_xlfn.IFS(
  AND(L459&gt;=TIME(9,0,0), L459&lt;TIME(16,0,0)),"Morning",
  AND(L459&gt;=TIME(16,0,0), L459&lt;TIME(23,59,0)),"Evening",
  L459&gt;=TIME(23,59,0),"Night",
  L459&lt;TIME(9,0,0),"Night"
))</f>
        <v/>
      </c>
      <c r="O459" t="str">
        <f t="shared" si="44"/>
        <v/>
      </c>
    </row>
    <row r="460" spans="1:15" x14ac:dyDescent="0.25">
      <c r="A460" s="49"/>
      <c r="B460" s="50"/>
      <c r="G460" t="str">
        <f t="shared" si="42"/>
        <v/>
      </c>
      <c r="H460" s="13" t="str">
        <f t="shared" si="45"/>
        <v/>
      </c>
      <c r="I460" t="str">
        <f>IFERROR(INDEX(Analysis!$D$116:$N$137, MATCH(B460, Analysis!$C$116:$C$137, 0), MATCH(C460, Analysis!$D$115:$N$115, 0)), "")</f>
        <v/>
      </c>
      <c r="J460" t="str">
        <f t="shared" si="46"/>
        <v/>
      </c>
      <c r="K460" s="28" t="str">
        <f t="shared" si="43"/>
        <v/>
      </c>
      <c r="L460" s="46" t="str">
        <f t="shared" si="47"/>
        <v/>
      </c>
      <c r="M460" t="str" cm="1">
        <f t="array" ref="M460">IF(L460="","",_xlfn.IFS(
  AND(L460&gt;=TIME(9,0,0), L460&lt;TIME(16,0,0)),"Morning",
  AND(L460&gt;=TIME(16,0,0), L460&lt;TIME(23,59,0)),"Evening",
  L460&gt;=TIME(23,59,0),"Night",
  L460&lt;TIME(9,0,0),"Night"
))</f>
        <v/>
      </c>
      <c r="O460" t="str">
        <f t="shared" si="44"/>
        <v/>
      </c>
    </row>
    <row r="461" spans="1:15" x14ac:dyDescent="0.25">
      <c r="A461" s="49"/>
      <c r="B461" s="50"/>
      <c r="G461" t="str">
        <f t="shared" si="42"/>
        <v/>
      </c>
      <c r="H461" s="13" t="str">
        <f t="shared" si="45"/>
        <v/>
      </c>
      <c r="I461" t="str">
        <f>IFERROR(INDEX(Analysis!$D$116:$N$137, MATCH(B461, Analysis!$C$116:$C$137, 0), MATCH(C461, Analysis!$D$115:$N$115, 0)), "")</f>
        <v/>
      </c>
      <c r="J461" t="str">
        <f t="shared" si="46"/>
        <v/>
      </c>
      <c r="K461" s="28" t="str">
        <f t="shared" si="43"/>
        <v/>
      </c>
      <c r="L461" s="46" t="str">
        <f t="shared" si="47"/>
        <v/>
      </c>
      <c r="M461" t="str" cm="1">
        <f t="array" ref="M461">IF(L461="","",_xlfn.IFS(
  AND(L461&gt;=TIME(9,0,0), L461&lt;TIME(16,0,0)),"Morning",
  AND(L461&gt;=TIME(16,0,0), L461&lt;TIME(23,59,0)),"Evening",
  L461&gt;=TIME(23,59,0),"Night",
  L461&lt;TIME(9,0,0),"Night"
))</f>
        <v/>
      </c>
      <c r="O461" t="str">
        <f t="shared" si="44"/>
        <v/>
      </c>
    </row>
    <row r="462" spans="1:15" x14ac:dyDescent="0.25">
      <c r="A462" s="49"/>
      <c r="B462" s="50"/>
      <c r="G462" t="str">
        <f t="shared" si="42"/>
        <v/>
      </c>
      <c r="H462" s="13" t="str">
        <f t="shared" si="45"/>
        <v/>
      </c>
      <c r="I462" t="str">
        <f>IFERROR(INDEX(Analysis!$D$116:$N$137, MATCH(B462, Analysis!$C$116:$C$137, 0), MATCH(C462, Analysis!$D$115:$N$115, 0)), "")</f>
        <v/>
      </c>
      <c r="J462" t="str">
        <f t="shared" si="46"/>
        <v/>
      </c>
      <c r="K462" s="28" t="str">
        <f t="shared" si="43"/>
        <v/>
      </c>
      <c r="L462" s="46" t="str">
        <f t="shared" si="47"/>
        <v/>
      </c>
      <c r="M462" t="str" cm="1">
        <f t="array" ref="M462">IF(L462="","",_xlfn.IFS(
  AND(L462&gt;=TIME(9,0,0), L462&lt;TIME(16,0,0)),"Morning",
  AND(L462&gt;=TIME(16,0,0), L462&lt;TIME(23,59,0)),"Evening",
  L462&gt;=TIME(23,59,0),"Night",
  L462&lt;TIME(9,0,0),"Night"
))</f>
        <v/>
      </c>
      <c r="O462" t="str">
        <f t="shared" si="44"/>
        <v/>
      </c>
    </row>
    <row r="463" spans="1:15" x14ac:dyDescent="0.25">
      <c r="A463" s="49"/>
      <c r="B463" s="50"/>
      <c r="G463" t="str">
        <f t="shared" si="42"/>
        <v/>
      </c>
      <c r="H463" s="13" t="str">
        <f t="shared" si="45"/>
        <v/>
      </c>
      <c r="I463" t="str">
        <f>IFERROR(INDEX(Analysis!$D$116:$N$137, MATCH(B463, Analysis!$C$116:$C$137, 0), MATCH(C463, Analysis!$D$115:$N$115, 0)), "")</f>
        <v/>
      </c>
      <c r="J463" t="str">
        <f t="shared" si="46"/>
        <v/>
      </c>
      <c r="K463" s="28" t="str">
        <f t="shared" si="43"/>
        <v/>
      </c>
      <c r="L463" s="46" t="str">
        <f t="shared" si="47"/>
        <v/>
      </c>
      <c r="M463" t="str" cm="1">
        <f t="array" ref="M463">IF(L463="","",_xlfn.IFS(
  AND(L463&gt;=TIME(9,0,0), L463&lt;TIME(16,0,0)),"Morning",
  AND(L463&gt;=TIME(16,0,0), L463&lt;TIME(23,59,0)),"Evening",
  L463&gt;=TIME(23,59,0),"Night",
  L463&lt;TIME(9,0,0),"Night"
))</f>
        <v/>
      </c>
      <c r="O463" t="str">
        <f t="shared" si="44"/>
        <v/>
      </c>
    </row>
    <row r="464" spans="1:15" x14ac:dyDescent="0.25">
      <c r="A464" s="49"/>
      <c r="B464" s="50"/>
      <c r="G464" t="str">
        <f t="shared" si="42"/>
        <v/>
      </c>
      <c r="H464" s="13" t="str">
        <f t="shared" si="45"/>
        <v/>
      </c>
      <c r="I464" t="str">
        <f>IFERROR(INDEX(Analysis!$D$116:$N$137, MATCH(B464, Analysis!$C$116:$C$137, 0), MATCH(C464, Analysis!$D$115:$N$115, 0)), "")</f>
        <v/>
      </c>
      <c r="J464" t="str">
        <f t="shared" si="46"/>
        <v/>
      </c>
      <c r="K464" s="28" t="str">
        <f t="shared" si="43"/>
        <v/>
      </c>
      <c r="L464" s="46" t="str">
        <f t="shared" si="47"/>
        <v/>
      </c>
      <c r="M464" t="str" cm="1">
        <f t="array" ref="M464">IF(L464="","",_xlfn.IFS(
  AND(L464&gt;=TIME(9,0,0), L464&lt;TIME(16,0,0)),"Morning",
  AND(L464&gt;=TIME(16,0,0), L464&lt;TIME(23,59,0)),"Evening",
  L464&gt;=TIME(23,59,0),"Night",
  L464&lt;TIME(9,0,0),"Night"
))</f>
        <v/>
      </c>
      <c r="O464" t="str">
        <f t="shared" si="44"/>
        <v/>
      </c>
    </row>
    <row r="465" spans="1:15" x14ac:dyDescent="0.25">
      <c r="A465" s="49"/>
      <c r="B465" s="50"/>
      <c r="G465" t="str">
        <f t="shared" si="42"/>
        <v/>
      </c>
      <c r="H465" s="13" t="str">
        <f t="shared" si="45"/>
        <v/>
      </c>
      <c r="I465" t="str">
        <f>IFERROR(INDEX(Analysis!$D$116:$N$137, MATCH(B465, Analysis!$C$116:$C$137, 0), MATCH(C465, Analysis!$D$115:$N$115, 0)), "")</f>
        <v/>
      </c>
      <c r="J465" t="str">
        <f t="shared" si="46"/>
        <v/>
      </c>
      <c r="K465" s="28" t="str">
        <f t="shared" si="43"/>
        <v/>
      </c>
      <c r="L465" s="46" t="str">
        <f t="shared" si="47"/>
        <v/>
      </c>
      <c r="M465" t="str" cm="1">
        <f t="array" ref="M465">IF(L465="","",_xlfn.IFS(
  AND(L465&gt;=TIME(9,0,0), L465&lt;TIME(16,0,0)),"Morning",
  AND(L465&gt;=TIME(16,0,0), L465&lt;TIME(23,59,0)),"Evening",
  L465&gt;=TIME(23,59,0),"Night",
  L465&lt;TIME(9,0,0),"Night"
))</f>
        <v/>
      </c>
      <c r="O465" t="str">
        <f t="shared" si="44"/>
        <v/>
      </c>
    </row>
    <row r="466" spans="1:15" x14ac:dyDescent="0.25">
      <c r="A466" s="49"/>
      <c r="B466" s="50"/>
      <c r="G466" t="str">
        <f t="shared" si="42"/>
        <v/>
      </c>
      <c r="H466" s="13" t="str">
        <f t="shared" si="45"/>
        <v/>
      </c>
      <c r="I466" t="str">
        <f>IFERROR(INDEX(Analysis!$D$116:$N$137, MATCH(B466, Analysis!$C$116:$C$137, 0), MATCH(C466, Analysis!$D$115:$N$115, 0)), "")</f>
        <v/>
      </c>
      <c r="J466" t="str">
        <f t="shared" si="46"/>
        <v/>
      </c>
      <c r="K466" s="28" t="str">
        <f t="shared" si="43"/>
        <v/>
      </c>
      <c r="L466" s="46" t="str">
        <f t="shared" si="47"/>
        <v/>
      </c>
      <c r="M466" t="str" cm="1">
        <f t="array" ref="M466">IF(L466="","",_xlfn.IFS(
  AND(L466&gt;=TIME(9,0,0), L466&lt;TIME(16,0,0)),"Morning",
  AND(L466&gt;=TIME(16,0,0), L466&lt;TIME(23,59,0)),"Evening",
  L466&gt;=TIME(23,59,0),"Night",
  L466&lt;TIME(9,0,0),"Night"
))</f>
        <v/>
      </c>
      <c r="O466" t="str">
        <f t="shared" si="44"/>
        <v/>
      </c>
    </row>
    <row r="467" spans="1:15" x14ac:dyDescent="0.25">
      <c r="A467" s="49"/>
      <c r="B467" s="50"/>
      <c r="G467" t="str">
        <f t="shared" si="42"/>
        <v/>
      </c>
      <c r="H467" s="13" t="str">
        <f t="shared" si="45"/>
        <v/>
      </c>
      <c r="I467" t="str">
        <f>IFERROR(INDEX(Analysis!$D$116:$N$137, MATCH(B467, Analysis!$C$116:$C$137, 0), MATCH(C467, Analysis!$D$115:$N$115, 0)), "")</f>
        <v/>
      </c>
      <c r="J467" t="str">
        <f t="shared" si="46"/>
        <v/>
      </c>
      <c r="K467" s="28" t="str">
        <f t="shared" si="43"/>
        <v/>
      </c>
      <c r="L467" s="46" t="str">
        <f t="shared" si="47"/>
        <v/>
      </c>
      <c r="M467" t="str" cm="1">
        <f t="array" ref="M467">IF(L467="","",_xlfn.IFS(
  AND(L467&gt;=TIME(9,0,0), L467&lt;TIME(16,0,0)),"Morning",
  AND(L467&gt;=TIME(16,0,0), L467&lt;TIME(23,59,0)),"Evening",
  L467&gt;=TIME(23,59,0),"Night",
  L467&lt;TIME(9,0,0),"Night"
))</f>
        <v/>
      </c>
      <c r="O467" t="str">
        <f t="shared" si="44"/>
        <v/>
      </c>
    </row>
    <row r="468" spans="1:15" x14ac:dyDescent="0.25">
      <c r="A468" s="49"/>
      <c r="B468" s="50"/>
      <c r="G468" t="str">
        <f t="shared" si="42"/>
        <v/>
      </c>
      <c r="H468" s="13" t="str">
        <f t="shared" si="45"/>
        <v/>
      </c>
      <c r="I468" t="str">
        <f>IFERROR(INDEX(Analysis!$D$116:$N$137, MATCH(B468, Analysis!$C$116:$C$137, 0), MATCH(C468, Analysis!$D$115:$N$115, 0)), "")</f>
        <v/>
      </c>
      <c r="J468" t="str">
        <f t="shared" si="46"/>
        <v/>
      </c>
      <c r="K468" s="28" t="str">
        <f t="shared" si="43"/>
        <v/>
      </c>
      <c r="L468" s="46" t="str">
        <f t="shared" si="47"/>
        <v/>
      </c>
      <c r="M468" t="str" cm="1">
        <f t="array" ref="M468">IF(L468="","",_xlfn.IFS(
  AND(L468&gt;=TIME(9,0,0), L468&lt;TIME(16,0,0)),"Morning",
  AND(L468&gt;=TIME(16,0,0), L468&lt;TIME(23,59,0)),"Evening",
  L468&gt;=TIME(23,59,0),"Night",
  L468&lt;TIME(9,0,0),"Night"
))</f>
        <v/>
      </c>
      <c r="O468" t="str">
        <f t="shared" si="44"/>
        <v/>
      </c>
    </row>
    <row r="469" spans="1:15" x14ac:dyDescent="0.25">
      <c r="A469" s="49"/>
      <c r="B469" s="50"/>
      <c r="G469" t="str">
        <f t="shared" si="42"/>
        <v/>
      </c>
      <c r="H469" s="13" t="str">
        <f t="shared" si="45"/>
        <v/>
      </c>
      <c r="I469" t="str">
        <f>IFERROR(INDEX(Analysis!$D$116:$N$137, MATCH(B469, Analysis!$C$116:$C$137, 0), MATCH(C469, Analysis!$D$115:$N$115, 0)), "")</f>
        <v/>
      </c>
      <c r="J469" t="str">
        <f t="shared" si="46"/>
        <v/>
      </c>
      <c r="K469" s="28" t="str">
        <f t="shared" si="43"/>
        <v/>
      </c>
      <c r="L469" s="46" t="str">
        <f t="shared" si="47"/>
        <v/>
      </c>
      <c r="M469" t="str" cm="1">
        <f t="array" ref="M469">IF(L469="","",_xlfn.IFS(
  AND(L469&gt;=TIME(9,0,0), L469&lt;TIME(16,0,0)),"Morning",
  AND(L469&gt;=TIME(16,0,0), L469&lt;TIME(23,59,0)),"Evening",
  L469&gt;=TIME(23,59,0),"Night",
  L469&lt;TIME(9,0,0),"Night"
))</f>
        <v/>
      </c>
      <c r="O469" t="str">
        <f t="shared" si="44"/>
        <v/>
      </c>
    </row>
    <row r="470" spans="1:15" x14ac:dyDescent="0.25">
      <c r="A470" s="49"/>
      <c r="B470" s="50"/>
      <c r="G470" t="str">
        <f t="shared" si="42"/>
        <v/>
      </c>
      <c r="H470" s="13" t="str">
        <f t="shared" si="45"/>
        <v/>
      </c>
      <c r="I470" t="str">
        <f>IFERROR(INDEX(Analysis!$D$116:$N$137, MATCH(B470, Analysis!$C$116:$C$137, 0), MATCH(C470, Analysis!$D$115:$N$115, 0)), "")</f>
        <v/>
      </c>
      <c r="J470" t="str">
        <f t="shared" si="46"/>
        <v/>
      </c>
      <c r="K470" s="28" t="str">
        <f t="shared" si="43"/>
        <v/>
      </c>
      <c r="L470" s="46" t="str">
        <f t="shared" si="47"/>
        <v/>
      </c>
      <c r="M470" t="str" cm="1">
        <f t="array" ref="M470">IF(L470="","",_xlfn.IFS(
  AND(L470&gt;=TIME(9,0,0), L470&lt;TIME(16,0,0)),"Morning",
  AND(L470&gt;=TIME(16,0,0), L470&lt;TIME(23,59,0)),"Evening",
  L470&gt;=TIME(23,59,0),"Night",
  L470&lt;TIME(9,0,0),"Night"
))</f>
        <v/>
      </c>
      <c r="O470" t="str">
        <f t="shared" si="44"/>
        <v/>
      </c>
    </row>
    <row r="471" spans="1:15" x14ac:dyDescent="0.25">
      <c r="A471" s="49"/>
      <c r="B471" s="50"/>
      <c r="G471" t="str">
        <f t="shared" si="42"/>
        <v/>
      </c>
      <c r="H471" s="13" t="str">
        <f t="shared" si="45"/>
        <v/>
      </c>
      <c r="I471" t="str">
        <f>IFERROR(INDEX(Analysis!$D$116:$N$137, MATCH(B471, Analysis!$C$116:$C$137, 0), MATCH(C471, Analysis!$D$115:$N$115, 0)), "")</f>
        <v/>
      </c>
      <c r="J471" t="str">
        <f t="shared" si="46"/>
        <v/>
      </c>
      <c r="K471" s="28" t="str">
        <f t="shared" si="43"/>
        <v/>
      </c>
      <c r="L471" s="46" t="str">
        <f t="shared" si="47"/>
        <v/>
      </c>
      <c r="M471" t="str" cm="1">
        <f t="array" ref="M471">IF(L471="","",_xlfn.IFS(
  AND(L471&gt;=TIME(9,0,0), L471&lt;TIME(16,0,0)),"Morning",
  AND(L471&gt;=TIME(16,0,0), L471&lt;TIME(23,59,0)),"Evening",
  L471&gt;=TIME(23,59,0),"Night",
  L471&lt;TIME(9,0,0),"Night"
))</f>
        <v/>
      </c>
      <c r="O471" t="str">
        <f t="shared" si="44"/>
        <v/>
      </c>
    </row>
    <row r="472" spans="1:15" x14ac:dyDescent="0.25">
      <c r="A472" s="49"/>
      <c r="B472" s="50"/>
      <c r="G472" t="str">
        <f t="shared" si="42"/>
        <v/>
      </c>
      <c r="H472" s="13" t="str">
        <f t="shared" si="45"/>
        <v/>
      </c>
      <c r="I472" t="str">
        <f>IFERROR(INDEX(Analysis!$D$116:$N$137, MATCH(B472, Analysis!$C$116:$C$137, 0), MATCH(C472, Analysis!$D$115:$N$115, 0)), "")</f>
        <v/>
      </c>
      <c r="J472" t="str">
        <f t="shared" si="46"/>
        <v/>
      </c>
      <c r="K472" s="28" t="str">
        <f t="shared" si="43"/>
        <v/>
      </c>
      <c r="L472" s="46" t="str">
        <f t="shared" si="47"/>
        <v/>
      </c>
      <c r="M472" t="str" cm="1">
        <f t="array" ref="M472">IF(L472="","",_xlfn.IFS(
  AND(L472&gt;=TIME(9,0,0), L472&lt;TIME(16,0,0)),"Morning",
  AND(L472&gt;=TIME(16,0,0), L472&lt;TIME(23,59,0)),"Evening",
  L472&gt;=TIME(23,59,0),"Night",
  L472&lt;TIME(9,0,0),"Night"
))</f>
        <v/>
      </c>
      <c r="O472" t="str">
        <f t="shared" si="44"/>
        <v/>
      </c>
    </row>
    <row r="473" spans="1:15" x14ac:dyDescent="0.25">
      <c r="A473" s="49"/>
      <c r="B473" s="50"/>
      <c r="G473" t="str">
        <f t="shared" si="42"/>
        <v/>
      </c>
      <c r="H473" s="13" t="str">
        <f t="shared" si="45"/>
        <v/>
      </c>
      <c r="I473" t="str">
        <f>IFERROR(INDEX(Analysis!$D$116:$N$137, MATCH(B473, Analysis!$C$116:$C$137, 0), MATCH(C473, Analysis!$D$115:$N$115, 0)), "")</f>
        <v/>
      </c>
      <c r="J473" t="str">
        <f t="shared" si="46"/>
        <v/>
      </c>
      <c r="K473" s="28" t="str">
        <f t="shared" si="43"/>
        <v/>
      </c>
      <c r="L473" s="46" t="str">
        <f t="shared" si="47"/>
        <v/>
      </c>
      <c r="M473" t="str" cm="1">
        <f t="array" ref="M473">IF(L473="","",_xlfn.IFS(
  AND(L473&gt;=TIME(9,0,0), L473&lt;TIME(16,0,0)),"Morning",
  AND(L473&gt;=TIME(16,0,0), L473&lt;TIME(23,59,0)),"Evening",
  L473&gt;=TIME(23,59,0),"Night",
  L473&lt;TIME(9,0,0),"Night"
))</f>
        <v/>
      </c>
      <c r="O473" t="str">
        <f t="shared" si="44"/>
        <v/>
      </c>
    </row>
    <row r="474" spans="1:15" x14ac:dyDescent="0.25">
      <c r="A474" s="49"/>
      <c r="B474" s="50"/>
      <c r="G474" t="str">
        <f t="shared" si="42"/>
        <v/>
      </c>
      <c r="H474" s="13" t="str">
        <f t="shared" si="45"/>
        <v/>
      </c>
      <c r="I474" t="str">
        <f>IFERROR(INDEX(Analysis!$D$116:$N$137, MATCH(B474, Analysis!$C$116:$C$137, 0), MATCH(C474, Analysis!$D$115:$N$115, 0)), "")</f>
        <v/>
      </c>
      <c r="J474" t="str">
        <f t="shared" si="46"/>
        <v/>
      </c>
      <c r="K474" s="28" t="str">
        <f t="shared" si="43"/>
        <v/>
      </c>
      <c r="L474" s="46" t="str">
        <f t="shared" si="47"/>
        <v/>
      </c>
      <c r="M474" t="str" cm="1">
        <f t="array" ref="M474">IF(L474="","",_xlfn.IFS(
  AND(L474&gt;=TIME(9,0,0), L474&lt;TIME(16,0,0)),"Morning",
  AND(L474&gt;=TIME(16,0,0), L474&lt;TIME(23,59,0)),"Evening",
  L474&gt;=TIME(23,59,0),"Night",
  L474&lt;TIME(9,0,0),"Night"
))</f>
        <v/>
      </c>
      <c r="O474" t="str">
        <f t="shared" si="44"/>
        <v/>
      </c>
    </row>
    <row r="475" spans="1:15" x14ac:dyDescent="0.25">
      <c r="A475" s="49"/>
      <c r="B475" s="50"/>
      <c r="G475" t="str">
        <f t="shared" si="42"/>
        <v/>
      </c>
      <c r="H475" s="13" t="str">
        <f t="shared" si="45"/>
        <v/>
      </c>
      <c r="I475" t="str">
        <f>IFERROR(INDEX(Analysis!$D$116:$N$137, MATCH(B475, Analysis!$C$116:$C$137, 0), MATCH(C475, Analysis!$D$115:$N$115, 0)), "")</f>
        <v/>
      </c>
      <c r="J475" t="str">
        <f t="shared" si="46"/>
        <v/>
      </c>
      <c r="K475" s="28" t="str">
        <f t="shared" si="43"/>
        <v/>
      </c>
      <c r="L475" s="46" t="str">
        <f t="shared" si="47"/>
        <v/>
      </c>
      <c r="M475" t="str" cm="1">
        <f t="array" ref="M475">IF(L475="","",_xlfn.IFS(
  AND(L475&gt;=TIME(9,0,0), L475&lt;TIME(16,0,0)),"Morning",
  AND(L475&gt;=TIME(16,0,0), L475&lt;TIME(23,59,0)),"Evening",
  L475&gt;=TIME(23,59,0),"Night",
  L475&lt;TIME(9,0,0),"Night"
))</f>
        <v/>
      </c>
      <c r="O475" t="str">
        <f t="shared" si="44"/>
        <v/>
      </c>
    </row>
    <row r="476" spans="1:15" x14ac:dyDescent="0.25">
      <c r="A476" s="49"/>
      <c r="B476" s="50"/>
      <c r="G476" t="str">
        <f t="shared" si="42"/>
        <v/>
      </c>
      <c r="H476" s="13" t="str">
        <f t="shared" si="45"/>
        <v/>
      </c>
      <c r="I476" t="str">
        <f>IFERROR(INDEX(Analysis!$D$116:$N$137, MATCH(B476, Analysis!$C$116:$C$137, 0), MATCH(C476, Analysis!$D$115:$N$115, 0)), "")</f>
        <v/>
      </c>
      <c r="J476" t="str">
        <f t="shared" si="46"/>
        <v/>
      </c>
      <c r="K476" s="28" t="str">
        <f t="shared" si="43"/>
        <v/>
      </c>
      <c r="L476" s="46" t="str">
        <f t="shared" si="47"/>
        <v/>
      </c>
      <c r="M476" t="str" cm="1">
        <f t="array" ref="M476">IF(L476="","",_xlfn.IFS(
  AND(L476&gt;=TIME(9,0,0), L476&lt;TIME(16,0,0)),"Morning",
  AND(L476&gt;=TIME(16,0,0), L476&lt;TIME(23,59,0)),"Evening",
  L476&gt;=TIME(23,59,0),"Night",
  L476&lt;TIME(9,0,0),"Night"
))</f>
        <v/>
      </c>
      <c r="O476" t="str">
        <f t="shared" si="44"/>
        <v/>
      </c>
    </row>
    <row r="477" spans="1:15" x14ac:dyDescent="0.25">
      <c r="A477" s="49"/>
      <c r="B477" s="50"/>
      <c r="G477" t="str">
        <f t="shared" si="42"/>
        <v/>
      </c>
      <c r="H477" s="13" t="str">
        <f t="shared" si="45"/>
        <v/>
      </c>
      <c r="I477" t="str">
        <f>IFERROR(INDEX(Analysis!$D$116:$N$137, MATCH(B477, Analysis!$C$116:$C$137, 0), MATCH(C477, Analysis!$D$115:$N$115, 0)), "")</f>
        <v/>
      </c>
      <c r="J477" t="str">
        <f t="shared" si="46"/>
        <v/>
      </c>
      <c r="K477" s="28" t="str">
        <f t="shared" si="43"/>
        <v/>
      </c>
      <c r="L477" s="46" t="str">
        <f t="shared" si="47"/>
        <v/>
      </c>
      <c r="M477" t="str" cm="1">
        <f t="array" ref="M477">IF(L477="","",_xlfn.IFS(
  AND(L477&gt;=TIME(9,0,0), L477&lt;TIME(16,0,0)),"Morning",
  AND(L477&gt;=TIME(16,0,0), L477&lt;TIME(23,59,0)),"Evening",
  L477&gt;=TIME(23,59,0),"Night",
  L477&lt;TIME(9,0,0),"Night"
))</f>
        <v/>
      </c>
      <c r="O477" t="str">
        <f t="shared" si="44"/>
        <v/>
      </c>
    </row>
    <row r="478" spans="1:15" x14ac:dyDescent="0.25">
      <c r="A478" s="49"/>
      <c r="B478" s="50"/>
      <c r="G478" t="str">
        <f t="shared" si="42"/>
        <v/>
      </c>
      <c r="H478" s="13" t="str">
        <f t="shared" si="45"/>
        <v/>
      </c>
      <c r="I478" t="str">
        <f>IFERROR(INDEX(Analysis!$D$116:$N$137, MATCH(B478, Analysis!$C$116:$C$137, 0), MATCH(C478, Analysis!$D$115:$N$115, 0)), "")</f>
        <v/>
      </c>
      <c r="J478" t="str">
        <f t="shared" si="46"/>
        <v/>
      </c>
      <c r="K478" s="28" t="str">
        <f t="shared" si="43"/>
        <v/>
      </c>
      <c r="L478" s="46" t="str">
        <f t="shared" si="47"/>
        <v/>
      </c>
      <c r="M478" t="str" cm="1">
        <f t="array" ref="M478">IF(L478="","",_xlfn.IFS(
  AND(L478&gt;=TIME(9,0,0), L478&lt;TIME(16,0,0)),"Morning",
  AND(L478&gt;=TIME(16,0,0), L478&lt;TIME(23,59,0)),"Evening",
  L478&gt;=TIME(23,59,0),"Night",
  L478&lt;TIME(9,0,0),"Night"
))</f>
        <v/>
      </c>
      <c r="O478" t="str">
        <f t="shared" si="44"/>
        <v/>
      </c>
    </row>
    <row r="479" spans="1:15" x14ac:dyDescent="0.25">
      <c r="A479" s="49"/>
      <c r="B479" s="50"/>
      <c r="G479" t="str">
        <f t="shared" si="42"/>
        <v/>
      </c>
      <c r="H479" s="13" t="str">
        <f t="shared" si="45"/>
        <v/>
      </c>
      <c r="I479" t="str">
        <f>IFERROR(INDEX(Analysis!$D$116:$N$137, MATCH(B479, Analysis!$C$116:$C$137, 0), MATCH(C479, Analysis!$D$115:$N$115, 0)), "")</f>
        <v/>
      </c>
      <c r="J479" t="str">
        <f t="shared" si="46"/>
        <v/>
      </c>
      <c r="K479" s="28" t="str">
        <f t="shared" si="43"/>
        <v/>
      </c>
      <c r="L479" s="46" t="str">
        <f t="shared" si="47"/>
        <v/>
      </c>
      <c r="M479" t="str" cm="1">
        <f t="array" ref="M479">IF(L479="","",_xlfn.IFS(
  AND(L479&gt;=TIME(9,0,0), L479&lt;TIME(16,0,0)),"Morning",
  AND(L479&gt;=TIME(16,0,0), L479&lt;TIME(23,59,0)),"Evening",
  L479&gt;=TIME(23,59,0),"Night",
  L479&lt;TIME(9,0,0),"Night"
))</f>
        <v/>
      </c>
      <c r="O479" t="str">
        <f t="shared" si="44"/>
        <v/>
      </c>
    </row>
    <row r="480" spans="1:15" x14ac:dyDescent="0.25">
      <c r="A480" s="49"/>
      <c r="B480" s="50"/>
      <c r="G480" t="str">
        <f t="shared" si="42"/>
        <v/>
      </c>
      <c r="H480" s="13" t="str">
        <f t="shared" si="45"/>
        <v/>
      </c>
      <c r="I480" t="str">
        <f>IFERROR(INDEX(Analysis!$D$116:$N$137, MATCH(B480, Analysis!$C$116:$C$137, 0), MATCH(C480, Analysis!$D$115:$N$115, 0)), "")</f>
        <v/>
      </c>
      <c r="J480" t="str">
        <f t="shared" si="46"/>
        <v/>
      </c>
      <c r="K480" s="28" t="str">
        <f t="shared" si="43"/>
        <v/>
      </c>
      <c r="L480" s="46" t="str">
        <f t="shared" si="47"/>
        <v/>
      </c>
      <c r="M480" t="str" cm="1">
        <f t="array" ref="M480">IF(L480="","",_xlfn.IFS(
  AND(L480&gt;=TIME(9,0,0), L480&lt;TIME(16,0,0)),"Morning",
  AND(L480&gt;=TIME(16,0,0), L480&lt;TIME(23,59,0)),"Evening",
  L480&gt;=TIME(23,59,0),"Night",
  L480&lt;TIME(9,0,0),"Night"
))</f>
        <v/>
      </c>
      <c r="O480" t="str">
        <f t="shared" si="44"/>
        <v/>
      </c>
    </row>
    <row r="481" spans="1:15" x14ac:dyDescent="0.25">
      <c r="A481" s="49"/>
      <c r="B481" s="50"/>
      <c r="G481" t="str">
        <f t="shared" si="42"/>
        <v/>
      </c>
      <c r="H481" s="13" t="str">
        <f t="shared" si="45"/>
        <v/>
      </c>
      <c r="I481" t="str">
        <f>IFERROR(INDEX(Analysis!$D$116:$N$137, MATCH(B481, Analysis!$C$116:$C$137, 0), MATCH(C481, Analysis!$D$115:$N$115, 0)), "")</f>
        <v/>
      </c>
      <c r="J481" t="str">
        <f t="shared" si="46"/>
        <v/>
      </c>
      <c r="K481" s="28" t="str">
        <f t="shared" si="43"/>
        <v/>
      </c>
      <c r="L481" s="46" t="str">
        <f t="shared" si="47"/>
        <v/>
      </c>
      <c r="M481" t="str" cm="1">
        <f t="array" ref="M481">IF(L481="","",_xlfn.IFS(
  AND(L481&gt;=TIME(9,0,0), L481&lt;TIME(16,0,0)),"Morning",
  AND(L481&gt;=TIME(16,0,0), L481&lt;TIME(23,59,0)),"Evening",
  L481&gt;=TIME(23,59,0),"Night",
  L481&lt;TIME(9,0,0),"Night"
))</f>
        <v/>
      </c>
      <c r="O481" t="str">
        <f t="shared" si="44"/>
        <v/>
      </c>
    </row>
    <row r="482" spans="1:15" x14ac:dyDescent="0.25">
      <c r="A482" s="49"/>
      <c r="B482" s="50"/>
      <c r="G482" t="str">
        <f t="shared" si="42"/>
        <v/>
      </c>
      <c r="H482" s="13" t="str">
        <f t="shared" si="45"/>
        <v/>
      </c>
      <c r="I482" t="str">
        <f>IFERROR(INDEX(Analysis!$D$116:$N$137, MATCH(B482, Analysis!$C$116:$C$137, 0), MATCH(C482, Analysis!$D$115:$N$115, 0)), "")</f>
        <v/>
      </c>
      <c r="J482" t="str">
        <f t="shared" si="46"/>
        <v/>
      </c>
      <c r="K482" s="28" t="str">
        <f t="shared" si="43"/>
        <v/>
      </c>
      <c r="L482" s="46" t="str">
        <f t="shared" si="47"/>
        <v/>
      </c>
      <c r="M482" t="str" cm="1">
        <f t="array" ref="M482">IF(L482="","",_xlfn.IFS(
  AND(L482&gt;=TIME(9,0,0), L482&lt;TIME(16,0,0)),"Morning",
  AND(L482&gt;=TIME(16,0,0), L482&lt;TIME(23,59,0)),"Evening",
  L482&gt;=TIME(23,59,0),"Night",
  L482&lt;TIME(9,0,0),"Night"
))</f>
        <v/>
      </c>
      <c r="O482" t="str">
        <f t="shared" si="44"/>
        <v/>
      </c>
    </row>
    <row r="483" spans="1:15" x14ac:dyDescent="0.25">
      <c r="A483" s="49"/>
      <c r="B483" s="50"/>
      <c r="G483" t="str">
        <f t="shared" si="42"/>
        <v/>
      </c>
      <c r="H483" s="13" t="str">
        <f t="shared" si="45"/>
        <v/>
      </c>
      <c r="I483" t="str">
        <f>IFERROR(INDEX(Analysis!$D$116:$N$137, MATCH(B483, Analysis!$C$116:$C$137, 0), MATCH(C483, Analysis!$D$115:$N$115, 0)), "")</f>
        <v/>
      </c>
      <c r="J483" t="str">
        <f t="shared" si="46"/>
        <v/>
      </c>
      <c r="K483" s="28" t="str">
        <f t="shared" si="43"/>
        <v/>
      </c>
      <c r="L483" s="46" t="str">
        <f t="shared" si="47"/>
        <v/>
      </c>
      <c r="M483" t="str" cm="1">
        <f t="array" ref="M483">IF(L483="","",_xlfn.IFS(
  AND(L483&gt;=TIME(9,0,0), L483&lt;TIME(16,0,0)),"Morning",
  AND(L483&gt;=TIME(16,0,0), L483&lt;TIME(23,59,0)),"Evening",
  L483&gt;=TIME(23,59,0),"Night",
  L483&lt;TIME(9,0,0),"Night"
))</f>
        <v/>
      </c>
      <c r="O483" t="str">
        <f t="shared" si="44"/>
        <v/>
      </c>
    </row>
    <row r="484" spans="1:15" x14ac:dyDescent="0.25">
      <c r="A484" s="49"/>
      <c r="B484" s="50"/>
      <c r="G484" t="str">
        <f t="shared" si="42"/>
        <v/>
      </c>
      <c r="H484" s="13" t="str">
        <f t="shared" si="45"/>
        <v/>
      </c>
      <c r="I484" t="str">
        <f>IFERROR(INDEX(Analysis!$D$116:$N$137, MATCH(B484, Analysis!$C$116:$C$137, 0), MATCH(C484, Analysis!$D$115:$N$115, 0)), "")</f>
        <v/>
      </c>
      <c r="J484" t="str">
        <f t="shared" si="46"/>
        <v/>
      </c>
      <c r="K484" s="28" t="str">
        <f t="shared" si="43"/>
        <v/>
      </c>
      <c r="L484" s="46" t="str">
        <f t="shared" si="47"/>
        <v/>
      </c>
      <c r="M484" t="str" cm="1">
        <f t="array" ref="M484">IF(L484="","",_xlfn.IFS(
  AND(L484&gt;=TIME(9,0,0), L484&lt;TIME(16,0,0)),"Morning",
  AND(L484&gt;=TIME(16,0,0), L484&lt;TIME(23,59,0)),"Evening",
  L484&gt;=TIME(23,59,0),"Night",
  L484&lt;TIME(9,0,0),"Night"
))</f>
        <v/>
      </c>
      <c r="O484" t="str">
        <f t="shared" si="44"/>
        <v/>
      </c>
    </row>
    <row r="485" spans="1:15" x14ac:dyDescent="0.25">
      <c r="A485" s="49"/>
      <c r="B485" s="50"/>
      <c r="G485" t="str">
        <f t="shared" si="42"/>
        <v/>
      </c>
      <c r="H485" s="13" t="str">
        <f t="shared" si="45"/>
        <v/>
      </c>
      <c r="I485" t="str">
        <f>IFERROR(INDEX(Analysis!$D$116:$N$137, MATCH(B485, Analysis!$C$116:$C$137, 0), MATCH(C485, Analysis!$D$115:$N$115, 0)), "")</f>
        <v/>
      </c>
      <c r="J485" t="str">
        <f t="shared" si="46"/>
        <v/>
      </c>
      <c r="K485" s="28" t="str">
        <f t="shared" si="43"/>
        <v/>
      </c>
      <c r="L485" s="46" t="str">
        <f t="shared" si="47"/>
        <v/>
      </c>
      <c r="M485" t="str" cm="1">
        <f t="array" ref="M485">IF(L485="","",_xlfn.IFS(
  AND(L485&gt;=TIME(9,0,0), L485&lt;TIME(16,0,0)),"Morning",
  AND(L485&gt;=TIME(16,0,0), L485&lt;TIME(23,59,0)),"Evening",
  L485&gt;=TIME(23,59,0),"Night",
  L485&lt;TIME(9,0,0),"Night"
))</f>
        <v/>
      </c>
      <c r="O485" t="str">
        <f t="shared" si="44"/>
        <v/>
      </c>
    </row>
    <row r="486" spans="1:15" x14ac:dyDescent="0.25">
      <c r="A486" s="49"/>
      <c r="B486" s="50"/>
      <c r="G486" t="str">
        <f t="shared" si="42"/>
        <v/>
      </c>
      <c r="H486" s="13" t="str">
        <f t="shared" si="45"/>
        <v/>
      </c>
      <c r="I486" t="str">
        <f>IFERROR(INDEX(Analysis!$D$116:$N$137, MATCH(B486, Analysis!$C$116:$C$137, 0), MATCH(C486, Analysis!$D$115:$N$115, 0)), "")</f>
        <v/>
      </c>
      <c r="J486" t="str">
        <f t="shared" si="46"/>
        <v/>
      </c>
      <c r="K486" s="28" t="str">
        <f t="shared" si="43"/>
        <v/>
      </c>
      <c r="L486" s="46" t="str">
        <f t="shared" si="47"/>
        <v/>
      </c>
      <c r="M486" t="str" cm="1">
        <f t="array" ref="M486">IF(L486="","",_xlfn.IFS(
  AND(L486&gt;=TIME(9,0,0), L486&lt;TIME(16,0,0)),"Morning",
  AND(L486&gt;=TIME(16,0,0), L486&lt;TIME(23,59,0)),"Evening",
  L486&gt;=TIME(23,59,0),"Night",
  L486&lt;TIME(9,0,0),"Night"
))</f>
        <v/>
      </c>
      <c r="O486" t="str">
        <f t="shared" si="44"/>
        <v/>
      </c>
    </row>
    <row r="487" spans="1:15" x14ac:dyDescent="0.25">
      <c r="A487" s="49"/>
      <c r="B487" s="50"/>
      <c r="G487" t="str">
        <f t="shared" si="42"/>
        <v/>
      </c>
      <c r="H487" s="13" t="str">
        <f t="shared" si="45"/>
        <v/>
      </c>
      <c r="I487" t="str">
        <f>IFERROR(INDEX(Analysis!$D$116:$N$137, MATCH(B487, Analysis!$C$116:$C$137, 0), MATCH(C487, Analysis!$D$115:$N$115, 0)), "")</f>
        <v/>
      </c>
      <c r="J487" t="str">
        <f t="shared" si="46"/>
        <v/>
      </c>
      <c r="K487" s="28" t="str">
        <f t="shared" si="43"/>
        <v/>
      </c>
      <c r="L487" s="46" t="str">
        <f t="shared" si="47"/>
        <v/>
      </c>
      <c r="M487" t="str" cm="1">
        <f t="array" ref="M487">IF(L487="","",_xlfn.IFS(
  AND(L487&gt;=TIME(9,0,0), L487&lt;TIME(16,0,0)),"Morning",
  AND(L487&gt;=TIME(16,0,0), L487&lt;TIME(23,59,0)),"Evening",
  L487&gt;=TIME(23,59,0),"Night",
  L487&lt;TIME(9,0,0),"Night"
))</f>
        <v/>
      </c>
      <c r="O487" t="str">
        <f t="shared" si="44"/>
        <v/>
      </c>
    </row>
    <row r="488" spans="1:15" x14ac:dyDescent="0.25">
      <c r="A488" s="49"/>
      <c r="B488" s="50"/>
      <c r="G488" t="str">
        <f t="shared" si="42"/>
        <v/>
      </c>
      <c r="H488" s="13" t="str">
        <f t="shared" si="45"/>
        <v/>
      </c>
      <c r="I488" t="str">
        <f>IFERROR(INDEX(Analysis!$D$116:$N$137, MATCH(B488, Analysis!$C$116:$C$137, 0), MATCH(C488, Analysis!$D$115:$N$115, 0)), "")</f>
        <v/>
      </c>
      <c r="J488" t="str">
        <f t="shared" si="46"/>
        <v/>
      </c>
      <c r="K488" s="28" t="str">
        <f t="shared" si="43"/>
        <v/>
      </c>
      <c r="L488" s="46" t="str">
        <f t="shared" si="47"/>
        <v/>
      </c>
      <c r="M488" t="str" cm="1">
        <f t="array" ref="M488">IF(L488="","",_xlfn.IFS(
  AND(L488&gt;=TIME(9,0,0), L488&lt;TIME(16,0,0)),"Morning",
  AND(L488&gt;=TIME(16,0,0), L488&lt;TIME(23,59,0)),"Evening",
  L488&gt;=TIME(23,59,0),"Night",
  L488&lt;TIME(9,0,0),"Night"
))</f>
        <v/>
      </c>
      <c r="O488" t="str">
        <f t="shared" si="44"/>
        <v/>
      </c>
    </row>
    <row r="489" spans="1:15" x14ac:dyDescent="0.25">
      <c r="A489" s="49"/>
      <c r="B489" s="50"/>
      <c r="G489" t="str">
        <f t="shared" si="42"/>
        <v/>
      </c>
      <c r="H489" s="13" t="str">
        <f t="shared" si="45"/>
        <v/>
      </c>
      <c r="I489" t="str">
        <f>IFERROR(INDEX(Analysis!$D$116:$N$137, MATCH(B489, Analysis!$C$116:$C$137, 0), MATCH(C489, Analysis!$D$115:$N$115, 0)), "")</f>
        <v/>
      </c>
      <c r="J489" t="str">
        <f t="shared" si="46"/>
        <v/>
      </c>
      <c r="K489" s="28" t="str">
        <f t="shared" si="43"/>
        <v/>
      </c>
      <c r="L489" s="46" t="str">
        <f t="shared" si="47"/>
        <v/>
      </c>
      <c r="M489" t="str" cm="1">
        <f t="array" ref="M489">IF(L489="","",_xlfn.IFS(
  AND(L489&gt;=TIME(9,0,0), L489&lt;TIME(16,0,0)),"Morning",
  AND(L489&gt;=TIME(16,0,0), L489&lt;TIME(23,59,0)),"Evening",
  L489&gt;=TIME(23,59,0),"Night",
  L489&lt;TIME(9,0,0),"Night"
))</f>
        <v/>
      </c>
      <c r="O489" t="str">
        <f t="shared" si="44"/>
        <v/>
      </c>
    </row>
    <row r="490" spans="1:15" x14ac:dyDescent="0.25">
      <c r="A490" s="49"/>
      <c r="B490" s="50"/>
      <c r="G490" t="str">
        <f t="shared" si="42"/>
        <v/>
      </c>
      <c r="H490" s="13" t="str">
        <f t="shared" si="45"/>
        <v/>
      </c>
      <c r="I490" t="str">
        <f>IFERROR(INDEX(Analysis!$D$116:$N$137, MATCH(B490, Analysis!$C$116:$C$137, 0), MATCH(C490, Analysis!$D$115:$N$115, 0)), "")</f>
        <v/>
      </c>
      <c r="J490" t="str">
        <f t="shared" si="46"/>
        <v/>
      </c>
      <c r="K490" s="28" t="str">
        <f t="shared" si="43"/>
        <v/>
      </c>
      <c r="L490" s="46" t="str">
        <f t="shared" si="47"/>
        <v/>
      </c>
      <c r="M490" t="str" cm="1">
        <f t="array" ref="M490">IF(L490="","",_xlfn.IFS(
  AND(L490&gt;=TIME(9,0,0), L490&lt;TIME(16,0,0)),"Morning",
  AND(L490&gt;=TIME(16,0,0), L490&lt;TIME(23,59,0)),"Evening",
  L490&gt;=TIME(23,59,0),"Night",
  L490&lt;TIME(9,0,0),"Night"
))</f>
        <v/>
      </c>
      <c r="O490" t="str">
        <f t="shared" si="44"/>
        <v/>
      </c>
    </row>
    <row r="491" spans="1:15" x14ac:dyDescent="0.25">
      <c r="A491" s="49"/>
      <c r="B491" s="50"/>
      <c r="G491" t="str">
        <f t="shared" si="42"/>
        <v/>
      </c>
      <c r="H491" s="13" t="str">
        <f t="shared" si="45"/>
        <v/>
      </c>
      <c r="I491" t="str">
        <f>IFERROR(INDEX(Analysis!$D$116:$N$137, MATCH(B491, Analysis!$C$116:$C$137, 0), MATCH(C491, Analysis!$D$115:$N$115, 0)), "")</f>
        <v/>
      </c>
      <c r="J491" t="str">
        <f t="shared" si="46"/>
        <v/>
      </c>
      <c r="K491" s="28" t="str">
        <f t="shared" si="43"/>
        <v/>
      </c>
      <c r="L491" s="46" t="str">
        <f t="shared" si="47"/>
        <v/>
      </c>
      <c r="M491" t="str" cm="1">
        <f t="array" ref="M491">IF(L491="","",_xlfn.IFS(
  AND(L491&gt;=TIME(9,0,0), L491&lt;TIME(16,0,0)),"Morning",
  AND(L491&gt;=TIME(16,0,0), L491&lt;TIME(23,59,0)),"Evening",
  L491&gt;=TIME(23,59,0),"Night",
  L491&lt;TIME(9,0,0),"Night"
))</f>
        <v/>
      </c>
      <c r="O491" t="str">
        <f t="shared" si="44"/>
        <v/>
      </c>
    </row>
    <row r="492" spans="1:15" x14ac:dyDescent="0.25">
      <c r="A492" s="49"/>
      <c r="B492" s="50"/>
      <c r="G492" t="str">
        <f t="shared" si="42"/>
        <v/>
      </c>
      <c r="H492" s="13" t="str">
        <f t="shared" si="45"/>
        <v/>
      </c>
      <c r="I492" t="str">
        <f>IFERROR(INDEX(Analysis!$D$116:$N$137, MATCH(B492, Analysis!$C$116:$C$137, 0), MATCH(C492, Analysis!$D$115:$N$115, 0)), "")</f>
        <v/>
      </c>
      <c r="J492" t="str">
        <f t="shared" si="46"/>
        <v/>
      </c>
      <c r="K492" s="28" t="str">
        <f t="shared" si="43"/>
        <v/>
      </c>
      <c r="L492" s="46" t="str">
        <f t="shared" si="47"/>
        <v/>
      </c>
      <c r="M492" t="str" cm="1">
        <f t="array" ref="M492">IF(L492="","",_xlfn.IFS(
  AND(L492&gt;=TIME(9,0,0), L492&lt;TIME(16,0,0)),"Morning",
  AND(L492&gt;=TIME(16,0,0), L492&lt;TIME(23,59,0)),"Evening",
  L492&gt;=TIME(23,59,0),"Night",
  L492&lt;TIME(9,0,0),"Night"
))</f>
        <v/>
      </c>
      <c r="O492" t="str">
        <f t="shared" si="44"/>
        <v/>
      </c>
    </row>
    <row r="493" spans="1:15" x14ac:dyDescent="0.25">
      <c r="A493" s="49"/>
      <c r="B493" s="50"/>
      <c r="G493" t="str">
        <f t="shared" si="42"/>
        <v/>
      </c>
      <c r="H493" s="13" t="str">
        <f t="shared" si="45"/>
        <v/>
      </c>
      <c r="I493" t="str">
        <f>IFERROR(INDEX(Analysis!$D$116:$N$137, MATCH(B493, Analysis!$C$116:$C$137, 0), MATCH(C493, Analysis!$D$115:$N$115, 0)), "")</f>
        <v/>
      </c>
      <c r="J493" t="str">
        <f t="shared" si="46"/>
        <v/>
      </c>
      <c r="K493" s="28" t="str">
        <f t="shared" si="43"/>
        <v/>
      </c>
      <c r="L493" s="46" t="str">
        <f t="shared" si="47"/>
        <v/>
      </c>
      <c r="M493" t="str" cm="1">
        <f t="array" ref="M493">IF(L493="","",_xlfn.IFS(
  AND(L493&gt;=TIME(9,0,0), L493&lt;TIME(16,0,0)),"Morning",
  AND(L493&gt;=TIME(16,0,0), L493&lt;TIME(23,59,0)),"Evening",
  L493&gt;=TIME(23,59,0),"Night",
  L493&lt;TIME(9,0,0),"Night"
))</f>
        <v/>
      </c>
      <c r="O493" t="str">
        <f t="shared" si="44"/>
        <v/>
      </c>
    </row>
    <row r="494" spans="1:15" x14ac:dyDescent="0.25">
      <c r="A494" s="49"/>
      <c r="B494" s="50"/>
      <c r="G494" t="str">
        <f t="shared" si="42"/>
        <v/>
      </c>
      <c r="H494" s="13" t="str">
        <f t="shared" si="45"/>
        <v/>
      </c>
      <c r="I494" t="str">
        <f>IFERROR(INDEX(Analysis!$D$116:$N$137, MATCH(B494, Analysis!$C$116:$C$137, 0), MATCH(C494, Analysis!$D$115:$N$115, 0)), "")</f>
        <v/>
      </c>
      <c r="J494" t="str">
        <f t="shared" si="46"/>
        <v/>
      </c>
      <c r="K494" s="28" t="str">
        <f t="shared" si="43"/>
        <v/>
      </c>
      <c r="L494" s="46" t="str">
        <f t="shared" si="47"/>
        <v/>
      </c>
      <c r="M494" t="str" cm="1">
        <f t="array" ref="M494">IF(L494="","",_xlfn.IFS(
  AND(L494&gt;=TIME(9,0,0), L494&lt;TIME(16,0,0)),"Morning",
  AND(L494&gt;=TIME(16,0,0), L494&lt;TIME(23,59,0)),"Evening",
  L494&gt;=TIME(23,59,0),"Night",
  L494&lt;TIME(9,0,0),"Night"
))</f>
        <v/>
      </c>
      <c r="O494" t="str">
        <f t="shared" si="44"/>
        <v/>
      </c>
    </row>
    <row r="495" spans="1:15" x14ac:dyDescent="0.25">
      <c r="A495" s="49"/>
      <c r="B495" s="50"/>
      <c r="G495" t="str">
        <f t="shared" si="42"/>
        <v/>
      </c>
      <c r="H495" s="13" t="str">
        <f t="shared" si="45"/>
        <v/>
      </c>
      <c r="I495" t="str">
        <f>IFERROR(INDEX(Analysis!$D$116:$N$137, MATCH(B495, Analysis!$C$116:$C$137, 0), MATCH(C495, Analysis!$D$115:$N$115, 0)), "")</f>
        <v/>
      </c>
      <c r="J495" t="str">
        <f t="shared" si="46"/>
        <v/>
      </c>
      <c r="K495" s="28" t="str">
        <f t="shared" si="43"/>
        <v/>
      </c>
      <c r="L495" s="46" t="str">
        <f t="shared" si="47"/>
        <v/>
      </c>
      <c r="M495" t="str" cm="1">
        <f t="array" ref="M495">IF(L495="","",_xlfn.IFS(
  AND(L495&gt;=TIME(9,0,0), L495&lt;TIME(16,0,0)),"Morning",
  AND(L495&gt;=TIME(16,0,0), L495&lt;TIME(23,59,0)),"Evening",
  L495&gt;=TIME(23,59,0),"Night",
  L495&lt;TIME(9,0,0),"Night"
))</f>
        <v/>
      </c>
      <c r="O495" t="str">
        <f t="shared" si="44"/>
        <v/>
      </c>
    </row>
    <row r="496" spans="1:15" x14ac:dyDescent="0.25">
      <c r="A496" s="49"/>
      <c r="B496" s="50"/>
      <c r="G496" t="str">
        <f t="shared" si="42"/>
        <v/>
      </c>
      <c r="H496" s="13" t="str">
        <f t="shared" si="45"/>
        <v/>
      </c>
      <c r="I496" t="str">
        <f>IFERROR(INDEX(Analysis!$D$116:$N$137, MATCH(B496, Analysis!$C$116:$C$137, 0), MATCH(C496, Analysis!$D$115:$N$115, 0)), "")</f>
        <v/>
      </c>
      <c r="J496" t="str">
        <f t="shared" si="46"/>
        <v/>
      </c>
      <c r="K496" s="28" t="str">
        <f t="shared" si="43"/>
        <v/>
      </c>
      <c r="L496" s="46" t="str">
        <f t="shared" si="47"/>
        <v/>
      </c>
      <c r="M496" t="str" cm="1">
        <f t="array" ref="M496">IF(L496="","",_xlfn.IFS(
  AND(L496&gt;=TIME(9,0,0), L496&lt;TIME(16,0,0)),"Morning",
  AND(L496&gt;=TIME(16,0,0), L496&lt;TIME(23,59,0)),"Evening",
  L496&gt;=TIME(23,59,0),"Night",
  L496&lt;TIME(9,0,0),"Night"
))</f>
        <v/>
      </c>
      <c r="O496" t="str">
        <f t="shared" si="44"/>
        <v/>
      </c>
    </row>
    <row r="497" spans="1:15" x14ac:dyDescent="0.25">
      <c r="A497" s="49"/>
      <c r="B497" s="50"/>
      <c r="G497" t="str">
        <f t="shared" si="42"/>
        <v/>
      </c>
      <c r="H497" s="13" t="str">
        <f t="shared" si="45"/>
        <v/>
      </c>
      <c r="I497" t="str">
        <f>IFERROR(INDEX(Analysis!$D$116:$N$137, MATCH(B497, Analysis!$C$116:$C$137, 0), MATCH(C497, Analysis!$D$115:$N$115, 0)), "")</f>
        <v/>
      </c>
      <c r="J497" t="str">
        <f t="shared" si="46"/>
        <v/>
      </c>
      <c r="K497" s="28" t="str">
        <f t="shared" si="43"/>
        <v/>
      </c>
      <c r="L497" s="46" t="str">
        <f t="shared" si="47"/>
        <v/>
      </c>
      <c r="M497" t="str" cm="1">
        <f t="array" ref="M497">IF(L497="","",_xlfn.IFS(
  AND(L497&gt;=TIME(9,0,0), L497&lt;TIME(16,0,0)),"Morning",
  AND(L497&gt;=TIME(16,0,0), L497&lt;TIME(23,59,0)),"Evening",
  L497&gt;=TIME(23,59,0),"Night",
  L497&lt;TIME(9,0,0),"Night"
))</f>
        <v/>
      </c>
      <c r="O497" t="str">
        <f t="shared" si="44"/>
        <v/>
      </c>
    </row>
    <row r="498" spans="1:15" x14ac:dyDescent="0.25">
      <c r="A498" s="49"/>
      <c r="B498" s="50"/>
      <c r="G498" t="str">
        <f t="shared" si="42"/>
        <v/>
      </c>
      <c r="H498" s="13" t="str">
        <f t="shared" si="45"/>
        <v/>
      </c>
      <c r="I498" t="str">
        <f>IFERROR(INDEX(Analysis!$D$116:$N$137, MATCH(B498, Analysis!$C$116:$C$137, 0), MATCH(C498, Analysis!$D$115:$N$115, 0)), "")</f>
        <v/>
      </c>
      <c r="J498" t="str">
        <f t="shared" si="46"/>
        <v/>
      </c>
      <c r="K498" s="28" t="str">
        <f t="shared" si="43"/>
        <v/>
      </c>
      <c r="L498" s="46" t="str">
        <f t="shared" si="47"/>
        <v/>
      </c>
      <c r="M498" t="str" cm="1">
        <f t="array" ref="M498">IF(L498="","",_xlfn.IFS(
  AND(L498&gt;=TIME(9,0,0), L498&lt;TIME(16,0,0)),"Morning",
  AND(L498&gt;=TIME(16,0,0), L498&lt;TIME(23,59,0)),"Evening",
  L498&gt;=TIME(23,59,0),"Night",
  L498&lt;TIME(9,0,0),"Night"
))</f>
        <v/>
      </c>
      <c r="O498" t="str">
        <f t="shared" si="44"/>
        <v/>
      </c>
    </row>
    <row r="499" spans="1:15" x14ac:dyDescent="0.25">
      <c r="A499" s="49"/>
      <c r="B499" s="50"/>
      <c r="G499" t="str">
        <f t="shared" si="42"/>
        <v/>
      </c>
      <c r="H499" s="13" t="str">
        <f t="shared" si="45"/>
        <v/>
      </c>
      <c r="I499" t="str">
        <f>IFERROR(INDEX(Analysis!$D$116:$N$137, MATCH(B499, Analysis!$C$116:$C$137, 0), MATCH(C499, Analysis!$D$115:$N$115, 0)), "")</f>
        <v/>
      </c>
      <c r="J499" t="str">
        <f t="shared" si="46"/>
        <v/>
      </c>
      <c r="K499" s="28" t="str">
        <f t="shared" si="43"/>
        <v/>
      </c>
      <c r="L499" s="46" t="str">
        <f t="shared" si="47"/>
        <v/>
      </c>
      <c r="M499" t="str" cm="1">
        <f t="array" ref="M499">IF(L499="","",_xlfn.IFS(
  AND(L499&gt;=TIME(9,0,0), L499&lt;TIME(16,0,0)),"Morning",
  AND(L499&gt;=TIME(16,0,0), L499&lt;TIME(23,59,0)),"Evening",
  L499&gt;=TIME(23,59,0),"Night",
  L499&lt;TIME(9,0,0),"Night"
))</f>
        <v/>
      </c>
      <c r="O499" t="str">
        <f t="shared" si="44"/>
        <v/>
      </c>
    </row>
    <row r="500" spans="1:15" x14ac:dyDescent="0.25">
      <c r="A500" s="49"/>
      <c r="B500" s="50"/>
      <c r="G500" t="str">
        <f t="shared" si="42"/>
        <v/>
      </c>
      <c r="H500" s="13" t="str">
        <f t="shared" si="45"/>
        <v/>
      </c>
      <c r="I500" t="str">
        <f>IFERROR(INDEX(Analysis!$D$116:$N$137, MATCH(B500, Analysis!$C$116:$C$137, 0), MATCH(C500, Analysis!$D$115:$N$115, 0)), "")</f>
        <v/>
      </c>
      <c r="J500" t="str">
        <f t="shared" si="46"/>
        <v/>
      </c>
      <c r="K500" s="28" t="str">
        <f t="shared" si="43"/>
        <v/>
      </c>
      <c r="L500" s="46" t="str">
        <f t="shared" si="47"/>
        <v/>
      </c>
      <c r="M500" t="str" cm="1">
        <f t="array" ref="M500">IF(L500="","",_xlfn.IFS(
  AND(L500&gt;=TIME(9,0,0), L500&lt;TIME(16,0,0)),"Morning",
  AND(L500&gt;=TIME(16,0,0), L500&lt;TIME(23,59,0)),"Evening",
  L500&gt;=TIME(23,59,0),"Night",
  L500&lt;TIME(9,0,0),"Night"
))</f>
        <v/>
      </c>
      <c r="O500" t="str">
        <f t="shared" si="44"/>
        <v/>
      </c>
    </row>
    <row r="501" spans="1:15" x14ac:dyDescent="0.25">
      <c r="A501" s="49"/>
      <c r="B501" s="50"/>
      <c r="G501" t="str">
        <f t="shared" si="42"/>
        <v/>
      </c>
      <c r="H501" s="13" t="str">
        <f t="shared" si="45"/>
        <v/>
      </c>
      <c r="I501" t="str">
        <f>IFERROR(INDEX(Analysis!$D$116:$N$137, MATCH(B501, Analysis!$C$116:$C$137, 0), MATCH(C501, Analysis!$D$115:$N$115, 0)), "")</f>
        <v/>
      </c>
      <c r="J501" t="str">
        <f t="shared" si="46"/>
        <v/>
      </c>
      <c r="K501" s="28" t="str">
        <f t="shared" si="43"/>
        <v/>
      </c>
      <c r="L501" s="46" t="str">
        <f t="shared" si="47"/>
        <v/>
      </c>
      <c r="M501" t="str" cm="1">
        <f t="array" ref="M501">IF(L501="","",_xlfn.IFS(
  AND(L501&gt;=TIME(9,0,0), L501&lt;TIME(16,0,0)),"Morning",
  AND(L501&gt;=TIME(16,0,0), L501&lt;TIME(23,59,0)),"Evening",
  L501&gt;=TIME(23,59,0),"Night",
  L501&lt;TIME(9,0,0),"Night"
))</f>
        <v/>
      </c>
      <c r="O501" t="str">
        <f t="shared" si="44"/>
        <v/>
      </c>
    </row>
    <row r="502" spans="1:15" x14ac:dyDescent="0.25">
      <c r="A502" s="49"/>
      <c r="B502" s="50"/>
      <c r="G502" t="str">
        <f t="shared" si="42"/>
        <v/>
      </c>
      <c r="H502" s="13" t="str">
        <f t="shared" si="45"/>
        <v/>
      </c>
      <c r="I502" t="str">
        <f>IFERROR(INDEX(Analysis!$D$116:$N$137, MATCH(B502, Analysis!$C$116:$C$137, 0), MATCH(C502, Analysis!$D$115:$N$115, 0)), "")</f>
        <v/>
      </c>
      <c r="J502" t="str">
        <f t="shared" si="46"/>
        <v/>
      </c>
      <c r="K502" s="28" t="str">
        <f t="shared" si="43"/>
        <v/>
      </c>
      <c r="L502" s="46" t="str">
        <f t="shared" si="47"/>
        <v/>
      </c>
      <c r="M502" t="str" cm="1">
        <f t="array" ref="M502">IF(L502="","",_xlfn.IFS(
  AND(L502&gt;=TIME(9,0,0), L502&lt;TIME(16,0,0)),"Morning",
  AND(L502&gt;=TIME(16,0,0), L502&lt;TIME(23,59,0)),"Evening",
  L502&gt;=TIME(23,59,0),"Night",
  L502&lt;TIME(9,0,0),"Night"
))</f>
        <v/>
      </c>
      <c r="O502" t="str">
        <f t="shared" si="44"/>
        <v/>
      </c>
    </row>
    <row r="503" spans="1:15" x14ac:dyDescent="0.25">
      <c r="A503" s="49"/>
      <c r="B503" s="50"/>
      <c r="G503" t="str">
        <f t="shared" si="42"/>
        <v/>
      </c>
      <c r="H503" s="13" t="str">
        <f t="shared" si="45"/>
        <v/>
      </c>
      <c r="I503" t="str">
        <f>IFERROR(INDEX(Analysis!$D$116:$N$137, MATCH(B503, Analysis!$C$116:$C$137, 0), MATCH(C503, Analysis!$D$115:$N$115, 0)), "")</f>
        <v/>
      </c>
      <c r="J503" t="str">
        <f t="shared" si="46"/>
        <v/>
      </c>
      <c r="K503" s="28" t="str">
        <f t="shared" si="43"/>
        <v/>
      </c>
      <c r="L503" s="46" t="str">
        <f t="shared" si="47"/>
        <v/>
      </c>
      <c r="M503" t="str" cm="1">
        <f t="array" ref="M503">IF(L503="","",_xlfn.IFS(
  AND(L503&gt;=TIME(9,0,0), L503&lt;TIME(16,0,0)),"Morning",
  AND(L503&gt;=TIME(16,0,0), L503&lt;TIME(23,59,0)),"Evening",
  L503&gt;=TIME(23,59,0),"Night",
  L503&lt;TIME(9,0,0),"Night"
))</f>
        <v/>
      </c>
      <c r="O503" t="str">
        <f t="shared" si="44"/>
        <v/>
      </c>
    </row>
    <row r="504" spans="1:15" x14ac:dyDescent="0.25">
      <c r="A504" s="49"/>
      <c r="B504" s="50"/>
      <c r="G504" t="str">
        <f t="shared" si="42"/>
        <v/>
      </c>
      <c r="H504" s="13" t="str">
        <f t="shared" si="45"/>
        <v/>
      </c>
      <c r="I504" t="str">
        <f>IFERROR(INDEX(Analysis!$D$116:$N$137, MATCH(B504, Analysis!$C$116:$C$137, 0), MATCH(C504, Analysis!$D$115:$N$115, 0)), "")</f>
        <v/>
      </c>
      <c r="J504" t="str">
        <f t="shared" si="46"/>
        <v/>
      </c>
      <c r="K504" s="28" t="str">
        <f t="shared" si="43"/>
        <v/>
      </c>
      <c r="L504" s="46" t="str">
        <f t="shared" si="47"/>
        <v/>
      </c>
      <c r="M504" t="str" cm="1">
        <f t="array" ref="M504">IF(L504="","",_xlfn.IFS(
  AND(L504&gt;=TIME(9,0,0), L504&lt;TIME(16,0,0)),"Morning",
  AND(L504&gt;=TIME(16,0,0), L504&lt;TIME(23,59,0)),"Evening",
  L504&gt;=TIME(23,59,0),"Night",
  L504&lt;TIME(9,0,0),"Night"
))</f>
        <v/>
      </c>
      <c r="O504" t="str">
        <f t="shared" si="44"/>
        <v/>
      </c>
    </row>
    <row r="505" spans="1:15" x14ac:dyDescent="0.25">
      <c r="A505" s="49"/>
      <c r="B505" s="50"/>
      <c r="G505" t="str">
        <f t="shared" si="42"/>
        <v/>
      </c>
      <c r="H505" s="13" t="str">
        <f t="shared" si="45"/>
        <v/>
      </c>
      <c r="I505" t="str">
        <f>IFERROR(INDEX(Analysis!$D$116:$N$137, MATCH(B505, Analysis!$C$116:$C$137, 0), MATCH(C505, Analysis!$D$115:$N$115, 0)), "")</f>
        <v/>
      </c>
      <c r="J505" t="str">
        <f t="shared" si="46"/>
        <v/>
      </c>
      <c r="K505" s="28" t="str">
        <f t="shared" si="43"/>
        <v/>
      </c>
      <c r="L505" s="46" t="str">
        <f t="shared" si="47"/>
        <v/>
      </c>
      <c r="M505" t="str" cm="1">
        <f t="array" ref="M505">IF(L505="","",_xlfn.IFS(
  AND(L505&gt;=TIME(9,0,0), L505&lt;TIME(16,0,0)),"Morning",
  AND(L505&gt;=TIME(16,0,0), L505&lt;TIME(23,59,0)),"Evening",
  L505&gt;=TIME(23,59,0),"Night",
  L505&lt;TIME(9,0,0),"Night"
))</f>
        <v/>
      </c>
      <c r="O505" t="str">
        <f t="shared" si="44"/>
        <v/>
      </c>
    </row>
    <row r="506" spans="1:15" x14ac:dyDescent="0.25">
      <c r="A506" s="49"/>
      <c r="B506" s="50"/>
      <c r="G506" t="str">
        <f t="shared" si="42"/>
        <v/>
      </c>
      <c r="H506" s="13" t="str">
        <f t="shared" si="45"/>
        <v/>
      </c>
      <c r="I506" t="str">
        <f>IFERROR(INDEX(Analysis!$D$116:$N$137, MATCH(B506, Analysis!$C$116:$C$137, 0), MATCH(C506, Analysis!$D$115:$N$115, 0)), "")</f>
        <v/>
      </c>
      <c r="J506" t="str">
        <f t="shared" si="46"/>
        <v/>
      </c>
      <c r="K506" s="28" t="str">
        <f t="shared" si="43"/>
        <v/>
      </c>
      <c r="L506" s="46" t="str">
        <f t="shared" si="47"/>
        <v/>
      </c>
      <c r="M506" t="str" cm="1">
        <f t="array" ref="M506">IF(L506="","",_xlfn.IFS(
  AND(L506&gt;=TIME(9,0,0), L506&lt;TIME(16,0,0)),"Morning",
  AND(L506&gt;=TIME(16,0,0), L506&lt;TIME(23,59,0)),"Evening",
  L506&gt;=TIME(23,59,0),"Night",
  L506&lt;TIME(9,0,0),"Night"
))</f>
        <v/>
      </c>
      <c r="O506" t="str">
        <f t="shared" si="44"/>
        <v/>
      </c>
    </row>
    <row r="507" spans="1:15" x14ac:dyDescent="0.25">
      <c r="A507" s="49"/>
      <c r="B507" s="50"/>
      <c r="G507" t="str">
        <f t="shared" si="42"/>
        <v/>
      </c>
      <c r="H507" s="13" t="str">
        <f t="shared" si="45"/>
        <v/>
      </c>
      <c r="I507" t="str">
        <f>IFERROR(INDEX(Analysis!$D$116:$N$137, MATCH(B507, Analysis!$C$116:$C$137, 0), MATCH(C507, Analysis!$D$115:$N$115, 0)), "")</f>
        <v/>
      </c>
      <c r="J507" t="str">
        <f t="shared" si="46"/>
        <v/>
      </c>
      <c r="K507" s="28" t="str">
        <f t="shared" si="43"/>
        <v/>
      </c>
      <c r="L507" s="46" t="str">
        <f t="shared" si="47"/>
        <v/>
      </c>
      <c r="M507" t="str" cm="1">
        <f t="array" ref="M507">IF(L507="","",_xlfn.IFS(
  AND(L507&gt;=TIME(9,0,0), L507&lt;TIME(16,0,0)),"Morning",
  AND(L507&gt;=TIME(16,0,0), L507&lt;TIME(23,59,0)),"Evening",
  L507&gt;=TIME(23,59,0),"Night",
  L507&lt;TIME(9,0,0),"Night"
))</f>
        <v/>
      </c>
      <c r="O507" t="str">
        <f t="shared" si="44"/>
        <v/>
      </c>
    </row>
    <row r="508" spans="1:15" x14ac:dyDescent="0.25">
      <c r="A508" s="49"/>
      <c r="B508" s="50"/>
      <c r="G508" t="str">
        <f t="shared" si="42"/>
        <v/>
      </c>
      <c r="H508" s="13" t="str">
        <f t="shared" si="45"/>
        <v/>
      </c>
      <c r="I508" t="str">
        <f>IFERROR(INDEX(Analysis!$D$116:$N$137, MATCH(B508, Analysis!$C$116:$C$137, 0), MATCH(C508, Analysis!$D$115:$N$115, 0)), "")</f>
        <v/>
      </c>
      <c r="J508" t="str">
        <f t="shared" si="46"/>
        <v/>
      </c>
      <c r="K508" s="28" t="str">
        <f t="shared" si="43"/>
        <v/>
      </c>
      <c r="L508" s="46" t="str">
        <f t="shared" si="47"/>
        <v/>
      </c>
      <c r="M508" t="str" cm="1">
        <f t="array" ref="M508">IF(L508="","",_xlfn.IFS(
  AND(L508&gt;=TIME(9,0,0), L508&lt;TIME(16,0,0)),"Morning",
  AND(L508&gt;=TIME(16,0,0), L508&lt;TIME(23,59,0)),"Evening",
  L508&gt;=TIME(23,59,0),"Night",
  L508&lt;TIME(9,0,0),"Night"
))</f>
        <v/>
      </c>
      <c r="O508" t="str">
        <f t="shared" si="44"/>
        <v/>
      </c>
    </row>
    <row r="509" spans="1:15" x14ac:dyDescent="0.25">
      <c r="A509" s="49"/>
      <c r="B509" s="50"/>
      <c r="G509" t="str">
        <f t="shared" si="42"/>
        <v/>
      </c>
      <c r="H509" s="13" t="str">
        <f t="shared" si="45"/>
        <v/>
      </c>
      <c r="I509" t="str">
        <f>IFERROR(INDEX(Analysis!$D$116:$N$137, MATCH(B509, Analysis!$C$116:$C$137, 0), MATCH(C509, Analysis!$D$115:$N$115, 0)), "")</f>
        <v/>
      </c>
      <c r="J509" t="str">
        <f t="shared" si="46"/>
        <v/>
      </c>
      <c r="K509" s="28" t="str">
        <f t="shared" si="43"/>
        <v/>
      </c>
      <c r="L509" s="46" t="str">
        <f t="shared" si="47"/>
        <v/>
      </c>
      <c r="M509" t="str" cm="1">
        <f t="array" ref="M509">IF(L509="","",_xlfn.IFS(
  AND(L509&gt;=TIME(9,0,0), L509&lt;TIME(16,0,0)),"Morning",
  AND(L509&gt;=TIME(16,0,0), L509&lt;TIME(23,59,0)),"Evening",
  L509&gt;=TIME(23,59,0),"Night",
  L509&lt;TIME(9,0,0),"Night"
))</f>
        <v/>
      </c>
      <c r="O509" t="str">
        <f t="shared" si="44"/>
        <v/>
      </c>
    </row>
    <row r="510" spans="1:15" x14ac:dyDescent="0.25">
      <c r="A510" s="49"/>
      <c r="B510" s="50"/>
      <c r="G510" t="str">
        <f t="shared" si="42"/>
        <v/>
      </c>
      <c r="H510" s="13" t="str">
        <f t="shared" si="45"/>
        <v/>
      </c>
      <c r="I510" t="str">
        <f>IFERROR(INDEX(Analysis!$D$116:$N$137, MATCH(B510, Analysis!$C$116:$C$137, 0), MATCH(C510, Analysis!$D$115:$N$115, 0)), "")</f>
        <v/>
      </c>
      <c r="J510" t="str">
        <f t="shared" si="46"/>
        <v/>
      </c>
      <c r="K510" s="28" t="str">
        <f t="shared" si="43"/>
        <v/>
      </c>
      <c r="L510" s="46" t="str">
        <f t="shared" si="47"/>
        <v/>
      </c>
      <c r="M510" t="str" cm="1">
        <f t="array" ref="M510">IF(L510="","",_xlfn.IFS(
  AND(L510&gt;=TIME(9,0,0), L510&lt;TIME(16,0,0)),"Morning",
  AND(L510&gt;=TIME(16,0,0), L510&lt;TIME(23,59,0)),"Evening",
  L510&gt;=TIME(23,59,0),"Night",
  L510&lt;TIME(9,0,0),"Night"
))</f>
        <v/>
      </c>
      <c r="O510" t="str">
        <f t="shared" si="44"/>
        <v/>
      </c>
    </row>
    <row r="511" spans="1:15" x14ac:dyDescent="0.25">
      <c r="A511" s="49"/>
      <c r="B511" s="50"/>
      <c r="G511" t="str">
        <f t="shared" si="42"/>
        <v/>
      </c>
      <c r="H511" s="13" t="str">
        <f t="shared" si="45"/>
        <v/>
      </c>
      <c r="I511" t="str">
        <f>IFERROR(INDEX(Analysis!$D$116:$N$137, MATCH(B511, Analysis!$C$116:$C$137, 0), MATCH(C511, Analysis!$D$115:$N$115, 0)), "")</f>
        <v/>
      </c>
      <c r="J511" t="str">
        <f t="shared" si="46"/>
        <v/>
      </c>
      <c r="K511" s="28" t="str">
        <f t="shared" si="43"/>
        <v/>
      </c>
      <c r="L511" s="46" t="str">
        <f t="shared" si="47"/>
        <v/>
      </c>
      <c r="M511" t="str" cm="1">
        <f t="array" ref="M511">IF(L511="","",_xlfn.IFS(
  AND(L511&gt;=TIME(9,0,0), L511&lt;TIME(16,0,0)),"Morning",
  AND(L511&gt;=TIME(16,0,0), L511&lt;TIME(23,59,0)),"Evening",
  L511&gt;=TIME(23,59,0),"Night",
  L511&lt;TIME(9,0,0),"Night"
))</f>
        <v/>
      </c>
      <c r="O511" t="str">
        <f t="shared" si="44"/>
        <v/>
      </c>
    </row>
    <row r="512" spans="1:15" x14ac:dyDescent="0.25">
      <c r="A512" s="49"/>
      <c r="B512" s="50"/>
      <c r="G512" t="str">
        <f t="shared" si="42"/>
        <v/>
      </c>
      <c r="H512" s="13" t="str">
        <f t="shared" si="45"/>
        <v/>
      </c>
      <c r="I512" t="str">
        <f>IFERROR(INDEX(Analysis!$D$116:$N$137, MATCH(B512, Analysis!$C$116:$C$137, 0), MATCH(C512, Analysis!$D$115:$N$115, 0)), "")</f>
        <v/>
      </c>
      <c r="J512" t="str">
        <f t="shared" si="46"/>
        <v/>
      </c>
      <c r="K512" s="28" t="str">
        <f t="shared" si="43"/>
        <v/>
      </c>
      <c r="L512" s="46" t="str">
        <f t="shared" si="47"/>
        <v/>
      </c>
      <c r="M512" t="str" cm="1">
        <f t="array" ref="M512">IF(L512="","",_xlfn.IFS(
  AND(L512&gt;=TIME(9,0,0), L512&lt;TIME(16,0,0)),"Morning",
  AND(L512&gt;=TIME(16,0,0), L512&lt;TIME(23,59,0)),"Evening",
  L512&gt;=TIME(23,59,0),"Night",
  L512&lt;TIME(9,0,0),"Night"
))</f>
        <v/>
      </c>
      <c r="O512" t="str">
        <f t="shared" si="44"/>
        <v/>
      </c>
    </row>
    <row r="513" spans="1:15" x14ac:dyDescent="0.25">
      <c r="A513" s="49"/>
      <c r="B513" s="50"/>
      <c r="G513" t="str">
        <f t="shared" si="42"/>
        <v/>
      </c>
      <c r="H513" s="13" t="str">
        <f t="shared" si="45"/>
        <v/>
      </c>
      <c r="I513" t="str">
        <f>IFERROR(INDEX(Analysis!$D$116:$N$137, MATCH(B513, Analysis!$C$116:$C$137, 0), MATCH(C513, Analysis!$D$115:$N$115, 0)), "")</f>
        <v/>
      </c>
      <c r="J513" t="str">
        <f t="shared" si="46"/>
        <v/>
      </c>
      <c r="K513" s="28" t="str">
        <f t="shared" si="43"/>
        <v/>
      </c>
      <c r="L513" s="46" t="str">
        <f t="shared" si="47"/>
        <v/>
      </c>
      <c r="M513" t="str" cm="1">
        <f t="array" ref="M513">IF(L513="","",_xlfn.IFS(
  AND(L513&gt;=TIME(9,0,0), L513&lt;TIME(16,0,0)),"Morning",
  AND(L513&gt;=TIME(16,0,0), L513&lt;TIME(23,59,0)),"Evening",
  L513&gt;=TIME(23,59,0),"Night",
  L513&lt;TIME(9,0,0),"Night"
))</f>
        <v/>
      </c>
      <c r="O513" t="str">
        <f t="shared" si="44"/>
        <v/>
      </c>
    </row>
    <row r="514" spans="1:15" x14ac:dyDescent="0.25">
      <c r="A514" s="49"/>
      <c r="B514" s="50"/>
      <c r="G514" t="str">
        <f t="shared" ref="G514:G577" si="48">IF(ISBLANK(A514), "", IF(ISBLANK(F514), 0, F514))</f>
        <v/>
      </c>
      <c r="H514" s="13" t="str">
        <f t="shared" si="45"/>
        <v/>
      </c>
      <c r="I514" t="str">
        <f>IFERROR(INDEX(Analysis!$D$116:$N$137, MATCH(B514, Analysis!$C$116:$C$137, 0), MATCH(C514, Analysis!$D$115:$N$115, 0)), "")</f>
        <v/>
      </c>
      <c r="J514" t="str">
        <f t="shared" si="46"/>
        <v/>
      </c>
      <c r="K514" s="28" t="str">
        <f t="shared" ref="K514:K577" si="49">IF(ISBLANK(A514),"",DATE(YEAR(A514),MONTH(A514),DAY(A514)))</f>
        <v/>
      </c>
      <c r="L514" s="46" t="str">
        <f t="shared" si="47"/>
        <v/>
      </c>
      <c r="M514" t="str" cm="1">
        <f t="array" ref="M514">IF(L514="","",_xlfn.IFS(
  AND(L514&gt;=TIME(9,0,0), L514&lt;TIME(16,0,0)),"Morning",
  AND(L514&gt;=TIME(16,0,0), L514&lt;TIME(23,59,0)),"Evening",
  L514&gt;=TIME(23,59,0),"Night",
  L514&lt;TIME(9,0,0),"Night"
))</f>
        <v/>
      </c>
      <c r="O514" t="str">
        <f t="shared" ref="O514:O577" si="50">IF(N514="ON", _xlfn.IMAGE(E514, 1), "")</f>
        <v/>
      </c>
    </row>
    <row r="515" spans="1:15" x14ac:dyDescent="0.25">
      <c r="A515" s="49"/>
      <c r="B515" s="50"/>
      <c r="G515" t="str">
        <f t="shared" si="48"/>
        <v/>
      </c>
      <c r="H515" s="13" t="str">
        <f t="shared" ref="H515:H578" si="51">IF(ISBLANK(E515),"",HYPERLINK(E515,"Click here"))</f>
        <v/>
      </c>
      <c r="I515" t="str">
        <f>IFERROR(INDEX(Analysis!$D$116:$N$137, MATCH(B515, Analysis!$C$116:$C$137, 0), MATCH(C515, Analysis!$D$115:$N$115, 0)), "")</f>
        <v/>
      </c>
      <c r="J515" t="str">
        <f t="shared" ref="J515:J578" si="52">IF(ISBLANK(A515),"",WEEKNUM(A515))</f>
        <v/>
      </c>
      <c r="K515" s="28" t="str">
        <f t="shared" si="49"/>
        <v/>
      </c>
      <c r="L515" s="46" t="str">
        <f t="shared" ref="L515:L578" si="53">IF(A515="", "", A515 - INT(A515))</f>
        <v/>
      </c>
      <c r="M515" t="str" cm="1">
        <f t="array" ref="M515">IF(L515="","",_xlfn.IFS(
  AND(L515&gt;=TIME(9,0,0), L515&lt;TIME(16,0,0)),"Morning",
  AND(L515&gt;=TIME(16,0,0), L515&lt;TIME(23,59,0)),"Evening",
  L515&gt;=TIME(23,59,0),"Night",
  L515&lt;TIME(9,0,0),"Night"
))</f>
        <v/>
      </c>
      <c r="O515" t="str">
        <f t="shared" si="50"/>
        <v/>
      </c>
    </row>
    <row r="516" spans="1:15" x14ac:dyDescent="0.25">
      <c r="A516" s="49"/>
      <c r="B516" s="50"/>
      <c r="G516" t="str">
        <f t="shared" si="48"/>
        <v/>
      </c>
      <c r="H516" s="13" t="str">
        <f t="shared" si="51"/>
        <v/>
      </c>
      <c r="I516" t="str">
        <f>IFERROR(INDEX(Analysis!$D$116:$N$137, MATCH(B516, Analysis!$C$116:$C$137, 0), MATCH(C516, Analysis!$D$115:$N$115, 0)), "")</f>
        <v/>
      </c>
      <c r="J516" t="str">
        <f t="shared" si="52"/>
        <v/>
      </c>
      <c r="K516" s="28" t="str">
        <f t="shared" si="49"/>
        <v/>
      </c>
      <c r="L516" s="46" t="str">
        <f t="shared" si="53"/>
        <v/>
      </c>
      <c r="M516" t="str" cm="1">
        <f t="array" ref="M516">IF(L516="","",_xlfn.IFS(
  AND(L516&gt;=TIME(9,0,0), L516&lt;TIME(16,0,0)),"Morning",
  AND(L516&gt;=TIME(16,0,0), L516&lt;TIME(23,59,0)),"Evening",
  L516&gt;=TIME(23,59,0),"Night",
  L516&lt;TIME(9,0,0),"Night"
))</f>
        <v/>
      </c>
      <c r="O516" t="str">
        <f t="shared" si="50"/>
        <v/>
      </c>
    </row>
    <row r="517" spans="1:15" x14ac:dyDescent="0.25">
      <c r="A517" s="49"/>
      <c r="B517" s="50"/>
      <c r="G517" t="str">
        <f t="shared" si="48"/>
        <v/>
      </c>
      <c r="H517" s="13" t="str">
        <f t="shared" si="51"/>
        <v/>
      </c>
      <c r="I517" t="str">
        <f>IFERROR(INDEX(Analysis!$D$116:$N$137, MATCH(B517, Analysis!$C$116:$C$137, 0), MATCH(C517, Analysis!$D$115:$N$115, 0)), "")</f>
        <v/>
      </c>
      <c r="J517" t="str">
        <f t="shared" si="52"/>
        <v/>
      </c>
      <c r="K517" s="28" t="str">
        <f t="shared" si="49"/>
        <v/>
      </c>
      <c r="L517" s="46" t="str">
        <f t="shared" si="53"/>
        <v/>
      </c>
      <c r="M517" t="str" cm="1">
        <f t="array" ref="M517">IF(L517="","",_xlfn.IFS(
  AND(L517&gt;=TIME(9,0,0), L517&lt;TIME(16,0,0)),"Morning",
  AND(L517&gt;=TIME(16,0,0), L517&lt;TIME(23,59,0)),"Evening",
  L517&gt;=TIME(23,59,0),"Night",
  L517&lt;TIME(9,0,0),"Night"
))</f>
        <v/>
      </c>
      <c r="O517" t="str">
        <f t="shared" si="50"/>
        <v/>
      </c>
    </row>
    <row r="518" spans="1:15" x14ac:dyDescent="0.25">
      <c r="A518" s="49"/>
      <c r="B518" s="50"/>
      <c r="G518" t="str">
        <f t="shared" si="48"/>
        <v/>
      </c>
      <c r="H518" s="13" t="str">
        <f t="shared" si="51"/>
        <v/>
      </c>
      <c r="I518" t="str">
        <f>IFERROR(INDEX(Analysis!$D$116:$N$137, MATCH(B518, Analysis!$C$116:$C$137, 0), MATCH(C518, Analysis!$D$115:$N$115, 0)), "")</f>
        <v/>
      </c>
      <c r="J518" t="str">
        <f t="shared" si="52"/>
        <v/>
      </c>
      <c r="K518" s="28" t="str">
        <f t="shared" si="49"/>
        <v/>
      </c>
      <c r="L518" s="46" t="str">
        <f t="shared" si="53"/>
        <v/>
      </c>
      <c r="M518" t="str" cm="1">
        <f t="array" ref="M518">IF(L518="","",_xlfn.IFS(
  AND(L518&gt;=TIME(9,0,0), L518&lt;TIME(16,0,0)),"Morning",
  AND(L518&gt;=TIME(16,0,0), L518&lt;TIME(23,59,0)),"Evening",
  L518&gt;=TIME(23,59,0),"Night",
  L518&lt;TIME(9,0,0),"Night"
))</f>
        <v/>
      </c>
      <c r="O518" t="str">
        <f t="shared" si="50"/>
        <v/>
      </c>
    </row>
    <row r="519" spans="1:15" x14ac:dyDescent="0.25">
      <c r="A519" s="49"/>
      <c r="B519" s="50"/>
      <c r="G519" t="str">
        <f t="shared" si="48"/>
        <v/>
      </c>
      <c r="H519" s="13" t="str">
        <f t="shared" si="51"/>
        <v/>
      </c>
      <c r="I519" t="str">
        <f>IFERROR(INDEX(Analysis!$D$116:$N$137, MATCH(B519, Analysis!$C$116:$C$137, 0), MATCH(C519, Analysis!$D$115:$N$115, 0)), "")</f>
        <v/>
      </c>
      <c r="J519" t="str">
        <f t="shared" si="52"/>
        <v/>
      </c>
      <c r="K519" s="28" t="str">
        <f t="shared" si="49"/>
        <v/>
      </c>
      <c r="L519" s="46" t="str">
        <f t="shared" si="53"/>
        <v/>
      </c>
      <c r="M519" t="str" cm="1">
        <f t="array" ref="M519">IF(L519="","",_xlfn.IFS(
  AND(L519&gt;=TIME(9,0,0), L519&lt;TIME(16,0,0)),"Morning",
  AND(L519&gt;=TIME(16,0,0), L519&lt;TIME(23,59,0)),"Evening",
  L519&gt;=TIME(23,59,0),"Night",
  L519&lt;TIME(9,0,0),"Night"
))</f>
        <v/>
      </c>
      <c r="O519" t="str">
        <f t="shared" si="50"/>
        <v/>
      </c>
    </row>
    <row r="520" spans="1:15" x14ac:dyDescent="0.25">
      <c r="A520" s="49"/>
      <c r="B520" s="50"/>
      <c r="G520" t="str">
        <f t="shared" si="48"/>
        <v/>
      </c>
      <c r="H520" s="13" t="str">
        <f t="shared" si="51"/>
        <v/>
      </c>
      <c r="I520" t="str">
        <f>IFERROR(INDEX(Analysis!$D$116:$N$137, MATCH(B520, Analysis!$C$116:$C$137, 0), MATCH(C520, Analysis!$D$115:$N$115, 0)), "")</f>
        <v/>
      </c>
      <c r="J520" t="str">
        <f t="shared" si="52"/>
        <v/>
      </c>
      <c r="K520" s="28" t="str">
        <f t="shared" si="49"/>
        <v/>
      </c>
      <c r="L520" s="46" t="str">
        <f t="shared" si="53"/>
        <v/>
      </c>
      <c r="M520" t="str" cm="1">
        <f t="array" ref="M520">IF(L520="","",_xlfn.IFS(
  AND(L520&gt;=TIME(9,0,0), L520&lt;TIME(16,0,0)),"Morning",
  AND(L520&gt;=TIME(16,0,0), L520&lt;TIME(23,59,0)),"Evening",
  L520&gt;=TIME(23,59,0),"Night",
  L520&lt;TIME(9,0,0),"Night"
))</f>
        <v/>
      </c>
      <c r="O520" t="str">
        <f t="shared" si="50"/>
        <v/>
      </c>
    </row>
    <row r="521" spans="1:15" x14ac:dyDescent="0.25">
      <c r="A521" s="49"/>
      <c r="B521" s="50"/>
      <c r="G521" t="str">
        <f t="shared" si="48"/>
        <v/>
      </c>
      <c r="H521" s="13" t="str">
        <f t="shared" si="51"/>
        <v/>
      </c>
      <c r="I521" t="str">
        <f>IFERROR(INDEX(Analysis!$D$116:$N$137, MATCH(B521, Analysis!$C$116:$C$137, 0), MATCH(C521, Analysis!$D$115:$N$115, 0)), "")</f>
        <v/>
      </c>
      <c r="J521" t="str">
        <f t="shared" si="52"/>
        <v/>
      </c>
      <c r="K521" s="28" t="str">
        <f t="shared" si="49"/>
        <v/>
      </c>
      <c r="L521" s="46" t="str">
        <f t="shared" si="53"/>
        <v/>
      </c>
      <c r="M521" t="str" cm="1">
        <f t="array" ref="M521">IF(L521="","",_xlfn.IFS(
  AND(L521&gt;=TIME(9,0,0), L521&lt;TIME(16,0,0)),"Morning",
  AND(L521&gt;=TIME(16,0,0), L521&lt;TIME(23,59,0)),"Evening",
  L521&gt;=TIME(23,59,0),"Night",
  L521&lt;TIME(9,0,0),"Night"
))</f>
        <v/>
      </c>
      <c r="O521" t="str">
        <f t="shared" si="50"/>
        <v/>
      </c>
    </row>
    <row r="522" spans="1:15" x14ac:dyDescent="0.25">
      <c r="A522" s="49"/>
      <c r="B522" s="50"/>
      <c r="G522" t="str">
        <f t="shared" si="48"/>
        <v/>
      </c>
      <c r="H522" s="13" t="str">
        <f t="shared" si="51"/>
        <v/>
      </c>
      <c r="I522" t="str">
        <f>IFERROR(INDEX(Analysis!$D$116:$N$137, MATCH(B522, Analysis!$C$116:$C$137, 0), MATCH(C522, Analysis!$D$115:$N$115, 0)), "")</f>
        <v/>
      </c>
      <c r="J522" t="str">
        <f t="shared" si="52"/>
        <v/>
      </c>
      <c r="K522" s="28" t="str">
        <f t="shared" si="49"/>
        <v/>
      </c>
      <c r="L522" s="46" t="str">
        <f t="shared" si="53"/>
        <v/>
      </c>
      <c r="M522" t="str" cm="1">
        <f t="array" ref="M522">IF(L522="","",_xlfn.IFS(
  AND(L522&gt;=TIME(9,0,0), L522&lt;TIME(16,0,0)),"Morning",
  AND(L522&gt;=TIME(16,0,0), L522&lt;TIME(23,59,0)),"Evening",
  L522&gt;=TIME(23,59,0),"Night",
  L522&lt;TIME(9,0,0),"Night"
))</f>
        <v/>
      </c>
      <c r="O522" t="str">
        <f t="shared" si="50"/>
        <v/>
      </c>
    </row>
    <row r="523" spans="1:15" x14ac:dyDescent="0.25">
      <c r="A523" s="49"/>
      <c r="B523" s="50"/>
      <c r="G523" t="str">
        <f t="shared" si="48"/>
        <v/>
      </c>
      <c r="H523" s="13" t="str">
        <f t="shared" si="51"/>
        <v/>
      </c>
      <c r="I523" t="str">
        <f>IFERROR(INDEX(Analysis!$D$116:$N$137, MATCH(B523, Analysis!$C$116:$C$137, 0), MATCH(C523, Analysis!$D$115:$N$115, 0)), "")</f>
        <v/>
      </c>
      <c r="J523" t="str">
        <f t="shared" si="52"/>
        <v/>
      </c>
      <c r="K523" s="28" t="str">
        <f t="shared" si="49"/>
        <v/>
      </c>
      <c r="L523" s="46" t="str">
        <f t="shared" si="53"/>
        <v/>
      </c>
      <c r="M523" t="str" cm="1">
        <f t="array" ref="M523">IF(L523="","",_xlfn.IFS(
  AND(L523&gt;=TIME(9,0,0), L523&lt;TIME(16,0,0)),"Morning",
  AND(L523&gt;=TIME(16,0,0), L523&lt;TIME(23,59,0)),"Evening",
  L523&gt;=TIME(23,59,0),"Night",
  L523&lt;TIME(9,0,0),"Night"
))</f>
        <v/>
      </c>
      <c r="O523" t="str">
        <f t="shared" si="50"/>
        <v/>
      </c>
    </row>
    <row r="524" spans="1:15" x14ac:dyDescent="0.25">
      <c r="A524" s="49"/>
      <c r="B524" s="50"/>
      <c r="G524" t="str">
        <f t="shared" si="48"/>
        <v/>
      </c>
      <c r="H524" s="13" t="str">
        <f t="shared" si="51"/>
        <v/>
      </c>
      <c r="I524" t="str">
        <f>IFERROR(INDEX(Analysis!$D$116:$N$137, MATCH(B524, Analysis!$C$116:$C$137, 0), MATCH(C524, Analysis!$D$115:$N$115, 0)), "")</f>
        <v/>
      </c>
      <c r="J524" t="str">
        <f t="shared" si="52"/>
        <v/>
      </c>
      <c r="K524" s="28" t="str">
        <f t="shared" si="49"/>
        <v/>
      </c>
      <c r="L524" s="46" t="str">
        <f t="shared" si="53"/>
        <v/>
      </c>
      <c r="M524" t="str" cm="1">
        <f t="array" ref="M524">IF(L524="","",_xlfn.IFS(
  AND(L524&gt;=TIME(9,0,0), L524&lt;TIME(16,0,0)),"Morning",
  AND(L524&gt;=TIME(16,0,0), L524&lt;TIME(23,59,0)),"Evening",
  L524&gt;=TIME(23,59,0),"Night",
  L524&lt;TIME(9,0,0),"Night"
))</f>
        <v/>
      </c>
      <c r="O524" t="str">
        <f t="shared" si="50"/>
        <v/>
      </c>
    </row>
    <row r="525" spans="1:15" x14ac:dyDescent="0.25">
      <c r="A525" s="49"/>
      <c r="B525" s="50"/>
      <c r="G525" t="str">
        <f t="shared" si="48"/>
        <v/>
      </c>
      <c r="H525" s="13" t="str">
        <f t="shared" si="51"/>
        <v/>
      </c>
      <c r="I525" t="str">
        <f>IFERROR(INDEX(Analysis!$D$116:$N$137, MATCH(B525, Analysis!$C$116:$C$137, 0), MATCH(C525, Analysis!$D$115:$N$115, 0)), "")</f>
        <v/>
      </c>
      <c r="J525" t="str">
        <f t="shared" si="52"/>
        <v/>
      </c>
      <c r="K525" s="28" t="str">
        <f t="shared" si="49"/>
        <v/>
      </c>
      <c r="L525" s="46" t="str">
        <f t="shared" si="53"/>
        <v/>
      </c>
      <c r="M525" t="str" cm="1">
        <f t="array" ref="M525">IF(L525="","",_xlfn.IFS(
  AND(L525&gt;=TIME(9,0,0), L525&lt;TIME(16,0,0)),"Morning",
  AND(L525&gt;=TIME(16,0,0), L525&lt;TIME(23,59,0)),"Evening",
  L525&gt;=TIME(23,59,0),"Night",
  L525&lt;TIME(9,0,0),"Night"
))</f>
        <v/>
      </c>
      <c r="O525" t="str">
        <f t="shared" si="50"/>
        <v/>
      </c>
    </row>
    <row r="526" spans="1:15" x14ac:dyDescent="0.25">
      <c r="A526" s="49"/>
      <c r="B526" s="50"/>
      <c r="G526" t="str">
        <f t="shared" si="48"/>
        <v/>
      </c>
      <c r="H526" s="13" t="str">
        <f t="shared" si="51"/>
        <v/>
      </c>
      <c r="I526" t="str">
        <f>IFERROR(INDEX(Analysis!$D$116:$N$137, MATCH(B526, Analysis!$C$116:$C$137, 0), MATCH(C526, Analysis!$D$115:$N$115, 0)), "")</f>
        <v/>
      </c>
      <c r="J526" t="str">
        <f t="shared" si="52"/>
        <v/>
      </c>
      <c r="K526" s="28" t="str">
        <f t="shared" si="49"/>
        <v/>
      </c>
      <c r="L526" s="46" t="str">
        <f t="shared" si="53"/>
        <v/>
      </c>
      <c r="M526" t="str" cm="1">
        <f t="array" ref="M526">IF(L526="","",_xlfn.IFS(
  AND(L526&gt;=TIME(9,0,0), L526&lt;TIME(16,0,0)),"Morning",
  AND(L526&gt;=TIME(16,0,0), L526&lt;TIME(23,59,0)),"Evening",
  L526&gt;=TIME(23,59,0),"Night",
  L526&lt;TIME(9,0,0),"Night"
))</f>
        <v/>
      </c>
      <c r="O526" t="str">
        <f t="shared" si="50"/>
        <v/>
      </c>
    </row>
    <row r="527" spans="1:15" x14ac:dyDescent="0.25">
      <c r="A527" s="49"/>
      <c r="B527" s="50"/>
      <c r="G527" t="str">
        <f t="shared" si="48"/>
        <v/>
      </c>
      <c r="H527" s="13" t="str">
        <f t="shared" si="51"/>
        <v/>
      </c>
      <c r="I527" t="str">
        <f>IFERROR(INDEX(Analysis!$D$116:$N$137, MATCH(B527, Analysis!$C$116:$C$137, 0), MATCH(C527, Analysis!$D$115:$N$115, 0)), "")</f>
        <v/>
      </c>
      <c r="J527" t="str">
        <f t="shared" si="52"/>
        <v/>
      </c>
      <c r="K527" s="28" t="str">
        <f t="shared" si="49"/>
        <v/>
      </c>
      <c r="L527" s="46" t="str">
        <f t="shared" si="53"/>
        <v/>
      </c>
      <c r="M527" t="str" cm="1">
        <f t="array" ref="M527">IF(L527="","",_xlfn.IFS(
  AND(L527&gt;=TIME(9,0,0), L527&lt;TIME(16,0,0)),"Morning",
  AND(L527&gt;=TIME(16,0,0), L527&lt;TIME(23,59,0)),"Evening",
  L527&gt;=TIME(23,59,0),"Night",
  L527&lt;TIME(9,0,0),"Night"
))</f>
        <v/>
      </c>
      <c r="O527" t="str">
        <f t="shared" si="50"/>
        <v/>
      </c>
    </row>
    <row r="528" spans="1:15" x14ac:dyDescent="0.25">
      <c r="A528" s="49"/>
      <c r="B528" s="50"/>
      <c r="G528" t="str">
        <f t="shared" si="48"/>
        <v/>
      </c>
      <c r="H528" s="13" t="str">
        <f t="shared" si="51"/>
        <v/>
      </c>
      <c r="I528" t="str">
        <f>IFERROR(INDEX(Analysis!$D$116:$N$137, MATCH(B528, Analysis!$C$116:$C$137, 0), MATCH(C528, Analysis!$D$115:$N$115, 0)), "")</f>
        <v/>
      </c>
      <c r="J528" t="str">
        <f t="shared" si="52"/>
        <v/>
      </c>
      <c r="K528" s="28" t="str">
        <f t="shared" si="49"/>
        <v/>
      </c>
      <c r="L528" s="46" t="str">
        <f t="shared" si="53"/>
        <v/>
      </c>
      <c r="M528" t="str" cm="1">
        <f t="array" ref="M528">IF(L528="","",_xlfn.IFS(
  AND(L528&gt;=TIME(9,0,0), L528&lt;TIME(16,0,0)),"Morning",
  AND(L528&gt;=TIME(16,0,0), L528&lt;TIME(23,59,0)),"Evening",
  L528&gt;=TIME(23,59,0),"Night",
  L528&lt;TIME(9,0,0),"Night"
))</f>
        <v/>
      </c>
      <c r="O528" t="str">
        <f t="shared" si="50"/>
        <v/>
      </c>
    </row>
    <row r="529" spans="1:15" x14ac:dyDescent="0.25">
      <c r="A529" s="49"/>
      <c r="B529" s="50"/>
      <c r="G529" t="str">
        <f t="shared" si="48"/>
        <v/>
      </c>
      <c r="H529" s="13" t="str">
        <f t="shared" si="51"/>
        <v/>
      </c>
      <c r="I529" t="str">
        <f>IFERROR(INDEX(Analysis!$D$116:$N$137, MATCH(B529, Analysis!$C$116:$C$137, 0), MATCH(C529, Analysis!$D$115:$N$115, 0)), "")</f>
        <v/>
      </c>
      <c r="J529" t="str">
        <f t="shared" si="52"/>
        <v/>
      </c>
      <c r="K529" s="28" t="str">
        <f t="shared" si="49"/>
        <v/>
      </c>
      <c r="L529" s="46" t="str">
        <f t="shared" si="53"/>
        <v/>
      </c>
      <c r="M529" t="str" cm="1">
        <f t="array" ref="M529">IF(L529="","",_xlfn.IFS(
  AND(L529&gt;=TIME(9,0,0), L529&lt;TIME(16,0,0)),"Morning",
  AND(L529&gt;=TIME(16,0,0), L529&lt;TIME(23,59,0)),"Evening",
  L529&gt;=TIME(23,59,0),"Night",
  L529&lt;TIME(9,0,0),"Night"
))</f>
        <v/>
      </c>
      <c r="O529" t="str">
        <f t="shared" si="50"/>
        <v/>
      </c>
    </row>
    <row r="530" spans="1:15" x14ac:dyDescent="0.25">
      <c r="A530" s="49"/>
      <c r="B530" s="50"/>
      <c r="G530" t="str">
        <f t="shared" si="48"/>
        <v/>
      </c>
      <c r="H530" s="13" t="str">
        <f t="shared" si="51"/>
        <v/>
      </c>
      <c r="I530" t="str">
        <f>IFERROR(INDEX(Analysis!$D$116:$N$137, MATCH(B530, Analysis!$C$116:$C$137, 0), MATCH(C530, Analysis!$D$115:$N$115, 0)), "")</f>
        <v/>
      </c>
      <c r="J530" t="str">
        <f t="shared" si="52"/>
        <v/>
      </c>
      <c r="K530" s="28" t="str">
        <f t="shared" si="49"/>
        <v/>
      </c>
      <c r="L530" s="46" t="str">
        <f t="shared" si="53"/>
        <v/>
      </c>
      <c r="M530" t="str" cm="1">
        <f t="array" ref="M530">IF(L530="","",_xlfn.IFS(
  AND(L530&gt;=TIME(9,0,0), L530&lt;TIME(16,0,0)),"Morning",
  AND(L530&gt;=TIME(16,0,0), L530&lt;TIME(23,59,0)),"Evening",
  L530&gt;=TIME(23,59,0),"Night",
  L530&lt;TIME(9,0,0),"Night"
))</f>
        <v/>
      </c>
      <c r="O530" t="str">
        <f t="shared" si="50"/>
        <v/>
      </c>
    </row>
    <row r="531" spans="1:15" x14ac:dyDescent="0.25">
      <c r="A531" s="49"/>
      <c r="B531" s="50"/>
      <c r="G531" t="str">
        <f t="shared" si="48"/>
        <v/>
      </c>
      <c r="H531" s="13" t="str">
        <f t="shared" si="51"/>
        <v/>
      </c>
      <c r="I531" t="str">
        <f>IFERROR(INDEX(Analysis!$D$116:$N$137, MATCH(B531, Analysis!$C$116:$C$137, 0), MATCH(C531, Analysis!$D$115:$N$115, 0)), "")</f>
        <v/>
      </c>
      <c r="J531" t="str">
        <f t="shared" si="52"/>
        <v/>
      </c>
      <c r="K531" s="28" t="str">
        <f t="shared" si="49"/>
        <v/>
      </c>
      <c r="L531" s="46" t="str">
        <f t="shared" si="53"/>
        <v/>
      </c>
      <c r="M531" t="str" cm="1">
        <f t="array" ref="M531">IF(L531="","",_xlfn.IFS(
  AND(L531&gt;=TIME(9,0,0), L531&lt;TIME(16,0,0)),"Morning",
  AND(L531&gt;=TIME(16,0,0), L531&lt;TIME(23,59,0)),"Evening",
  L531&gt;=TIME(23,59,0),"Night",
  L531&lt;TIME(9,0,0),"Night"
))</f>
        <v/>
      </c>
      <c r="O531" t="str">
        <f t="shared" si="50"/>
        <v/>
      </c>
    </row>
    <row r="532" spans="1:15" x14ac:dyDescent="0.25">
      <c r="A532" s="49"/>
      <c r="B532" s="50"/>
      <c r="G532" t="str">
        <f t="shared" si="48"/>
        <v/>
      </c>
      <c r="H532" s="13" t="str">
        <f t="shared" si="51"/>
        <v/>
      </c>
      <c r="I532" t="str">
        <f>IFERROR(INDEX(Analysis!$D$116:$N$137, MATCH(B532, Analysis!$C$116:$C$137, 0), MATCH(C532, Analysis!$D$115:$N$115, 0)), "")</f>
        <v/>
      </c>
      <c r="J532" t="str">
        <f t="shared" si="52"/>
        <v/>
      </c>
      <c r="K532" s="28" t="str">
        <f t="shared" si="49"/>
        <v/>
      </c>
      <c r="L532" s="46" t="str">
        <f t="shared" si="53"/>
        <v/>
      </c>
      <c r="M532" t="str" cm="1">
        <f t="array" ref="M532">IF(L532="","",_xlfn.IFS(
  AND(L532&gt;=TIME(9,0,0), L532&lt;TIME(16,0,0)),"Morning",
  AND(L532&gt;=TIME(16,0,0), L532&lt;TIME(23,59,0)),"Evening",
  L532&gt;=TIME(23,59,0),"Night",
  L532&lt;TIME(9,0,0),"Night"
))</f>
        <v/>
      </c>
      <c r="O532" t="str">
        <f t="shared" si="50"/>
        <v/>
      </c>
    </row>
    <row r="533" spans="1:15" x14ac:dyDescent="0.25">
      <c r="A533" s="49"/>
      <c r="B533" s="50"/>
      <c r="G533" t="str">
        <f t="shared" si="48"/>
        <v/>
      </c>
      <c r="H533" s="13" t="str">
        <f t="shared" si="51"/>
        <v/>
      </c>
      <c r="I533" t="str">
        <f>IFERROR(INDEX(Analysis!$D$116:$N$137, MATCH(B533, Analysis!$C$116:$C$137, 0), MATCH(C533, Analysis!$D$115:$N$115, 0)), "")</f>
        <v/>
      </c>
      <c r="J533" t="str">
        <f t="shared" si="52"/>
        <v/>
      </c>
      <c r="K533" s="28" t="str">
        <f t="shared" si="49"/>
        <v/>
      </c>
      <c r="L533" s="46" t="str">
        <f t="shared" si="53"/>
        <v/>
      </c>
      <c r="M533" t="str" cm="1">
        <f t="array" ref="M533">IF(L533="","",_xlfn.IFS(
  AND(L533&gt;=TIME(9,0,0), L533&lt;TIME(16,0,0)),"Morning",
  AND(L533&gt;=TIME(16,0,0), L533&lt;TIME(23,59,0)),"Evening",
  L533&gt;=TIME(23,59,0),"Night",
  L533&lt;TIME(9,0,0),"Night"
))</f>
        <v/>
      </c>
      <c r="O533" t="str">
        <f t="shared" si="50"/>
        <v/>
      </c>
    </row>
    <row r="534" spans="1:15" x14ac:dyDescent="0.25">
      <c r="A534" s="49"/>
      <c r="B534" s="50"/>
      <c r="G534" t="str">
        <f t="shared" si="48"/>
        <v/>
      </c>
      <c r="H534" s="13" t="str">
        <f t="shared" si="51"/>
        <v/>
      </c>
      <c r="I534" t="str">
        <f>IFERROR(INDEX(Analysis!$D$116:$N$137, MATCH(B534, Analysis!$C$116:$C$137, 0), MATCH(C534, Analysis!$D$115:$N$115, 0)), "")</f>
        <v/>
      </c>
      <c r="J534" t="str">
        <f t="shared" si="52"/>
        <v/>
      </c>
      <c r="K534" s="28" t="str">
        <f t="shared" si="49"/>
        <v/>
      </c>
      <c r="L534" s="46" t="str">
        <f t="shared" si="53"/>
        <v/>
      </c>
      <c r="M534" t="str" cm="1">
        <f t="array" ref="M534">IF(L534="","",_xlfn.IFS(
  AND(L534&gt;=TIME(9,0,0), L534&lt;TIME(16,0,0)),"Morning",
  AND(L534&gt;=TIME(16,0,0), L534&lt;TIME(23,59,0)),"Evening",
  L534&gt;=TIME(23,59,0),"Night",
  L534&lt;TIME(9,0,0),"Night"
))</f>
        <v/>
      </c>
      <c r="O534" t="str">
        <f t="shared" si="50"/>
        <v/>
      </c>
    </row>
    <row r="535" spans="1:15" x14ac:dyDescent="0.25">
      <c r="A535" s="49"/>
      <c r="B535" s="50"/>
      <c r="G535" t="str">
        <f t="shared" si="48"/>
        <v/>
      </c>
      <c r="H535" s="13" t="str">
        <f t="shared" si="51"/>
        <v/>
      </c>
      <c r="I535" t="str">
        <f>IFERROR(INDEX(Analysis!$D$116:$N$137, MATCH(B535, Analysis!$C$116:$C$137, 0), MATCH(C535, Analysis!$D$115:$N$115, 0)), "")</f>
        <v/>
      </c>
      <c r="J535" t="str">
        <f t="shared" si="52"/>
        <v/>
      </c>
      <c r="K535" s="28" t="str">
        <f t="shared" si="49"/>
        <v/>
      </c>
      <c r="L535" s="46" t="str">
        <f t="shared" si="53"/>
        <v/>
      </c>
      <c r="M535" t="str" cm="1">
        <f t="array" ref="M535">IF(L535="","",_xlfn.IFS(
  AND(L535&gt;=TIME(9,0,0), L535&lt;TIME(16,0,0)),"Morning",
  AND(L535&gt;=TIME(16,0,0), L535&lt;TIME(23,59,0)),"Evening",
  L535&gt;=TIME(23,59,0),"Night",
  L535&lt;TIME(9,0,0),"Night"
))</f>
        <v/>
      </c>
      <c r="O535" t="str">
        <f t="shared" si="50"/>
        <v/>
      </c>
    </row>
    <row r="536" spans="1:15" x14ac:dyDescent="0.25">
      <c r="A536" s="49"/>
      <c r="B536" s="50"/>
      <c r="G536" t="str">
        <f t="shared" si="48"/>
        <v/>
      </c>
      <c r="H536" s="13" t="str">
        <f t="shared" si="51"/>
        <v/>
      </c>
      <c r="I536" t="str">
        <f>IFERROR(INDEX(Analysis!$D$116:$N$137, MATCH(B536, Analysis!$C$116:$C$137, 0), MATCH(C536, Analysis!$D$115:$N$115, 0)), "")</f>
        <v/>
      </c>
      <c r="J536" t="str">
        <f t="shared" si="52"/>
        <v/>
      </c>
      <c r="K536" s="28" t="str">
        <f t="shared" si="49"/>
        <v/>
      </c>
      <c r="L536" s="46" t="str">
        <f t="shared" si="53"/>
        <v/>
      </c>
      <c r="M536" t="str" cm="1">
        <f t="array" ref="M536">IF(L536="","",_xlfn.IFS(
  AND(L536&gt;=TIME(9,0,0), L536&lt;TIME(16,0,0)),"Morning",
  AND(L536&gt;=TIME(16,0,0), L536&lt;TIME(23,59,0)),"Evening",
  L536&gt;=TIME(23,59,0),"Night",
  L536&lt;TIME(9,0,0),"Night"
))</f>
        <v/>
      </c>
      <c r="O536" t="str">
        <f t="shared" si="50"/>
        <v/>
      </c>
    </row>
    <row r="537" spans="1:15" x14ac:dyDescent="0.25">
      <c r="A537" s="49"/>
      <c r="B537" s="50"/>
      <c r="G537" t="str">
        <f t="shared" si="48"/>
        <v/>
      </c>
      <c r="H537" s="13" t="str">
        <f t="shared" si="51"/>
        <v/>
      </c>
      <c r="I537" t="str">
        <f>IFERROR(INDEX(Analysis!$D$116:$N$137, MATCH(B537, Analysis!$C$116:$C$137, 0), MATCH(C537, Analysis!$D$115:$N$115, 0)), "")</f>
        <v/>
      </c>
      <c r="J537" t="str">
        <f t="shared" si="52"/>
        <v/>
      </c>
      <c r="K537" s="28" t="str">
        <f t="shared" si="49"/>
        <v/>
      </c>
      <c r="L537" s="46" t="str">
        <f t="shared" si="53"/>
        <v/>
      </c>
      <c r="M537" t="str" cm="1">
        <f t="array" ref="M537">IF(L537="","",_xlfn.IFS(
  AND(L537&gt;=TIME(9,0,0), L537&lt;TIME(16,0,0)),"Morning",
  AND(L537&gt;=TIME(16,0,0), L537&lt;TIME(23,59,0)),"Evening",
  L537&gt;=TIME(23,59,0),"Night",
  L537&lt;TIME(9,0,0),"Night"
))</f>
        <v/>
      </c>
      <c r="O537" t="str">
        <f t="shared" si="50"/>
        <v/>
      </c>
    </row>
    <row r="538" spans="1:15" x14ac:dyDescent="0.25">
      <c r="A538" s="49"/>
      <c r="B538" s="50"/>
      <c r="G538" t="str">
        <f t="shared" si="48"/>
        <v/>
      </c>
      <c r="H538" s="13" t="str">
        <f t="shared" si="51"/>
        <v/>
      </c>
      <c r="I538" t="str">
        <f>IFERROR(INDEX(Analysis!$D$116:$N$137, MATCH(B538, Analysis!$C$116:$C$137, 0), MATCH(C538, Analysis!$D$115:$N$115, 0)), "")</f>
        <v/>
      </c>
      <c r="J538" t="str">
        <f t="shared" si="52"/>
        <v/>
      </c>
      <c r="K538" s="28" t="str">
        <f t="shared" si="49"/>
        <v/>
      </c>
      <c r="L538" s="46" t="str">
        <f t="shared" si="53"/>
        <v/>
      </c>
      <c r="M538" t="str" cm="1">
        <f t="array" ref="M538">IF(L538="","",_xlfn.IFS(
  AND(L538&gt;=TIME(9,0,0), L538&lt;TIME(16,0,0)),"Morning",
  AND(L538&gt;=TIME(16,0,0), L538&lt;TIME(23,59,0)),"Evening",
  L538&gt;=TIME(23,59,0),"Night",
  L538&lt;TIME(9,0,0),"Night"
))</f>
        <v/>
      </c>
      <c r="O538" t="str">
        <f t="shared" si="50"/>
        <v/>
      </c>
    </row>
    <row r="539" spans="1:15" x14ac:dyDescent="0.25">
      <c r="A539" s="49"/>
      <c r="B539" s="50"/>
      <c r="G539" t="str">
        <f t="shared" si="48"/>
        <v/>
      </c>
      <c r="H539" s="13" t="str">
        <f t="shared" si="51"/>
        <v/>
      </c>
      <c r="I539" t="str">
        <f>IFERROR(INDEX(Analysis!$D$116:$N$137, MATCH(B539, Analysis!$C$116:$C$137, 0), MATCH(C539, Analysis!$D$115:$N$115, 0)), "")</f>
        <v/>
      </c>
      <c r="J539" t="str">
        <f t="shared" si="52"/>
        <v/>
      </c>
      <c r="K539" s="28" t="str">
        <f t="shared" si="49"/>
        <v/>
      </c>
      <c r="L539" s="46" t="str">
        <f t="shared" si="53"/>
        <v/>
      </c>
      <c r="M539" t="str" cm="1">
        <f t="array" ref="M539">IF(L539="","",_xlfn.IFS(
  AND(L539&gt;=TIME(9,0,0), L539&lt;TIME(16,0,0)),"Morning",
  AND(L539&gt;=TIME(16,0,0), L539&lt;TIME(23,59,0)),"Evening",
  L539&gt;=TIME(23,59,0),"Night",
  L539&lt;TIME(9,0,0),"Night"
))</f>
        <v/>
      </c>
      <c r="O539" t="str">
        <f t="shared" si="50"/>
        <v/>
      </c>
    </row>
    <row r="540" spans="1:15" x14ac:dyDescent="0.25">
      <c r="A540" s="49"/>
      <c r="B540" s="50"/>
      <c r="G540" t="str">
        <f t="shared" si="48"/>
        <v/>
      </c>
      <c r="H540" s="13" t="str">
        <f t="shared" si="51"/>
        <v/>
      </c>
      <c r="I540" t="str">
        <f>IFERROR(INDEX(Analysis!$D$116:$N$137, MATCH(B540, Analysis!$C$116:$C$137, 0), MATCH(C540, Analysis!$D$115:$N$115, 0)), "")</f>
        <v/>
      </c>
      <c r="J540" t="str">
        <f t="shared" si="52"/>
        <v/>
      </c>
      <c r="K540" s="28" t="str">
        <f t="shared" si="49"/>
        <v/>
      </c>
      <c r="L540" s="46" t="str">
        <f t="shared" si="53"/>
        <v/>
      </c>
      <c r="M540" t="str" cm="1">
        <f t="array" ref="M540">IF(L540="","",_xlfn.IFS(
  AND(L540&gt;=TIME(9,0,0), L540&lt;TIME(16,0,0)),"Morning",
  AND(L540&gt;=TIME(16,0,0), L540&lt;TIME(23,59,0)),"Evening",
  L540&gt;=TIME(23,59,0),"Night",
  L540&lt;TIME(9,0,0),"Night"
))</f>
        <v/>
      </c>
      <c r="O540" t="str">
        <f t="shared" si="50"/>
        <v/>
      </c>
    </row>
    <row r="541" spans="1:15" x14ac:dyDescent="0.25">
      <c r="A541" s="49"/>
      <c r="B541" s="50"/>
      <c r="G541" t="str">
        <f t="shared" si="48"/>
        <v/>
      </c>
      <c r="H541" s="13" t="str">
        <f t="shared" si="51"/>
        <v/>
      </c>
      <c r="I541" t="str">
        <f>IFERROR(INDEX(Analysis!$D$116:$N$137, MATCH(B541, Analysis!$C$116:$C$137, 0), MATCH(C541, Analysis!$D$115:$N$115, 0)), "")</f>
        <v/>
      </c>
      <c r="J541" t="str">
        <f t="shared" si="52"/>
        <v/>
      </c>
      <c r="K541" s="28" t="str">
        <f t="shared" si="49"/>
        <v/>
      </c>
      <c r="L541" s="46" t="str">
        <f t="shared" si="53"/>
        <v/>
      </c>
      <c r="M541" t="str" cm="1">
        <f t="array" ref="M541">IF(L541="","",_xlfn.IFS(
  AND(L541&gt;=TIME(9,0,0), L541&lt;TIME(16,0,0)),"Morning",
  AND(L541&gt;=TIME(16,0,0), L541&lt;TIME(23,59,0)),"Evening",
  L541&gt;=TIME(23,59,0),"Night",
  L541&lt;TIME(9,0,0),"Night"
))</f>
        <v/>
      </c>
      <c r="O541" t="str">
        <f t="shared" si="50"/>
        <v/>
      </c>
    </row>
    <row r="542" spans="1:15" x14ac:dyDescent="0.25">
      <c r="A542" s="49"/>
      <c r="B542" s="50"/>
      <c r="G542" t="str">
        <f t="shared" si="48"/>
        <v/>
      </c>
      <c r="H542" s="13" t="str">
        <f t="shared" si="51"/>
        <v/>
      </c>
      <c r="I542" t="str">
        <f>IFERROR(INDEX(Analysis!$D$116:$N$137, MATCH(B542, Analysis!$C$116:$C$137, 0), MATCH(C542, Analysis!$D$115:$N$115, 0)), "")</f>
        <v/>
      </c>
      <c r="J542" t="str">
        <f t="shared" si="52"/>
        <v/>
      </c>
      <c r="K542" s="28" t="str">
        <f t="shared" si="49"/>
        <v/>
      </c>
      <c r="L542" s="46" t="str">
        <f t="shared" si="53"/>
        <v/>
      </c>
      <c r="M542" t="str" cm="1">
        <f t="array" ref="M542">IF(L542="","",_xlfn.IFS(
  AND(L542&gt;=TIME(9,0,0), L542&lt;TIME(16,0,0)),"Morning",
  AND(L542&gt;=TIME(16,0,0), L542&lt;TIME(23,59,0)),"Evening",
  L542&gt;=TIME(23,59,0),"Night",
  L542&lt;TIME(9,0,0),"Night"
))</f>
        <v/>
      </c>
      <c r="O542" t="str">
        <f t="shared" si="50"/>
        <v/>
      </c>
    </row>
    <row r="543" spans="1:15" x14ac:dyDescent="0.25">
      <c r="A543" s="49"/>
      <c r="B543" s="50"/>
      <c r="G543" t="str">
        <f t="shared" si="48"/>
        <v/>
      </c>
      <c r="H543" s="13" t="str">
        <f t="shared" si="51"/>
        <v/>
      </c>
      <c r="I543" t="str">
        <f>IFERROR(INDEX(Analysis!$D$116:$N$137, MATCH(B543, Analysis!$C$116:$C$137, 0), MATCH(C543, Analysis!$D$115:$N$115, 0)), "")</f>
        <v/>
      </c>
      <c r="J543" t="str">
        <f t="shared" si="52"/>
        <v/>
      </c>
      <c r="K543" s="28" t="str">
        <f t="shared" si="49"/>
        <v/>
      </c>
      <c r="L543" s="46" t="str">
        <f t="shared" si="53"/>
        <v/>
      </c>
      <c r="M543" t="str" cm="1">
        <f t="array" ref="M543">IF(L543="","",_xlfn.IFS(
  AND(L543&gt;=TIME(9,0,0), L543&lt;TIME(16,0,0)),"Morning",
  AND(L543&gt;=TIME(16,0,0), L543&lt;TIME(23,59,0)),"Evening",
  L543&gt;=TIME(23,59,0),"Night",
  L543&lt;TIME(9,0,0),"Night"
))</f>
        <v/>
      </c>
      <c r="O543" t="str">
        <f t="shared" si="50"/>
        <v/>
      </c>
    </row>
    <row r="544" spans="1:15" x14ac:dyDescent="0.25">
      <c r="A544" s="49"/>
      <c r="B544" s="50"/>
      <c r="G544" t="str">
        <f t="shared" si="48"/>
        <v/>
      </c>
      <c r="H544" s="13" t="str">
        <f t="shared" si="51"/>
        <v/>
      </c>
      <c r="I544" t="str">
        <f>IFERROR(INDEX(Analysis!$D$116:$N$137, MATCH(B544, Analysis!$C$116:$C$137, 0), MATCH(C544, Analysis!$D$115:$N$115, 0)), "")</f>
        <v/>
      </c>
      <c r="J544" t="str">
        <f t="shared" si="52"/>
        <v/>
      </c>
      <c r="K544" s="28" t="str">
        <f t="shared" si="49"/>
        <v/>
      </c>
      <c r="L544" s="46" t="str">
        <f t="shared" si="53"/>
        <v/>
      </c>
      <c r="M544" t="str" cm="1">
        <f t="array" ref="M544">IF(L544="","",_xlfn.IFS(
  AND(L544&gt;=TIME(9,0,0), L544&lt;TIME(16,0,0)),"Morning",
  AND(L544&gt;=TIME(16,0,0), L544&lt;TIME(23,59,0)),"Evening",
  L544&gt;=TIME(23,59,0),"Night",
  L544&lt;TIME(9,0,0),"Night"
))</f>
        <v/>
      </c>
      <c r="O544" t="str">
        <f t="shared" si="50"/>
        <v/>
      </c>
    </row>
    <row r="545" spans="1:15" x14ac:dyDescent="0.25">
      <c r="A545" s="49"/>
      <c r="B545" s="50"/>
      <c r="G545" t="str">
        <f t="shared" si="48"/>
        <v/>
      </c>
      <c r="H545" s="13" t="str">
        <f t="shared" si="51"/>
        <v/>
      </c>
      <c r="I545" t="str">
        <f>IFERROR(INDEX(Analysis!$D$116:$N$137, MATCH(B545, Analysis!$C$116:$C$137, 0), MATCH(C545, Analysis!$D$115:$N$115, 0)), "")</f>
        <v/>
      </c>
      <c r="J545" t="str">
        <f t="shared" si="52"/>
        <v/>
      </c>
      <c r="K545" s="28" t="str">
        <f t="shared" si="49"/>
        <v/>
      </c>
      <c r="L545" s="46" t="str">
        <f t="shared" si="53"/>
        <v/>
      </c>
      <c r="M545" t="str" cm="1">
        <f t="array" ref="M545">IF(L545="","",_xlfn.IFS(
  AND(L545&gt;=TIME(9,0,0), L545&lt;TIME(16,0,0)),"Morning",
  AND(L545&gt;=TIME(16,0,0), L545&lt;TIME(23,59,0)),"Evening",
  L545&gt;=TIME(23,59,0),"Night",
  L545&lt;TIME(9,0,0),"Night"
))</f>
        <v/>
      </c>
      <c r="O545" t="str">
        <f t="shared" si="50"/>
        <v/>
      </c>
    </row>
    <row r="546" spans="1:15" x14ac:dyDescent="0.25">
      <c r="A546" s="49"/>
      <c r="B546" s="50"/>
      <c r="G546" t="str">
        <f t="shared" si="48"/>
        <v/>
      </c>
      <c r="H546" s="13" t="str">
        <f t="shared" si="51"/>
        <v/>
      </c>
      <c r="I546" t="str">
        <f>IFERROR(INDEX(Analysis!$D$116:$N$137, MATCH(B546, Analysis!$C$116:$C$137, 0), MATCH(C546, Analysis!$D$115:$N$115, 0)), "")</f>
        <v/>
      </c>
      <c r="J546" t="str">
        <f t="shared" si="52"/>
        <v/>
      </c>
      <c r="K546" s="28" t="str">
        <f t="shared" si="49"/>
        <v/>
      </c>
      <c r="L546" s="46" t="str">
        <f t="shared" si="53"/>
        <v/>
      </c>
      <c r="M546" t="str" cm="1">
        <f t="array" ref="M546">IF(L546="","",_xlfn.IFS(
  AND(L546&gt;=TIME(9,0,0), L546&lt;TIME(16,0,0)),"Morning",
  AND(L546&gt;=TIME(16,0,0), L546&lt;TIME(23,59,0)),"Evening",
  L546&gt;=TIME(23,59,0),"Night",
  L546&lt;TIME(9,0,0),"Night"
))</f>
        <v/>
      </c>
      <c r="O546" t="str">
        <f t="shared" si="50"/>
        <v/>
      </c>
    </row>
    <row r="547" spans="1:15" x14ac:dyDescent="0.25">
      <c r="A547" s="49"/>
      <c r="B547" s="50"/>
      <c r="G547" t="str">
        <f t="shared" si="48"/>
        <v/>
      </c>
      <c r="H547" s="13" t="str">
        <f t="shared" si="51"/>
        <v/>
      </c>
      <c r="I547" t="str">
        <f>IFERROR(INDEX(Analysis!$D$116:$N$137, MATCH(B547, Analysis!$C$116:$C$137, 0), MATCH(C547, Analysis!$D$115:$N$115, 0)), "")</f>
        <v/>
      </c>
      <c r="J547" t="str">
        <f t="shared" si="52"/>
        <v/>
      </c>
      <c r="K547" s="28" t="str">
        <f t="shared" si="49"/>
        <v/>
      </c>
      <c r="L547" s="46" t="str">
        <f t="shared" si="53"/>
        <v/>
      </c>
      <c r="M547" t="str" cm="1">
        <f t="array" ref="M547">IF(L547="","",_xlfn.IFS(
  AND(L547&gt;=TIME(9,0,0), L547&lt;TIME(16,0,0)),"Morning",
  AND(L547&gt;=TIME(16,0,0), L547&lt;TIME(23,59,0)),"Evening",
  L547&gt;=TIME(23,59,0),"Night",
  L547&lt;TIME(9,0,0),"Night"
))</f>
        <v/>
      </c>
      <c r="O547" t="str">
        <f t="shared" si="50"/>
        <v/>
      </c>
    </row>
    <row r="548" spans="1:15" x14ac:dyDescent="0.25">
      <c r="A548" s="49"/>
      <c r="B548" s="50"/>
      <c r="G548" t="str">
        <f t="shared" si="48"/>
        <v/>
      </c>
      <c r="H548" s="13" t="str">
        <f t="shared" si="51"/>
        <v/>
      </c>
      <c r="I548" t="str">
        <f>IFERROR(INDEX(Analysis!$D$116:$N$137, MATCH(B548, Analysis!$C$116:$C$137, 0), MATCH(C548, Analysis!$D$115:$N$115, 0)), "")</f>
        <v/>
      </c>
      <c r="J548" t="str">
        <f t="shared" si="52"/>
        <v/>
      </c>
      <c r="K548" s="28" t="str">
        <f t="shared" si="49"/>
        <v/>
      </c>
      <c r="L548" s="46" t="str">
        <f t="shared" si="53"/>
        <v/>
      </c>
      <c r="M548" t="str" cm="1">
        <f t="array" ref="M548">IF(L548="","",_xlfn.IFS(
  AND(L548&gt;=TIME(9,0,0), L548&lt;TIME(16,0,0)),"Morning",
  AND(L548&gt;=TIME(16,0,0), L548&lt;TIME(23,59,0)),"Evening",
  L548&gt;=TIME(23,59,0),"Night",
  L548&lt;TIME(9,0,0),"Night"
))</f>
        <v/>
      </c>
      <c r="O548" t="str">
        <f t="shared" si="50"/>
        <v/>
      </c>
    </row>
    <row r="549" spans="1:15" x14ac:dyDescent="0.25">
      <c r="A549" s="49"/>
      <c r="B549" s="50"/>
      <c r="G549" t="str">
        <f t="shared" si="48"/>
        <v/>
      </c>
      <c r="H549" s="13" t="str">
        <f t="shared" si="51"/>
        <v/>
      </c>
      <c r="I549" t="str">
        <f>IFERROR(INDEX(Analysis!$D$116:$N$137, MATCH(B549, Analysis!$C$116:$C$137, 0), MATCH(C549, Analysis!$D$115:$N$115, 0)), "")</f>
        <v/>
      </c>
      <c r="J549" t="str">
        <f t="shared" si="52"/>
        <v/>
      </c>
      <c r="K549" s="28" t="str">
        <f t="shared" si="49"/>
        <v/>
      </c>
      <c r="L549" s="46" t="str">
        <f t="shared" si="53"/>
        <v/>
      </c>
      <c r="M549" t="str" cm="1">
        <f t="array" ref="M549">IF(L549="","",_xlfn.IFS(
  AND(L549&gt;=TIME(9,0,0), L549&lt;TIME(16,0,0)),"Morning",
  AND(L549&gt;=TIME(16,0,0), L549&lt;TIME(23,59,0)),"Evening",
  L549&gt;=TIME(23,59,0),"Night",
  L549&lt;TIME(9,0,0),"Night"
))</f>
        <v/>
      </c>
      <c r="O549" t="str">
        <f t="shared" si="50"/>
        <v/>
      </c>
    </row>
    <row r="550" spans="1:15" x14ac:dyDescent="0.25">
      <c r="A550" s="49"/>
      <c r="B550" s="50"/>
      <c r="G550" t="str">
        <f t="shared" si="48"/>
        <v/>
      </c>
      <c r="H550" s="13" t="str">
        <f t="shared" si="51"/>
        <v/>
      </c>
      <c r="I550" t="str">
        <f>IFERROR(INDEX(Analysis!$D$116:$N$137, MATCH(B550, Analysis!$C$116:$C$137, 0), MATCH(C550, Analysis!$D$115:$N$115, 0)), "")</f>
        <v/>
      </c>
      <c r="J550" t="str">
        <f t="shared" si="52"/>
        <v/>
      </c>
      <c r="K550" s="28" t="str">
        <f t="shared" si="49"/>
        <v/>
      </c>
      <c r="L550" s="46" t="str">
        <f t="shared" si="53"/>
        <v/>
      </c>
      <c r="M550" t="str" cm="1">
        <f t="array" ref="M550">IF(L550="","",_xlfn.IFS(
  AND(L550&gt;=TIME(9,0,0), L550&lt;TIME(16,0,0)),"Morning",
  AND(L550&gt;=TIME(16,0,0), L550&lt;TIME(23,59,0)),"Evening",
  L550&gt;=TIME(23,59,0),"Night",
  L550&lt;TIME(9,0,0),"Night"
))</f>
        <v/>
      </c>
      <c r="O550" t="str">
        <f t="shared" si="50"/>
        <v/>
      </c>
    </row>
    <row r="551" spans="1:15" x14ac:dyDescent="0.25">
      <c r="A551" s="49"/>
      <c r="B551" s="50"/>
      <c r="G551" t="str">
        <f t="shared" si="48"/>
        <v/>
      </c>
      <c r="H551" s="13" t="str">
        <f t="shared" si="51"/>
        <v/>
      </c>
      <c r="I551" t="str">
        <f>IFERROR(INDEX(Analysis!$D$116:$N$137, MATCH(B551, Analysis!$C$116:$C$137, 0), MATCH(C551, Analysis!$D$115:$N$115, 0)), "")</f>
        <v/>
      </c>
      <c r="J551" t="str">
        <f t="shared" si="52"/>
        <v/>
      </c>
      <c r="K551" s="28" t="str">
        <f t="shared" si="49"/>
        <v/>
      </c>
      <c r="L551" s="46" t="str">
        <f t="shared" si="53"/>
        <v/>
      </c>
      <c r="M551" t="str" cm="1">
        <f t="array" ref="M551">IF(L551="","",_xlfn.IFS(
  AND(L551&gt;=TIME(9,0,0), L551&lt;TIME(16,0,0)),"Morning",
  AND(L551&gt;=TIME(16,0,0), L551&lt;TIME(23,59,0)),"Evening",
  L551&gt;=TIME(23,59,0),"Night",
  L551&lt;TIME(9,0,0),"Night"
))</f>
        <v/>
      </c>
      <c r="O551" t="str">
        <f t="shared" si="50"/>
        <v/>
      </c>
    </row>
    <row r="552" spans="1:15" x14ac:dyDescent="0.25">
      <c r="A552" s="49"/>
      <c r="B552" s="50"/>
      <c r="G552" t="str">
        <f t="shared" si="48"/>
        <v/>
      </c>
      <c r="H552" s="13" t="str">
        <f t="shared" si="51"/>
        <v/>
      </c>
      <c r="I552" t="str">
        <f>IFERROR(INDEX(Analysis!$D$116:$N$137, MATCH(B552, Analysis!$C$116:$C$137, 0), MATCH(C552, Analysis!$D$115:$N$115, 0)), "")</f>
        <v/>
      </c>
      <c r="J552" t="str">
        <f t="shared" si="52"/>
        <v/>
      </c>
      <c r="K552" s="28" t="str">
        <f t="shared" si="49"/>
        <v/>
      </c>
      <c r="L552" s="46" t="str">
        <f t="shared" si="53"/>
        <v/>
      </c>
      <c r="M552" t="str" cm="1">
        <f t="array" ref="M552">IF(L552="","",_xlfn.IFS(
  AND(L552&gt;=TIME(9,0,0), L552&lt;TIME(16,0,0)),"Morning",
  AND(L552&gt;=TIME(16,0,0), L552&lt;TIME(23,59,0)),"Evening",
  L552&gt;=TIME(23,59,0),"Night",
  L552&lt;TIME(9,0,0),"Night"
))</f>
        <v/>
      </c>
      <c r="O552" t="str">
        <f t="shared" si="50"/>
        <v/>
      </c>
    </row>
    <row r="553" spans="1:15" x14ac:dyDescent="0.25">
      <c r="A553" s="49"/>
      <c r="B553" s="50"/>
      <c r="G553" t="str">
        <f t="shared" si="48"/>
        <v/>
      </c>
      <c r="H553" s="13" t="str">
        <f t="shared" si="51"/>
        <v/>
      </c>
      <c r="I553" t="str">
        <f>IFERROR(INDEX(Analysis!$D$116:$N$137, MATCH(B553, Analysis!$C$116:$C$137, 0), MATCH(C553, Analysis!$D$115:$N$115, 0)), "")</f>
        <v/>
      </c>
      <c r="J553" t="str">
        <f t="shared" si="52"/>
        <v/>
      </c>
      <c r="K553" s="28" t="str">
        <f t="shared" si="49"/>
        <v/>
      </c>
      <c r="L553" s="46" t="str">
        <f t="shared" si="53"/>
        <v/>
      </c>
      <c r="M553" t="str" cm="1">
        <f t="array" ref="M553">IF(L553="","",_xlfn.IFS(
  AND(L553&gt;=TIME(9,0,0), L553&lt;TIME(16,0,0)),"Morning",
  AND(L553&gt;=TIME(16,0,0), L553&lt;TIME(23,59,0)),"Evening",
  L553&gt;=TIME(23,59,0),"Night",
  L553&lt;TIME(9,0,0),"Night"
))</f>
        <v/>
      </c>
      <c r="O553" t="str">
        <f t="shared" si="50"/>
        <v/>
      </c>
    </row>
    <row r="554" spans="1:15" x14ac:dyDescent="0.25">
      <c r="A554" s="49"/>
      <c r="B554" s="50"/>
      <c r="G554" t="str">
        <f t="shared" si="48"/>
        <v/>
      </c>
      <c r="H554" s="13" t="str">
        <f t="shared" si="51"/>
        <v/>
      </c>
      <c r="I554" t="str">
        <f>IFERROR(INDEX(Analysis!$D$116:$N$137, MATCH(B554, Analysis!$C$116:$C$137, 0), MATCH(C554, Analysis!$D$115:$N$115, 0)), "")</f>
        <v/>
      </c>
      <c r="J554" t="str">
        <f t="shared" si="52"/>
        <v/>
      </c>
      <c r="K554" s="28" t="str">
        <f t="shared" si="49"/>
        <v/>
      </c>
      <c r="L554" s="46" t="str">
        <f t="shared" si="53"/>
        <v/>
      </c>
      <c r="M554" t="str" cm="1">
        <f t="array" ref="M554">IF(L554="","",_xlfn.IFS(
  AND(L554&gt;=TIME(9,0,0), L554&lt;TIME(16,0,0)),"Morning",
  AND(L554&gt;=TIME(16,0,0), L554&lt;TIME(23,59,0)),"Evening",
  L554&gt;=TIME(23,59,0),"Night",
  L554&lt;TIME(9,0,0),"Night"
))</f>
        <v/>
      </c>
      <c r="O554" t="str">
        <f t="shared" si="50"/>
        <v/>
      </c>
    </row>
    <row r="555" spans="1:15" x14ac:dyDescent="0.25">
      <c r="A555" s="49"/>
      <c r="B555" s="50"/>
      <c r="G555" t="str">
        <f t="shared" si="48"/>
        <v/>
      </c>
      <c r="H555" s="13" t="str">
        <f t="shared" si="51"/>
        <v/>
      </c>
      <c r="I555" t="str">
        <f>IFERROR(INDEX(Analysis!$D$116:$N$137, MATCH(B555, Analysis!$C$116:$C$137, 0), MATCH(C555, Analysis!$D$115:$N$115, 0)), "")</f>
        <v/>
      </c>
      <c r="J555" t="str">
        <f t="shared" si="52"/>
        <v/>
      </c>
      <c r="K555" s="28" t="str">
        <f t="shared" si="49"/>
        <v/>
      </c>
      <c r="L555" s="46" t="str">
        <f t="shared" si="53"/>
        <v/>
      </c>
      <c r="M555" t="str" cm="1">
        <f t="array" ref="M555">IF(L555="","",_xlfn.IFS(
  AND(L555&gt;=TIME(9,0,0), L555&lt;TIME(16,0,0)),"Morning",
  AND(L555&gt;=TIME(16,0,0), L555&lt;TIME(23,59,0)),"Evening",
  L555&gt;=TIME(23,59,0),"Night",
  L555&lt;TIME(9,0,0),"Night"
))</f>
        <v/>
      </c>
      <c r="O555" t="str">
        <f t="shared" si="50"/>
        <v/>
      </c>
    </row>
    <row r="556" spans="1:15" x14ac:dyDescent="0.25">
      <c r="A556" s="49"/>
      <c r="B556" s="50"/>
      <c r="G556" t="str">
        <f t="shared" si="48"/>
        <v/>
      </c>
      <c r="H556" s="13" t="str">
        <f t="shared" si="51"/>
        <v/>
      </c>
      <c r="I556" t="str">
        <f>IFERROR(INDEX(Analysis!$D$116:$N$137, MATCH(B556, Analysis!$C$116:$C$137, 0), MATCH(C556, Analysis!$D$115:$N$115, 0)), "")</f>
        <v/>
      </c>
      <c r="J556" t="str">
        <f t="shared" si="52"/>
        <v/>
      </c>
      <c r="K556" s="28" t="str">
        <f t="shared" si="49"/>
        <v/>
      </c>
      <c r="L556" s="46" t="str">
        <f t="shared" si="53"/>
        <v/>
      </c>
      <c r="M556" t="str" cm="1">
        <f t="array" ref="M556">IF(L556="","",_xlfn.IFS(
  AND(L556&gt;=TIME(9,0,0), L556&lt;TIME(16,0,0)),"Morning",
  AND(L556&gt;=TIME(16,0,0), L556&lt;TIME(23,59,0)),"Evening",
  L556&gt;=TIME(23,59,0),"Night",
  L556&lt;TIME(9,0,0),"Night"
))</f>
        <v/>
      </c>
      <c r="O556" t="str">
        <f t="shared" si="50"/>
        <v/>
      </c>
    </row>
    <row r="557" spans="1:15" x14ac:dyDescent="0.25">
      <c r="A557" s="49"/>
      <c r="B557" s="50"/>
      <c r="G557" t="str">
        <f t="shared" si="48"/>
        <v/>
      </c>
      <c r="H557" s="13" t="str">
        <f t="shared" si="51"/>
        <v/>
      </c>
      <c r="I557" t="str">
        <f>IFERROR(INDEX(Analysis!$D$116:$N$137, MATCH(B557, Analysis!$C$116:$C$137, 0), MATCH(C557, Analysis!$D$115:$N$115, 0)), "")</f>
        <v/>
      </c>
      <c r="J557" t="str">
        <f t="shared" si="52"/>
        <v/>
      </c>
      <c r="K557" s="28" t="str">
        <f t="shared" si="49"/>
        <v/>
      </c>
      <c r="L557" s="46" t="str">
        <f t="shared" si="53"/>
        <v/>
      </c>
      <c r="M557" t="str" cm="1">
        <f t="array" ref="M557">IF(L557="","",_xlfn.IFS(
  AND(L557&gt;=TIME(9,0,0), L557&lt;TIME(16,0,0)),"Morning",
  AND(L557&gt;=TIME(16,0,0), L557&lt;TIME(23,59,0)),"Evening",
  L557&gt;=TIME(23,59,0),"Night",
  L557&lt;TIME(9,0,0),"Night"
))</f>
        <v/>
      </c>
      <c r="O557" t="str">
        <f t="shared" si="50"/>
        <v/>
      </c>
    </row>
    <row r="558" spans="1:15" x14ac:dyDescent="0.25">
      <c r="A558" s="49"/>
      <c r="B558" s="50"/>
      <c r="G558" t="str">
        <f t="shared" si="48"/>
        <v/>
      </c>
      <c r="H558" s="13" t="str">
        <f t="shared" si="51"/>
        <v/>
      </c>
      <c r="I558" t="str">
        <f>IFERROR(INDEX(Analysis!$D$116:$N$137, MATCH(B558, Analysis!$C$116:$C$137, 0), MATCH(C558, Analysis!$D$115:$N$115, 0)), "")</f>
        <v/>
      </c>
      <c r="J558" t="str">
        <f t="shared" si="52"/>
        <v/>
      </c>
      <c r="K558" s="28" t="str">
        <f t="shared" si="49"/>
        <v/>
      </c>
      <c r="L558" s="46" t="str">
        <f t="shared" si="53"/>
        <v/>
      </c>
      <c r="M558" t="str" cm="1">
        <f t="array" ref="M558">IF(L558="","",_xlfn.IFS(
  AND(L558&gt;=TIME(9,0,0), L558&lt;TIME(16,0,0)),"Morning",
  AND(L558&gt;=TIME(16,0,0), L558&lt;TIME(23,59,0)),"Evening",
  L558&gt;=TIME(23,59,0),"Night",
  L558&lt;TIME(9,0,0),"Night"
))</f>
        <v/>
      </c>
      <c r="O558" t="str">
        <f t="shared" si="50"/>
        <v/>
      </c>
    </row>
    <row r="559" spans="1:15" x14ac:dyDescent="0.25">
      <c r="A559" s="49"/>
      <c r="B559" s="50"/>
      <c r="G559" t="str">
        <f t="shared" si="48"/>
        <v/>
      </c>
      <c r="H559" s="13" t="str">
        <f t="shared" si="51"/>
        <v/>
      </c>
      <c r="I559" t="str">
        <f>IFERROR(INDEX(Analysis!$D$116:$N$137, MATCH(B559, Analysis!$C$116:$C$137, 0), MATCH(C559, Analysis!$D$115:$N$115, 0)), "")</f>
        <v/>
      </c>
      <c r="J559" t="str">
        <f t="shared" si="52"/>
        <v/>
      </c>
      <c r="K559" s="28" t="str">
        <f t="shared" si="49"/>
        <v/>
      </c>
      <c r="L559" s="46" t="str">
        <f t="shared" si="53"/>
        <v/>
      </c>
      <c r="M559" t="str" cm="1">
        <f t="array" ref="M559">IF(L559="","",_xlfn.IFS(
  AND(L559&gt;=TIME(9,0,0), L559&lt;TIME(16,0,0)),"Morning",
  AND(L559&gt;=TIME(16,0,0), L559&lt;TIME(23,59,0)),"Evening",
  L559&gt;=TIME(23,59,0),"Night",
  L559&lt;TIME(9,0,0),"Night"
))</f>
        <v/>
      </c>
      <c r="O559" t="str">
        <f t="shared" si="50"/>
        <v/>
      </c>
    </row>
    <row r="560" spans="1:15" x14ac:dyDescent="0.25">
      <c r="A560" s="49"/>
      <c r="B560" s="50"/>
      <c r="G560" t="str">
        <f t="shared" si="48"/>
        <v/>
      </c>
      <c r="H560" s="13" t="str">
        <f t="shared" si="51"/>
        <v/>
      </c>
      <c r="I560" t="str">
        <f>IFERROR(INDEX(Analysis!$D$116:$N$137, MATCH(B560, Analysis!$C$116:$C$137, 0), MATCH(C560, Analysis!$D$115:$N$115, 0)), "")</f>
        <v/>
      </c>
      <c r="J560" t="str">
        <f t="shared" si="52"/>
        <v/>
      </c>
      <c r="K560" s="28" t="str">
        <f t="shared" si="49"/>
        <v/>
      </c>
      <c r="L560" s="46" t="str">
        <f t="shared" si="53"/>
        <v/>
      </c>
      <c r="M560" t="str" cm="1">
        <f t="array" ref="M560">IF(L560="","",_xlfn.IFS(
  AND(L560&gt;=TIME(9,0,0), L560&lt;TIME(16,0,0)),"Morning",
  AND(L560&gt;=TIME(16,0,0), L560&lt;TIME(23,59,0)),"Evening",
  L560&gt;=TIME(23,59,0),"Night",
  L560&lt;TIME(9,0,0),"Night"
))</f>
        <v/>
      </c>
      <c r="O560" t="str">
        <f t="shared" si="50"/>
        <v/>
      </c>
    </row>
    <row r="561" spans="1:15" x14ac:dyDescent="0.25">
      <c r="A561" s="49"/>
      <c r="B561" s="50"/>
      <c r="G561" t="str">
        <f t="shared" si="48"/>
        <v/>
      </c>
      <c r="H561" s="13" t="str">
        <f t="shared" si="51"/>
        <v/>
      </c>
      <c r="I561" t="str">
        <f>IFERROR(INDEX(Analysis!$D$116:$N$137, MATCH(B561, Analysis!$C$116:$C$137, 0), MATCH(C561, Analysis!$D$115:$N$115, 0)), "")</f>
        <v/>
      </c>
      <c r="J561" t="str">
        <f t="shared" si="52"/>
        <v/>
      </c>
      <c r="K561" s="28" t="str">
        <f t="shared" si="49"/>
        <v/>
      </c>
      <c r="L561" s="46" t="str">
        <f t="shared" si="53"/>
        <v/>
      </c>
      <c r="M561" t="str" cm="1">
        <f t="array" ref="M561">IF(L561="","",_xlfn.IFS(
  AND(L561&gt;=TIME(9,0,0), L561&lt;TIME(16,0,0)),"Morning",
  AND(L561&gt;=TIME(16,0,0), L561&lt;TIME(23,59,0)),"Evening",
  L561&gt;=TIME(23,59,0),"Night",
  L561&lt;TIME(9,0,0),"Night"
))</f>
        <v/>
      </c>
      <c r="O561" t="str">
        <f t="shared" si="50"/>
        <v/>
      </c>
    </row>
    <row r="562" spans="1:15" x14ac:dyDescent="0.25">
      <c r="A562" s="49"/>
      <c r="B562" s="50"/>
      <c r="G562" t="str">
        <f t="shared" si="48"/>
        <v/>
      </c>
      <c r="H562" s="13" t="str">
        <f t="shared" si="51"/>
        <v/>
      </c>
      <c r="I562" t="str">
        <f>IFERROR(INDEX(Analysis!$D$116:$N$137, MATCH(B562, Analysis!$C$116:$C$137, 0), MATCH(C562, Analysis!$D$115:$N$115, 0)), "")</f>
        <v/>
      </c>
      <c r="J562" t="str">
        <f t="shared" si="52"/>
        <v/>
      </c>
      <c r="K562" s="28" t="str">
        <f t="shared" si="49"/>
        <v/>
      </c>
      <c r="L562" s="46" t="str">
        <f t="shared" si="53"/>
        <v/>
      </c>
      <c r="M562" t="str" cm="1">
        <f t="array" ref="M562">IF(L562="","",_xlfn.IFS(
  AND(L562&gt;=TIME(9,0,0), L562&lt;TIME(16,0,0)),"Morning",
  AND(L562&gt;=TIME(16,0,0), L562&lt;TIME(23,59,0)),"Evening",
  L562&gt;=TIME(23,59,0),"Night",
  L562&lt;TIME(9,0,0),"Night"
))</f>
        <v/>
      </c>
      <c r="O562" t="str">
        <f t="shared" si="50"/>
        <v/>
      </c>
    </row>
    <row r="563" spans="1:15" x14ac:dyDescent="0.25">
      <c r="A563" s="49"/>
      <c r="B563" s="50"/>
      <c r="G563" t="str">
        <f t="shared" si="48"/>
        <v/>
      </c>
      <c r="H563" s="13" t="str">
        <f t="shared" si="51"/>
        <v/>
      </c>
      <c r="I563" t="str">
        <f>IFERROR(INDEX(Analysis!$D$116:$N$137, MATCH(B563, Analysis!$C$116:$C$137, 0), MATCH(C563, Analysis!$D$115:$N$115, 0)), "")</f>
        <v/>
      </c>
      <c r="J563" t="str">
        <f t="shared" si="52"/>
        <v/>
      </c>
      <c r="K563" s="28" t="str">
        <f t="shared" si="49"/>
        <v/>
      </c>
      <c r="L563" s="46" t="str">
        <f t="shared" si="53"/>
        <v/>
      </c>
      <c r="M563" t="str" cm="1">
        <f t="array" ref="M563">IF(L563="","",_xlfn.IFS(
  AND(L563&gt;=TIME(9,0,0), L563&lt;TIME(16,0,0)),"Morning",
  AND(L563&gt;=TIME(16,0,0), L563&lt;TIME(23,59,0)),"Evening",
  L563&gt;=TIME(23,59,0),"Night",
  L563&lt;TIME(9,0,0),"Night"
))</f>
        <v/>
      </c>
      <c r="O563" t="str">
        <f t="shared" si="50"/>
        <v/>
      </c>
    </row>
    <row r="564" spans="1:15" x14ac:dyDescent="0.25">
      <c r="A564" s="49"/>
      <c r="B564" s="50"/>
      <c r="G564" t="str">
        <f t="shared" si="48"/>
        <v/>
      </c>
      <c r="H564" s="13" t="str">
        <f t="shared" si="51"/>
        <v/>
      </c>
      <c r="I564" t="str">
        <f>IFERROR(INDEX(Analysis!$D$116:$N$137, MATCH(B564, Analysis!$C$116:$C$137, 0), MATCH(C564, Analysis!$D$115:$N$115, 0)), "")</f>
        <v/>
      </c>
      <c r="J564" t="str">
        <f t="shared" si="52"/>
        <v/>
      </c>
      <c r="K564" s="28" t="str">
        <f t="shared" si="49"/>
        <v/>
      </c>
      <c r="L564" s="46" t="str">
        <f t="shared" si="53"/>
        <v/>
      </c>
      <c r="M564" t="str" cm="1">
        <f t="array" ref="M564">IF(L564="","",_xlfn.IFS(
  AND(L564&gt;=TIME(9,0,0), L564&lt;TIME(16,0,0)),"Morning",
  AND(L564&gt;=TIME(16,0,0), L564&lt;TIME(23,59,0)),"Evening",
  L564&gt;=TIME(23,59,0),"Night",
  L564&lt;TIME(9,0,0),"Night"
))</f>
        <v/>
      </c>
      <c r="O564" t="str">
        <f t="shared" si="50"/>
        <v/>
      </c>
    </row>
    <row r="565" spans="1:15" x14ac:dyDescent="0.25">
      <c r="A565" s="49"/>
      <c r="B565" s="50"/>
      <c r="G565" t="str">
        <f t="shared" si="48"/>
        <v/>
      </c>
      <c r="H565" s="13" t="str">
        <f t="shared" si="51"/>
        <v/>
      </c>
      <c r="I565" t="str">
        <f>IFERROR(INDEX(Analysis!$D$116:$N$137, MATCH(B565, Analysis!$C$116:$C$137, 0), MATCH(C565, Analysis!$D$115:$N$115, 0)), "")</f>
        <v/>
      </c>
      <c r="J565" t="str">
        <f t="shared" si="52"/>
        <v/>
      </c>
      <c r="K565" s="28" t="str">
        <f t="shared" si="49"/>
        <v/>
      </c>
      <c r="L565" s="46" t="str">
        <f t="shared" si="53"/>
        <v/>
      </c>
      <c r="M565" t="str" cm="1">
        <f t="array" ref="M565">IF(L565="","",_xlfn.IFS(
  AND(L565&gt;=TIME(9,0,0), L565&lt;TIME(16,0,0)),"Morning",
  AND(L565&gt;=TIME(16,0,0), L565&lt;TIME(23,59,0)),"Evening",
  L565&gt;=TIME(23,59,0),"Night",
  L565&lt;TIME(9,0,0),"Night"
))</f>
        <v/>
      </c>
      <c r="O565" t="str">
        <f t="shared" si="50"/>
        <v/>
      </c>
    </row>
    <row r="566" spans="1:15" x14ac:dyDescent="0.25">
      <c r="A566" s="49"/>
      <c r="B566" s="50"/>
      <c r="G566" t="str">
        <f t="shared" si="48"/>
        <v/>
      </c>
      <c r="H566" s="13" t="str">
        <f t="shared" si="51"/>
        <v/>
      </c>
      <c r="I566" t="str">
        <f>IFERROR(INDEX(Analysis!$D$116:$N$137, MATCH(B566, Analysis!$C$116:$C$137, 0), MATCH(C566, Analysis!$D$115:$N$115, 0)), "")</f>
        <v/>
      </c>
      <c r="J566" t="str">
        <f t="shared" si="52"/>
        <v/>
      </c>
      <c r="K566" s="28" t="str">
        <f t="shared" si="49"/>
        <v/>
      </c>
      <c r="L566" s="46" t="str">
        <f t="shared" si="53"/>
        <v/>
      </c>
      <c r="M566" t="str" cm="1">
        <f t="array" ref="M566">IF(L566="","",_xlfn.IFS(
  AND(L566&gt;=TIME(9,0,0), L566&lt;TIME(16,0,0)),"Morning",
  AND(L566&gt;=TIME(16,0,0), L566&lt;TIME(23,59,0)),"Evening",
  L566&gt;=TIME(23,59,0),"Night",
  L566&lt;TIME(9,0,0),"Night"
))</f>
        <v/>
      </c>
      <c r="O566" t="str">
        <f t="shared" si="50"/>
        <v/>
      </c>
    </row>
    <row r="567" spans="1:15" x14ac:dyDescent="0.25">
      <c r="A567" s="49"/>
      <c r="B567" s="50"/>
      <c r="G567" t="str">
        <f t="shared" si="48"/>
        <v/>
      </c>
      <c r="H567" s="13" t="str">
        <f t="shared" si="51"/>
        <v/>
      </c>
      <c r="I567" t="str">
        <f>IFERROR(INDEX(Analysis!$D$116:$N$137, MATCH(B567, Analysis!$C$116:$C$137, 0), MATCH(C567, Analysis!$D$115:$N$115, 0)), "")</f>
        <v/>
      </c>
      <c r="J567" t="str">
        <f t="shared" si="52"/>
        <v/>
      </c>
      <c r="K567" s="28" t="str">
        <f t="shared" si="49"/>
        <v/>
      </c>
      <c r="L567" s="46" t="str">
        <f t="shared" si="53"/>
        <v/>
      </c>
      <c r="M567" t="str" cm="1">
        <f t="array" ref="M567">IF(L567="","",_xlfn.IFS(
  AND(L567&gt;=TIME(9,0,0), L567&lt;TIME(16,0,0)),"Morning",
  AND(L567&gt;=TIME(16,0,0), L567&lt;TIME(23,59,0)),"Evening",
  L567&gt;=TIME(23,59,0),"Night",
  L567&lt;TIME(9,0,0),"Night"
))</f>
        <v/>
      </c>
      <c r="O567" t="str">
        <f t="shared" si="50"/>
        <v/>
      </c>
    </row>
    <row r="568" spans="1:15" x14ac:dyDescent="0.25">
      <c r="A568" s="49"/>
      <c r="B568" s="50"/>
      <c r="G568" t="str">
        <f t="shared" si="48"/>
        <v/>
      </c>
      <c r="H568" s="13" t="str">
        <f t="shared" si="51"/>
        <v/>
      </c>
      <c r="I568" t="str">
        <f>IFERROR(INDEX(Analysis!$D$116:$N$137, MATCH(B568, Analysis!$C$116:$C$137, 0), MATCH(C568, Analysis!$D$115:$N$115, 0)), "")</f>
        <v/>
      </c>
      <c r="J568" t="str">
        <f t="shared" si="52"/>
        <v/>
      </c>
      <c r="K568" s="28" t="str">
        <f t="shared" si="49"/>
        <v/>
      </c>
      <c r="L568" s="46" t="str">
        <f t="shared" si="53"/>
        <v/>
      </c>
      <c r="M568" t="str" cm="1">
        <f t="array" ref="M568">IF(L568="","",_xlfn.IFS(
  AND(L568&gt;=TIME(9,0,0), L568&lt;TIME(16,0,0)),"Morning",
  AND(L568&gt;=TIME(16,0,0), L568&lt;TIME(23,59,0)),"Evening",
  L568&gt;=TIME(23,59,0),"Night",
  L568&lt;TIME(9,0,0),"Night"
))</f>
        <v/>
      </c>
      <c r="O568" t="str">
        <f t="shared" si="50"/>
        <v/>
      </c>
    </row>
    <row r="569" spans="1:15" x14ac:dyDescent="0.25">
      <c r="A569" s="49"/>
      <c r="B569" s="50"/>
      <c r="G569" t="str">
        <f t="shared" si="48"/>
        <v/>
      </c>
      <c r="H569" s="13" t="str">
        <f t="shared" si="51"/>
        <v/>
      </c>
      <c r="I569" t="str">
        <f>IFERROR(INDEX(Analysis!$D$116:$N$137, MATCH(B569, Analysis!$C$116:$C$137, 0), MATCH(C569, Analysis!$D$115:$N$115, 0)), "")</f>
        <v/>
      </c>
      <c r="J569" t="str">
        <f t="shared" si="52"/>
        <v/>
      </c>
      <c r="K569" s="28" t="str">
        <f t="shared" si="49"/>
        <v/>
      </c>
      <c r="L569" s="46" t="str">
        <f t="shared" si="53"/>
        <v/>
      </c>
      <c r="M569" t="str" cm="1">
        <f t="array" ref="M569">IF(L569="","",_xlfn.IFS(
  AND(L569&gt;=TIME(9,0,0), L569&lt;TIME(16,0,0)),"Morning",
  AND(L569&gt;=TIME(16,0,0), L569&lt;TIME(23,59,0)),"Evening",
  L569&gt;=TIME(23,59,0),"Night",
  L569&lt;TIME(9,0,0),"Night"
))</f>
        <v/>
      </c>
      <c r="O569" t="str">
        <f t="shared" si="50"/>
        <v/>
      </c>
    </row>
    <row r="570" spans="1:15" x14ac:dyDescent="0.25">
      <c r="A570" s="49"/>
      <c r="B570" s="50"/>
      <c r="G570" t="str">
        <f t="shared" si="48"/>
        <v/>
      </c>
      <c r="H570" s="13" t="str">
        <f t="shared" si="51"/>
        <v/>
      </c>
      <c r="I570" t="str">
        <f>IFERROR(INDEX(Analysis!$D$116:$N$137, MATCH(B570, Analysis!$C$116:$C$137, 0), MATCH(C570, Analysis!$D$115:$N$115, 0)), "")</f>
        <v/>
      </c>
      <c r="J570" t="str">
        <f t="shared" si="52"/>
        <v/>
      </c>
      <c r="K570" s="28" t="str">
        <f t="shared" si="49"/>
        <v/>
      </c>
      <c r="L570" s="46" t="str">
        <f t="shared" si="53"/>
        <v/>
      </c>
      <c r="M570" t="str" cm="1">
        <f t="array" ref="M570">IF(L570="","",_xlfn.IFS(
  AND(L570&gt;=TIME(9,0,0), L570&lt;TIME(16,0,0)),"Morning",
  AND(L570&gt;=TIME(16,0,0), L570&lt;TIME(23,59,0)),"Evening",
  L570&gt;=TIME(23,59,0),"Night",
  L570&lt;TIME(9,0,0),"Night"
))</f>
        <v/>
      </c>
      <c r="O570" t="str">
        <f t="shared" si="50"/>
        <v/>
      </c>
    </row>
    <row r="571" spans="1:15" x14ac:dyDescent="0.25">
      <c r="A571" s="49"/>
      <c r="B571" s="50"/>
      <c r="G571" t="str">
        <f t="shared" si="48"/>
        <v/>
      </c>
      <c r="H571" s="13" t="str">
        <f t="shared" si="51"/>
        <v/>
      </c>
      <c r="I571" t="str">
        <f>IFERROR(INDEX(Analysis!$D$116:$N$137, MATCH(B571, Analysis!$C$116:$C$137, 0), MATCH(C571, Analysis!$D$115:$N$115, 0)), "")</f>
        <v/>
      </c>
      <c r="J571" t="str">
        <f t="shared" si="52"/>
        <v/>
      </c>
      <c r="K571" s="28" t="str">
        <f t="shared" si="49"/>
        <v/>
      </c>
      <c r="L571" s="46" t="str">
        <f t="shared" si="53"/>
        <v/>
      </c>
      <c r="M571" t="str" cm="1">
        <f t="array" ref="M571">IF(L571="","",_xlfn.IFS(
  AND(L571&gt;=TIME(9,0,0), L571&lt;TIME(16,0,0)),"Morning",
  AND(L571&gt;=TIME(16,0,0), L571&lt;TIME(23,59,0)),"Evening",
  L571&gt;=TIME(23,59,0),"Night",
  L571&lt;TIME(9,0,0),"Night"
))</f>
        <v/>
      </c>
      <c r="O571" t="str">
        <f t="shared" si="50"/>
        <v/>
      </c>
    </row>
    <row r="572" spans="1:15" x14ac:dyDescent="0.25">
      <c r="A572" s="49"/>
      <c r="B572" s="50"/>
      <c r="G572" t="str">
        <f t="shared" si="48"/>
        <v/>
      </c>
      <c r="H572" s="13" t="str">
        <f t="shared" si="51"/>
        <v/>
      </c>
      <c r="I572" t="str">
        <f>IFERROR(INDEX(Analysis!$D$116:$N$137, MATCH(B572, Analysis!$C$116:$C$137, 0), MATCH(C572, Analysis!$D$115:$N$115, 0)), "")</f>
        <v/>
      </c>
      <c r="J572" t="str">
        <f t="shared" si="52"/>
        <v/>
      </c>
      <c r="K572" s="28" t="str">
        <f t="shared" si="49"/>
        <v/>
      </c>
      <c r="L572" s="46" t="str">
        <f t="shared" si="53"/>
        <v/>
      </c>
      <c r="M572" t="str" cm="1">
        <f t="array" ref="M572">IF(L572="","",_xlfn.IFS(
  AND(L572&gt;=TIME(9,0,0), L572&lt;TIME(16,0,0)),"Morning",
  AND(L572&gt;=TIME(16,0,0), L572&lt;TIME(23,59,0)),"Evening",
  L572&gt;=TIME(23,59,0),"Night",
  L572&lt;TIME(9,0,0),"Night"
))</f>
        <v/>
      </c>
      <c r="O572" t="str">
        <f t="shared" si="50"/>
        <v/>
      </c>
    </row>
    <row r="573" spans="1:15" x14ac:dyDescent="0.25">
      <c r="A573" s="49"/>
      <c r="B573" s="50"/>
      <c r="G573" t="str">
        <f t="shared" si="48"/>
        <v/>
      </c>
      <c r="H573" s="13" t="str">
        <f t="shared" si="51"/>
        <v/>
      </c>
      <c r="I573" t="str">
        <f>IFERROR(INDEX(Analysis!$D$116:$N$137, MATCH(B573, Analysis!$C$116:$C$137, 0), MATCH(C573, Analysis!$D$115:$N$115, 0)), "")</f>
        <v/>
      </c>
      <c r="J573" t="str">
        <f t="shared" si="52"/>
        <v/>
      </c>
      <c r="K573" s="28" t="str">
        <f t="shared" si="49"/>
        <v/>
      </c>
      <c r="L573" s="46" t="str">
        <f t="shared" si="53"/>
        <v/>
      </c>
      <c r="M573" t="str" cm="1">
        <f t="array" ref="M573">IF(L573="","",_xlfn.IFS(
  AND(L573&gt;=TIME(9,0,0), L573&lt;TIME(16,0,0)),"Morning",
  AND(L573&gt;=TIME(16,0,0), L573&lt;TIME(23,59,0)),"Evening",
  L573&gt;=TIME(23,59,0),"Night",
  L573&lt;TIME(9,0,0),"Night"
))</f>
        <v/>
      </c>
      <c r="O573" t="str">
        <f t="shared" si="50"/>
        <v/>
      </c>
    </row>
    <row r="574" spans="1:15" x14ac:dyDescent="0.25">
      <c r="A574" s="49"/>
      <c r="B574" s="50"/>
      <c r="G574" t="str">
        <f t="shared" si="48"/>
        <v/>
      </c>
      <c r="H574" s="13" t="str">
        <f t="shared" si="51"/>
        <v/>
      </c>
      <c r="I574" t="str">
        <f>IFERROR(INDEX(Analysis!$D$116:$N$137, MATCH(B574, Analysis!$C$116:$C$137, 0), MATCH(C574, Analysis!$D$115:$N$115, 0)), "")</f>
        <v/>
      </c>
      <c r="J574" t="str">
        <f t="shared" si="52"/>
        <v/>
      </c>
      <c r="K574" s="28" t="str">
        <f t="shared" si="49"/>
        <v/>
      </c>
      <c r="L574" s="46" t="str">
        <f t="shared" si="53"/>
        <v/>
      </c>
      <c r="M574" t="str" cm="1">
        <f t="array" ref="M574">IF(L574="","",_xlfn.IFS(
  AND(L574&gt;=TIME(9,0,0), L574&lt;TIME(16,0,0)),"Morning",
  AND(L574&gt;=TIME(16,0,0), L574&lt;TIME(23,59,0)),"Evening",
  L574&gt;=TIME(23,59,0),"Night",
  L574&lt;TIME(9,0,0),"Night"
))</f>
        <v/>
      </c>
      <c r="O574" t="str">
        <f t="shared" si="50"/>
        <v/>
      </c>
    </row>
    <row r="575" spans="1:15" x14ac:dyDescent="0.25">
      <c r="A575" s="49"/>
      <c r="B575" s="50"/>
      <c r="G575" t="str">
        <f t="shared" si="48"/>
        <v/>
      </c>
      <c r="H575" s="13" t="str">
        <f t="shared" si="51"/>
        <v/>
      </c>
      <c r="I575" t="str">
        <f>IFERROR(INDEX(Analysis!$D$116:$N$137, MATCH(B575, Analysis!$C$116:$C$137, 0), MATCH(C575, Analysis!$D$115:$N$115, 0)), "")</f>
        <v/>
      </c>
      <c r="J575" t="str">
        <f t="shared" si="52"/>
        <v/>
      </c>
      <c r="K575" s="28" t="str">
        <f t="shared" si="49"/>
        <v/>
      </c>
      <c r="L575" s="46" t="str">
        <f t="shared" si="53"/>
        <v/>
      </c>
      <c r="M575" t="str" cm="1">
        <f t="array" ref="M575">IF(L575="","",_xlfn.IFS(
  AND(L575&gt;=TIME(9,0,0), L575&lt;TIME(16,0,0)),"Morning",
  AND(L575&gt;=TIME(16,0,0), L575&lt;TIME(23,59,0)),"Evening",
  L575&gt;=TIME(23,59,0),"Night",
  L575&lt;TIME(9,0,0),"Night"
))</f>
        <v/>
      </c>
      <c r="O575" t="str">
        <f t="shared" si="50"/>
        <v/>
      </c>
    </row>
    <row r="576" spans="1:15" x14ac:dyDescent="0.25">
      <c r="A576" s="49"/>
      <c r="B576" s="50"/>
      <c r="G576" t="str">
        <f t="shared" si="48"/>
        <v/>
      </c>
      <c r="H576" s="13" t="str">
        <f t="shared" si="51"/>
        <v/>
      </c>
      <c r="I576" t="str">
        <f>IFERROR(INDEX(Analysis!$D$116:$N$137, MATCH(B576, Analysis!$C$116:$C$137, 0), MATCH(C576, Analysis!$D$115:$N$115, 0)), "")</f>
        <v/>
      </c>
      <c r="J576" t="str">
        <f t="shared" si="52"/>
        <v/>
      </c>
      <c r="K576" s="28" t="str">
        <f t="shared" si="49"/>
        <v/>
      </c>
      <c r="L576" s="46" t="str">
        <f t="shared" si="53"/>
        <v/>
      </c>
      <c r="M576" t="str" cm="1">
        <f t="array" ref="M576">IF(L576="","",_xlfn.IFS(
  AND(L576&gt;=TIME(9,0,0), L576&lt;TIME(16,0,0)),"Morning",
  AND(L576&gt;=TIME(16,0,0), L576&lt;TIME(23,59,0)),"Evening",
  L576&gt;=TIME(23,59,0),"Night",
  L576&lt;TIME(9,0,0),"Night"
))</f>
        <v/>
      </c>
      <c r="O576" t="str">
        <f t="shared" si="50"/>
        <v/>
      </c>
    </row>
    <row r="577" spans="1:15" x14ac:dyDescent="0.25">
      <c r="A577" s="49"/>
      <c r="B577" s="50"/>
      <c r="G577" t="str">
        <f t="shared" si="48"/>
        <v/>
      </c>
      <c r="H577" s="13" t="str">
        <f t="shared" si="51"/>
        <v/>
      </c>
      <c r="I577" t="str">
        <f>IFERROR(INDEX(Analysis!$D$116:$N$137, MATCH(B577, Analysis!$C$116:$C$137, 0), MATCH(C577, Analysis!$D$115:$N$115, 0)), "")</f>
        <v/>
      </c>
      <c r="J577" t="str">
        <f t="shared" si="52"/>
        <v/>
      </c>
      <c r="K577" s="28" t="str">
        <f t="shared" si="49"/>
        <v/>
      </c>
      <c r="L577" s="46" t="str">
        <f t="shared" si="53"/>
        <v/>
      </c>
      <c r="M577" t="str" cm="1">
        <f t="array" ref="M577">IF(L577="","",_xlfn.IFS(
  AND(L577&gt;=TIME(9,0,0), L577&lt;TIME(16,0,0)),"Morning",
  AND(L577&gt;=TIME(16,0,0), L577&lt;TIME(23,59,0)),"Evening",
  L577&gt;=TIME(23,59,0),"Night",
  L577&lt;TIME(9,0,0),"Night"
))</f>
        <v/>
      </c>
      <c r="O577" t="str">
        <f t="shared" si="50"/>
        <v/>
      </c>
    </row>
    <row r="578" spans="1:15" x14ac:dyDescent="0.25">
      <c r="A578" s="49"/>
      <c r="B578" s="50"/>
      <c r="G578" t="str">
        <f t="shared" ref="G578:G641" si="54">IF(ISBLANK(A578), "", IF(ISBLANK(F578), 0, F578))</f>
        <v/>
      </c>
      <c r="H578" s="13" t="str">
        <f t="shared" si="51"/>
        <v/>
      </c>
      <c r="I578" t="str">
        <f>IFERROR(INDEX(Analysis!$D$116:$N$137, MATCH(B578, Analysis!$C$116:$C$137, 0), MATCH(C578, Analysis!$D$115:$N$115, 0)), "")</f>
        <v/>
      </c>
      <c r="J578" t="str">
        <f t="shared" si="52"/>
        <v/>
      </c>
      <c r="K578" s="28" t="str">
        <f t="shared" ref="K578:K641" si="55">IF(ISBLANK(A578),"",DATE(YEAR(A578),MONTH(A578),DAY(A578)))</f>
        <v/>
      </c>
      <c r="L578" s="46" t="str">
        <f t="shared" si="53"/>
        <v/>
      </c>
      <c r="M578" t="str" cm="1">
        <f t="array" ref="M578">IF(L578="","",_xlfn.IFS(
  AND(L578&gt;=TIME(9,0,0), L578&lt;TIME(16,0,0)),"Morning",
  AND(L578&gt;=TIME(16,0,0), L578&lt;TIME(23,59,0)),"Evening",
  L578&gt;=TIME(23,59,0),"Night",
  L578&lt;TIME(9,0,0),"Night"
))</f>
        <v/>
      </c>
      <c r="O578" t="str">
        <f t="shared" ref="O578:O641" si="56">IF(N578="ON", _xlfn.IMAGE(E578, 1), "")</f>
        <v/>
      </c>
    </row>
    <row r="579" spans="1:15" x14ac:dyDescent="0.25">
      <c r="A579" s="49"/>
      <c r="B579" s="50"/>
      <c r="G579" t="str">
        <f t="shared" si="54"/>
        <v/>
      </c>
      <c r="H579" s="13" t="str">
        <f t="shared" ref="H579:H642" si="57">IF(ISBLANK(E579),"",HYPERLINK(E579,"Click here"))</f>
        <v/>
      </c>
      <c r="I579" t="str">
        <f>IFERROR(INDEX(Analysis!$D$116:$N$137, MATCH(B579, Analysis!$C$116:$C$137, 0), MATCH(C579, Analysis!$D$115:$N$115, 0)), "")</f>
        <v/>
      </c>
      <c r="J579" t="str">
        <f t="shared" ref="J579:J642" si="58">IF(ISBLANK(A579),"",WEEKNUM(A579))</f>
        <v/>
      </c>
      <c r="K579" s="28" t="str">
        <f t="shared" si="55"/>
        <v/>
      </c>
      <c r="L579" s="46" t="str">
        <f t="shared" ref="L579:L642" si="59">IF(A579="", "", A579 - INT(A579))</f>
        <v/>
      </c>
      <c r="M579" t="str" cm="1">
        <f t="array" ref="M579">IF(L579="","",_xlfn.IFS(
  AND(L579&gt;=TIME(9,0,0), L579&lt;TIME(16,0,0)),"Morning",
  AND(L579&gt;=TIME(16,0,0), L579&lt;TIME(23,59,0)),"Evening",
  L579&gt;=TIME(23,59,0),"Night",
  L579&lt;TIME(9,0,0),"Night"
))</f>
        <v/>
      </c>
      <c r="O579" t="str">
        <f t="shared" si="56"/>
        <v/>
      </c>
    </row>
    <row r="580" spans="1:15" x14ac:dyDescent="0.25">
      <c r="A580" s="49"/>
      <c r="B580" s="50"/>
      <c r="G580" t="str">
        <f t="shared" si="54"/>
        <v/>
      </c>
      <c r="H580" s="13" t="str">
        <f t="shared" si="57"/>
        <v/>
      </c>
      <c r="I580" t="str">
        <f>IFERROR(INDEX(Analysis!$D$116:$N$137, MATCH(B580, Analysis!$C$116:$C$137, 0), MATCH(C580, Analysis!$D$115:$N$115, 0)), "")</f>
        <v/>
      </c>
      <c r="J580" t="str">
        <f t="shared" si="58"/>
        <v/>
      </c>
      <c r="K580" s="28" t="str">
        <f t="shared" si="55"/>
        <v/>
      </c>
      <c r="L580" s="46" t="str">
        <f t="shared" si="59"/>
        <v/>
      </c>
      <c r="M580" t="str" cm="1">
        <f t="array" ref="M580">IF(L580="","",_xlfn.IFS(
  AND(L580&gt;=TIME(9,0,0), L580&lt;TIME(16,0,0)),"Morning",
  AND(L580&gt;=TIME(16,0,0), L580&lt;TIME(23,59,0)),"Evening",
  L580&gt;=TIME(23,59,0),"Night",
  L580&lt;TIME(9,0,0),"Night"
))</f>
        <v/>
      </c>
      <c r="O580" t="str">
        <f t="shared" si="56"/>
        <v/>
      </c>
    </row>
    <row r="581" spans="1:15" x14ac:dyDescent="0.25">
      <c r="A581" s="49"/>
      <c r="B581" s="50"/>
      <c r="G581" t="str">
        <f t="shared" si="54"/>
        <v/>
      </c>
      <c r="H581" s="13" t="str">
        <f t="shared" si="57"/>
        <v/>
      </c>
      <c r="I581" t="str">
        <f>IFERROR(INDEX(Analysis!$D$116:$N$137, MATCH(B581, Analysis!$C$116:$C$137, 0), MATCH(C581, Analysis!$D$115:$N$115, 0)), "")</f>
        <v/>
      </c>
      <c r="J581" t="str">
        <f t="shared" si="58"/>
        <v/>
      </c>
      <c r="K581" s="28" t="str">
        <f t="shared" si="55"/>
        <v/>
      </c>
      <c r="L581" s="46" t="str">
        <f t="shared" si="59"/>
        <v/>
      </c>
      <c r="M581" t="str" cm="1">
        <f t="array" ref="M581">IF(L581="","",_xlfn.IFS(
  AND(L581&gt;=TIME(9,0,0), L581&lt;TIME(16,0,0)),"Morning",
  AND(L581&gt;=TIME(16,0,0), L581&lt;TIME(23,59,0)),"Evening",
  L581&gt;=TIME(23,59,0),"Night",
  L581&lt;TIME(9,0,0),"Night"
))</f>
        <v/>
      </c>
      <c r="O581" t="str">
        <f t="shared" si="56"/>
        <v/>
      </c>
    </row>
    <row r="582" spans="1:15" x14ac:dyDescent="0.25">
      <c r="A582" s="49"/>
      <c r="B582" s="50"/>
      <c r="G582" t="str">
        <f t="shared" si="54"/>
        <v/>
      </c>
      <c r="H582" s="13" t="str">
        <f t="shared" si="57"/>
        <v/>
      </c>
      <c r="I582" t="str">
        <f>IFERROR(INDEX(Analysis!$D$116:$N$137, MATCH(B582, Analysis!$C$116:$C$137, 0), MATCH(C582, Analysis!$D$115:$N$115, 0)), "")</f>
        <v/>
      </c>
      <c r="J582" t="str">
        <f t="shared" si="58"/>
        <v/>
      </c>
      <c r="K582" s="28" t="str">
        <f t="shared" si="55"/>
        <v/>
      </c>
      <c r="L582" s="46" t="str">
        <f t="shared" si="59"/>
        <v/>
      </c>
      <c r="M582" t="str" cm="1">
        <f t="array" ref="M582">IF(L582="","",_xlfn.IFS(
  AND(L582&gt;=TIME(9,0,0), L582&lt;TIME(16,0,0)),"Morning",
  AND(L582&gt;=TIME(16,0,0), L582&lt;TIME(23,59,0)),"Evening",
  L582&gt;=TIME(23,59,0),"Night",
  L582&lt;TIME(9,0,0),"Night"
))</f>
        <v/>
      </c>
      <c r="O582" t="str">
        <f t="shared" si="56"/>
        <v/>
      </c>
    </row>
    <row r="583" spans="1:15" x14ac:dyDescent="0.25">
      <c r="A583" s="49"/>
      <c r="B583" s="50"/>
      <c r="G583" t="str">
        <f t="shared" si="54"/>
        <v/>
      </c>
      <c r="H583" s="13" t="str">
        <f t="shared" si="57"/>
        <v/>
      </c>
      <c r="I583" t="str">
        <f>IFERROR(INDEX(Analysis!$D$116:$N$137, MATCH(B583, Analysis!$C$116:$C$137, 0), MATCH(C583, Analysis!$D$115:$N$115, 0)), "")</f>
        <v/>
      </c>
      <c r="J583" t="str">
        <f t="shared" si="58"/>
        <v/>
      </c>
      <c r="K583" s="28" t="str">
        <f t="shared" si="55"/>
        <v/>
      </c>
      <c r="L583" s="46" t="str">
        <f t="shared" si="59"/>
        <v/>
      </c>
      <c r="M583" t="str" cm="1">
        <f t="array" ref="M583">IF(L583="","",_xlfn.IFS(
  AND(L583&gt;=TIME(9,0,0), L583&lt;TIME(16,0,0)),"Morning",
  AND(L583&gt;=TIME(16,0,0), L583&lt;TIME(23,59,0)),"Evening",
  L583&gt;=TIME(23,59,0),"Night",
  L583&lt;TIME(9,0,0),"Night"
))</f>
        <v/>
      </c>
      <c r="O583" t="str">
        <f t="shared" si="56"/>
        <v/>
      </c>
    </row>
    <row r="584" spans="1:15" x14ac:dyDescent="0.25">
      <c r="A584" s="49"/>
      <c r="B584" s="50"/>
      <c r="G584" t="str">
        <f t="shared" si="54"/>
        <v/>
      </c>
      <c r="H584" s="13" t="str">
        <f t="shared" si="57"/>
        <v/>
      </c>
      <c r="I584" t="str">
        <f>IFERROR(INDEX(Analysis!$D$116:$N$137, MATCH(B584, Analysis!$C$116:$C$137, 0), MATCH(C584, Analysis!$D$115:$N$115, 0)), "")</f>
        <v/>
      </c>
      <c r="J584" t="str">
        <f t="shared" si="58"/>
        <v/>
      </c>
      <c r="K584" s="28" t="str">
        <f t="shared" si="55"/>
        <v/>
      </c>
      <c r="L584" s="46" t="str">
        <f t="shared" si="59"/>
        <v/>
      </c>
      <c r="M584" t="str" cm="1">
        <f t="array" ref="M584">IF(L584="","",_xlfn.IFS(
  AND(L584&gt;=TIME(9,0,0), L584&lt;TIME(16,0,0)),"Morning",
  AND(L584&gt;=TIME(16,0,0), L584&lt;TIME(23,59,0)),"Evening",
  L584&gt;=TIME(23,59,0),"Night",
  L584&lt;TIME(9,0,0),"Night"
))</f>
        <v/>
      </c>
      <c r="O584" t="str">
        <f t="shared" si="56"/>
        <v/>
      </c>
    </row>
    <row r="585" spans="1:15" x14ac:dyDescent="0.25">
      <c r="A585" s="49"/>
      <c r="B585" s="50"/>
      <c r="G585" t="str">
        <f t="shared" si="54"/>
        <v/>
      </c>
      <c r="H585" s="13" t="str">
        <f t="shared" si="57"/>
        <v/>
      </c>
      <c r="I585" t="str">
        <f>IFERROR(INDEX(Analysis!$D$116:$N$137, MATCH(B585, Analysis!$C$116:$C$137, 0), MATCH(C585, Analysis!$D$115:$N$115, 0)), "")</f>
        <v/>
      </c>
      <c r="J585" t="str">
        <f t="shared" si="58"/>
        <v/>
      </c>
      <c r="K585" s="28" t="str">
        <f t="shared" si="55"/>
        <v/>
      </c>
      <c r="L585" s="46" t="str">
        <f t="shared" si="59"/>
        <v/>
      </c>
      <c r="M585" t="str" cm="1">
        <f t="array" ref="M585">IF(L585="","",_xlfn.IFS(
  AND(L585&gt;=TIME(9,0,0), L585&lt;TIME(16,0,0)),"Morning",
  AND(L585&gt;=TIME(16,0,0), L585&lt;TIME(23,59,0)),"Evening",
  L585&gt;=TIME(23,59,0),"Night",
  L585&lt;TIME(9,0,0),"Night"
))</f>
        <v/>
      </c>
      <c r="O585" t="str">
        <f t="shared" si="56"/>
        <v/>
      </c>
    </row>
    <row r="586" spans="1:15" x14ac:dyDescent="0.25">
      <c r="A586" s="49"/>
      <c r="B586" s="50"/>
      <c r="G586" t="str">
        <f t="shared" si="54"/>
        <v/>
      </c>
      <c r="H586" s="13" t="str">
        <f t="shared" si="57"/>
        <v/>
      </c>
      <c r="I586" t="str">
        <f>IFERROR(INDEX(Analysis!$D$116:$N$137, MATCH(B586, Analysis!$C$116:$C$137, 0), MATCH(C586, Analysis!$D$115:$N$115, 0)), "")</f>
        <v/>
      </c>
      <c r="J586" t="str">
        <f t="shared" si="58"/>
        <v/>
      </c>
      <c r="K586" s="28" t="str">
        <f t="shared" si="55"/>
        <v/>
      </c>
      <c r="L586" s="46" t="str">
        <f t="shared" si="59"/>
        <v/>
      </c>
      <c r="M586" t="str" cm="1">
        <f t="array" ref="M586">IF(L586="","",_xlfn.IFS(
  AND(L586&gt;=TIME(9,0,0), L586&lt;TIME(16,0,0)),"Morning",
  AND(L586&gt;=TIME(16,0,0), L586&lt;TIME(23,59,0)),"Evening",
  L586&gt;=TIME(23,59,0),"Night",
  L586&lt;TIME(9,0,0),"Night"
))</f>
        <v/>
      </c>
      <c r="O586" t="str">
        <f t="shared" si="56"/>
        <v/>
      </c>
    </row>
    <row r="587" spans="1:15" x14ac:dyDescent="0.25">
      <c r="A587" s="49"/>
      <c r="B587" s="50"/>
      <c r="G587" t="str">
        <f t="shared" si="54"/>
        <v/>
      </c>
      <c r="H587" s="13" t="str">
        <f t="shared" si="57"/>
        <v/>
      </c>
      <c r="I587" t="str">
        <f>IFERROR(INDEX(Analysis!$D$116:$N$137, MATCH(B587, Analysis!$C$116:$C$137, 0), MATCH(C587, Analysis!$D$115:$N$115, 0)), "")</f>
        <v/>
      </c>
      <c r="J587" t="str">
        <f t="shared" si="58"/>
        <v/>
      </c>
      <c r="K587" s="28" t="str">
        <f t="shared" si="55"/>
        <v/>
      </c>
      <c r="L587" s="46" t="str">
        <f t="shared" si="59"/>
        <v/>
      </c>
      <c r="M587" t="str" cm="1">
        <f t="array" ref="M587">IF(L587="","",_xlfn.IFS(
  AND(L587&gt;=TIME(9,0,0), L587&lt;TIME(16,0,0)),"Morning",
  AND(L587&gt;=TIME(16,0,0), L587&lt;TIME(23,59,0)),"Evening",
  L587&gt;=TIME(23,59,0),"Night",
  L587&lt;TIME(9,0,0),"Night"
))</f>
        <v/>
      </c>
      <c r="O587" t="str">
        <f t="shared" si="56"/>
        <v/>
      </c>
    </row>
    <row r="588" spans="1:15" x14ac:dyDescent="0.25">
      <c r="A588" s="49"/>
      <c r="B588" s="50"/>
      <c r="G588" t="str">
        <f t="shared" si="54"/>
        <v/>
      </c>
      <c r="H588" s="13" t="str">
        <f t="shared" si="57"/>
        <v/>
      </c>
      <c r="I588" t="str">
        <f>IFERROR(INDEX(Analysis!$D$116:$N$137, MATCH(B588, Analysis!$C$116:$C$137, 0), MATCH(C588, Analysis!$D$115:$N$115, 0)), "")</f>
        <v/>
      </c>
      <c r="J588" t="str">
        <f t="shared" si="58"/>
        <v/>
      </c>
      <c r="K588" s="28" t="str">
        <f t="shared" si="55"/>
        <v/>
      </c>
      <c r="L588" s="46" t="str">
        <f t="shared" si="59"/>
        <v/>
      </c>
      <c r="M588" t="str" cm="1">
        <f t="array" ref="M588">IF(L588="","",_xlfn.IFS(
  AND(L588&gt;=TIME(9,0,0), L588&lt;TIME(16,0,0)),"Morning",
  AND(L588&gt;=TIME(16,0,0), L588&lt;TIME(23,59,0)),"Evening",
  L588&gt;=TIME(23,59,0),"Night",
  L588&lt;TIME(9,0,0),"Night"
))</f>
        <v/>
      </c>
      <c r="O588" t="str">
        <f t="shared" si="56"/>
        <v/>
      </c>
    </row>
    <row r="589" spans="1:15" x14ac:dyDescent="0.25">
      <c r="A589" s="49"/>
      <c r="B589" s="50"/>
      <c r="G589" t="str">
        <f t="shared" si="54"/>
        <v/>
      </c>
      <c r="H589" s="13" t="str">
        <f t="shared" si="57"/>
        <v/>
      </c>
      <c r="I589" t="str">
        <f>IFERROR(INDEX(Analysis!$D$116:$N$137, MATCH(B589, Analysis!$C$116:$C$137, 0), MATCH(C589, Analysis!$D$115:$N$115, 0)), "")</f>
        <v/>
      </c>
      <c r="J589" t="str">
        <f t="shared" si="58"/>
        <v/>
      </c>
      <c r="K589" s="28" t="str">
        <f t="shared" si="55"/>
        <v/>
      </c>
      <c r="L589" s="46" t="str">
        <f t="shared" si="59"/>
        <v/>
      </c>
      <c r="M589" t="str" cm="1">
        <f t="array" ref="M589">IF(L589="","",_xlfn.IFS(
  AND(L589&gt;=TIME(9,0,0), L589&lt;TIME(16,0,0)),"Morning",
  AND(L589&gt;=TIME(16,0,0), L589&lt;TIME(23,59,0)),"Evening",
  L589&gt;=TIME(23,59,0),"Night",
  L589&lt;TIME(9,0,0),"Night"
))</f>
        <v/>
      </c>
      <c r="O589" t="str">
        <f t="shared" si="56"/>
        <v/>
      </c>
    </row>
    <row r="590" spans="1:15" x14ac:dyDescent="0.25">
      <c r="A590" s="49"/>
      <c r="B590" s="50"/>
      <c r="G590" t="str">
        <f t="shared" si="54"/>
        <v/>
      </c>
      <c r="H590" s="13" t="str">
        <f t="shared" si="57"/>
        <v/>
      </c>
      <c r="I590" t="str">
        <f>IFERROR(INDEX(Analysis!$D$116:$N$137, MATCH(B590, Analysis!$C$116:$C$137, 0), MATCH(C590, Analysis!$D$115:$N$115, 0)), "")</f>
        <v/>
      </c>
      <c r="J590" t="str">
        <f t="shared" si="58"/>
        <v/>
      </c>
      <c r="K590" s="28" t="str">
        <f t="shared" si="55"/>
        <v/>
      </c>
      <c r="L590" s="46" t="str">
        <f t="shared" si="59"/>
        <v/>
      </c>
      <c r="M590" t="str" cm="1">
        <f t="array" ref="M590">IF(L590="","",_xlfn.IFS(
  AND(L590&gt;=TIME(9,0,0), L590&lt;TIME(16,0,0)),"Morning",
  AND(L590&gt;=TIME(16,0,0), L590&lt;TIME(23,59,0)),"Evening",
  L590&gt;=TIME(23,59,0),"Night",
  L590&lt;TIME(9,0,0),"Night"
))</f>
        <v/>
      </c>
      <c r="O590" t="str">
        <f t="shared" si="56"/>
        <v/>
      </c>
    </row>
    <row r="591" spans="1:15" x14ac:dyDescent="0.25">
      <c r="A591" s="49"/>
      <c r="B591" s="50"/>
      <c r="G591" t="str">
        <f t="shared" si="54"/>
        <v/>
      </c>
      <c r="H591" s="13" t="str">
        <f t="shared" si="57"/>
        <v/>
      </c>
      <c r="I591" t="str">
        <f>IFERROR(INDEX(Analysis!$D$116:$N$137, MATCH(B591, Analysis!$C$116:$C$137, 0), MATCH(C591, Analysis!$D$115:$N$115, 0)), "")</f>
        <v/>
      </c>
      <c r="J591" t="str">
        <f t="shared" si="58"/>
        <v/>
      </c>
      <c r="K591" s="28" t="str">
        <f t="shared" si="55"/>
        <v/>
      </c>
      <c r="L591" s="46" t="str">
        <f t="shared" si="59"/>
        <v/>
      </c>
      <c r="M591" t="str" cm="1">
        <f t="array" ref="M591">IF(L591="","",_xlfn.IFS(
  AND(L591&gt;=TIME(9,0,0), L591&lt;TIME(16,0,0)),"Morning",
  AND(L591&gt;=TIME(16,0,0), L591&lt;TIME(23,59,0)),"Evening",
  L591&gt;=TIME(23,59,0),"Night",
  L591&lt;TIME(9,0,0),"Night"
))</f>
        <v/>
      </c>
      <c r="O591" t="str">
        <f t="shared" si="56"/>
        <v/>
      </c>
    </row>
    <row r="592" spans="1:15" x14ac:dyDescent="0.25">
      <c r="A592" s="49"/>
      <c r="B592" s="50"/>
      <c r="G592" t="str">
        <f t="shared" si="54"/>
        <v/>
      </c>
      <c r="H592" s="13" t="str">
        <f t="shared" si="57"/>
        <v/>
      </c>
      <c r="I592" t="str">
        <f>IFERROR(INDEX(Analysis!$D$116:$N$137, MATCH(B592, Analysis!$C$116:$C$137, 0), MATCH(C592, Analysis!$D$115:$N$115, 0)), "")</f>
        <v/>
      </c>
      <c r="J592" t="str">
        <f t="shared" si="58"/>
        <v/>
      </c>
      <c r="K592" s="28" t="str">
        <f t="shared" si="55"/>
        <v/>
      </c>
      <c r="L592" s="46" t="str">
        <f t="shared" si="59"/>
        <v/>
      </c>
      <c r="M592" t="str" cm="1">
        <f t="array" ref="M592">IF(L592="","",_xlfn.IFS(
  AND(L592&gt;=TIME(9,0,0), L592&lt;TIME(16,0,0)),"Morning",
  AND(L592&gt;=TIME(16,0,0), L592&lt;TIME(23,59,0)),"Evening",
  L592&gt;=TIME(23,59,0),"Night",
  L592&lt;TIME(9,0,0),"Night"
))</f>
        <v/>
      </c>
      <c r="O592" t="str">
        <f t="shared" si="56"/>
        <v/>
      </c>
    </row>
    <row r="593" spans="1:15" x14ac:dyDescent="0.25">
      <c r="A593" s="49"/>
      <c r="B593" s="50"/>
      <c r="G593" t="str">
        <f t="shared" si="54"/>
        <v/>
      </c>
      <c r="H593" s="13" t="str">
        <f t="shared" si="57"/>
        <v/>
      </c>
      <c r="I593" t="str">
        <f>IFERROR(INDEX(Analysis!$D$116:$N$137, MATCH(B593, Analysis!$C$116:$C$137, 0), MATCH(C593, Analysis!$D$115:$N$115, 0)), "")</f>
        <v/>
      </c>
      <c r="J593" t="str">
        <f t="shared" si="58"/>
        <v/>
      </c>
      <c r="K593" s="28" t="str">
        <f t="shared" si="55"/>
        <v/>
      </c>
      <c r="L593" s="46" t="str">
        <f t="shared" si="59"/>
        <v/>
      </c>
      <c r="M593" t="str" cm="1">
        <f t="array" ref="M593">IF(L593="","",_xlfn.IFS(
  AND(L593&gt;=TIME(9,0,0), L593&lt;TIME(16,0,0)),"Morning",
  AND(L593&gt;=TIME(16,0,0), L593&lt;TIME(23,59,0)),"Evening",
  L593&gt;=TIME(23,59,0),"Night",
  L593&lt;TIME(9,0,0),"Night"
))</f>
        <v/>
      </c>
      <c r="O593" t="str">
        <f t="shared" si="56"/>
        <v/>
      </c>
    </row>
    <row r="594" spans="1:15" x14ac:dyDescent="0.25">
      <c r="A594" s="49"/>
      <c r="B594" s="50"/>
      <c r="G594" t="str">
        <f t="shared" si="54"/>
        <v/>
      </c>
      <c r="H594" s="13" t="str">
        <f t="shared" si="57"/>
        <v/>
      </c>
      <c r="I594" t="str">
        <f>IFERROR(INDEX(Analysis!$D$116:$N$137, MATCH(B594, Analysis!$C$116:$C$137, 0), MATCH(C594, Analysis!$D$115:$N$115, 0)), "")</f>
        <v/>
      </c>
      <c r="J594" t="str">
        <f t="shared" si="58"/>
        <v/>
      </c>
      <c r="K594" s="28" t="str">
        <f t="shared" si="55"/>
        <v/>
      </c>
      <c r="L594" s="46" t="str">
        <f t="shared" si="59"/>
        <v/>
      </c>
      <c r="M594" t="str" cm="1">
        <f t="array" ref="M594">IF(L594="","",_xlfn.IFS(
  AND(L594&gt;=TIME(9,0,0), L594&lt;TIME(16,0,0)),"Morning",
  AND(L594&gt;=TIME(16,0,0), L594&lt;TIME(23,59,0)),"Evening",
  L594&gt;=TIME(23,59,0),"Night",
  L594&lt;TIME(9,0,0),"Night"
))</f>
        <v/>
      </c>
      <c r="O594" t="str">
        <f t="shared" si="56"/>
        <v/>
      </c>
    </row>
    <row r="595" spans="1:15" x14ac:dyDescent="0.25">
      <c r="A595" s="49"/>
      <c r="B595" s="50"/>
      <c r="G595" t="str">
        <f t="shared" si="54"/>
        <v/>
      </c>
      <c r="H595" s="13" t="str">
        <f t="shared" si="57"/>
        <v/>
      </c>
      <c r="I595" t="str">
        <f>IFERROR(INDEX(Analysis!$D$116:$N$137, MATCH(B595, Analysis!$C$116:$C$137, 0), MATCH(C595, Analysis!$D$115:$N$115, 0)), "")</f>
        <v/>
      </c>
      <c r="J595" t="str">
        <f t="shared" si="58"/>
        <v/>
      </c>
      <c r="K595" s="28" t="str">
        <f t="shared" si="55"/>
        <v/>
      </c>
      <c r="L595" s="46" t="str">
        <f t="shared" si="59"/>
        <v/>
      </c>
      <c r="M595" t="str" cm="1">
        <f t="array" ref="M595">IF(L595="","",_xlfn.IFS(
  AND(L595&gt;=TIME(9,0,0), L595&lt;TIME(16,0,0)),"Morning",
  AND(L595&gt;=TIME(16,0,0), L595&lt;TIME(23,59,0)),"Evening",
  L595&gt;=TIME(23,59,0),"Night",
  L595&lt;TIME(9,0,0),"Night"
))</f>
        <v/>
      </c>
      <c r="O595" t="str">
        <f t="shared" si="56"/>
        <v/>
      </c>
    </row>
    <row r="596" spans="1:15" x14ac:dyDescent="0.25">
      <c r="A596" s="49"/>
      <c r="B596" s="50"/>
      <c r="G596" t="str">
        <f t="shared" si="54"/>
        <v/>
      </c>
      <c r="H596" s="13" t="str">
        <f t="shared" si="57"/>
        <v/>
      </c>
      <c r="I596" t="str">
        <f>IFERROR(INDEX(Analysis!$D$116:$N$137, MATCH(B596, Analysis!$C$116:$C$137, 0), MATCH(C596, Analysis!$D$115:$N$115, 0)), "")</f>
        <v/>
      </c>
      <c r="J596" t="str">
        <f t="shared" si="58"/>
        <v/>
      </c>
      <c r="K596" s="28" t="str">
        <f t="shared" si="55"/>
        <v/>
      </c>
      <c r="L596" s="46" t="str">
        <f t="shared" si="59"/>
        <v/>
      </c>
      <c r="M596" t="str" cm="1">
        <f t="array" ref="M596">IF(L596="","",_xlfn.IFS(
  AND(L596&gt;=TIME(9,0,0), L596&lt;TIME(16,0,0)),"Morning",
  AND(L596&gt;=TIME(16,0,0), L596&lt;TIME(23,59,0)),"Evening",
  L596&gt;=TIME(23,59,0),"Night",
  L596&lt;TIME(9,0,0),"Night"
))</f>
        <v/>
      </c>
      <c r="O596" t="str">
        <f t="shared" si="56"/>
        <v/>
      </c>
    </row>
    <row r="597" spans="1:15" x14ac:dyDescent="0.25">
      <c r="A597" s="49"/>
      <c r="B597" s="50"/>
      <c r="G597" t="str">
        <f t="shared" si="54"/>
        <v/>
      </c>
      <c r="H597" s="13" t="str">
        <f t="shared" si="57"/>
        <v/>
      </c>
      <c r="I597" t="str">
        <f>IFERROR(INDEX(Analysis!$D$116:$N$137, MATCH(B597, Analysis!$C$116:$C$137, 0), MATCH(C597, Analysis!$D$115:$N$115, 0)), "")</f>
        <v/>
      </c>
      <c r="J597" t="str">
        <f t="shared" si="58"/>
        <v/>
      </c>
      <c r="K597" s="28" t="str">
        <f t="shared" si="55"/>
        <v/>
      </c>
      <c r="L597" s="46" t="str">
        <f t="shared" si="59"/>
        <v/>
      </c>
      <c r="M597" t="str" cm="1">
        <f t="array" ref="M597">IF(L597="","",_xlfn.IFS(
  AND(L597&gt;=TIME(9,0,0), L597&lt;TIME(16,0,0)),"Morning",
  AND(L597&gt;=TIME(16,0,0), L597&lt;TIME(23,59,0)),"Evening",
  L597&gt;=TIME(23,59,0),"Night",
  L597&lt;TIME(9,0,0),"Night"
))</f>
        <v/>
      </c>
      <c r="O597" t="str">
        <f t="shared" si="56"/>
        <v/>
      </c>
    </row>
    <row r="598" spans="1:15" x14ac:dyDescent="0.25">
      <c r="A598" s="49"/>
      <c r="B598" s="50"/>
      <c r="G598" t="str">
        <f t="shared" si="54"/>
        <v/>
      </c>
      <c r="H598" s="13" t="str">
        <f t="shared" si="57"/>
        <v/>
      </c>
      <c r="I598" t="str">
        <f>IFERROR(INDEX(Analysis!$D$116:$N$137, MATCH(B598, Analysis!$C$116:$C$137, 0), MATCH(C598, Analysis!$D$115:$N$115, 0)), "")</f>
        <v/>
      </c>
      <c r="J598" t="str">
        <f t="shared" si="58"/>
        <v/>
      </c>
      <c r="K598" s="28" t="str">
        <f t="shared" si="55"/>
        <v/>
      </c>
      <c r="L598" s="46" t="str">
        <f t="shared" si="59"/>
        <v/>
      </c>
      <c r="M598" t="str" cm="1">
        <f t="array" ref="M598">IF(L598="","",_xlfn.IFS(
  AND(L598&gt;=TIME(9,0,0), L598&lt;TIME(16,0,0)),"Morning",
  AND(L598&gt;=TIME(16,0,0), L598&lt;TIME(23,59,0)),"Evening",
  L598&gt;=TIME(23,59,0),"Night",
  L598&lt;TIME(9,0,0),"Night"
))</f>
        <v/>
      </c>
      <c r="O598" t="str">
        <f t="shared" si="56"/>
        <v/>
      </c>
    </row>
    <row r="599" spans="1:15" x14ac:dyDescent="0.25">
      <c r="A599" s="49"/>
      <c r="B599" s="50"/>
      <c r="G599" t="str">
        <f t="shared" si="54"/>
        <v/>
      </c>
      <c r="H599" s="13" t="str">
        <f t="shared" si="57"/>
        <v/>
      </c>
      <c r="I599" t="str">
        <f>IFERROR(INDEX(Analysis!$D$116:$N$137, MATCH(B599, Analysis!$C$116:$C$137, 0), MATCH(C599, Analysis!$D$115:$N$115, 0)), "")</f>
        <v/>
      </c>
      <c r="J599" t="str">
        <f t="shared" si="58"/>
        <v/>
      </c>
      <c r="K599" s="28" t="str">
        <f t="shared" si="55"/>
        <v/>
      </c>
      <c r="L599" s="46" t="str">
        <f t="shared" si="59"/>
        <v/>
      </c>
      <c r="M599" t="str" cm="1">
        <f t="array" ref="M599">IF(L599="","",_xlfn.IFS(
  AND(L599&gt;=TIME(9,0,0), L599&lt;TIME(16,0,0)),"Morning",
  AND(L599&gt;=TIME(16,0,0), L599&lt;TIME(23,59,0)),"Evening",
  L599&gt;=TIME(23,59,0),"Night",
  L599&lt;TIME(9,0,0),"Night"
))</f>
        <v/>
      </c>
      <c r="O599" t="str">
        <f t="shared" si="56"/>
        <v/>
      </c>
    </row>
    <row r="600" spans="1:15" x14ac:dyDescent="0.25">
      <c r="A600" s="49"/>
      <c r="B600" s="50"/>
      <c r="G600" t="str">
        <f t="shared" si="54"/>
        <v/>
      </c>
      <c r="H600" s="13" t="str">
        <f t="shared" si="57"/>
        <v/>
      </c>
      <c r="I600" t="str">
        <f>IFERROR(INDEX(Analysis!$D$116:$N$137, MATCH(B600, Analysis!$C$116:$C$137, 0), MATCH(C600, Analysis!$D$115:$N$115, 0)), "")</f>
        <v/>
      </c>
      <c r="J600" t="str">
        <f t="shared" si="58"/>
        <v/>
      </c>
      <c r="K600" s="28" t="str">
        <f t="shared" si="55"/>
        <v/>
      </c>
      <c r="L600" s="46" t="str">
        <f t="shared" si="59"/>
        <v/>
      </c>
      <c r="M600" t="str" cm="1">
        <f t="array" ref="M600">IF(L600="","",_xlfn.IFS(
  AND(L600&gt;=TIME(9,0,0), L600&lt;TIME(16,0,0)),"Morning",
  AND(L600&gt;=TIME(16,0,0), L600&lt;TIME(23,59,0)),"Evening",
  L600&gt;=TIME(23,59,0),"Night",
  L600&lt;TIME(9,0,0),"Night"
))</f>
        <v/>
      </c>
      <c r="O600" t="str">
        <f t="shared" si="56"/>
        <v/>
      </c>
    </row>
    <row r="601" spans="1:15" x14ac:dyDescent="0.25">
      <c r="A601" s="49"/>
      <c r="B601" s="50"/>
      <c r="G601" t="str">
        <f t="shared" si="54"/>
        <v/>
      </c>
      <c r="H601" s="13" t="str">
        <f t="shared" si="57"/>
        <v/>
      </c>
      <c r="I601" t="str">
        <f>IFERROR(INDEX(Analysis!$D$116:$N$137, MATCH(B601, Analysis!$C$116:$C$137, 0), MATCH(C601, Analysis!$D$115:$N$115, 0)), "")</f>
        <v/>
      </c>
      <c r="J601" t="str">
        <f t="shared" si="58"/>
        <v/>
      </c>
      <c r="K601" s="28" t="str">
        <f t="shared" si="55"/>
        <v/>
      </c>
      <c r="L601" s="46" t="str">
        <f t="shared" si="59"/>
        <v/>
      </c>
      <c r="M601" t="str" cm="1">
        <f t="array" ref="M601">IF(L601="","",_xlfn.IFS(
  AND(L601&gt;=TIME(9,0,0), L601&lt;TIME(16,0,0)),"Morning",
  AND(L601&gt;=TIME(16,0,0), L601&lt;TIME(23,59,0)),"Evening",
  L601&gt;=TIME(23,59,0),"Night",
  L601&lt;TIME(9,0,0),"Night"
))</f>
        <v/>
      </c>
      <c r="O601" t="str">
        <f t="shared" si="56"/>
        <v/>
      </c>
    </row>
    <row r="602" spans="1:15" x14ac:dyDescent="0.25">
      <c r="A602" s="49"/>
      <c r="B602" s="50"/>
      <c r="G602" t="str">
        <f t="shared" si="54"/>
        <v/>
      </c>
      <c r="H602" s="13" t="str">
        <f t="shared" si="57"/>
        <v/>
      </c>
      <c r="I602" t="str">
        <f>IFERROR(INDEX(Analysis!$D$116:$N$137, MATCH(B602, Analysis!$C$116:$C$137, 0), MATCH(C602, Analysis!$D$115:$N$115, 0)), "")</f>
        <v/>
      </c>
      <c r="J602" t="str">
        <f t="shared" si="58"/>
        <v/>
      </c>
      <c r="K602" s="28" t="str">
        <f t="shared" si="55"/>
        <v/>
      </c>
      <c r="L602" s="46" t="str">
        <f t="shared" si="59"/>
        <v/>
      </c>
      <c r="M602" t="str" cm="1">
        <f t="array" ref="M602">IF(L602="","",_xlfn.IFS(
  AND(L602&gt;=TIME(9,0,0), L602&lt;TIME(16,0,0)),"Morning",
  AND(L602&gt;=TIME(16,0,0), L602&lt;TIME(23,59,0)),"Evening",
  L602&gt;=TIME(23,59,0),"Night",
  L602&lt;TIME(9,0,0),"Night"
))</f>
        <v/>
      </c>
      <c r="O602" t="str">
        <f t="shared" si="56"/>
        <v/>
      </c>
    </row>
    <row r="603" spans="1:15" x14ac:dyDescent="0.25">
      <c r="A603" s="49"/>
      <c r="B603" s="50"/>
      <c r="G603" t="str">
        <f t="shared" si="54"/>
        <v/>
      </c>
      <c r="H603" s="13" t="str">
        <f t="shared" si="57"/>
        <v/>
      </c>
      <c r="I603" t="str">
        <f>IFERROR(INDEX(Analysis!$D$116:$N$137, MATCH(B603, Analysis!$C$116:$C$137, 0), MATCH(C603, Analysis!$D$115:$N$115, 0)), "")</f>
        <v/>
      </c>
      <c r="J603" t="str">
        <f t="shared" si="58"/>
        <v/>
      </c>
      <c r="K603" s="28" t="str">
        <f t="shared" si="55"/>
        <v/>
      </c>
      <c r="L603" s="46" t="str">
        <f t="shared" si="59"/>
        <v/>
      </c>
      <c r="M603" t="str" cm="1">
        <f t="array" ref="M603">IF(L603="","",_xlfn.IFS(
  AND(L603&gt;=TIME(9,0,0), L603&lt;TIME(16,0,0)),"Morning",
  AND(L603&gt;=TIME(16,0,0), L603&lt;TIME(23,59,0)),"Evening",
  L603&gt;=TIME(23,59,0),"Night",
  L603&lt;TIME(9,0,0),"Night"
))</f>
        <v/>
      </c>
      <c r="O603" t="str">
        <f t="shared" si="56"/>
        <v/>
      </c>
    </row>
    <row r="604" spans="1:15" x14ac:dyDescent="0.25">
      <c r="A604" s="49"/>
      <c r="B604" s="50"/>
      <c r="G604" t="str">
        <f t="shared" si="54"/>
        <v/>
      </c>
      <c r="H604" s="13" t="str">
        <f t="shared" si="57"/>
        <v/>
      </c>
      <c r="I604" t="str">
        <f>IFERROR(INDEX(Analysis!$D$116:$N$137, MATCH(B604, Analysis!$C$116:$C$137, 0), MATCH(C604, Analysis!$D$115:$N$115, 0)), "")</f>
        <v/>
      </c>
      <c r="J604" t="str">
        <f t="shared" si="58"/>
        <v/>
      </c>
      <c r="K604" s="28" t="str">
        <f t="shared" si="55"/>
        <v/>
      </c>
      <c r="L604" s="46" t="str">
        <f t="shared" si="59"/>
        <v/>
      </c>
      <c r="M604" t="str" cm="1">
        <f t="array" ref="M604">IF(L604="","",_xlfn.IFS(
  AND(L604&gt;=TIME(9,0,0), L604&lt;TIME(16,0,0)),"Morning",
  AND(L604&gt;=TIME(16,0,0), L604&lt;TIME(23,59,0)),"Evening",
  L604&gt;=TIME(23,59,0),"Night",
  L604&lt;TIME(9,0,0),"Night"
))</f>
        <v/>
      </c>
      <c r="O604" t="str">
        <f t="shared" si="56"/>
        <v/>
      </c>
    </row>
    <row r="605" spans="1:15" x14ac:dyDescent="0.25">
      <c r="A605" s="49"/>
      <c r="B605" s="50"/>
      <c r="G605" t="str">
        <f t="shared" si="54"/>
        <v/>
      </c>
      <c r="H605" s="13" t="str">
        <f t="shared" si="57"/>
        <v/>
      </c>
      <c r="I605" t="str">
        <f>IFERROR(INDEX(Analysis!$D$116:$N$137, MATCH(B605, Analysis!$C$116:$C$137, 0), MATCH(C605, Analysis!$D$115:$N$115, 0)), "")</f>
        <v/>
      </c>
      <c r="J605" t="str">
        <f t="shared" si="58"/>
        <v/>
      </c>
      <c r="K605" s="28" t="str">
        <f t="shared" si="55"/>
        <v/>
      </c>
      <c r="L605" s="46" t="str">
        <f t="shared" si="59"/>
        <v/>
      </c>
      <c r="M605" t="str" cm="1">
        <f t="array" ref="M605">IF(L605="","",_xlfn.IFS(
  AND(L605&gt;=TIME(9,0,0), L605&lt;TIME(16,0,0)),"Morning",
  AND(L605&gt;=TIME(16,0,0), L605&lt;TIME(23,59,0)),"Evening",
  L605&gt;=TIME(23,59,0),"Night",
  L605&lt;TIME(9,0,0),"Night"
))</f>
        <v/>
      </c>
      <c r="O605" t="str">
        <f t="shared" si="56"/>
        <v/>
      </c>
    </row>
    <row r="606" spans="1:15" x14ac:dyDescent="0.25">
      <c r="A606" s="49"/>
      <c r="B606" s="50"/>
      <c r="G606" t="str">
        <f t="shared" si="54"/>
        <v/>
      </c>
      <c r="H606" s="13" t="str">
        <f t="shared" si="57"/>
        <v/>
      </c>
      <c r="I606" t="str">
        <f>IFERROR(INDEX(Analysis!$D$116:$N$137, MATCH(B606, Analysis!$C$116:$C$137, 0), MATCH(C606, Analysis!$D$115:$N$115, 0)), "")</f>
        <v/>
      </c>
      <c r="J606" t="str">
        <f t="shared" si="58"/>
        <v/>
      </c>
      <c r="K606" s="28" t="str">
        <f t="shared" si="55"/>
        <v/>
      </c>
      <c r="L606" s="46" t="str">
        <f t="shared" si="59"/>
        <v/>
      </c>
      <c r="M606" t="str" cm="1">
        <f t="array" ref="M606">IF(L606="","",_xlfn.IFS(
  AND(L606&gt;=TIME(9,0,0), L606&lt;TIME(16,0,0)),"Morning",
  AND(L606&gt;=TIME(16,0,0), L606&lt;TIME(23,59,0)),"Evening",
  L606&gt;=TIME(23,59,0),"Night",
  L606&lt;TIME(9,0,0),"Night"
))</f>
        <v/>
      </c>
      <c r="O606" t="str">
        <f t="shared" si="56"/>
        <v/>
      </c>
    </row>
    <row r="607" spans="1:15" x14ac:dyDescent="0.25">
      <c r="A607" s="49"/>
      <c r="B607" s="50"/>
      <c r="G607" t="str">
        <f t="shared" si="54"/>
        <v/>
      </c>
      <c r="H607" s="13" t="str">
        <f t="shared" si="57"/>
        <v/>
      </c>
      <c r="I607" t="str">
        <f>IFERROR(INDEX(Analysis!$D$116:$N$137, MATCH(B607, Analysis!$C$116:$C$137, 0), MATCH(C607, Analysis!$D$115:$N$115, 0)), "")</f>
        <v/>
      </c>
      <c r="J607" t="str">
        <f t="shared" si="58"/>
        <v/>
      </c>
      <c r="K607" s="28" t="str">
        <f t="shared" si="55"/>
        <v/>
      </c>
      <c r="L607" s="46" t="str">
        <f t="shared" si="59"/>
        <v/>
      </c>
      <c r="M607" t="str" cm="1">
        <f t="array" ref="M607">IF(L607="","",_xlfn.IFS(
  AND(L607&gt;=TIME(9,0,0), L607&lt;TIME(16,0,0)),"Morning",
  AND(L607&gt;=TIME(16,0,0), L607&lt;TIME(23,59,0)),"Evening",
  L607&gt;=TIME(23,59,0),"Night",
  L607&lt;TIME(9,0,0),"Night"
))</f>
        <v/>
      </c>
      <c r="O607" t="str">
        <f t="shared" si="56"/>
        <v/>
      </c>
    </row>
    <row r="608" spans="1:15" x14ac:dyDescent="0.25">
      <c r="A608" s="49"/>
      <c r="B608" s="50"/>
      <c r="G608" t="str">
        <f t="shared" si="54"/>
        <v/>
      </c>
      <c r="H608" s="13" t="str">
        <f t="shared" si="57"/>
        <v/>
      </c>
      <c r="I608" t="str">
        <f>IFERROR(INDEX(Analysis!$D$116:$N$137, MATCH(B608, Analysis!$C$116:$C$137, 0), MATCH(C608, Analysis!$D$115:$N$115, 0)), "")</f>
        <v/>
      </c>
      <c r="J608" t="str">
        <f t="shared" si="58"/>
        <v/>
      </c>
      <c r="K608" s="28" t="str">
        <f t="shared" si="55"/>
        <v/>
      </c>
      <c r="L608" s="46" t="str">
        <f t="shared" si="59"/>
        <v/>
      </c>
      <c r="M608" t="str" cm="1">
        <f t="array" ref="M608">IF(L608="","",_xlfn.IFS(
  AND(L608&gt;=TIME(9,0,0), L608&lt;TIME(16,0,0)),"Morning",
  AND(L608&gt;=TIME(16,0,0), L608&lt;TIME(23,59,0)),"Evening",
  L608&gt;=TIME(23,59,0),"Night",
  L608&lt;TIME(9,0,0),"Night"
))</f>
        <v/>
      </c>
      <c r="O608" t="str">
        <f t="shared" si="56"/>
        <v/>
      </c>
    </row>
    <row r="609" spans="1:15" x14ac:dyDescent="0.25">
      <c r="A609" s="49"/>
      <c r="B609" s="50"/>
      <c r="G609" t="str">
        <f t="shared" si="54"/>
        <v/>
      </c>
      <c r="H609" s="13" t="str">
        <f t="shared" si="57"/>
        <v/>
      </c>
      <c r="I609" t="str">
        <f>IFERROR(INDEX(Analysis!$D$116:$N$137, MATCH(B609, Analysis!$C$116:$C$137, 0), MATCH(C609, Analysis!$D$115:$N$115, 0)), "")</f>
        <v/>
      </c>
      <c r="J609" t="str">
        <f t="shared" si="58"/>
        <v/>
      </c>
      <c r="K609" s="28" t="str">
        <f t="shared" si="55"/>
        <v/>
      </c>
      <c r="L609" s="46" t="str">
        <f t="shared" si="59"/>
        <v/>
      </c>
      <c r="M609" t="str" cm="1">
        <f t="array" ref="M609">IF(L609="","",_xlfn.IFS(
  AND(L609&gt;=TIME(9,0,0), L609&lt;TIME(16,0,0)),"Morning",
  AND(L609&gt;=TIME(16,0,0), L609&lt;TIME(23,59,0)),"Evening",
  L609&gt;=TIME(23,59,0),"Night",
  L609&lt;TIME(9,0,0),"Night"
))</f>
        <v/>
      </c>
      <c r="O609" t="str">
        <f t="shared" si="56"/>
        <v/>
      </c>
    </row>
    <row r="610" spans="1:15" x14ac:dyDescent="0.25">
      <c r="A610" s="49"/>
      <c r="B610" s="50"/>
      <c r="G610" t="str">
        <f t="shared" si="54"/>
        <v/>
      </c>
      <c r="H610" s="13" t="str">
        <f t="shared" si="57"/>
        <v/>
      </c>
      <c r="I610" t="str">
        <f>IFERROR(INDEX(Analysis!$D$116:$N$137, MATCH(B610, Analysis!$C$116:$C$137, 0), MATCH(C610, Analysis!$D$115:$N$115, 0)), "")</f>
        <v/>
      </c>
      <c r="J610" t="str">
        <f t="shared" si="58"/>
        <v/>
      </c>
      <c r="K610" s="28" t="str">
        <f t="shared" si="55"/>
        <v/>
      </c>
      <c r="L610" s="46" t="str">
        <f t="shared" si="59"/>
        <v/>
      </c>
      <c r="M610" t="str" cm="1">
        <f t="array" ref="M610">IF(L610="","",_xlfn.IFS(
  AND(L610&gt;=TIME(9,0,0), L610&lt;TIME(16,0,0)),"Morning",
  AND(L610&gt;=TIME(16,0,0), L610&lt;TIME(23,59,0)),"Evening",
  L610&gt;=TIME(23,59,0),"Night",
  L610&lt;TIME(9,0,0),"Night"
))</f>
        <v/>
      </c>
      <c r="O610" t="str">
        <f t="shared" si="56"/>
        <v/>
      </c>
    </row>
    <row r="611" spans="1:15" x14ac:dyDescent="0.25">
      <c r="A611" s="49"/>
      <c r="B611" s="50"/>
      <c r="G611" t="str">
        <f t="shared" si="54"/>
        <v/>
      </c>
      <c r="H611" s="13" t="str">
        <f t="shared" si="57"/>
        <v/>
      </c>
      <c r="I611" t="str">
        <f>IFERROR(INDEX(Analysis!$D$116:$N$137, MATCH(B611, Analysis!$C$116:$C$137, 0), MATCH(C611, Analysis!$D$115:$N$115, 0)), "")</f>
        <v/>
      </c>
      <c r="J611" t="str">
        <f t="shared" si="58"/>
        <v/>
      </c>
      <c r="K611" s="28" t="str">
        <f t="shared" si="55"/>
        <v/>
      </c>
      <c r="L611" s="46" t="str">
        <f t="shared" si="59"/>
        <v/>
      </c>
      <c r="M611" t="str" cm="1">
        <f t="array" ref="M611">IF(L611="","",_xlfn.IFS(
  AND(L611&gt;=TIME(9,0,0), L611&lt;TIME(16,0,0)),"Morning",
  AND(L611&gt;=TIME(16,0,0), L611&lt;TIME(23,59,0)),"Evening",
  L611&gt;=TIME(23,59,0),"Night",
  L611&lt;TIME(9,0,0),"Night"
))</f>
        <v/>
      </c>
      <c r="O611" t="str">
        <f t="shared" si="56"/>
        <v/>
      </c>
    </row>
    <row r="612" spans="1:15" x14ac:dyDescent="0.25">
      <c r="A612" s="49"/>
      <c r="B612" s="50"/>
      <c r="G612" t="str">
        <f t="shared" si="54"/>
        <v/>
      </c>
      <c r="H612" s="13" t="str">
        <f t="shared" si="57"/>
        <v/>
      </c>
      <c r="I612" t="str">
        <f>IFERROR(INDEX(Analysis!$D$116:$N$137, MATCH(B612, Analysis!$C$116:$C$137, 0), MATCH(C612, Analysis!$D$115:$N$115, 0)), "")</f>
        <v/>
      </c>
      <c r="J612" t="str">
        <f t="shared" si="58"/>
        <v/>
      </c>
      <c r="K612" s="28" t="str">
        <f t="shared" si="55"/>
        <v/>
      </c>
      <c r="L612" s="46" t="str">
        <f t="shared" si="59"/>
        <v/>
      </c>
      <c r="M612" t="str" cm="1">
        <f t="array" ref="M612">IF(L612="","",_xlfn.IFS(
  AND(L612&gt;=TIME(9,0,0), L612&lt;TIME(16,0,0)),"Morning",
  AND(L612&gt;=TIME(16,0,0), L612&lt;TIME(23,59,0)),"Evening",
  L612&gt;=TIME(23,59,0),"Night",
  L612&lt;TIME(9,0,0),"Night"
))</f>
        <v/>
      </c>
      <c r="O612" t="str">
        <f t="shared" si="56"/>
        <v/>
      </c>
    </row>
    <row r="613" spans="1:15" x14ac:dyDescent="0.25">
      <c r="A613" s="49"/>
      <c r="B613" s="50"/>
      <c r="G613" t="str">
        <f t="shared" si="54"/>
        <v/>
      </c>
      <c r="H613" s="13" t="str">
        <f t="shared" si="57"/>
        <v/>
      </c>
      <c r="I613" t="str">
        <f>IFERROR(INDEX(Analysis!$D$116:$N$137, MATCH(B613, Analysis!$C$116:$C$137, 0), MATCH(C613, Analysis!$D$115:$N$115, 0)), "")</f>
        <v/>
      </c>
      <c r="J613" t="str">
        <f t="shared" si="58"/>
        <v/>
      </c>
      <c r="K613" s="28" t="str">
        <f t="shared" si="55"/>
        <v/>
      </c>
      <c r="L613" s="46" t="str">
        <f t="shared" si="59"/>
        <v/>
      </c>
      <c r="M613" t="str" cm="1">
        <f t="array" ref="M613">IF(L613="","",_xlfn.IFS(
  AND(L613&gt;=TIME(9,0,0), L613&lt;TIME(16,0,0)),"Morning",
  AND(L613&gt;=TIME(16,0,0), L613&lt;TIME(23,59,0)),"Evening",
  L613&gt;=TIME(23,59,0),"Night",
  L613&lt;TIME(9,0,0),"Night"
))</f>
        <v/>
      </c>
      <c r="O613" t="str">
        <f t="shared" si="56"/>
        <v/>
      </c>
    </row>
    <row r="614" spans="1:15" x14ac:dyDescent="0.25">
      <c r="A614" s="49"/>
      <c r="B614" s="50"/>
      <c r="G614" t="str">
        <f t="shared" si="54"/>
        <v/>
      </c>
      <c r="H614" s="13" t="str">
        <f t="shared" si="57"/>
        <v/>
      </c>
      <c r="I614" t="str">
        <f>IFERROR(INDEX(Analysis!$D$116:$N$137, MATCH(B614, Analysis!$C$116:$C$137, 0), MATCH(C614, Analysis!$D$115:$N$115, 0)), "")</f>
        <v/>
      </c>
      <c r="J614" t="str">
        <f t="shared" si="58"/>
        <v/>
      </c>
      <c r="K614" s="28" t="str">
        <f t="shared" si="55"/>
        <v/>
      </c>
      <c r="L614" s="46" t="str">
        <f t="shared" si="59"/>
        <v/>
      </c>
      <c r="M614" t="str" cm="1">
        <f t="array" ref="M614">IF(L614="","",_xlfn.IFS(
  AND(L614&gt;=TIME(9,0,0), L614&lt;TIME(16,0,0)),"Morning",
  AND(L614&gt;=TIME(16,0,0), L614&lt;TIME(23,59,0)),"Evening",
  L614&gt;=TIME(23,59,0),"Night",
  L614&lt;TIME(9,0,0),"Night"
))</f>
        <v/>
      </c>
      <c r="O614" t="str">
        <f t="shared" si="56"/>
        <v/>
      </c>
    </row>
    <row r="615" spans="1:15" x14ac:dyDescent="0.25">
      <c r="A615" s="49"/>
      <c r="B615" s="50"/>
      <c r="G615" t="str">
        <f t="shared" si="54"/>
        <v/>
      </c>
      <c r="H615" s="13" t="str">
        <f t="shared" si="57"/>
        <v/>
      </c>
      <c r="I615" t="str">
        <f>IFERROR(INDEX(Analysis!$D$116:$N$137, MATCH(B615, Analysis!$C$116:$C$137, 0), MATCH(C615, Analysis!$D$115:$N$115, 0)), "")</f>
        <v/>
      </c>
      <c r="J615" t="str">
        <f t="shared" si="58"/>
        <v/>
      </c>
      <c r="K615" s="28" t="str">
        <f t="shared" si="55"/>
        <v/>
      </c>
      <c r="L615" s="46" t="str">
        <f t="shared" si="59"/>
        <v/>
      </c>
      <c r="M615" t="str" cm="1">
        <f t="array" ref="M615">IF(L615="","",_xlfn.IFS(
  AND(L615&gt;=TIME(9,0,0), L615&lt;TIME(16,0,0)),"Morning",
  AND(L615&gt;=TIME(16,0,0), L615&lt;TIME(23,59,0)),"Evening",
  L615&gt;=TIME(23,59,0),"Night",
  L615&lt;TIME(9,0,0),"Night"
))</f>
        <v/>
      </c>
      <c r="O615" t="str">
        <f t="shared" si="56"/>
        <v/>
      </c>
    </row>
    <row r="616" spans="1:15" x14ac:dyDescent="0.25">
      <c r="A616" s="49"/>
      <c r="B616" s="50"/>
      <c r="G616" t="str">
        <f t="shared" si="54"/>
        <v/>
      </c>
      <c r="H616" s="13" t="str">
        <f t="shared" si="57"/>
        <v/>
      </c>
      <c r="I616" t="str">
        <f>IFERROR(INDEX(Analysis!$D$116:$N$137, MATCH(B616, Analysis!$C$116:$C$137, 0), MATCH(C616, Analysis!$D$115:$N$115, 0)), "")</f>
        <v/>
      </c>
      <c r="J616" t="str">
        <f t="shared" si="58"/>
        <v/>
      </c>
      <c r="K616" s="28" t="str">
        <f t="shared" si="55"/>
        <v/>
      </c>
      <c r="L616" s="46" t="str">
        <f t="shared" si="59"/>
        <v/>
      </c>
      <c r="M616" t="str" cm="1">
        <f t="array" ref="M616">IF(L616="","",_xlfn.IFS(
  AND(L616&gt;=TIME(9,0,0), L616&lt;TIME(16,0,0)),"Morning",
  AND(L616&gt;=TIME(16,0,0), L616&lt;TIME(23,59,0)),"Evening",
  L616&gt;=TIME(23,59,0),"Night",
  L616&lt;TIME(9,0,0),"Night"
))</f>
        <v/>
      </c>
      <c r="O616" t="str">
        <f t="shared" si="56"/>
        <v/>
      </c>
    </row>
    <row r="617" spans="1:15" x14ac:dyDescent="0.25">
      <c r="A617" s="49"/>
      <c r="B617" s="50"/>
      <c r="G617" t="str">
        <f t="shared" si="54"/>
        <v/>
      </c>
      <c r="H617" s="13" t="str">
        <f t="shared" si="57"/>
        <v/>
      </c>
      <c r="I617" t="str">
        <f>IFERROR(INDEX(Analysis!$D$116:$N$137, MATCH(B617, Analysis!$C$116:$C$137, 0), MATCH(C617, Analysis!$D$115:$N$115, 0)), "")</f>
        <v/>
      </c>
      <c r="J617" t="str">
        <f t="shared" si="58"/>
        <v/>
      </c>
      <c r="K617" s="28" t="str">
        <f t="shared" si="55"/>
        <v/>
      </c>
      <c r="L617" s="46" t="str">
        <f t="shared" si="59"/>
        <v/>
      </c>
      <c r="M617" t="str" cm="1">
        <f t="array" ref="M617">IF(L617="","",_xlfn.IFS(
  AND(L617&gt;=TIME(9,0,0), L617&lt;TIME(16,0,0)),"Morning",
  AND(L617&gt;=TIME(16,0,0), L617&lt;TIME(23,59,0)),"Evening",
  L617&gt;=TIME(23,59,0),"Night",
  L617&lt;TIME(9,0,0),"Night"
))</f>
        <v/>
      </c>
      <c r="O617" t="str">
        <f t="shared" si="56"/>
        <v/>
      </c>
    </row>
    <row r="618" spans="1:15" x14ac:dyDescent="0.25">
      <c r="A618" s="49"/>
      <c r="B618" s="50"/>
      <c r="G618" t="str">
        <f t="shared" si="54"/>
        <v/>
      </c>
      <c r="H618" s="13" t="str">
        <f t="shared" si="57"/>
        <v/>
      </c>
      <c r="I618" t="str">
        <f>IFERROR(INDEX(Analysis!$D$116:$N$137, MATCH(B618, Analysis!$C$116:$C$137, 0), MATCH(C618, Analysis!$D$115:$N$115, 0)), "")</f>
        <v/>
      </c>
      <c r="J618" t="str">
        <f t="shared" si="58"/>
        <v/>
      </c>
      <c r="K618" s="28" t="str">
        <f t="shared" si="55"/>
        <v/>
      </c>
      <c r="L618" s="46" t="str">
        <f t="shared" si="59"/>
        <v/>
      </c>
      <c r="M618" t="str" cm="1">
        <f t="array" ref="M618">IF(L618="","",_xlfn.IFS(
  AND(L618&gt;=TIME(9,0,0), L618&lt;TIME(16,0,0)),"Morning",
  AND(L618&gt;=TIME(16,0,0), L618&lt;TIME(23,59,0)),"Evening",
  L618&gt;=TIME(23,59,0),"Night",
  L618&lt;TIME(9,0,0),"Night"
))</f>
        <v/>
      </c>
      <c r="O618" t="str">
        <f t="shared" si="56"/>
        <v/>
      </c>
    </row>
    <row r="619" spans="1:15" x14ac:dyDescent="0.25">
      <c r="A619" s="49"/>
      <c r="B619" s="50"/>
      <c r="G619" t="str">
        <f t="shared" si="54"/>
        <v/>
      </c>
      <c r="H619" s="13" t="str">
        <f t="shared" si="57"/>
        <v/>
      </c>
      <c r="I619" t="str">
        <f>IFERROR(INDEX(Analysis!$D$116:$N$137, MATCH(B619, Analysis!$C$116:$C$137, 0), MATCH(C619, Analysis!$D$115:$N$115, 0)), "")</f>
        <v/>
      </c>
      <c r="J619" t="str">
        <f t="shared" si="58"/>
        <v/>
      </c>
      <c r="K619" s="28" t="str">
        <f t="shared" si="55"/>
        <v/>
      </c>
      <c r="L619" s="46" t="str">
        <f t="shared" si="59"/>
        <v/>
      </c>
      <c r="M619" t="str" cm="1">
        <f t="array" ref="M619">IF(L619="","",_xlfn.IFS(
  AND(L619&gt;=TIME(9,0,0), L619&lt;TIME(16,0,0)),"Morning",
  AND(L619&gt;=TIME(16,0,0), L619&lt;TIME(23,59,0)),"Evening",
  L619&gt;=TIME(23,59,0),"Night",
  L619&lt;TIME(9,0,0),"Night"
))</f>
        <v/>
      </c>
      <c r="O619" t="str">
        <f t="shared" si="56"/>
        <v/>
      </c>
    </row>
    <row r="620" spans="1:15" x14ac:dyDescent="0.25">
      <c r="A620" s="49"/>
      <c r="B620" s="50"/>
      <c r="G620" t="str">
        <f t="shared" si="54"/>
        <v/>
      </c>
      <c r="H620" s="13" t="str">
        <f t="shared" si="57"/>
        <v/>
      </c>
      <c r="I620" t="str">
        <f>IFERROR(INDEX(Analysis!$D$116:$N$137, MATCH(B620, Analysis!$C$116:$C$137, 0), MATCH(C620, Analysis!$D$115:$N$115, 0)), "")</f>
        <v/>
      </c>
      <c r="J620" t="str">
        <f t="shared" si="58"/>
        <v/>
      </c>
      <c r="K620" s="28" t="str">
        <f t="shared" si="55"/>
        <v/>
      </c>
      <c r="L620" s="46" t="str">
        <f t="shared" si="59"/>
        <v/>
      </c>
      <c r="M620" t="str" cm="1">
        <f t="array" ref="M620">IF(L620="","",_xlfn.IFS(
  AND(L620&gt;=TIME(9,0,0), L620&lt;TIME(16,0,0)),"Morning",
  AND(L620&gt;=TIME(16,0,0), L620&lt;TIME(23,59,0)),"Evening",
  L620&gt;=TIME(23,59,0),"Night",
  L620&lt;TIME(9,0,0),"Night"
))</f>
        <v/>
      </c>
      <c r="O620" t="str">
        <f t="shared" si="56"/>
        <v/>
      </c>
    </row>
    <row r="621" spans="1:15" x14ac:dyDescent="0.25">
      <c r="A621" s="49"/>
      <c r="B621" s="50"/>
      <c r="G621" t="str">
        <f t="shared" si="54"/>
        <v/>
      </c>
      <c r="H621" s="13" t="str">
        <f t="shared" si="57"/>
        <v/>
      </c>
      <c r="I621" t="str">
        <f>IFERROR(INDEX(Analysis!$D$116:$N$137, MATCH(B621, Analysis!$C$116:$C$137, 0), MATCH(C621, Analysis!$D$115:$N$115, 0)), "")</f>
        <v/>
      </c>
      <c r="J621" t="str">
        <f t="shared" si="58"/>
        <v/>
      </c>
      <c r="K621" s="28" t="str">
        <f t="shared" si="55"/>
        <v/>
      </c>
      <c r="L621" s="46" t="str">
        <f t="shared" si="59"/>
        <v/>
      </c>
      <c r="M621" t="str" cm="1">
        <f t="array" ref="M621">IF(L621="","",_xlfn.IFS(
  AND(L621&gt;=TIME(9,0,0), L621&lt;TIME(16,0,0)),"Morning",
  AND(L621&gt;=TIME(16,0,0), L621&lt;TIME(23,59,0)),"Evening",
  L621&gt;=TIME(23,59,0),"Night",
  L621&lt;TIME(9,0,0),"Night"
))</f>
        <v/>
      </c>
      <c r="O621" t="str">
        <f t="shared" si="56"/>
        <v/>
      </c>
    </row>
    <row r="622" spans="1:15" x14ac:dyDescent="0.25">
      <c r="A622" s="49"/>
      <c r="B622" s="50"/>
      <c r="G622" t="str">
        <f t="shared" si="54"/>
        <v/>
      </c>
      <c r="H622" s="13" t="str">
        <f t="shared" si="57"/>
        <v/>
      </c>
      <c r="I622" t="str">
        <f>IFERROR(INDEX(Analysis!$D$116:$N$137, MATCH(B622, Analysis!$C$116:$C$137, 0), MATCH(C622, Analysis!$D$115:$N$115, 0)), "")</f>
        <v/>
      </c>
      <c r="J622" t="str">
        <f t="shared" si="58"/>
        <v/>
      </c>
      <c r="K622" s="28" t="str">
        <f t="shared" si="55"/>
        <v/>
      </c>
      <c r="L622" s="46" t="str">
        <f t="shared" si="59"/>
        <v/>
      </c>
      <c r="M622" t="str" cm="1">
        <f t="array" ref="M622">IF(L622="","",_xlfn.IFS(
  AND(L622&gt;=TIME(9,0,0), L622&lt;TIME(16,0,0)),"Morning",
  AND(L622&gt;=TIME(16,0,0), L622&lt;TIME(23,59,0)),"Evening",
  L622&gt;=TIME(23,59,0),"Night",
  L622&lt;TIME(9,0,0),"Night"
))</f>
        <v/>
      </c>
      <c r="O622" t="str">
        <f t="shared" si="56"/>
        <v/>
      </c>
    </row>
    <row r="623" spans="1:15" x14ac:dyDescent="0.25">
      <c r="A623" s="49"/>
      <c r="B623" s="50"/>
      <c r="G623" t="str">
        <f t="shared" si="54"/>
        <v/>
      </c>
      <c r="H623" s="13" t="str">
        <f t="shared" si="57"/>
        <v/>
      </c>
      <c r="I623" t="str">
        <f>IFERROR(INDEX(Analysis!$D$116:$N$137, MATCH(B623, Analysis!$C$116:$C$137, 0), MATCH(C623, Analysis!$D$115:$N$115, 0)), "")</f>
        <v/>
      </c>
      <c r="J623" t="str">
        <f t="shared" si="58"/>
        <v/>
      </c>
      <c r="K623" s="28" t="str">
        <f t="shared" si="55"/>
        <v/>
      </c>
      <c r="L623" s="46" t="str">
        <f t="shared" si="59"/>
        <v/>
      </c>
      <c r="M623" t="str" cm="1">
        <f t="array" ref="M623">IF(L623="","",_xlfn.IFS(
  AND(L623&gt;=TIME(9,0,0), L623&lt;TIME(16,0,0)),"Morning",
  AND(L623&gt;=TIME(16,0,0), L623&lt;TIME(23,59,0)),"Evening",
  L623&gt;=TIME(23,59,0),"Night",
  L623&lt;TIME(9,0,0),"Night"
))</f>
        <v/>
      </c>
      <c r="O623" t="str">
        <f t="shared" si="56"/>
        <v/>
      </c>
    </row>
    <row r="624" spans="1:15" x14ac:dyDescent="0.25">
      <c r="A624" s="49"/>
      <c r="B624" s="50"/>
      <c r="G624" t="str">
        <f t="shared" si="54"/>
        <v/>
      </c>
      <c r="H624" s="13" t="str">
        <f t="shared" si="57"/>
        <v/>
      </c>
      <c r="I624" t="str">
        <f>IFERROR(INDEX(Analysis!$D$116:$N$137, MATCH(B624, Analysis!$C$116:$C$137, 0), MATCH(C624, Analysis!$D$115:$N$115, 0)), "")</f>
        <v/>
      </c>
      <c r="J624" t="str">
        <f t="shared" si="58"/>
        <v/>
      </c>
      <c r="K624" s="28" t="str">
        <f t="shared" si="55"/>
        <v/>
      </c>
      <c r="L624" s="46" t="str">
        <f t="shared" si="59"/>
        <v/>
      </c>
      <c r="M624" t="str" cm="1">
        <f t="array" ref="M624">IF(L624="","",_xlfn.IFS(
  AND(L624&gt;=TIME(9,0,0), L624&lt;TIME(16,0,0)),"Morning",
  AND(L624&gt;=TIME(16,0,0), L624&lt;TIME(23,59,0)),"Evening",
  L624&gt;=TIME(23,59,0),"Night",
  L624&lt;TIME(9,0,0),"Night"
))</f>
        <v/>
      </c>
      <c r="O624" t="str">
        <f t="shared" si="56"/>
        <v/>
      </c>
    </row>
    <row r="625" spans="1:15" x14ac:dyDescent="0.25">
      <c r="A625" s="49"/>
      <c r="B625" s="50"/>
      <c r="G625" t="str">
        <f t="shared" si="54"/>
        <v/>
      </c>
      <c r="H625" s="13" t="str">
        <f t="shared" si="57"/>
        <v/>
      </c>
      <c r="I625" t="str">
        <f>IFERROR(INDEX(Analysis!$D$116:$N$137, MATCH(B625, Analysis!$C$116:$C$137, 0), MATCH(C625, Analysis!$D$115:$N$115, 0)), "")</f>
        <v/>
      </c>
      <c r="J625" t="str">
        <f t="shared" si="58"/>
        <v/>
      </c>
      <c r="K625" s="28" t="str">
        <f t="shared" si="55"/>
        <v/>
      </c>
      <c r="L625" s="46" t="str">
        <f t="shared" si="59"/>
        <v/>
      </c>
      <c r="M625" t="str" cm="1">
        <f t="array" ref="M625">IF(L625="","",_xlfn.IFS(
  AND(L625&gt;=TIME(9,0,0), L625&lt;TIME(16,0,0)),"Morning",
  AND(L625&gt;=TIME(16,0,0), L625&lt;TIME(23,59,0)),"Evening",
  L625&gt;=TIME(23,59,0),"Night",
  L625&lt;TIME(9,0,0),"Night"
))</f>
        <v/>
      </c>
      <c r="O625" t="str">
        <f t="shared" si="56"/>
        <v/>
      </c>
    </row>
    <row r="626" spans="1:15" x14ac:dyDescent="0.25">
      <c r="A626" s="49"/>
      <c r="B626" s="50"/>
      <c r="G626" t="str">
        <f t="shared" si="54"/>
        <v/>
      </c>
      <c r="H626" s="13" t="str">
        <f t="shared" si="57"/>
        <v/>
      </c>
      <c r="I626" t="str">
        <f>IFERROR(INDEX(Analysis!$D$116:$N$137, MATCH(B626, Analysis!$C$116:$C$137, 0), MATCH(C626, Analysis!$D$115:$N$115, 0)), "")</f>
        <v/>
      </c>
      <c r="J626" t="str">
        <f t="shared" si="58"/>
        <v/>
      </c>
      <c r="K626" s="28" t="str">
        <f t="shared" si="55"/>
        <v/>
      </c>
      <c r="L626" s="46" t="str">
        <f t="shared" si="59"/>
        <v/>
      </c>
      <c r="M626" t="str" cm="1">
        <f t="array" ref="M626">IF(L626="","",_xlfn.IFS(
  AND(L626&gt;=TIME(9,0,0), L626&lt;TIME(16,0,0)),"Morning",
  AND(L626&gt;=TIME(16,0,0), L626&lt;TIME(23,59,0)),"Evening",
  L626&gt;=TIME(23,59,0),"Night",
  L626&lt;TIME(9,0,0),"Night"
))</f>
        <v/>
      </c>
      <c r="O626" t="str">
        <f t="shared" si="56"/>
        <v/>
      </c>
    </row>
    <row r="627" spans="1:15" x14ac:dyDescent="0.25">
      <c r="A627" s="49"/>
      <c r="B627" s="50"/>
      <c r="G627" t="str">
        <f t="shared" si="54"/>
        <v/>
      </c>
      <c r="H627" s="13" t="str">
        <f t="shared" si="57"/>
        <v/>
      </c>
      <c r="I627" t="str">
        <f>IFERROR(INDEX(Analysis!$D$116:$N$137, MATCH(B627, Analysis!$C$116:$C$137, 0), MATCH(C627, Analysis!$D$115:$N$115, 0)), "")</f>
        <v/>
      </c>
      <c r="J627" t="str">
        <f t="shared" si="58"/>
        <v/>
      </c>
      <c r="K627" s="28" t="str">
        <f t="shared" si="55"/>
        <v/>
      </c>
      <c r="L627" s="46" t="str">
        <f t="shared" si="59"/>
        <v/>
      </c>
      <c r="M627" t="str" cm="1">
        <f t="array" ref="M627">IF(L627="","",_xlfn.IFS(
  AND(L627&gt;=TIME(9,0,0), L627&lt;TIME(16,0,0)),"Morning",
  AND(L627&gt;=TIME(16,0,0), L627&lt;TIME(23,59,0)),"Evening",
  L627&gt;=TIME(23,59,0),"Night",
  L627&lt;TIME(9,0,0),"Night"
))</f>
        <v/>
      </c>
      <c r="O627" t="str">
        <f t="shared" si="56"/>
        <v/>
      </c>
    </row>
    <row r="628" spans="1:15" x14ac:dyDescent="0.25">
      <c r="A628" s="49"/>
      <c r="B628" s="50"/>
      <c r="G628" t="str">
        <f t="shared" si="54"/>
        <v/>
      </c>
      <c r="H628" s="13" t="str">
        <f t="shared" si="57"/>
        <v/>
      </c>
      <c r="I628" t="str">
        <f>IFERROR(INDEX(Analysis!$D$116:$N$137, MATCH(B628, Analysis!$C$116:$C$137, 0), MATCH(C628, Analysis!$D$115:$N$115, 0)), "")</f>
        <v/>
      </c>
      <c r="J628" t="str">
        <f t="shared" si="58"/>
        <v/>
      </c>
      <c r="K628" s="28" t="str">
        <f t="shared" si="55"/>
        <v/>
      </c>
      <c r="L628" s="46" t="str">
        <f t="shared" si="59"/>
        <v/>
      </c>
      <c r="M628" t="str" cm="1">
        <f t="array" ref="M628">IF(L628="","",_xlfn.IFS(
  AND(L628&gt;=TIME(9,0,0), L628&lt;TIME(16,0,0)),"Morning",
  AND(L628&gt;=TIME(16,0,0), L628&lt;TIME(23,59,0)),"Evening",
  L628&gt;=TIME(23,59,0),"Night",
  L628&lt;TIME(9,0,0),"Night"
))</f>
        <v/>
      </c>
      <c r="O628" t="str">
        <f t="shared" si="56"/>
        <v/>
      </c>
    </row>
    <row r="629" spans="1:15" x14ac:dyDescent="0.25">
      <c r="A629" s="49"/>
      <c r="B629" s="50"/>
      <c r="G629" t="str">
        <f t="shared" si="54"/>
        <v/>
      </c>
      <c r="H629" s="13" t="str">
        <f t="shared" si="57"/>
        <v/>
      </c>
      <c r="I629" t="str">
        <f>IFERROR(INDEX(Analysis!$D$116:$N$137, MATCH(B629, Analysis!$C$116:$C$137, 0), MATCH(C629, Analysis!$D$115:$N$115, 0)), "")</f>
        <v/>
      </c>
      <c r="J629" t="str">
        <f t="shared" si="58"/>
        <v/>
      </c>
      <c r="K629" s="28" t="str">
        <f t="shared" si="55"/>
        <v/>
      </c>
      <c r="L629" s="46" t="str">
        <f t="shared" si="59"/>
        <v/>
      </c>
      <c r="M629" t="str" cm="1">
        <f t="array" ref="M629">IF(L629="","",_xlfn.IFS(
  AND(L629&gt;=TIME(9,0,0), L629&lt;TIME(16,0,0)),"Morning",
  AND(L629&gt;=TIME(16,0,0), L629&lt;TIME(23,59,0)),"Evening",
  L629&gt;=TIME(23,59,0),"Night",
  L629&lt;TIME(9,0,0),"Night"
))</f>
        <v/>
      </c>
      <c r="O629" t="str">
        <f t="shared" si="56"/>
        <v/>
      </c>
    </row>
    <row r="630" spans="1:15" x14ac:dyDescent="0.25">
      <c r="A630" s="49"/>
      <c r="B630" s="50"/>
      <c r="G630" t="str">
        <f t="shared" si="54"/>
        <v/>
      </c>
      <c r="H630" s="13" t="str">
        <f t="shared" si="57"/>
        <v/>
      </c>
      <c r="I630" t="str">
        <f>IFERROR(INDEX(Analysis!$D$116:$N$137, MATCH(B630, Analysis!$C$116:$C$137, 0), MATCH(C630, Analysis!$D$115:$N$115, 0)), "")</f>
        <v/>
      </c>
      <c r="J630" t="str">
        <f t="shared" si="58"/>
        <v/>
      </c>
      <c r="K630" s="28" t="str">
        <f t="shared" si="55"/>
        <v/>
      </c>
      <c r="L630" s="46" t="str">
        <f t="shared" si="59"/>
        <v/>
      </c>
      <c r="M630" t="str" cm="1">
        <f t="array" ref="M630">IF(L630="","",_xlfn.IFS(
  AND(L630&gt;=TIME(9,0,0), L630&lt;TIME(16,0,0)),"Morning",
  AND(L630&gt;=TIME(16,0,0), L630&lt;TIME(23,59,0)),"Evening",
  L630&gt;=TIME(23,59,0),"Night",
  L630&lt;TIME(9,0,0),"Night"
))</f>
        <v/>
      </c>
      <c r="O630" t="str">
        <f t="shared" si="56"/>
        <v/>
      </c>
    </row>
    <row r="631" spans="1:15" x14ac:dyDescent="0.25">
      <c r="A631" s="49"/>
      <c r="B631" s="50"/>
      <c r="G631" t="str">
        <f t="shared" si="54"/>
        <v/>
      </c>
      <c r="H631" s="13" t="str">
        <f t="shared" si="57"/>
        <v/>
      </c>
      <c r="I631" t="str">
        <f>IFERROR(INDEX(Analysis!$D$116:$N$137, MATCH(B631, Analysis!$C$116:$C$137, 0), MATCH(C631, Analysis!$D$115:$N$115, 0)), "")</f>
        <v/>
      </c>
      <c r="J631" t="str">
        <f t="shared" si="58"/>
        <v/>
      </c>
      <c r="K631" s="28" t="str">
        <f t="shared" si="55"/>
        <v/>
      </c>
      <c r="L631" s="46" t="str">
        <f t="shared" si="59"/>
        <v/>
      </c>
      <c r="M631" t="str" cm="1">
        <f t="array" ref="M631">IF(L631="","",_xlfn.IFS(
  AND(L631&gt;=TIME(9,0,0), L631&lt;TIME(16,0,0)),"Morning",
  AND(L631&gt;=TIME(16,0,0), L631&lt;TIME(23,59,0)),"Evening",
  L631&gt;=TIME(23,59,0),"Night",
  L631&lt;TIME(9,0,0),"Night"
))</f>
        <v/>
      </c>
      <c r="O631" t="str">
        <f t="shared" si="56"/>
        <v/>
      </c>
    </row>
    <row r="632" spans="1:15" x14ac:dyDescent="0.25">
      <c r="A632" s="49"/>
      <c r="B632" s="50"/>
      <c r="G632" t="str">
        <f t="shared" si="54"/>
        <v/>
      </c>
      <c r="H632" s="13" t="str">
        <f t="shared" si="57"/>
        <v/>
      </c>
      <c r="I632" t="str">
        <f>IFERROR(INDEX(Analysis!$D$116:$N$137, MATCH(B632, Analysis!$C$116:$C$137, 0), MATCH(C632, Analysis!$D$115:$N$115, 0)), "")</f>
        <v/>
      </c>
      <c r="J632" t="str">
        <f t="shared" si="58"/>
        <v/>
      </c>
      <c r="K632" s="28" t="str">
        <f t="shared" si="55"/>
        <v/>
      </c>
      <c r="L632" s="46" t="str">
        <f t="shared" si="59"/>
        <v/>
      </c>
      <c r="M632" t="str" cm="1">
        <f t="array" ref="M632">IF(L632="","",_xlfn.IFS(
  AND(L632&gt;=TIME(9,0,0), L632&lt;TIME(16,0,0)),"Morning",
  AND(L632&gt;=TIME(16,0,0), L632&lt;TIME(23,59,0)),"Evening",
  L632&gt;=TIME(23,59,0),"Night",
  L632&lt;TIME(9,0,0),"Night"
))</f>
        <v/>
      </c>
      <c r="O632" t="str">
        <f t="shared" si="56"/>
        <v/>
      </c>
    </row>
    <row r="633" spans="1:15" x14ac:dyDescent="0.25">
      <c r="A633" s="49"/>
      <c r="B633" s="50"/>
      <c r="G633" t="str">
        <f t="shared" si="54"/>
        <v/>
      </c>
      <c r="H633" s="13" t="str">
        <f t="shared" si="57"/>
        <v/>
      </c>
      <c r="I633" t="str">
        <f>IFERROR(INDEX(Analysis!$D$116:$N$137, MATCH(B633, Analysis!$C$116:$C$137, 0), MATCH(C633, Analysis!$D$115:$N$115, 0)), "")</f>
        <v/>
      </c>
      <c r="J633" t="str">
        <f t="shared" si="58"/>
        <v/>
      </c>
      <c r="K633" s="28" t="str">
        <f t="shared" si="55"/>
        <v/>
      </c>
      <c r="L633" s="46" t="str">
        <f t="shared" si="59"/>
        <v/>
      </c>
      <c r="M633" t="str" cm="1">
        <f t="array" ref="M633">IF(L633="","",_xlfn.IFS(
  AND(L633&gt;=TIME(9,0,0), L633&lt;TIME(16,0,0)),"Morning",
  AND(L633&gt;=TIME(16,0,0), L633&lt;TIME(23,59,0)),"Evening",
  L633&gt;=TIME(23,59,0),"Night",
  L633&lt;TIME(9,0,0),"Night"
))</f>
        <v/>
      </c>
      <c r="O633" t="str">
        <f t="shared" si="56"/>
        <v/>
      </c>
    </row>
    <row r="634" spans="1:15" x14ac:dyDescent="0.25">
      <c r="A634" s="49"/>
      <c r="B634" s="50"/>
      <c r="G634" t="str">
        <f t="shared" si="54"/>
        <v/>
      </c>
      <c r="H634" s="13" t="str">
        <f t="shared" si="57"/>
        <v/>
      </c>
      <c r="I634" t="str">
        <f>IFERROR(INDEX(Analysis!$D$116:$N$137, MATCH(B634, Analysis!$C$116:$C$137, 0), MATCH(C634, Analysis!$D$115:$N$115, 0)), "")</f>
        <v/>
      </c>
      <c r="J634" t="str">
        <f t="shared" si="58"/>
        <v/>
      </c>
      <c r="K634" s="28" t="str">
        <f t="shared" si="55"/>
        <v/>
      </c>
      <c r="L634" s="46" t="str">
        <f t="shared" si="59"/>
        <v/>
      </c>
      <c r="M634" t="str" cm="1">
        <f t="array" ref="M634">IF(L634="","",_xlfn.IFS(
  AND(L634&gt;=TIME(9,0,0), L634&lt;TIME(16,0,0)),"Morning",
  AND(L634&gt;=TIME(16,0,0), L634&lt;TIME(23,59,0)),"Evening",
  L634&gt;=TIME(23,59,0),"Night",
  L634&lt;TIME(9,0,0),"Night"
))</f>
        <v/>
      </c>
      <c r="O634" t="str">
        <f t="shared" si="56"/>
        <v/>
      </c>
    </row>
    <row r="635" spans="1:15" x14ac:dyDescent="0.25">
      <c r="A635" s="49"/>
      <c r="B635" s="50"/>
      <c r="G635" t="str">
        <f t="shared" si="54"/>
        <v/>
      </c>
      <c r="H635" s="13" t="str">
        <f t="shared" si="57"/>
        <v/>
      </c>
      <c r="I635" t="str">
        <f>IFERROR(INDEX(Analysis!$D$116:$N$137, MATCH(B635, Analysis!$C$116:$C$137, 0), MATCH(C635, Analysis!$D$115:$N$115, 0)), "")</f>
        <v/>
      </c>
      <c r="J635" t="str">
        <f t="shared" si="58"/>
        <v/>
      </c>
      <c r="K635" s="28" t="str">
        <f t="shared" si="55"/>
        <v/>
      </c>
      <c r="L635" s="46" t="str">
        <f t="shared" si="59"/>
        <v/>
      </c>
      <c r="M635" t="str" cm="1">
        <f t="array" ref="M635">IF(L635="","",_xlfn.IFS(
  AND(L635&gt;=TIME(9,0,0), L635&lt;TIME(16,0,0)),"Morning",
  AND(L635&gt;=TIME(16,0,0), L635&lt;TIME(23,59,0)),"Evening",
  L635&gt;=TIME(23,59,0),"Night",
  L635&lt;TIME(9,0,0),"Night"
))</f>
        <v/>
      </c>
      <c r="O635" t="str">
        <f t="shared" si="56"/>
        <v/>
      </c>
    </row>
    <row r="636" spans="1:15" x14ac:dyDescent="0.25">
      <c r="A636" s="49"/>
      <c r="B636" s="50"/>
      <c r="G636" t="str">
        <f t="shared" si="54"/>
        <v/>
      </c>
      <c r="H636" s="13" t="str">
        <f t="shared" si="57"/>
        <v/>
      </c>
      <c r="I636" t="str">
        <f>IFERROR(INDEX(Analysis!$D$116:$N$137, MATCH(B636, Analysis!$C$116:$C$137, 0), MATCH(C636, Analysis!$D$115:$N$115, 0)), "")</f>
        <v/>
      </c>
      <c r="J636" t="str">
        <f t="shared" si="58"/>
        <v/>
      </c>
      <c r="K636" s="28" t="str">
        <f t="shared" si="55"/>
        <v/>
      </c>
      <c r="L636" s="46" t="str">
        <f t="shared" si="59"/>
        <v/>
      </c>
      <c r="M636" t="str" cm="1">
        <f t="array" ref="M636">IF(L636="","",_xlfn.IFS(
  AND(L636&gt;=TIME(9,0,0), L636&lt;TIME(16,0,0)),"Morning",
  AND(L636&gt;=TIME(16,0,0), L636&lt;TIME(23,59,0)),"Evening",
  L636&gt;=TIME(23,59,0),"Night",
  L636&lt;TIME(9,0,0),"Night"
))</f>
        <v/>
      </c>
      <c r="O636" t="str">
        <f t="shared" si="56"/>
        <v/>
      </c>
    </row>
    <row r="637" spans="1:15" x14ac:dyDescent="0.25">
      <c r="A637" s="49"/>
      <c r="B637" s="50"/>
      <c r="G637" t="str">
        <f t="shared" si="54"/>
        <v/>
      </c>
      <c r="H637" s="13" t="str">
        <f t="shared" si="57"/>
        <v/>
      </c>
      <c r="I637" t="str">
        <f>IFERROR(INDEX(Analysis!$D$116:$N$137, MATCH(B637, Analysis!$C$116:$C$137, 0), MATCH(C637, Analysis!$D$115:$N$115, 0)), "")</f>
        <v/>
      </c>
      <c r="J637" t="str">
        <f t="shared" si="58"/>
        <v/>
      </c>
      <c r="K637" s="28" t="str">
        <f t="shared" si="55"/>
        <v/>
      </c>
      <c r="L637" s="46" t="str">
        <f t="shared" si="59"/>
        <v/>
      </c>
      <c r="M637" t="str" cm="1">
        <f t="array" ref="M637">IF(L637="","",_xlfn.IFS(
  AND(L637&gt;=TIME(9,0,0), L637&lt;TIME(16,0,0)),"Morning",
  AND(L637&gt;=TIME(16,0,0), L637&lt;TIME(23,59,0)),"Evening",
  L637&gt;=TIME(23,59,0),"Night",
  L637&lt;TIME(9,0,0),"Night"
))</f>
        <v/>
      </c>
      <c r="O637" t="str">
        <f t="shared" si="56"/>
        <v/>
      </c>
    </row>
    <row r="638" spans="1:15" x14ac:dyDescent="0.25">
      <c r="A638" s="49"/>
      <c r="B638" s="50"/>
      <c r="G638" t="str">
        <f t="shared" si="54"/>
        <v/>
      </c>
      <c r="H638" s="13" t="str">
        <f t="shared" si="57"/>
        <v/>
      </c>
      <c r="I638" t="str">
        <f>IFERROR(INDEX(Analysis!$D$116:$N$137, MATCH(B638, Analysis!$C$116:$C$137, 0), MATCH(C638, Analysis!$D$115:$N$115, 0)), "")</f>
        <v/>
      </c>
      <c r="J638" t="str">
        <f t="shared" si="58"/>
        <v/>
      </c>
      <c r="K638" s="28" t="str">
        <f t="shared" si="55"/>
        <v/>
      </c>
      <c r="L638" s="46" t="str">
        <f t="shared" si="59"/>
        <v/>
      </c>
      <c r="M638" t="str" cm="1">
        <f t="array" ref="M638">IF(L638="","",_xlfn.IFS(
  AND(L638&gt;=TIME(9,0,0), L638&lt;TIME(16,0,0)),"Morning",
  AND(L638&gt;=TIME(16,0,0), L638&lt;TIME(23,59,0)),"Evening",
  L638&gt;=TIME(23,59,0),"Night",
  L638&lt;TIME(9,0,0),"Night"
))</f>
        <v/>
      </c>
      <c r="O638" t="str">
        <f t="shared" si="56"/>
        <v/>
      </c>
    </row>
    <row r="639" spans="1:15" x14ac:dyDescent="0.25">
      <c r="A639" s="49"/>
      <c r="B639" s="50"/>
      <c r="G639" t="str">
        <f t="shared" si="54"/>
        <v/>
      </c>
      <c r="H639" s="13" t="str">
        <f t="shared" si="57"/>
        <v/>
      </c>
      <c r="I639" t="str">
        <f>IFERROR(INDEX(Analysis!$D$116:$N$137, MATCH(B639, Analysis!$C$116:$C$137, 0), MATCH(C639, Analysis!$D$115:$N$115, 0)), "")</f>
        <v/>
      </c>
      <c r="J639" t="str">
        <f t="shared" si="58"/>
        <v/>
      </c>
      <c r="K639" s="28" t="str">
        <f t="shared" si="55"/>
        <v/>
      </c>
      <c r="L639" s="46" t="str">
        <f t="shared" si="59"/>
        <v/>
      </c>
      <c r="M639" t="str" cm="1">
        <f t="array" ref="M639">IF(L639="","",_xlfn.IFS(
  AND(L639&gt;=TIME(9,0,0), L639&lt;TIME(16,0,0)),"Morning",
  AND(L639&gt;=TIME(16,0,0), L639&lt;TIME(23,59,0)),"Evening",
  L639&gt;=TIME(23,59,0),"Night",
  L639&lt;TIME(9,0,0),"Night"
))</f>
        <v/>
      </c>
      <c r="O639" t="str">
        <f t="shared" si="56"/>
        <v/>
      </c>
    </row>
    <row r="640" spans="1:15" x14ac:dyDescent="0.25">
      <c r="A640" s="49"/>
      <c r="B640" s="50"/>
      <c r="G640" t="str">
        <f t="shared" si="54"/>
        <v/>
      </c>
      <c r="H640" s="13" t="str">
        <f t="shared" si="57"/>
        <v/>
      </c>
      <c r="I640" t="str">
        <f>IFERROR(INDEX(Analysis!$D$116:$N$137, MATCH(B640, Analysis!$C$116:$C$137, 0), MATCH(C640, Analysis!$D$115:$N$115, 0)), "")</f>
        <v/>
      </c>
      <c r="J640" t="str">
        <f t="shared" si="58"/>
        <v/>
      </c>
      <c r="K640" s="28" t="str">
        <f t="shared" si="55"/>
        <v/>
      </c>
      <c r="L640" s="46" t="str">
        <f t="shared" si="59"/>
        <v/>
      </c>
      <c r="M640" t="str" cm="1">
        <f t="array" ref="M640">IF(L640="","",_xlfn.IFS(
  AND(L640&gt;=TIME(9,0,0), L640&lt;TIME(16,0,0)),"Morning",
  AND(L640&gt;=TIME(16,0,0), L640&lt;TIME(23,59,0)),"Evening",
  L640&gt;=TIME(23,59,0),"Night",
  L640&lt;TIME(9,0,0),"Night"
))</f>
        <v/>
      </c>
      <c r="O640" t="str">
        <f t="shared" si="56"/>
        <v/>
      </c>
    </row>
    <row r="641" spans="1:15" x14ac:dyDescent="0.25">
      <c r="A641" s="49"/>
      <c r="B641" s="50"/>
      <c r="G641" t="str">
        <f t="shared" si="54"/>
        <v/>
      </c>
      <c r="H641" s="13" t="str">
        <f t="shared" si="57"/>
        <v/>
      </c>
      <c r="I641" t="str">
        <f>IFERROR(INDEX(Analysis!$D$116:$N$137, MATCH(B641, Analysis!$C$116:$C$137, 0), MATCH(C641, Analysis!$D$115:$N$115, 0)), "")</f>
        <v/>
      </c>
      <c r="J641" t="str">
        <f t="shared" si="58"/>
        <v/>
      </c>
      <c r="K641" s="28" t="str">
        <f t="shared" si="55"/>
        <v/>
      </c>
      <c r="L641" s="46" t="str">
        <f t="shared" si="59"/>
        <v/>
      </c>
      <c r="M641" t="str" cm="1">
        <f t="array" ref="M641">IF(L641="","",_xlfn.IFS(
  AND(L641&gt;=TIME(9,0,0), L641&lt;TIME(16,0,0)),"Morning",
  AND(L641&gt;=TIME(16,0,0), L641&lt;TIME(23,59,0)),"Evening",
  L641&gt;=TIME(23,59,0),"Night",
  L641&lt;TIME(9,0,0),"Night"
))</f>
        <v/>
      </c>
      <c r="O641" t="str">
        <f t="shared" si="56"/>
        <v/>
      </c>
    </row>
    <row r="642" spans="1:15" x14ac:dyDescent="0.25">
      <c r="A642" s="49"/>
      <c r="B642" s="50"/>
      <c r="G642" t="str">
        <f t="shared" ref="G642:G705" si="60">IF(ISBLANK(A642), "", IF(ISBLANK(F642), 0, F642))</f>
        <v/>
      </c>
      <c r="H642" s="13" t="str">
        <f t="shared" si="57"/>
        <v/>
      </c>
      <c r="I642" t="str">
        <f>IFERROR(INDEX(Analysis!$D$116:$N$137, MATCH(B642, Analysis!$C$116:$C$137, 0), MATCH(C642, Analysis!$D$115:$N$115, 0)), "")</f>
        <v/>
      </c>
      <c r="J642" t="str">
        <f t="shared" si="58"/>
        <v/>
      </c>
      <c r="K642" s="28" t="str">
        <f t="shared" ref="K642:K705" si="61">IF(ISBLANK(A642),"",DATE(YEAR(A642),MONTH(A642),DAY(A642)))</f>
        <v/>
      </c>
      <c r="L642" s="46" t="str">
        <f t="shared" si="59"/>
        <v/>
      </c>
      <c r="M642" t="str" cm="1">
        <f t="array" ref="M642">IF(L642="","",_xlfn.IFS(
  AND(L642&gt;=TIME(9,0,0), L642&lt;TIME(16,0,0)),"Morning",
  AND(L642&gt;=TIME(16,0,0), L642&lt;TIME(23,59,0)),"Evening",
  L642&gt;=TIME(23,59,0),"Night",
  L642&lt;TIME(9,0,0),"Night"
))</f>
        <v/>
      </c>
      <c r="O642" t="str">
        <f t="shared" ref="O642:O705" si="62">IF(N642="ON", _xlfn.IMAGE(E642, 1), "")</f>
        <v/>
      </c>
    </row>
    <row r="643" spans="1:15" x14ac:dyDescent="0.25">
      <c r="A643" s="49"/>
      <c r="B643" s="50"/>
      <c r="G643" t="str">
        <f t="shared" si="60"/>
        <v/>
      </c>
      <c r="H643" s="13" t="str">
        <f t="shared" ref="H643:H706" si="63">IF(ISBLANK(E643),"",HYPERLINK(E643,"Click here"))</f>
        <v/>
      </c>
      <c r="I643" t="str">
        <f>IFERROR(INDEX(Analysis!$D$116:$N$137, MATCH(B643, Analysis!$C$116:$C$137, 0), MATCH(C643, Analysis!$D$115:$N$115, 0)), "")</f>
        <v/>
      </c>
      <c r="J643" t="str">
        <f t="shared" ref="J643:J706" si="64">IF(ISBLANK(A643),"",WEEKNUM(A643))</f>
        <v/>
      </c>
      <c r="K643" s="28" t="str">
        <f t="shared" si="61"/>
        <v/>
      </c>
      <c r="L643" s="46" t="str">
        <f t="shared" ref="L643:L706" si="65">IF(A643="", "", A643 - INT(A643))</f>
        <v/>
      </c>
      <c r="M643" t="str" cm="1">
        <f t="array" ref="M643">IF(L643="","",_xlfn.IFS(
  AND(L643&gt;=TIME(9,0,0), L643&lt;TIME(16,0,0)),"Morning",
  AND(L643&gt;=TIME(16,0,0), L643&lt;TIME(23,59,0)),"Evening",
  L643&gt;=TIME(23,59,0),"Night",
  L643&lt;TIME(9,0,0),"Night"
))</f>
        <v/>
      </c>
      <c r="O643" t="str">
        <f t="shared" si="62"/>
        <v/>
      </c>
    </row>
    <row r="644" spans="1:15" x14ac:dyDescent="0.25">
      <c r="A644" s="49"/>
      <c r="B644" s="50"/>
      <c r="G644" t="str">
        <f t="shared" si="60"/>
        <v/>
      </c>
      <c r="H644" s="13" t="str">
        <f t="shared" si="63"/>
        <v/>
      </c>
      <c r="I644" t="str">
        <f>IFERROR(INDEX(Analysis!$D$116:$N$137, MATCH(B644, Analysis!$C$116:$C$137, 0), MATCH(C644, Analysis!$D$115:$N$115, 0)), "")</f>
        <v/>
      </c>
      <c r="J644" t="str">
        <f t="shared" si="64"/>
        <v/>
      </c>
      <c r="K644" s="28" t="str">
        <f t="shared" si="61"/>
        <v/>
      </c>
      <c r="L644" s="46" t="str">
        <f t="shared" si="65"/>
        <v/>
      </c>
      <c r="M644" t="str" cm="1">
        <f t="array" ref="M644">IF(L644="","",_xlfn.IFS(
  AND(L644&gt;=TIME(9,0,0), L644&lt;TIME(16,0,0)),"Morning",
  AND(L644&gt;=TIME(16,0,0), L644&lt;TIME(23,59,0)),"Evening",
  L644&gt;=TIME(23,59,0),"Night",
  L644&lt;TIME(9,0,0),"Night"
))</f>
        <v/>
      </c>
      <c r="O644" t="str">
        <f t="shared" si="62"/>
        <v/>
      </c>
    </row>
    <row r="645" spans="1:15" x14ac:dyDescent="0.25">
      <c r="A645" s="49"/>
      <c r="B645" s="50"/>
      <c r="G645" t="str">
        <f t="shared" si="60"/>
        <v/>
      </c>
      <c r="H645" s="13" t="str">
        <f t="shared" si="63"/>
        <v/>
      </c>
      <c r="I645" t="str">
        <f>IFERROR(INDEX(Analysis!$D$116:$N$137, MATCH(B645, Analysis!$C$116:$C$137, 0), MATCH(C645, Analysis!$D$115:$N$115, 0)), "")</f>
        <v/>
      </c>
      <c r="J645" t="str">
        <f t="shared" si="64"/>
        <v/>
      </c>
      <c r="K645" s="28" t="str">
        <f t="shared" si="61"/>
        <v/>
      </c>
      <c r="L645" s="46" t="str">
        <f t="shared" si="65"/>
        <v/>
      </c>
      <c r="M645" t="str" cm="1">
        <f t="array" ref="M645">IF(L645="","",_xlfn.IFS(
  AND(L645&gt;=TIME(9,0,0), L645&lt;TIME(16,0,0)),"Morning",
  AND(L645&gt;=TIME(16,0,0), L645&lt;TIME(23,59,0)),"Evening",
  L645&gt;=TIME(23,59,0),"Night",
  L645&lt;TIME(9,0,0),"Night"
))</f>
        <v/>
      </c>
      <c r="O645" t="str">
        <f t="shared" si="62"/>
        <v/>
      </c>
    </row>
    <row r="646" spans="1:15" x14ac:dyDescent="0.25">
      <c r="A646" s="49"/>
      <c r="B646" s="50"/>
      <c r="G646" t="str">
        <f t="shared" si="60"/>
        <v/>
      </c>
      <c r="H646" s="13" t="str">
        <f t="shared" si="63"/>
        <v/>
      </c>
      <c r="I646" t="str">
        <f>IFERROR(INDEX(Analysis!$D$116:$N$137, MATCH(B646, Analysis!$C$116:$C$137, 0), MATCH(C646, Analysis!$D$115:$N$115, 0)), "")</f>
        <v/>
      </c>
      <c r="J646" t="str">
        <f t="shared" si="64"/>
        <v/>
      </c>
      <c r="K646" s="28" t="str">
        <f t="shared" si="61"/>
        <v/>
      </c>
      <c r="L646" s="46" t="str">
        <f t="shared" si="65"/>
        <v/>
      </c>
      <c r="M646" t="str" cm="1">
        <f t="array" ref="M646">IF(L646="","",_xlfn.IFS(
  AND(L646&gt;=TIME(9,0,0), L646&lt;TIME(16,0,0)),"Morning",
  AND(L646&gt;=TIME(16,0,0), L646&lt;TIME(23,59,0)),"Evening",
  L646&gt;=TIME(23,59,0),"Night",
  L646&lt;TIME(9,0,0),"Night"
))</f>
        <v/>
      </c>
      <c r="O646" t="str">
        <f t="shared" si="62"/>
        <v/>
      </c>
    </row>
    <row r="647" spans="1:15" x14ac:dyDescent="0.25">
      <c r="A647" s="49"/>
      <c r="B647" s="50"/>
      <c r="G647" t="str">
        <f t="shared" si="60"/>
        <v/>
      </c>
      <c r="H647" s="13" t="str">
        <f t="shared" si="63"/>
        <v/>
      </c>
      <c r="I647" t="str">
        <f>IFERROR(INDEX(Analysis!$D$116:$N$137, MATCH(B647, Analysis!$C$116:$C$137, 0), MATCH(C647, Analysis!$D$115:$N$115, 0)), "")</f>
        <v/>
      </c>
      <c r="J647" t="str">
        <f t="shared" si="64"/>
        <v/>
      </c>
      <c r="K647" s="28" t="str">
        <f t="shared" si="61"/>
        <v/>
      </c>
      <c r="L647" s="46" t="str">
        <f t="shared" si="65"/>
        <v/>
      </c>
      <c r="M647" t="str" cm="1">
        <f t="array" ref="M647">IF(L647="","",_xlfn.IFS(
  AND(L647&gt;=TIME(9,0,0), L647&lt;TIME(16,0,0)),"Morning",
  AND(L647&gt;=TIME(16,0,0), L647&lt;TIME(23,59,0)),"Evening",
  L647&gt;=TIME(23,59,0),"Night",
  L647&lt;TIME(9,0,0),"Night"
))</f>
        <v/>
      </c>
      <c r="O647" t="str">
        <f t="shared" si="62"/>
        <v/>
      </c>
    </row>
    <row r="648" spans="1:15" x14ac:dyDescent="0.25">
      <c r="A648" s="49"/>
      <c r="B648" s="50"/>
      <c r="G648" t="str">
        <f t="shared" si="60"/>
        <v/>
      </c>
      <c r="H648" s="13" t="str">
        <f t="shared" si="63"/>
        <v/>
      </c>
      <c r="I648" t="str">
        <f>IFERROR(INDEX(Analysis!$D$116:$N$137, MATCH(B648, Analysis!$C$116:$C$137, 0), MATCH(C648, Analysis!$D$115:$N$115, 0)), "")</f>
        <v/>
      </c>
      <c r="J648" t="str">
        <f t="shared" si="64"/>
        <v/>
      </c>
      <c r="K648" s="28" t="str">
        <f t="shared" si="61"/>
        <v/>
      </c>
      <c r="L648" s="46" t="str">
        <f t="shared" si="65"/>
        <v/>
      </c>
      <c r="M648" t="str" cm="1">
        <f t="array" ref="M648">IF(L648="","",_xlfn.IFS(
  AND(L648&gt;=TIME(9,0,0), L648&lt;TIME(16,0,0)),"Morning",
  AND(L648&gt;=TIME(16,0,0), L648&lt;TIME(23,59,0)),"Evening",
  L648&gt;=TIME(23,59,0),"Night",
  L648&lt;TIME(9,0,0),"Night"
))</f>
        <v/>
      </c>
      <c r="O648" t="str">
        <f t="shared" si="62"/>
        <v/>
      </c>
    </row>
    <row r="649" spans="1:15" x14ac:dyDescent="0.25">
      <c r="A649" s="49"/>
      <c r="B649" s="50"/>
      <c r="G649" t="str">
        <f t="shared" si="60"/>
        <v/>
      </c>
      <c r="H649" s="13" t="str">
        <f t="shared" si="63"/>
        <v/>
      </c>
      <c r="I649" t="str">
        <f>IFERROR(INDEX(Analysis!$D$116:$N$137, MATCH(B649, Analysis!$C$116:$C$137, 0), MATCH(C649, Analysis!$D$115:$N$115, 0)), "")</f>
        <v/>
      </c>
      <c r="J649" t="str">
        <f t="shared" si="64"/>
        <v/>
      </c>
      <c r="K649" s="28" t="str">
        <f t="shared" si="61"/>
        <v/>
      </c>
      <c r="L649" s="46" t="str">
        <f t="shared" si="65"/>
        <v/>
      </c>
      <c r="M649" t="str" cm="1">
        <f t="array" ref="M649">IF(L649="","",_xlfn.IFS(
  AND(L649&gt;=TIME(9,0,0), L649&lt;TIME(16,0,0)),"Morning",
  AND(L649&gt;=TIME(16,0,0), L649&lt;TIME(23,59,0)),"Evening",
  L649&gt;=TIME(23,59,0),"Night",
  L649&lt;TIME(9,0,0),"Night"
))</f>
        <v/>
      </c>
      <c r="O649" t="str">
        <f t="shared" si="62"/>
        <v/>
      </c>
    </row>
    <row r="650" spans="1:15" x14ac:dyDescent="0.25">
      <c r="A650" s="49"/>
      <c r="B650" s="50"/>
      <c r="G650" t="str">
        <f t="shared" si="60"/>
        <v/>
      </c>
      <c r="H650" s="13" t="str">
        <f t="shared" si="63"/>
        <v/>
      </c>
      <c r="I650" t="str">
        <f>IFERROR(INDEX(Analysis!$D$116:$N$137, MATCH(B650, Analysis!$C$116:$C$137, 0), MATCH(C650, Analysis!$D$115:$N$115, 0)), "")</f>
        <v/>
      </c>
      <c r="J650" t="str">
        <f t="shared" si="64"/>
        <v/>
      </c>
      <c r="K650" s="28" t="str">
        <f t="shared" si="61"/>
        <v/>
      </c>
      <c r="L650" s="46" t="str">
        <f t="shared" si="65"/>
        <v/>
      </c>
      <c r="M650" t="str" cm="1">
        <f t="array" ref="M650">IF(L650="","",_xlfn.IFS(
  AND(L650&gt;=TIME(9,0,0), L650&lt;TIME(16,0,0)),"Morning",
  AND(L650&gt;=TIME(16,0,0), L650&lt;TIME(23,59,0)),"Evening",
  L650&gt;=TIME(23,59,0),"Night",
  L650&lt;TIME(9,0,0),"Night"
))</f>
        <v/>
      </c>
      <c r="O650" t="str">
        <f t="shared" si="62"/>
        <v/>
      </c>
    </row>
    <row r="651" spans="1:15" x14ac:dyDescent="0.25">
      <c r="A651" s="49"/>
      <c r="B651" s="50"/>
      <c r="G651" t="str">
        <f t="shared" si="60"/>
        <v/>
      </c>
      <c r="H651" s="13" t="str">
        <f t="shared" si="63"/>
        <v/>
      </c>
      <c r="I651" t="str">
        <f>IFERROR(INDEX(Analysis!$D$116:$N$137, MATCH(B651, Analysis!$C$116:$C$137, 0), MATCH(C651, Analysis!$D$115:$N$115, 0)), "")</f>
        <v/>
      </c>
      <c r="J651" t="str">
        <f t="shared" si="64"/>
        <v/>
      </c>
      <c r="K651" s="28" t="str">
        <f t="shared" si="61"/>
        <v/>
      </c>
      <c r="L651" s="46" t="str">
        <f t="shared" si="65"/>
        <v/>
      </c>
      <c r="M651" t="str" cm="1">
        <f t="array" ref="M651">IF(L651="","",_xlfn.IFS(
  AND(L651&gt;=TIME(9,0,0), L651&lt;TIME(16,0,0)),"Morning",
  AND(L651&gt;=TIME(16,0,0), L651&lt;TIME(23,59,0)),"Evening",
  L651&gt;=TIME(23,59,0),"Night",
  L651&lt;TIME(9,0,0),"Night"
))</f>
        <v/>
      </c>
      <c r="O651" t="str">
        <f t="shared" si="62"/>
        <v/>
      </c>
    </row>
    <row r="652" spans="1:15" x14ac:dyDescent="0.25">
      <c r="A652" s="49"/>
      <c r="B652" s="50"/>
      <c r="G652" t="str">
        <f t="shared" si="60"/>
        <v/>
      </c>
      <c r="H652" s="13" t="str">
        <f t="shared" si="63"/>
        <v/>
      </c>
      <c r="I652" t="str">
        <f>IFERROR(INDEX(Analysis!$D$116:$N$137, MATCH(B652, Analysis!$C$116:$C$137, 0), MATCH(C652, Analysis!$D$115:$N$115, 0)), "")</f>
        <v/>
      </c>
      <c r="J652" t="str">
        <f t="shared" si="64"/>
        <v/>
      </c>
      <c r="K652" s="28" t="str">
        <f t="shared" si="61"/>
        <v/>
      </c>
      <c r="L652" s="46" t="str">
        <f t="shared" si="65"/>
        <v/>
      </c>
      <c r="M652" t="str" cm="1">
        <f t="array" ref="M652">IF(L652="","",_xlfn.IFS(
  AND(L652&gt;=TIME(9,0,0), L652&lt;TIME(16,0,0)),"Morning",
  AND(L652&gt;=TIME(16,0,0), L652&lt;TIME(23,59,0)),"Evening",
  L652&gt;=TIME(23,59,0),"Night",
  L652&lt;TIME(9,0,0),"Night"
))</f>
        <v/>
      </c>
      <c r="O652" t="str">
        <f t="shared" si="62"/>
        <v/>
      </c>
    </row>
    <row r="653" spans="1:15" x14ac:dyDescent="0.25">
      <c r="A653" s="49"/>
      <c r="B653" s="50"/>
      <c r="G653" t="str">
        <f t="shared" si="60"/>
        <v/>
      </c>
      <c r="H653" s="13" t="str">
        <f t="shared" si="63"/>
        <v/>
      </c>
      <c r="I653" t="str">
        <f>IFERROR(INDEX(Analysis!$D$116:$N$137, MATCH(B653, Analysis!$C$116:$C$137, 0), MATCH(C653, Analysis!$D$115:$N$115, 0)), "")</f>
        <v/>
      </c>
      <c r="J653" t="str">
        <f t="shared" si="64"/>
        <v/>
      </c>
      <c r="K653" s="28" t="str">
        <f t="shared" si="61"/>
        <v/>
      </c>
      <c r="L653" s="46" t="str">
        <f t="shared" si="65"/>
        <v/>
      </c>
      <c r="M653" t="str" cm="1">
        <f t="array" ref="M653">IF(L653="","",_xlfn.IFS(
  AND(L653&gt;=TIME(9,0,0), L653&lt;TIME(16,0,0)),"Morning",
  AND(L653&gt;=TIME(16,0,0), L653&lt;TIME(23,59,0)),"Evening",
  L653&gt;=TIME(23,59,0),"Night",
  L653&lt;TIME(9,0,0),"Night"
))</f>
        <v/>
      </c>
      <c r="O653" t="str">
        <f t="shared" si="62"/>
        <v/>
      </c>
    </row>
    <row r="654" spans="1:15" x14ac:dyDescent="0.25">
      <c r="A654" s="49"/>
      <c r="B654" s="50"/>
      <c r="G654" t="str">
        <f t="shared" si="60"/>
        <v/>
      </c>
      <c r="H654" s="13" t="str">
        <f t="shared" si="63"/>
        <v/>
      </c>
      <c r="I654" t="str">
        <f>IFERROR(INDEX(Analysis!$D$116:$N$137, MATCH(B654, Analysis!$C$116:$C$137, 0), MATCH(C654, Analysis!$D$115:$N$115, 0)), "")</f>
        <v/>
      </c>
      <c r="J654" t="str">
        <f t="shared" si="64"/>
        <v/>
      </c>
      <c r="K654" s="28" t="str">
        <f t="shared" si="61"/>
        <v/>
      </c>
      <c r="L654" s="46" t="str">
        <f t="shared" si="65"/>
        <v/>
      </c>
      <c r="M654" t="str" cm="1">
        <f t="array" ref="M654">IF(L654="","",_xlfn.IFS(
  AND(L654&gt;=TIME(9,0,0), L654&lt;TIME(16,0,0)),"Morning",
  AND(L654&gt;=TIME(16,0,0), L654&lt;TIME(23,59,0)),"Evening",
  L654&gt;=TIME(23,59,0),"Night",
  L654&lt;TIME(9,0,0),"Night"
))</f>
        <v/>
      </c>
      <c r="O654" t="str">
        <f t="shared" si="62"/>
        <v/>
      </c>
    </row>
    <row r="655" spans="1:15" x14ac:dyDescent="0.25">
      <c r="A655" s="49"/>
      <c r="B655" s="50"/>
      <c r="G655" t="str">
        <f t="shared" si="60"/>
        <v/>
      </c>
      <c r="H655" s="13" t="str">
        <f t="shared" si="63"/>
        <v/>
      </c>
      <c r="I655" t="str">
        <f>IFERROR(INDEX(Analysis!$D$116:$N$137, MATCH(B655, Analysis!$C$116:$C$137, 0), MATCH(C655, Analysis!$D$115:$N$115, 0)), "")</f>
        <v/>
      </c>
      <c r="J655" t="str">
        <f t="shared" si="64"/>
        <v/>
      </c>
      <c r="K655" s="28" t="str">
        <f t="shared" si="61"/>
        <v/>
      </c>
      <c r="L655" s="46" t="str">
        <f t="shared" si="65"/>
        <v/>
      </c>
      <c r="M655" t="str" cm="1">
        <f t="array" ref="M655">IF(L655="","",_xlfn.IFS(
  AND(L655&gt;=TIME(9,0,0), L655&lt;TIME(16,0,0)),"Morning",
  AND(L655&gt;=TIME(16,0,0), L655&lt;TIME(23,59,0)),"Evening",
  L655&gt;=TIME(23,59,0),"Night",
  L655&lt;TIME(9,0,0),"Night"
))</f>
        <v/>
      </c>
      <c r="O655" t="str">
        <f t="shared" si="62"/>
        <v/>
      </c>
    </row>
    <row r="656" spans="1:15" x14ac:dyDescent="0.25">
      <c r="A656" s="49"/>
      <c r="B656" s="50"/>
      <c r="G656" t="str">
        <f t="shared" si="60"/>
        <v/>
      </c>
      <c r="H656" s="13" t="str">
        <f t="shared" si="63"/>
        <v/>
      </c>
      <c r="I656" t="str">
        <f>IFERROR(INDEX(Analysis!$D$116:$N$137, MATCH(B656, Analysis!$C$116:$C$137, 0), MATCH(C656, Analysis!$D$115:$N$115, 0)), "")</f>
        <v/>
      </c>
      <c r="J656" t="str">
        <f t="shared" si="64"/>
        <v/>
      </c>
      <c r="K656" s="28" t="str">
        <f t="shared" si="61"/>
        <v/>
      </c>
      <c r="L656" s="46" t="str">
        <f t="shared" si="65"/>
        <v/>
      </c>
      <c r="M656" t="str" cm="1">
        <f t="array" ref="M656">IF(L656="","",_xlfn.IFS(
  AND(L656&gt;=TIME(9,0,0), L656&lt;TIME(16,0,0)),"Morning",
  AND(L656&gt;=TIME(16,0,0), L656&lt;TIME(23,59,0)),"Evening",
  L656&gt;=TIME(23,59,0),"Night",
  L656&lt;TIME(9,0,0),"Night"
))</f>
        <v/>
      </c>
      <c r="O656" t="str">
        <f t="shared" si="62"/>
        <v/>
      </c>
    </row>
    <row r="657" spans="1:15" x14ac:dyDescent="0.25">
      <c r="A657" s="49"/>
      <c r="B657" s="50"/>
      <c r="G657" t="str">
        <f t="shared" si="60"/>
        <v/>
      </c>
      <c r="H657" s="13" t="str">
        <f t="shared" si="63"/>
        <v/>
      </c>
      <c r="I657" t="str">
        <f>IFERROR(INDEX(Analysis!$D$116:$N$137, MATCH(B657, Analysis!$C$116:$C$137, 0), MATCH(C657, Analysis!$D$115:$N$115, 0)), "")</f>
        <v/>
      </c>
      <c r="J657" t="str">
        <f t="shared" si="64"/>
        <v/>
      </c>
      <c r="K657" s="28" t="str">
        <f t="shared" si="61"/>
        <v/>
      </c>
      <c r="L657" s="46" t="str">
        <f t="shared" si="65"/>
        <v/>
      </c>
      <c r="M657" t="str" cm="1">
        <f t="array" ref="M657">IF(L657="","",_xlfn.IFS(
  AND(L657&gt;=TIME(9,0,0), L657&lt;TIME(16,0,0)),"Morning",
  AND(L657&gt;=TIME(16,0,0), L657&lt;TIME(23,59,0)),"Evening",
  L657&gt;=TIME(23,59,0),"Night",
  L657&lt;TIME(9,0,0),"Night"
))</f>
        <v/>
      </c>
      <c r="O657" t="str">
        <f t="shared" si="62"/>
        <v/>
      </c>
    </row>
    <row r="658" spans="1:15" x14ac:dyDescent="0.25">
      <c r="A658" s="49"/>
      <c r="B658" s="50"/>
      <c r="G658" t="str">
        <f t="shared" si="60"/>
        <v/>
      </c>
      <c r="H658" s="13" t="str">
        <f t="shared" si="63"/>
        <v/>
      </c>
      <c r="I658" t="str">
        <f>IFERROR(INDEX(Analysis!$D$116:$N$137, MATCH(B658, Analysis!$C$116:$C$137, 0), MATCH(C658, Analysis!$D$115:$N$115, 0)), "")</f>
        <v/>
      </c>
      <c r="J658" t="str">
        <f t="shared" si="64"/>
        <v/>
      </c>
      <c r="K658" s="28" t="str">
        <f t="shared" si="61"/>
        <v/>
      </c>
      <c r="L658" s="46" t="str">
        <f t="shared" si="65"/>
        <v/>
      </c>
      <c r="M658" t="str" cm="1">
        <f t="array" ref="M658">IF(L658="","",_xlfn.IFS(
  AND(L658&gt;=TIME(9,0,0), L658&lt;TIME(16,0,0)),"Morning",
  AND(L658&gt;=TIME(16,0,0), L658&lt;TIME(23,59,0)),"Evening",
  L658&gt;=TIME(23,59,0),"Night",
  L658&lt;TIME(9,0,0),"Night"
))</f>
        <v/>
      </c>
      <c r="O658" t="str">
        <f t="shared" si="62"/>
        <v/>
      </c>
    </row>
    <row r="659" spans="1:15" x14ac:dyDescent="0.25">
      <c r="A659" s="49"/>
      <c r="B659" s="50"/>
      <c r="G659" t="str">
        <f t="shared" si="60"/>
        <v/>
      </c>
      <c r="H659" s="13" t="str">
        <f t="shared" si="63"/>
        <v/>
      </c>
      <c r="I659" t="str">
        <f>IFERROR(INDEX(Analysis!$D$116:$N$137, MATCH(B659, Analysis!$C$116:$C$137, 0), MATCH(C659, Analysis!$D$115:$N$115, 0)), "")</f>
        <v/>
      </c>
      <c r="J659" t="str">
        <f t="shared" si="64"/>
        <v/>
      </c>
      <c r="K659" s="28" t="str">
        <f t="shared" si="61"/>
        <v/>
      </c>
      <c r="L659" s="46" t="str">
        <f t="shared" si="65"/>
        <v/>
      </c>
      <c r="M659" t="str" cm="1">
        <f t="array" ref="M659">IF(L659="","",_xlfn.IFS(
  AND(L659&gt;=TIME(9,0,0), L659&lt;TIME(16,0,0)),"Morning",
  AND(L659&gt;=TIME(16,0,0), L659&lt;TIME(23,59,0)),"Evening",
  L659&gt;=TIME(23,59,0),"Night",
  L659&lt;TIME(9,0,0),"Night"
))</f>
        <v/>
      </c>
      <c r="O659" t="str">
        <f t="shared" si="62"/>
        <v/>
      </c>
    </row>
    <row r="660" spans="1:15" x14ac:dyDescent="0.25">
      <c r="A660" s="49"/>
      <c r="B660" s="50"/>
      <c r="G660" t="str">
        <f t="shared" si="60"/>
        <v/>
      </c>
      <c r="H660" s="13" t="str">
        <f t="shared" si="63"/>
        <v/>
      </c>
      <c r="I660" t="str">
        <f>IFERROR(INDEX(Analysis!$D$116:$N$137, MATCH(B660, Analysis!$C$116:$C$137, 0), MATCH(C660, Analysis!$D$115:$N$115, 0)), "")</f>
        <v/>
      </c>
      <c r="J660" t="str">
        <f t="shared" si="64"/>
        <v/>
      </c>
      <c r="K660" s="28" t="str">
        <f t="shared" si="61"/>
        <v/>
      </c>
      <c r="L660" s="46" t="str">
        <f t="shared" si="65"/>
        <v/>
      </c>
      <c r="M660" t="str" cm="1">
        <f t="array" ref="M660">IF(L660="","",_xlfn.IFS(
  AND(L660&gt;=TIME(9,0,0), L660&lt;TIME(16,0,0)),"Morning",
  AND(L660&gt;=TIME(16,0,0), L660&lt;TIME(23,59,0)),"Evening",
  L660&gt;=TIME(23,59,0),"Night",
  L660&lt;TIME(9,0,0),"Night"
))</f>
        <v/>
      </c>
      <c r="O660" t="str">
        <f t="shared" si="62"/>
        <v/>
      </c>
    </row>
    <row r="661" spans="1:15" x14ac:dyDescent="0.25">
      <c r="A661" s="49"/>
      <c r="B661" s="50"/>
      <c r="G661" t="str">
        <f t="shared" si="60"/>
        <v/>
      </c>
      <c r="H661" s="13" t="str">
        <f t="shared" si="63"/>
        <v/>
      </c>
      <c r="I661" t="str">
        <f>IFERROR(INDEX(Analysis!$D$116:$N$137, MATCH(B661, Analysis!$C$116:$C$137, 0), MATCH(C661, Analysis!$D$115:$N$115, 0)), "")</f>
        <v/>
      </c>
      <c r="J661" t="str">
        <f t="shared" si="64"/>
        <v/>
      </c>
      <c r="K661" s="28" t="str">
        <f t="shared" si="61"/>
        <v/>
      </c>
      <c r="L661" s="46" t="str">
        <f t="shared" si="65"/>
        <v/>
      </c>
      <c r="M661" t="str" cm="1">
        <f t="array" ref="M661">IF(L661="","",_xlfn.IFS(
  AND(L661&gt;=TIME(9,0,0), L661&lt;TIME(16,0,0)),"Morning",
  AND(L661&gt;=TIME(16,0,0), L661&lt;TIME(23,59,0)),"Evening",
  L661&gt;=TIME(23,59,0),"Night",
  L661&lt;TIME(9,0,0),"Night"
))</f>
        <v/>
      </c>
      <c r="O661" t="str">
        <f t="shared" si="62"/>
        <v/>
      </c>
    </row>
    <row r="662" spans="1:15" x14ac:dyDescent="0.25">
      <c r="A662" s="49"/>
      <c r="B662" s="50"/>
      <c r="G662" t="str">
        <f t="shared" si="60"/>
        <v/>
      </c>
      <c r="H662" s="13" t="str">
        <f t="shared" si="63"/>
        <v/>
      </c>
      <c r="I662" t="str">
        <f>IFERROR(INDEX(Analysis!$D$116:$N$137, MATCH(B662, Analysis!$C$116:$C$137, 0), MATCH(C662, Analysis!$D$115:$N$115, 0)), "")</f>
        <v/>
      </c>
      <c r="J662" t="str">
        <f t="shared" si="64"/>
        <v/>
      </c>
      <c r="K662" s="28" t="str">
        <f t="shared" si="61"/>
        <v/>
      </c>
      <c r="L662" s="46" t="str">
        <f t="shared" si="65"/>
        <v/>
      </c>
      <c r="M662" t="str" cm="1">
        <f t="array" ref="M662">IF(L662="","",_xlfn.IFS(
  AND(L662&gt;=TIME(9,0,0), L662&lt;TIME(16,0,0)),"Morning",
  AND(L662&gt;=TIME(16,0,0), L662&lt;TIME(23,59,0)),"Evening",
  L662&gt;=TIME(23,59,0),"Night",
  L662&lt;TIME(9,0,0),"Night"
))</f>
        <v/>
      </c>
      <c r="O662" t="str">
        <f t="shared" si="62"/>
        <v/>
      </c>
    </row>
    <row r="663" spans="1:15" x14ac:dyDescent="0.25">
      <c r="A663" s="49"/>
      <c r="B663" s="50"/>
      <c r="G663" t="str">
        <f t="shared" si="60"/>
        <v/>
      </c>
      <c r="H663" s="13" t="str">
        <f t="shared" si="63"/>
        <v/>
      </c>
      <c r="I663" t="str">
        <f>IFERROR(INDEX(Analysis!$D$116:$N$137, MATCH(B663, Analysis!$C$116:$C$137, 0), MATCH(C663, Analysis!$D$115:$N$115, 0)), "")</f>
        <v/>
      </c>
      <c r="J663" t="str">
        <f t="shared" si="64"/>
        <v/>
      </c>
      <c r="K663" s="28" t="str">
        <f t="shared" si="61"/>
        <v/>
      </c>
      <c r="L663" s="46" t="str">
        <f t="shared" si="65"/>
        <v/>
      </c>
      <c r="M663" t="str" cm="1">
        <f t="array" ref="M663">IF(L663="","",_xlfn.IFS(
  AND(L663&gt;=TIME(9,0,0), L663&lt;TIME(16,0,0)),"Morning",
  AND(L663&gt;=TIME(16,0,0), L663&lt;TIME(23,59,0)),"Evening",
  L663&gt;=TIME(23,59,0),"Night",
  L663&lt;TIME(9,0,0),"Night"
))</f>
        <v/>
      </c>
      <c r="O663" t="str">
        <f t="shared" si="62"/>
        <v/>
      </c>
    </row>
    <row r="664" spans="1:15" x14ac:dyDescent="0.25">
      <c r="A664" s="49"/>
      <c r="B664" s="50"/>
      <c r="G664" t="str">
        <f t="shared" si="60"/>
        <v/>
      </c>
      <c r="H664" s="13" t="str">
        <f t="shared" si="63"/>
        <v/>
      </c>
      <c r="I664" t="str">
        <f>IFERROR(INDEX(Analysis!$D$116:$N$137, MATCH(B664, Analysis!$C$116:$C$137, 0), MATCH(C664, Analysis!$D$115:$N$115, 0)), "")</f>
        <v/>
      </c>
      <c r="J664" t="str">
        <f t="shared" si="64"/>
        <v/>
      </c>
      <c r="K664" s="28" t="str">
        <f t="shared" si="61"/>
        <v/>
      </c>
      <c r="L664" s="46" t="str">
        <f t="shared" si="65"/>
        <v/>
      </c>
      <c r="M664" t="str" cm="1">
        <f t="array" ref="M664">IF(L664="","",_xlfn.IFS(
  AND(L664&gt;=TIME(9,0,0), L664&lt;TIME(16,0,0)),"Morning",
  AND(L664&gt;=TIME(16,0,0), L664&lt;TIME(23,59,0)),"Evening",
  L664&gt;=TIME(23,59,0),"Night",
  L664&lt;TIME(9,0,0),"Night"
))</f>
        <v/>
      </c>
      <c r="O664" t="str">
        <f t="shared" si="62"/>
        <v/>
      </c>
    </row>
    <row r="665" spans="1:15" x14ac:dyDescent="0.25">
      <c r="A665" s="49"/>
      <c r="B665" s="50"/>
      <c r="G665" t="str">
        <f t="shared" si="60"/>
        <v/>
      </c>
      <c r="H665" s="13" t="str">
        <f t="shared" si="63"/>
        <v/>
      </c>
      <c r="I665" t="str">
        <f>IFERROR(INDEX(Analysis!$D$116:$N$137, MATCH(B665, Analysis!$C$116:$C$137, 0), MATCH(C665, Analysis!$D$115:$N$115, 0)), "")</f>
        <v/>
      </c>
      <c r="J665" t="str">
        <f t="shared" si="64"/>
        <v/>
      </c>
      <c r="K665" s="28" t="str">
        <f t="shared" si="61"/>
        <v/>
      </c>
      <c r="L665" s="46" t="str">
        <f t="shared" si="65"/>
        <v/>
      </c>
      <c r="M665" t="str" cm="1">
        <f t="array" ref="M665">IF(L665="","",_xlfn.IFS(
  AND(L665&gt;=TIME(9,0,0), L665&lt;TIME(16,0,0)),"Morning",
  AND(L665&gt;=TIME(16,0,0), L665&lt;TIME(23,59,0)),"Evening",
  L665&gt;=TIME(23,59,0),"Night",
  L665&lt;TIME(9,0,0),"Night"
))</f>
        <v/>
      </c>
      <c r="O665" t="str">
        <f t="shared" si="62"/>
        <v/>
      </c>
    </row>
    <row r="666" spans="1:15" x14ac:dyDescent="0.25">
      <c r="A666" s="49"/>
      <c r="B666" s="50"/>
      <c r="G666" t="str">
        <f t="shared" si="60"/>
        <v/>
      </c>
      <c r="H666" s="13" t="str">
        <f t="shared" si="63"/>
        <v/>
      </c>
      <c r="I666" t="str">
        <f>IFERROR(INDEX(Analysis!$D$116:$N$137, MATCH(B666, Analysis!$C$116:$C$137, 0), MATCH(C666, Analysis!$D$115:$N$115, 0)), "")</f>
        <v/>
      </c>
      <c r="J666" t="str">
        <f t="shared" si="64"/>
        <v/>
      </c>
      <c r="K666" s="28" t="str">
        <f t="shared" si="61"/>
        <v/>
      </c>
      <c r="L666" s="46" t="str">
        <f t="shared" si="65"/>
        <v/>
      </c>
      <c r="M666" t="str" cm="1">
        <f t="array" ref="M666">IF(L666="","",_xlfn.IFS(
  AND(L666&gt;=TIME(9,0,0), L666&lt;TIME(16,0,0)),"Morning",
  AND(L666&gt;=TIME(16,0,0), L666&lt;TIME(23,59,0)),"Evening",
  L666&gt;=TIME(23,59,0),"Night",
  L666&lt;TIME(9,0,0),"Night"
))</f>
        <v/>
      </c>
      <c r="O666" t="str">
        <f t="shared" si="62"/>
        <v/>
      </c>
    </row>
    <row r="667" spans="1:15" x14ac:dyDescent="0.25">
      <c r="A667" s="49"/>
      <c r="B667" s="50"/>
      <c r="G667" t="str">
        <f t="shared" si="60"/>
        <v/>
      </c>
      <c r="H667" s="13" t="str">
        <f t="shared" si="63"/>
        <v/>
      </c>
      <c r="I667" t="str">
        <f>IFERROR(INDEX(Analysis!$D$116:$N$137, MATCH(B667, Analysis!$C$116:$C$137, 0), MATCH(C667, Analysis!$D$115:$N$115, 0)), "")</f>
        <v/>
      </c>
      <c r="J667" t="str">
        <f t="shared" si="64"/>
        <v/>
      </c>
      <c r="K667" s="28" t="str">
        <f t="shared" si="61"/>
        <v/>
      </c>
      <c r="L667" s="46" t="str">
        <f t="shared" si="65"/>
        <v/>
      </c>
      <c r="M667" t="str" cm="1">
        <f t="array" ref="M667">IF(L667="","",_xlfn.IFS(
  AND(L667&gt;=TIME(9,0,0), L667&lt;TIME(16,0,0)),"Morning",
  AND(L667&gt;=TIME(16,0,0), L667&lt;TIME(23,59,0)),"Evening",
  L667&gt;=TIME(23,59,0),"Night",
  L667&lt;TIME(9,0,0),"Night"
))</f>
        <v/>
      </c>
      <c r="O667" t="str">
        <f t="shared" si="62"/>
        <v/>
      </c>
    </row>
    <row r="668" spans="1:15" x14ac:dyDescent="0.25">
      <c r="A668" s="49"/>
      <c r="B668" s="50"/>
      <c r="G668" t="str">
        <f t="shared" si="60"/>
        <v/>
      </c>
      <c r="H668" s="13" t="str">
        <f t="shared" si="63"/>
        <v/>
      </c>
      <c r="I668" t="str">
        <f>IFERROR(INDEX(Analysis!$D$116:$N$137, MATCH(B668, Analysis!$C$116:$C$137, 0), MATCH(C668, Analysis!$D$115:$N$115, 0)), "")</f>
        <v/>
      </c>
      <c r="J668" t="str">
        <f t="shared" si="64"/>
        <v/>
      </c>
      <c r="K668" s="28" t="str">
        <f t="shared" si="61"/>
        <v/>
      </c>
      <c r="L668" s="46" t="str">
        <f t="shared" si="65"/>
        <v/>
      </c>
      <c r="M668" t="str" cm="1">
        <f t="array" ref="M668">IF(L668="","",_xlfn.IFS(
  AND(L668&gt;=TIME(9,0,0), L668&lt;TIME(16,0,0)),"Morning",
  AND(L668&gt;=TIME(16,0,0), L668&lt;TIME(23,59,0)),"Evening",
  L668&gt;=TIME(23,59,0),"Night",
  L668&lt;TIME(9,0,0),"Night"
))</f>
        <v/>
      </c>
      <c r="O668" t="str">
        <f t="shared" si="62"/>
        <v/>
      </c>
    </row>
    <row r="669" spans="1:15" x14ac:dyDescent="0.25">
      <c r="A669" s="49"/>
      <c r="B669" s="50"/>
      <c r="G669" t="str">
        <f t="shared" si="60"/>
        <v/>
      </c>
      <c r="H669" s="13" t="str">
        <f t="shared" si="63"/>
        <v/>
      </c>
      <c r="I669" t="str">
        <f>IFERROR(INDEX(Analysis!$D$116:$N$137, MATCH(B669, Analysis!$C$116:$C$137, 0), MATCH(C669, Analysis!$D$115:$N$115, 0)), "")</f>
        <v/>
      </c>
      <c r="J669" t="str">
        <f t="shared" si="64"/>
        <v/>
      </c>
      <c r="K669" s="28" t="str">
        <f t="shared" si="61"/>
        <v/>
      </c>
      <c r="L669" s="46" t="str">
        <f t="shared" si="65"/>
        <v/>
      </c>
      <c r="M669" t="str" cm="1">
        <f t="array" ref="M669">IF(L669="","",_xlfn.IFS(
  AND(L669&gt;=TIME(9,0,0), L669&lt;TIME(16,0,0)),"Morning",
  AND(L669&gt;=TIME(16,0,0), L669&lt;TIME(23,59,0)),"Evening",
  L669&gt;=TIME(23,59,0),"Night",
  L669&lt;TIME(9,0,0),"Night"
))</f>
        <v/>
      </c>
      <c r="O669" t="str">
        <f t="shared" si="62"/>
        <v/>
      </c>
    </row>
    <row r="670" spans="1:15" x14ac:dyDescent="0.25">
      <c r="A670" s="49"/>
      <c r="B670" s="50"/>
      <c r="G670" t="str">
        <f t="shared" si="60"/>
        <v/>
      </c>
      <c r="H670" s="13" t="str">
        <f t="shared" si="63"/>
        <v/>
      </c>
      <c r="I670" t="str">
        <f>IFERROR(INDEX(Analysis!$D$116:$N$137, MATCH(B670, Analysis!$C$116:$C$137, 0), MATCH(C670, Analysis!$D$115:$N$115, 0)), "")</f>
        <v/>
      </c>
      <c r="J670" t="str">
        <f t="shared" si="64"/>
        <v/>
      </c>
      <c r="K670" s="28" t="str">
        <f t="shared" si="61"/>
        <v/>
      </c>
      <c r="L670" s="46" t="str">
        <f t="shared" si="65"/>
        <v/>
      </c>
      <c r="M670" t="str" cm="1">
        <f t="array" ref="M670">IF(L670="","",_xlfn.IFS(
  AND(L670&gt;=TIME(9,0,0), L670&lt;TIME(16,0,0)),"Morning",
  AND(L670&gt;=TIME(16,0,0), L670&lt;TIME(23,59,0)),"Evening",
  L670&gt;=TIME(23,59,0),"Night",
  L670&lt;TIME(9,0,0),"Night"
))</f>
        <v/>
      </c>
      <c r="O670" t="str">
        <f t="shared" si="62"/>
        <v/>
      </c>
    </row>
    <row r="671" spans="1:15" x14ac:dyDescent="0.25">
      <c r="A671" s="49"/>
      <c r="B671" s="50"/>
      <c r="G671" t="str">
        <f t="shared" si="60"/>
        <v/>
      </c>
      <c r="H671" s="13" t="str">
        <f t="shared" si="63"/>
        <v/>
      </c>
      <c r="I671" t="str">
        <f>IFERROR(INDEX(Analysis!$D$116:$N$137, MATCH(B671, Analysis!$C$116:$C$137, 0), MATCH(C671, Analysis!$D$115:$N$115, 0)), "")</f>
        <v/>
      </c>
      <c r="J671" t="str">
        <f t="shared" si="64"/>
        <v/>
      </c>
      <c r="K671" s="28" t="str">
        <f t="shared" si="61"/>
        <v/>
      </c>
      <c r="L671" s="46" t="str">
        <f t="shared" si="65"/>
        <v/>
      </c>
      <c r="M671" t="str" cm="1">
        <f t="array" ref="M671">IF(L671="","",_xlfn.IFS(
  AND(L671&gt;=TIME(9,0,0), L671&lt;TIME(16,0,0)),"Morning",
  AND(L671&gt;=TIME(16,0,0), L671&lt;TIME(23,59,0)),"Evening",
  L671&gt;=TIME(23,59,0),"Night",
  L671&lt;TIME(9,0,0),"Night"
))</f>
        <v/>
      </c>
      <c r="O671" t="str">
        <f t="shared" si="62"/>
        <v/>
      </c>
    </row>
    <row r="672" spans="1:15" x14ac:dyDescent="0.25">
      <c r="A672" s="49"/>
      <c r="B672" s="50"/>
      <c r="G672" t="str">
        <f t="shared" si="60"/>
        <v/>
      </c>
      <c r="H672" s="13" t="str">
        <f t="shared" si="63"/>
        <v/>
      </c>
      <c r="I672" t="str">
        <f>IFERROR(INDEX(Analysis!$D$116:$N$137, MATCH(B672, Analysis!$C$116:$C$137, 0), MATCH(C672, Analysis!$D$115:$N$115, 0)), "")</f>
        <v/>
      </c>
      <c r="J672" t="str">
        <f t="shared" si="64"/>
        <v/>
      </c>
      <c r="K672" s="28" t="str">
        <f t="shared" si="61"/>
        <v/>
      </c>
      <c r="L672" s="46" t="str">
        <f t="shared" si="65"/>
        <v/>
      </c>
      <c r="M672" t="str" cm="1">
        <f t="array" ref="M672">IF(L672="","",_xlfn.IFS(
  AND(L672&gt;=TIME(9,0,0), L672&lt;TIME(16,0,0)),"Morning",
  AND(L672&gt;=TIME(16,0,0), L672&lt;TIME(23,59,0)),"Evening",
  L672&gt;=TIME(23,59,0),"Night",
  L672&lt;TIME(9,0,0),"Night"
))</f>
        <v/>
      </c>
      <c r="O672" t="str">
        <f t="shared" si="62"/>
        <v/>
      </c>
    </row>
    <row r="673" spans="1:15" x14ac:dyDescent="0.25">
      <c r="A673" s="49"/>
      <c r="B673" s="50"/>
      <c r="G673" t="str">
        <f t="shared" si="60"/>
        <v/>
      </c>
      <c r="H673" s="13" t="str">
        <f t="shared" si="63"/>
        <v/>
      </c>
      <c r="I673" t="str">
        <f>IFERROR(INDEX(Analysis!$D$116:$N$137, MATCH(B673, Analysis!$C$116:$C$137, 0), MATCH(C673, Analysis!$D$115:$N$115, 0)), "")</f>
        <v/>
      </c>
      <c r="J673" t="str">
        <f t="shared" si="64"/>
        <v/>
      </c>
      <c r="K673" s="28" t="str">
        <f t="shared" si="61"/>
        <v/>
      </c>
      <c r="L673" s="46" t="str">
        <f t="shared" si="65"/>
        <v/>
      </c>
      <c r="M673" t="str" cm="1">
        <f t="array" ref="M673">IF(L673="","",_xlfn.IFS(
  AND(L673&gt;=TIME(9,0,0), L673&lt;TIME(16,0,0)),"Morning",
  AND(L673&gt;=TIME(16,0,0), L673&lt;TIME(23,59,0)),"Evening",
  L673&gt;=TIME(23,59,0),"Night",
  L673&lt;TIME(9,0,0),"Night"
))</f>
        <v/>
      </c>
      <c r="O673" t="str">
        <f t="shared" si="62"/>
        <v/>
      </c>
    </row>
    <row r="674" spans="1:15" x14ac:dyDescent="0.25">
      <c r="A674" s="49"/>
      <c r="B674" s="50"/>
      <c r="G674" t="str">
        <f t="shared" si="60"/>
        <v/>
      </c>
      <c r="H674" s="13" t="str">
        <f t="shared" si="63"/>
        <v/>
      </c>
      <c r="I674" t="str">
        <f>IFERROR(INDEX(Analysis!$D$116:$N$137, MATCH(B674, Analysis!$C$116:$C$137, 0), MATCH(C674, Analysis!$D$115:$N$115, 0)), "")</f>
        <v/>
      </c>
      <c r="J674" t="str">
        <f t="shared" si="64"/>
        <v/>
      </c>
      <c r="K674" s="28" t="str">
        <f t="shared" si="61"/>
        <v/>
      </c>
      <c r="L674" s="46" t="str">
        <f t="shared" si="65"/>
        <v/>
      </c>
      <c r="M674" t="str" cm="1">
        <f t="array" ref="M674">IF(L674="","",_xlfn.IFS(
  AND(L674&gt;=TIME(9,0,0), L674&lt;TIME(16,0,0)),"Morning",
  AND(L674&gt;=TIME(16,0,0), L674&lt;TIME(23,59,0)),"Evening",
  L674&gt;=TIME(23,59,0),"Night",
  L674&lt;TIME(9,0,0),"Night"
))</f>
        <v/>
      </c>
      <c r="O674" t="str">
        <f t="shared" si="62"/>
        <v/>
      </c>
    </row>
    <row r="675" spans="1:15" x14ac:dyDescent="0.25">
      <c r="A675" s="49"/>
      <c r="B675" s="50"/>
      <c r="G675" t="str">
        <f t="shared" si="60"/>
        <v/>
      </c>
      <c r="H675" s="13" t="str">
        <f t="shared" si="63"/>
        <v/>
      </c>
      <c r="I675" t="str">
        <f>IFERROR(INDEX(Analysis!$D$116:$N$137, MATCH(B675, Analysis!$C$116:$C$137, 0), MATCH(C675, Analysis!$D$115:$N$115, 0)), "")</f>
        <v/>
      </c>
      <c r="J675" t="str">
        <f t="shared" si="64"/>
        <v/>
      </c>
      <c r="K675" s="28" t="str">
        <f t="shared" si="61"/>
        <v/>
      </c>
      <c r="L675" s="46" t="str">
        <f t="shared" si="65"/>
        <v/>
      </c>
      <c r="M675" t="str" cm="1">
        <f t="array" ref="M675">IF(L675="","",_xlfn.IFS(
  AND(L675&gt;=TIME(9,0,0), L675&lt;TIME(16,0,0)),"Morning",
  AND(L675&gt;=TIME(16,0,0), L675&lt;TIME(23,59,0)),"Evening",
  L675&gt;=TIME(23,59,0),"Night",
  L675&lt;TIME(9,0,0),"Night"
))</f>
        <v/>
      </c>
      <c r="O675" t="str">
        <f t="shared" si="62"/>
        <v/>
      </c>
    </row>
    <row r="676" spans="1:15" x14ac:dyDescent="0.25">
      <c r="A676" s="49"/>
      <c r="B676" s="50"/>
      <c r="G676" t="str">
        <f t="shared" si="60"/>
        <v/>
      </c>
      <c r="H676" s="13" t="str">
        <f t="shared" si="63"/>
        <v/>
      </c>
      <c r="I676" t="str">
        <f>IFERROR(INDEX(Analysis!$D$116:$N$137, MATCH(B676, Analysis!$C$116:$C$137, 0), MATCH(C676, Analysis!$D$115:$N$115, 0)), "")</f>
        <v/>
      </c>
      <c r="J676" t="str">
        <f t="shared" si="64"/>
        <v/>
      </c>
      <c r="K676" s="28" t="str">
        <f t="shared" si="61"/>
        <v/>
      </c>
      <c r="L676" s="46" t="str">
        <f t="shared" si="65"/>
        <v/>
      </c>
      <c r="M676" t="str" cm="1">
        <f t="array" ref="M676">IF(L676="","",_xlfn.IFS(
  AND(L676&gt;=TIME(9,0,0), L676&lt;TIME(16,0,0)),"Morning",
  AND(L676&gt;=TIME(16,0,0), L676&lt;TIME(23,59,0)),"Evening",
  L676&gt;=TIME(23,59,0),"Night",
  L676&lt;TIME(9,0,0),"Night"
))</f>
        <v/>
      </c>
      <c r="O676" t="str">
        <f t="shared" si="62"/>
        <v/>
      </c>
    </row>
    <row r="677" spans="1:15" x14ac:dyDescent="0.25">
      <c r="A677" s="49"/>
      <c r="B677" s="50"/>
      <c r="G677" t="str">
        <f t="shared" si="60"/>
        <v/>
      </c>
      <c r="H677" s="13" t="str">
        <f t="shared" si="63"/>
        <v/>
      </c>
      <c r="I677" t="str">
        <f>IFERROR(INDEX(Analysis!$D$116:$N$137, MATCH(B677, Analysis!$C$116:$C$137, 0), MATCH(C677, Analysis!$D$115:$N$115, 0)), "")</f>
        <v/>
      </c>
      <c r="J677" t="str">
        <f t="shared" si="64"/>
        <v/>
      </c>
      <c r="K677" s="28" t="str">
        <f t="shared" si="61"/>
        <v/>
      </c>
      <c r="L677" s="46" t="str">
        <f t="shared" si="65"/>
        <v/>
      </c>
      <c r="M677" t="str" cm="1">
        <f t="array" ref="M677">IF(L677="","",_xlfn.IFS(
  AND(L677&gt;=TIME(9,0,0), L677&lt;TIME(16,0,0)),"Morning",
  AND(L677&gt;=TIME(16,0,0), L677&lt;TIME(23,59,0)),"Evening",
  L677&gt;=TIME(23,59,0),"Night",
  L677&lt;TIME(9,0,0),"Night"
))</f>
        <v/>
      </c>
      <c r="O677" t="str">
        <f t="shared" si="62"/>
        <v/>
      </c>
    </row>
    <row r="678" spans="1:15" x14ac:dyDescent="0.25">
      <c r="A678" s="49"/>
      <c r="B678" s="50"/>
      <c r="G678" t="str">
        <f t="shared" si="60"/>
        <v/>
      </c>
      <c r="H678" s="13" t="str">
        <f t="shared" si="63"/>
        <v/>
      </c>
      <c r="I678" t="str">
        <f>IFERROR(INDEX(Analysis!$D$116:$N$137, MATCH(B678, Analysis!$C$116:$C$137, 0), MATCH(C678, Analysis!$D$115:$N$115, 0)), "")</f>
        <v/>
      </c>
      <c r="J678" t="str">
        <f t="shared" si="64"/>
        <v/>
      </c>
      <c r="K678" s="28" t="str">
        <f t="shared" si="61"/>
        <v/>
      </c>
      <c r="L678" s="46" t="str">
        <f t="shared" si="65"/>
        <v/>
      </c>
      <c r="M678" t="str" cm="1">
        <f t="array" ref="M678">IF(L678="","",_xlfn.IFS(
  AND(L678&gt;=TIME(9,0,0), L678&lt;TIME(16,0,0)),"Morning",
  AND(L678&gt;=TIME(16,0,0), L678&lt;TIME(23,59,0)),"Evening",
  L678&gt;=TIME(23,59,0),"Night",
  L678&lt;TIME(9,0,0),"Night"
))</f>
        <v/>
      </c>
      <c r="O678" t="str">
        <f t="shared" si="62"/>
        <v/>
      </c>
    </row>
    <row r="679" spans="1:15" x14ac:dyDescent="0.25">
      <c r="A679" s="49"/>
      <c r="B679" s="50"/>
      <c r="G679" t="str">
        <f t="shared" si="60"/>
        <v/>
      </c>
      <c r="H679" s="13" t="str">
        <f t="shared" si="63"/>
        <v/>
      </c>
      <c r="I679" t="str">
        <f>IFERROR(INDEX(Analysis!$D$116:$N$137, MATCH(B679, Analysis!$C$116:$C$137, 0), MATCH(C679, Analysis!$D$115:$N$115, 0)), "")</f>
        <v/>
      </c>
      <c r="J679" t="str">
        <f t="shared" si="64"/>
        <v/>
      </c>
      <c r="K679" s="28" t="str">
        <f t="shared" si="61"/>
        <v/>
      </c>
      <c r="L679" s="46" t="str">
        <f t="shared" si="65"/>
        <v/>
      </c>
      <c r="M679" t="str" cm="1">
        <f t="array" ref="M679">IF(L679="","",_xlfn.IFS(
  AND(L679&gt;=TIME(9,0,0), L679&lt;TIME(16,0,0)),"Morning",
  AND(L679&gt;=TIME(16,0,0), L679&lt;TIME(23,59,0)),"Evening",
  L679&gt;=TIME(23,59,0),"Night",
  L679&lt;TIME(9,0,0),"Night"
))</f>
        <v/>
      </c>
      <c r="O679" t="str">
        <f t="shared" si="62"/>
        <v/>
      </c>
    </row>
    <row r="680" spans="1:15" x14ac:dyDescent="0.25">
      <c r="A680" s="49"/>
      <c r="B680" s="50"/>
      <c r="G680" t="str">
        <f t="shared" si="60"/>
        <v/>
      </c>
      <c r="H680" s="13" t="str">
        <f t="shared" si="63"/>
        <v/>
      </c>
      <c r="I680" t="str">
        <f>IFERROR(INDEX(Analysis!$D$116:$N$137, MATCH(B680, Analysis!$C$116:$C$137, 0), MATCH(C680, Analysis!$D$115:$N$115, 0)), "")</f>
        <v/>
      </c>
      <c r="J680" t="str">
        <f t="shared" si="64"/>
        <v/>
      </c>
      <c r="K680" s="28" t="str">
        <f t="shared" si="61"/>
        <v/>
      </c>
      <c r="L680" s="46" t="str">
        <f t="shared" si="65"/>
        <v/>
      </c>
      <c r="M680" t="str" cm="1">
        <f t="array" ref="M680">IF(L680="","",_xlfn.IFS(
  AND(L680&gt;=TIME(9,0,0), L680&lt;TIME(16,0,0)),"Morning",
  AND(L680&gt;=TIME(16,0,0), L680&lt;TIME(23,59,0)),"Evening",
  L680&gt;=TIME(23,59,0),"Night",
  L680&lt;TIME(9,0,0),"Night"
))</f>
        <v/>
      </c>
      <c r="O680" t="str">
        <f t="shared" si="62"/>
        <v/>
      </c>
    </row>
    <row r="681" spans="1:15" x14ac:dyDescent="0.25">
      <c r="A681" s="49"/>
      <c r="B681" s="50"/>
      <c r="G681" t="str">
        <f t="shared" si="60"/>
        <v/>
      </c>
      <c r="H681" s="13" t="str">
        <f t="shared" si="63"/>
        <v/>
      </c>
      <c r="I681" t="str">
        <f>IFERROR(INDEX(Analysis!$D$116:$N$137, MATCH(B681, Analysis!$C$116:$C$137, 0), MATCH(C681, Analysis!$D$115:$N$115, 0)), "")</f>
        <v/>
      </c>
      <c r="J681" t="str">
        <f t="shared" si="64"/>
        <v/>
      </c>
      <c r="K681" s="28" t="str">
        <f t="shared" si="61"/>
        <v/>
      </c>
      <c r="L681" s="46" t="str">
        <f t="shared" si="65"/>
        <v/>
      </c>
      <c r="M681" t="str" cm="1">
        <f t="array" ref="M681">IF(L681="","",_xlfn.IFS(
  AND(L681&gt;=TIME(9,0,0), L681&lt;TIME(16,0,0)),"Morning",
  AND(L681&gt;=TIME(16,0,0), L681&lt;TIME(23,59,0)),"Evening",
  L681&gt;=TIME(23,59,0),"Night",
  L681&lt;TIME(9,0,0),"Night"
))</f>
        <v/>
      </c>
      <c r="O681" t="str">
        <f t="shared" si="62"/>
        <v/>
      </c>
    </row>
    <row r="682" spans="1:15" x14ac:dyDescent="0.25">
      <c r="A682" s="49"/>
      <c r="B682" s="50"/>
      <c r="G682" t="str">
        <f t="shared" si="60"/>
        <v/>
      </c>
      <c r="H682" s="13" t="str">
        <f t="shared" si="63"/>
        <v/>
      </c>
      <c r="I682" t="str">
        <f>IFERROR(INDEX(Analysis!$D$116:$N$137, MATCH(B682, Analysis!$C$116:$C$137, 0), MATCH(C682, Analysis!$D$115:$N$115, 0)), "")</f>
        <v/>
      </c>
      <c r="J682" t="str">
        <f t="shared" si="64"/>
        <v/>
      </c>
      <c r="K682" s="28" t="str">
        <f t="shared" si="61"/>
        <v/>
      </c>
      <c r="L682" s="46" t="str">
        <f t="shared" si="65"/>
        <v/>
      </c>
      <c r="M682" t="str" cm="1">
        <f t="array" ref="M682">IF(L682="","",_xlfn.IFS(
  AND(L682&gt;=TIME(9,0,0), L682&lt;TIME(16,0,0)),"Morning",
  AND(L682&gt;=TIME(16,0,0), L682&lt;TIME(23,59,0)),"Evening",
  L682&gt;=TIME(23,59,0),"Night",
  L682&lt;TIME(9,0,0),"Night"
))</f>
        <v/>
      </c>
      <c r="O682" t="str">
        <f t="shared" si="62"/>
        <v/>
      </c>
    </row>
    <row r="683" spans="1:15" x14ac:dyDescent="0.25">
      <c r="A683" s="49"/>
      <c r="B683" s="50"/>
      <c r="G683" t="str">
        <f t="shared" si="60"/>
        <v/>
      </c>
      <c r="H683" s="13" t="str">
        <f t="shared" si="63"/>
        <v/>
      </c>
      <c r="I683" t="str">
        <f>IFERROR(INDEX(Analysis!$D$116:$N$137, MATCH(B683, Analysis!$C$116:$C$137, 0), MATCH(C683, Analysis!$D$115:$N$115, 0)), "")</f>
        <v/>
      </c>
      <c r="J683" t="str">
        <f t="shared" si="64"/>
        <v/>
      </c>
      <c r="K683" s="28" t="str">
        <f t="shared" si="61"/>
        <v/>
      </c>
      <c r="L683" s="46" t="str">
        <f t="shared" si="65"/>
        <v/>
      </c>
      <c r="M683" t="str" cm="1">
        <f t="array" ref="M683">IF(L683="","",_xlfn.IFS(
  AND(L683&gt;=TIME(9,0,0), L683&lt;TIME(16,0,0)),"Morning",
  AND(L683&gt;=TIME(16,0,0), L683&lt;TIME(23,59,0)),"Evening",
  L683&gt;=TIME(23,59,0),"Night",
  L683&lt;TIME(9,0,0),"Night"
))</f>
        <v/>
      </c>
      <c r="O683" t="str">
        <f t="shared" si="62"/>
        <v/>
      </c>
    </row>
    <row r="684" spans="1:15" x14ac:dyDescent="0.25">
      <c r="A684" s="49"/>
      <c r="B684" s="50"/>
      <c r="G684" t="str">
        <f t="shared" si="60"/>
        <v/>
      </c>
      <c r="H684" s="13" t="str">
        <f t="shared" si="63"/>
        <v/>
      </c>
      <c r="I684" t="str">
        <f>IFERROR(INDEX(Analysis!$D$116:$N$137, MATCH(B684, Analysis!$C$116:$C$137, 0), MATCH(C684, Analysis!$D$115:$N$115, 0)), "")</f>
        <v/>
      </c>
      <c r="J684" t="str">
        <f t="shared" si="64"/>
        <v/>
      </c>
      <c r="K684" s="28" t="str">
        <f t="shared" si="61"/>
        <v/>
      </c>
      <c r="L684" s="46" t="str">
        <f t="shared" si="65"/>
        <v/>
      </c>
      <c r="M684" t="str" cm="1">
        <f t="array" ref="M684">IF(L684="","",_xlfn.IFS(
  AND(L684&gt;=TIME(9,0,0), L684&lt;TIME(16,0,0)),"Morning",
  AND(L684&gt;=TIME(16,0,0), L684&lt;TIME(23,59,0)),"Evening",
  L684&gt;=TIME(23,59,0),"Night",
  L684&lt;TIME(9,0,0),"Night"
))</f>
        <v/>
      </c>
      <c r="O684" t="str">
        <f t="shared" si="62"/>
        <v/>
      </c>
    </row>
    <row r="685" spans="1:15" x14ac:dyDescent="0.25">
      <c r="A685" s="49"/>
      <c r="B685" s="50"/>
      <c r="G685" t="str">
        <f t="shared" si="60"/>
        <v/>
      </c>
      <c r="H685" s="13" t="str">
        <f t="shared" si="63"/>
        <v/>
      </c>
      <c r="I685" t="str">
        <f>IFERROR(INDEX(Analysis!$D$116:$N$137, MATCH(B685, Analysis!$C$116:$C$137, 0), MATCH(C685, Analysis!$D$115:$N$115, 0)), "")</f>
        <v/>
      </c>
      <c r="J685" t="str">
        <f t="shared" si="64"/>
        <v/>
      </c>
      <c r="K685" s="28" t="str">
        <f t="shared" si="61"/>
        <v/>
      </c>
      <c r="L685" s="46" t="str">
        <f t="shared" si="65"/>
        <v/>
      </c>
      <c r="M685" t="str" cm="1">
        <f t="array" ref="M685">IF(L685="","",_xlfn.IFS(
  AND(L685&gt;=TIME(9,0,0), L685&lt;TIME(16,0,0)),"Morning",
  AND(L685&gt;=TIME(16,0,0), L685&lt;TIME(23,59,0)),"Evening",
  L685&gt;=TIME(23,59,0),"Night",
  L685&lt;TIME(9,0,0),"Night"
))</f>
        <v/>
      </c>
      <c r="O685" t="str">
        <f t="shared" si="62"/>
        <v/>
      </c>
    </row>
    <row r="686" spans="1:15" x14ac:dyDescent="0.25">
      <c r="A686" s="49"/>
      <c r="B686" s="50"/>
      <c r="G686" t="str">
        <f t="shared" si="60"/>
        <v/>
      </c>
      <c r="H686" s="13" t="str">
        <f t="shared" si="63"/>
        <v/>
      </c>
      <c r="I686" t="str">
        <f>IFERROR(INDEX(Analysis!$D$116:$N$137, MATCH(B686, Analysis!$C$116:$C$137, 0), MATCH(C686, Analysis!$D$115:$N$115, 0)), "")</f>
        <v/>
      </c>
      <c r="J686" t="str">
        <f t="shared" si="64"/>
        <v/>
      </c>
      <c r="K686" s="28" t="str">
        <f t="shared" si="61"/>
        <v/>
      </c>
      <c r="L686" s="46" t="str">
        <f t="shared" si="65"/>
        <v/>
      </c>
      <c r="M686" t="str" cm="1">
        <f t="array" ref="M686">IF(L686="","",_xlfn.IFS(
  AND(L686&gt;=TIME(9,0,0), L686&lt;TIME(16,0,0)),"Morning",
  AND(L686&gt;=TIME(16,0,0), L686&lt;TIME(23,59,0)),"Evening",
  L686&gt;=TIME(23,59,0),"Night",
  L686&lt;TIME(9,0,0),"Night"
))</f>
        <v/>
      </c>
      <c r="O686" t="str">
        <f t="shared" si="62"/>
        <v/>
      </c>
    </row>
    <row r="687" spans="1:15" x14ac:dyDescent="0.25">
      <c r="A687" s="49"/>
      <c r="B687" s="50"/>
      <c r="G687" t="str">
        <f t="shared" si="60"/>
        <v/>
      </c>
      <c r="H687" s="13" t="str">
        <f t="shared" si="63"/>
        <v/>
      </c>
      <c r="I687" t="str">
        <f>IFERROR(INDEX(Analysis!$D$116:$N$137, MATCH(B687, Analysis!$C$116:$C$137, 0), MATCH(C687, Analysis!$D$115:$N$115, 0)), "")</f>
        <v/>
      </c>
      <c r="J687" t="str">
        <f t="shared" si="64"/>
        <v/>
      </c>
      <c r="K687" s="28" t="str">
        <f t="shared" si="61"/>
        <v/>
      </c>
      <c r="L687" s="46" t="str">
        <f t="shared" si="65"/>
        <v/>
      </c>
      <c r="M687" t="str" cm="1">
        <f t="array" ref="M687">IF(L687="","",_xlfn.IFS(
  AND(L687&gt;=TIME(9,0,0), L687&lt;TIME(16,0,0)),"Morning",
  AND(L687&gt;=TIME(16,0,0), L687&lt;TIME(23,59,0)),"Evening",
  L687&gt;=TIME(23,59,0),"Night",
  L687&lt;TIME(9,0,0),"Night"
))</f>
        <v/>
      </c>
      <c r="O687" t="str">
        <f t="shared" si="62"/>
        <v/>
      </c>
    </row>
    <row r="688" spans="1:15" x14ac:dyDescent="0.25">
      <c r="A688" s="49"/>
      <c r="B688" s="50"/>
      <c r="G688" t="str">
        <f t="shared" si="60"/>
        <v/>
      </c>
      <c r="H688" s="13" t="str">
        <f t="shared" si="63"/>
        <v/>
      </c>
      <c r="I688" t="str">
        <f>IFERROR(INDEX(Analysis!$D$116:$N$137, MATCH(B688, Analysis!$C$116:$C$137, 0), MATCH(C688, Analysis!$D$115:$N$115, 0)), "")</f>
        <v/>
      </c>
      <c r="J688" t="str">
        <f t="shared" si="64"/>
        <v/>
      </c>
      <c r="K688" s="28" t="str">
        <f t="shared" si="61"/>
        <v/>
      </c>
      <c r="L688" s="46" t="str">
        <f t="shared" si="65"/>
        <v/>
      </c>
      <c r="M688" t="str" cm="1">
        <f t="array" ref="M688">IF(L688="","",_xlfn.IFS(
  AND(L688&gt;=TIME(9,0,0), L688&lt;TIME(16,0,0)),"Morning",
  AND(L688&gt;=TIME(16,0,0), L688&lt;TIME(23,59,0)),"Evening",
  L688&gt;=TIME(23,59,0),"Night",
  L688&lt;TIME(9,0,0),"Night"
))</f>
        <v/>
      </c>
      <c r="O688" t="str">
        <f t="shared" si="62"/>
        <v/>
      </c>
    </row>
    <row r="689" spans="1:15" x14ac:dyDescent="0.25">
      <c r="A689" s="49"/>
      <c r="B689" s="50"/>
      <c r="G689" t="str">
        <f t="shared" si="60"/>
        <v/>
      </c>
      <c r="H689" s="13" t="str">
        <f t="shared" si="63"/>
        <v/>
      </c>
      <c r="I689" t="str">
        <f>IFERROR(INDEX(Analysis!$D$116:$N$137, MATCH(B689, Analysis!$C$116:$C$137, 0), MATCH(C689, Analysis!$D$115:$N$115, 0)), "")</f>
        <v/>
      </c>
      <c r="J689" t="str">
        <f t="shared" si="64"/>
        <v/>
      </c>
      <c r="K689" s="28" t="str">
        <f t="shared" si="61"/>
        <v/>
      </c>
      <c r="L689" s="46" t="str">
        <f t="shared" si="65"/>
        <v/>
      </c>
      <c r="M689" t="str" cm="1">
        <f t="array" ref="M689">IF(L689="","",_xlfn.IFS(
  AND(L689&gt;=TIME(9,0,0), L689&lt;TIME(16,0,0)),"Morning",
  AND(L689&gt;=TIME(16,0,0), L689&lt;TIME(23,59,0)),"Evening",
  L689&gt;=TIME(23,59,0),"Night",
  L689&lt;TIME(9,0,0),"Night"
))</f>
        <v/>
      </c>
      <c r="O689" t="str">
        <f t="shared" si="62"/>
        <v/>
      </c>
    </row>
    <row r="690" spans="1:15" x14ac:dyDescent="0.25">
      <c r="A690" s="49"/>
      <c r="B690" s="50"/>
      <c r="G690" t="str">
        <f t="shared" si="60"/>
        <v/>
      </c>
      <c r="H690" s="13" t="str">
        <f t="shared" si="63"/>
        <v/>
      </c>
      <c r="I690" t="str">
        <f>IFERROR(INDEX(Analysis!$D$116:$N$137, MATCH(B690, Analysis!$C$116:$C$137, 0), MATCH(C690, Analysis!$D$115:$N$115, 0)), "")</f>
        <v/>
      </c>
      <c r="J690" t="str">
        <f t="shared" si="64"/>
        <v/>
      </c>
      <c r="K690" s="28" t="str">
        <f t="shared" si="61"/>
        <v/>
      </c>
      <c r="L690" s="46" t="str">
        <f t="shared" si="65"/>
        <v/>
      </c>
      <c r="M690" t="str" cm="1">
        <f t="array" ref="M690">IF(L690="","",_xlfn.IFS(
  AND(L690&gt;=TIME(9,0,0), L690&lt;TIME(16,0,0)),"Morning",
  AND(L690&gt;=TIME(16,0,0), L690&lt;TIME(23,59,0)),"Evening",
  L690&gt;=TIME(23,59,0),"Night",
  L690&lt;TIME(9,0,0),"Night"
))</f>
        <v/>
      </c>
      <c r="O690" t="str">
        <f t="shared" si="62"/>
        <v/>
      </c>
    </row>
    <row r="691" spans="1:15" x14ac:dyDescent="0.25">
      <c r="A691" s="49"/>
      <c r="B691" s="50"/>
      <c r="G691" t="str">
        <f t="shared" si="60"/>
        <v/>
      </c>
      <c r="H691" s="13" t="str">
        <f t="shared" si="63"/>
        <v/>
      </c>
      <c r="I691" t="str">
        <f>IFERROR(INDEX(Analysis!$D$116:$N$137, MATCH(B691, Analysis!$C$116:$C$137, 0), MATCH(C691, Analysis!$D$115:$N$115, 0)), "")</f>
        <v/>
      </c>
      <c r="J691" t="str">
        <f t="shared" si="64"/>
        <v/>
      </c>
      <c r="K691" s="28" t="str">
        <f t="shared" si="61"/>
        <v/>
      </c>
      <c r="L691" s="46" t="str">
        <f t="shared" si="65"/>
        <v/>
      </c>
      <c r="M691" t="str" cm="1">
        <f t="array" ref="M691">IF(L691="","",_xlfn.IFS(
  AND(L691&gt;=TIME(9,0,0), L691&lt;TIME(16,0,0)),"Morning",
  AND(L691&gt;=TIME(16,0,0), L691&lt;TIME(23,59,0)),"Evening",
  L691&gt;=TIME(23,59,0),"Night",
  L691&lt;TIME(9,0,0),"Night"
))</f>
        <v/>
      </c>
      <c r="O691" t="str">
        <f t="shared" si="62"/>
        <v/>
      </c>
    </row>
    <row r="692" spans="1:15" x14ac:dyDescent="0.25">
      <c r="A692" s="49"/>
      <c r="B692" s="50"/>
      <c r="G692" t="str">
        <f t="shared" si="60"/>
        <v/>
      </c>
      <c r="H692" s="13" t="str">
        <f t="shared" si="63"/>
        <v/>
      </c>
      <c r="I692" t="str">
        <f>IFERROR(INDEX(Analysis!$D$116:$N$137, MATCH(B692, Analysis!$C$116:$C$137, 0), MATCH(C692, Analysis!$D$115:$N$115, 0)), "")</f>
        <v/>
      </c>
      <c r="J692" t="str">
        <f t="shared" si="64"/>
        <v/>
      </c>
      <c r="K692" s="28" t="str">
        <f t="shared" si="61"/>
        <v/>
      </c>
      <c r="L692" s="46" t="str">
        <f t="shared" si="65"/>
        <v/>
      </c>
      <c r="M692" t="str" cm="1">
        <f t="array" ref="M692">IF(L692="","",_xlfn.IFS(
  AND(L692&gt;=TIME(9,0,0), L692&lt;TIME(16,0,0)),"Morning",
  AND(L692&gt;=TIME(16,0,0), L692&lt;TIME(23,59,0)),"Evening",
  L692&gt;=TIME(23,59,0),"Night",
  L692&lt;TIME(9,0,0),"Night"
))</f>
        <v/>
      </c>
      <c r="O692" t="str">
        <f t="shared" si="62"/>
        <v/>
      </c>
    </row>
    <row r="693" spans="1:15" x14ac:dyDescent="0.25">
      <c r="A693" s="49"/>
      <c r="B693" s="50"/>
      <c r="G693" t="str">
        <f t="shared" si="60"/>
        <v/>
      </c>
      <c r="H693" s="13" t="str">
        <f t="shared" si="63"/>
        <v/>
      </c>
      <c r="I693" t="str">
        <f>IFERROR(INDEX(Analysis!$D$116:$N$137, MATCH(B693, Analysis!$C$116:$C$137, 0), MATCH(C693, Analysis!$D$115:$N$115, 0)), "")</f>
        <v/>
      </c>
      <c r="J693" t="str">
        <f t="shared" si="64"/>
        <v/>
      </c>
      <c r="K693" s="28" t="str">
        <f t="shared" si="61"/>
        <v/>
      </c>
      <c r="L693" s="46" t="str">
        <f t="shared" si="65"/>
        <v/>
      </c>
      <c r="M693" t="str" cm="1">
        <f t="array" ref="M693">IF(L693="","",_xlfn.IFS(
  AND(L693&gt;=TIME(9,0,0), L693&lt;TIME(16,0,0)),"Morning",
  AND(L693&gt;=TIME(16,0,0), L693&lt;TIME(23,59,0)),"Evening",
  L693&gt;=TIME(23,59,0),"Night",
  L693&lt;TIME(9,0,0),"Night"
))</f>
        <v/>
      </c>
      <c r="O693" t="str">
        <f t="shared" si="62"/>
        <v/>
      </c>
    </row>
    <row r="694" spans="1:15" x14ac:dyDescent="0.25">
      <c r="A694" s="49"/>
      <c r="B694" s="50"/>
      <c r="G694" t="str">
        <f t="shared" si="60"/>
        <v/>
      </c>
      <c r="H694" s="13" t="str">
        <f t="shared" si="63"/>
        <v/>
      </c>
      <c r="I694" t="str">
        <f>IFERROR(INDEX(Analysis!$D$116:$N$137, MATCH(B694, Analysis!$C$116:$C$137, 0), MATCH(C694, Analysis!$D$115:$N$115, 0)), "")</f>
        <v/>
      </c>
      <c r="J694" t="str">
        <f t="shared" si="64"/>
        <v/>
      </c>
      <c r="K694" s="28" t="str">
        <f t="shared" si="61"/>
        <v/>
      </c>
      <c r="L694" s="46" t="str">
        <f t="shared" si="65"/>
        <v/>
      </c>
      <c r="M694" t="str" cm="1">
        <f t="array" ref="M694">IF(L694="","",_xlfn.IFS(
  AND(L694&gt;=TIME(9,0,0), L694&lt;TIME(16,0,0)),"Morning",
  AND(L694&gt;=TIME(16,0,0), L694&lt;TIME(23,59,0)),"Evening",
  L694&gt;=TIME(23,59,0),"Night",
  L694&lt;TIME(9,0,0),"Night"
))</f>
        <v/>
      </c>
      <c r="O694" t="str">
        <f t="shared" si="62"/>
        <v/>
      </c>
    </row>
    <row r="695" spans="1:15" x14ac:dyDescent="0.25">
      <c r="A695" s="49"/>
      <c r="B695" s="50"/>
      <c r="G695" t="str">
        <f t="shared" si="60"/>
        <v/>
      </c>
      <c r="H695" s="13" t="str">
        <f t="shared" si="63"/>
        <v/>
      </c>
      <c r="I695" t="str">
        <f>IFERROR(INDEX(Analysis!$D$116:$N$137, MATCH(B695, Analysis!$C$116:$C$137, 0), MATCH(C695, Analysis!$D$115:$N$115, 0)), "")</f>
        <v/>
      </c>
      <c r="J695" t="str">
        <f t="shared" si="64"/>
        <v/>
      </c>
      <c r="K695" s="28" t="str">
        <f t="shared" si="61"/>
        <v/>
      </c>
      <c r="L695" s="46" t="str">
        <f t="shared" si="65"/>
        <v/>
      </c>
      <c r="M695" t="str" cm="1">
        <f t="array" ref="M695">IF(L695="","",_xlfn.IFS(
  AND(L695&gt;=TIME(9,0,0), L695&lt;TIME(16,0,0)),"Morning",
  AND(L695&gt;=TIME(16,0,0), L695&lt;TIME(23,59,0)),"Evening",
  L695&gt;=TIME(23,59,0),"Night",
  L695&lt;TIME(9,0,0),"Night"
))</f>
        <v/>
      </c>
      <c r="O695" t="str">
        <f t="shared" si="62"/>
        <v/>
      </c>
    </row>
    <row r="696" spans="1:15" x14ac:dyDescent="0.25">
      <c r="A696" s="49"/>
      <c r="B696" s="50"/>
      <c r="G696" t="str">
        <f t="shared" si="60"/>
        <v/>
      </c>
      <c r="H696" s="13" t="str">
        <f t="shared" si="63"/>
        <v/>
      </c>
      <c r="I696" t="str">
        <f>IFERROR(INDEX(Analysis!$D$116:$N$137, MATCH(B696, Analysis!$C$116:$C$137, 0), MATCH(C696, Analysis!$D$115:$N$115, 0)), "")</f>
        <v/>
      </c>
      <c r="J696" t="str">
        <f t="shared" si="64"/>
        <v/>
      </c>
      <c r="K696" s="28" t="str">
        <f t="shared" si="61"/>
        <v/>
      </c>
      <c r="L696" s="46" t="str">
        <f t="shared" si="65"/>
        <v/>
      </c>
      <c r="M696" t="str" cm="1">
        <f t="array" ref="M696">IF(L696="","",_xlfn.IFS(
  AND(L696&gt;=TIME(9,0,0), L696&lt;TIME(16,0,0)),"Morning",
  AND(L696&gt;=TIME(16,0,0), L696&lt;TIME(23,59,0)),"Evening",
  L696&gt;=TIME(23,59,0),"Night",
  L696&lt;TIME(9,0,0),"Night"
))</f>
        <v/>
      </c>
      <c r="O696" t="str">
        <f t="shared" si="62"/>
        <v/>
      </c>
    </row>
    <row r="697" spans="1:15" x14ac:dyDescent="0.25">
      <c r="A697" s="49"/>
      <c r="B697" s="50"/>
      <c r="G697" t="str">
        <f t="shared" si="60"/>
        <v/>
      </c>
      <c r="H697" s="13" t="str">
        <f t="shared" si="63"/>
        <v/>
      </c>
      <c r="I697" t="str">
        <f>IFERROR(INDEX(Analysis!$D$116:$N$137, MATCH(B697, Analysis!$C$116:$C$137, 0), MATCH(C697, Analysis!$D$115:$N$115, 0)), "")</f>
        <v/>
      </c>
      <c r="J697" t="str">
        <f t="shared" si="64"/>
        <v/>
      </c>
      <c r="K697" s="28" t="str">
        <f t="shared" si="61"/>
        <v/>
      </c>
      <c r="L697" s="46" t="str">
        <f t="shared" si="65"/>
        <v/>
      </c>
      <c r="M697" t="str" cm="1">
        <f t="array" ref="M697">IF(L697="","",_xlfn.IFS(
  AND(L697&gt;=TIME(9,0,0), L697&lt;TIME(16,0,0)),"Morning",
  AND(L697&gt;=TIME(16,0,0), L697&lt;TIME(23,59,0)),"Evening",
  L697&gt;=TIME(23,59,0),"Night",
  L697&lt;TIME(9,0,0),"Night"
))</f>
        <v/>
      </c>
      <c r="O697" t="str">
        <f t="shared" si="62"/>
        <v/>
      </c>
    </row>
    <row r="698" spans="1:15" x14ac:dyDescent="0.25">
      <c r="A698" s="49"/>
      <c r="B698" s="50"/>
      <c r="G698" t="str">
        <f t="shared" si="60"/>
        <v/>
      </c>
      <c r="H698" s="13" t="str">
        <f t="shared" si="63"/>
        <v/>
      </c>
      <c r="I698" t="str">
        <f>IFERROR(INDEX(Analysis!$D$116:$N$137, MATCH(B698, Analysis!$C$116:$C$137, 0), MATCH(C698, Analysis!$D$115:$N$115, 0)), "")</f>
        <v/>
      </c>
      <c r="J698" t="str">
        <f t="shared" si="64"/>
        <v/>
      </c>
      <c r="K698" s="28" t="str">
        <f t="shared" si="61"/>
        <v/>
      </c>
      <c r="L698" s="46" t="str">
        <f t="shared" si="65"/>
        <v/>
      </c>
      <c r="M698" t="str" cm="1">
        <f t="array" ref="M698">IF(L698="","",_xlfn.IFS(
  AND(L698&gt;=TIME(9,0,0), L698&lt;TIME(16,0,0)),"Morning",
  AND(L698&gt;=TIME(16,0,0), L698&lt;TIME(23,59,0)),"Evening",
  L698&gt;=TIME(23,59,0),"Night",
  L698&lt;TIME(9,0,0),"Night"
))</f>
        <v/>
      </c>
      <c r="O698" t="str">
        <f t="shared" si="62"/>
        <v/>
      </c>
    </row>
    <row r="699" spans="1:15" x14ac:dyDescent="0.25">
      <c r="A699" s="49"/>
      <c r="B699" s="50"/>
      <c r="G699" t="str">
        <f t="shared" si="60"/>
        <v/>
      </c>
      <c r="H699" s="13" t="str">
        <f t="shared" si="63"/>
        <v/>
      </c>
      <c r="I699" t="str">
        <f>IFERROR(INDEX(Analysis!$D$116:$N$137, MATCH(B699, Analysis!$C$116:$C$137, 0), MATCH(C699, Analysis!$D$115:$N$115, 0)), "")</f>
        <v/>
      </c>
      <c r="J699" t="str">
        <f t="shared" si="64"/>
        <v/>
      </c>
      <c r="K699" s="28" t="str">
        <f t="shared" si="61"/>
        <v/>
      </c>
      <c r="L699" s="46" t="str">
        <f t="shared" si="65"/>
        <v/>
      </c>
      <c r="M699" t="str" cm="1">
        <f t="array" ref="M699">IF(L699="","",_xlfn.IFS(
  AND(L699&gt;=TIME(9,0,0), L699&lt;TIME(16,0,0)),"Morning",
  AND(L699&gt;=TIME(16,0,0), L699&lt;TIME(23,59,0)),"Evening",
  L699&gt;=TIME(23,59,0),"Night",
  L699&lt;TIME(9,0,0),"Night"
))</f>
        <v/>
      </c>
      <c r="O699" t="str">
        <f t="shared" si="62"/>
        <v/>
      </c>
    </row>
    <row r="700" spans="1:15" x14ac:dyDescent="0.25">
      <c r="A700" s="49"/>
      <c r="B700" s="50"/>
      <c r="G700" t="str">
        <f t="shared" si="60"/>
        <v/>
      </c>
      <c r="H700" s="13" t="str">
        <f t="shared" si="63"/>
        <v/>
      </c>
      <c r="I700" t="str">
        <f>IFERROR(INDEX(Analysis!$D$116:$N$137, MATCH(B700, Analysis!$C$116:$C$137, 0), MATCH(C700, Analysis!$D$115:$N$115, 0)), "")</f>
        <v/>
      </c>
      <c r="J700" t="str">
        <f t="shared" si="64"/>
        <v/>
      </c>
      <c r="K700" s="28" t="str">
        <f t="shared" si="61"/>
        <v/>
      </c>
      <c r="L700" s="46" t="str">
        <f t="shared" si="65"/>
        <v/>
      </c>
      <c r="M700" t="str" cm="1">
        <f t="array" ref="M700">IF(L700="","",_xlfn.IFS(
  AND(L700&gt;=TIME(9,0,0), L700&lt;TIME(16,0,0)),"Morning",
  AND(L700&gt;=TIME(16,0,0), L700&lt;TIME(23,59,0)),"Evening",
  L700&gt;=TIME(23,59,0),"Night",
  L700&lt;TIME(9,0,0),"Night"
))</f>
        <v/>
      </c>
      <c r="O700" t="str">
        <f t="shared" si="62"/>
        <v/>
      </c>
    </row>
    <row r="701" spans="1:15" x14ac:dyDescent="0.25">
      <c r="A701" s="49"/>
      <c r="B701" s="50"/>
      <c r="G701" t="str">
        <f t="shared" si="60"/>
        <v/>
      </c>
      <c r="H701" s="13" t="str">
        <f t="shared" si="63"/>
        <v/>
      </c>
      <c r="I701" t="str">
        <f>IFERROR(INDEX(Analysis!$D$116:$N$137, MATCH(B701, Analysis!$C$116:$C$137, 0), MATCH(C701, Analysis!$D$115:$N$115, 0)), "")</f>
        <v/>
      </c>
      <c r="J701" t="str">
        <f t="shared" si="64"/>
        <v/>
      </c>
      <c r="K701" s="28" t="str">
        <f t="shared" si="61"/>
        <v/>
      </c>
      <c r="L701" s="46" t="str">
        <f t="shared" si="65"/>
        <v/>
      </c>
      <c r="M701" t="str" cm="1">
        <f t="array" ref="M701">IF(L701="","",_xlfn.IFS(
  AND(L701&gt;=TIME(9,0,0), L701&lt;TIME(16,0,0)),"Morning",
  AND(L701&gt;=TIME(16,0,0), L701&lt;TIME(23,59,0)),"Evening",
  L701&gt;=TIME(23,59,0),"Night",
  L701&lt;TIME(9,0,0),"Night"
))</f>
        <v/>
      </c>
      <c r="O701" t="str">
        <f t="shared" si="62"/>
        <v/>
      </c>
    </row>
    <row r="702" spans="1:15" x14ac:dyDescent="0.25">
      <c r="A702" s="49"/>
      <c r="B702" s="50"/>
      <c r="G702" t="str">
        <f t="shared" si="60"/>
        <v/>
      </c>
      <c r="H702" s="13" t="str">
        <f t="shared" si="63"/>
        <v/>
      </c>
      <c r="I702" t="str">
        <f>IFERROR(INDEX(Analysis!$D$116:$N$137, MATCH(B702, Analysis!$C$116:$C$137, 0), MATCH(C702, Analysis!$D$115:$N$115, 0)), "")</f>
        <v/>
      </c>
      <c r="J702" t="str">
        <f t="shared" si="64"/>
        <v/>
      </c>
      <c r="K702" s="28" t="str">
        <f t="shared" si="61"/>
        <v/>
      </c>
      <c r="L702" s="46" t="str">
        <f t="shared" si="65"/>
        <v/>
      </c>
      <c r="M702" t="str" cm="1">
        <f t="array" ref="M702">IF(L702="","",_xlfn.IFS(
  AND(L702&gt;=TIME(9,0,0), L702&lt;TIME(16,0,0)),"Morning",
  AND(L702&gt;=TIME(16,0,0), L702&lt;TIME(23,59,0)),"Evening",
  L702&gt;=TIME(23,59,0),"Night",
  L702&lt;TIME(9,0,0),"Night"
))</f>
        <v/>
      </c>
      <c r="O702" t="str">
        <f t="shared" si="62"/>
        <v/>
      </c>
    </row>
    <row r="703" spans="1:15" x14ac:dyDescent="0.25">
      <c r="A703" s="49"/>
      <c r="B703" s="50"/>
      <c r="G703" t="str">
        <f t="shared" si="60"/>
        <v/>
      </c>
      <c r="H703" s="13" t="str">
        <f t="shared" si="63"/>
        <v/>
      </c>
      <c r="I703" t="str">
        <f>IFERROR(INDEX(Analysis!$D$116:$N$137, MATCH(B703, Analysis!$C$116:$C$137, 0), MATCH(C703, Analysis!$D$115:$N$115, 0)), "")</f>
        <v/>
      </c>
      <c r="J703" t="str">
        <f t="shared" si="64"/>
        <v/>
      </c>
      <c r="K703" s="28" t="str">
        <f t="shared" si="61"/>
        <v/>
      </c>
      <c r="L703" s="46" t="str">
        <f t="shared" si="65"/>
        <v/>
      </c>
      <c r="M703" t="str" cm="1">
        <f t="array" ref="M703">IF(L703="","",_xlfn.IFS(
  AND(L703&gt;=TIME(9,0,0), L703&lt;TIME(16,0,0)),"Morning",
  AND(L703&gt;=TIME(16,0,0), L703&lt;TIME(23,59,0)),"Evening",
  L703&gt;=TIME(23,59,0),"Night",
  L703&lt;TIME(9,0,0),"Night"
))</f>
        <v/>
      </c>
      <c r="O703" t="str">
        <f t="shared" si="62"/>
        <v/>
      </c>
    </row>
    <row r="704" spans="1:15" x14ac:dyDescent="0.25">
      <c r="A704" s="49"/>
      <c r="B704" s="50"/>
      <c r="G704" t="str">
        <f t="shared" si="60"/>
        <v/>
      </c>
      <c r="H704" s="13" t="str">
        <f t="shared" si="63"/>
        <v/>
      </c>
      <c r="I704" t="str">
        <f>IFERROR(INDEX(Analysis!$D$116:$N$137, MATCH(B704, Analysis!$C$116:$C$137, 0), MATCH(C704, Analysis!$D$115:$N$115, 0)), "")</f>
        <v/>
      </c>
      <c r="J704" t="str">
        <f t="shared" si="64"/>
        <v/>
      </c>
      <c r="K704" s="28" t="str">
        <f t="shared" si="61"/>
        <v/>
      </c>
      <c r="L704" s="46" t="str">
        <f t="shared" si="65"/>
        <v/>
      </c>
      <c r="M704" t="str" cm="1">
        <f t="array" ref="M704">IF(L704="","",_xlfn.IFS(
  AND(L704&gt;=TIME(9,0,0), L704&lt;TIME(16,0,0)),"Morning",
  AND(L704&gt;=TIME(16,0,0), L704&lt;TIME(23,59,0)),"Evening",
  L704&gt;=TIME(23,59,0),"Night",
  L704&lt;TIME(9,0,0),"Night"
))</f>
        <v/>
      </c>
      <c r="O704" t="str">
        <f t="shared" si="62"/>
        <v/>
      </c>
    </row>
    <row r="705" spans="1:15" x14ac:dyDescent="0.25">
      <c r="A705" s="49"/>
      <c r="B705" s="50"/>
      <c r="G705" t="str">
        <f t="shared" si="60"/>
        <v/>
      </c>
      <c r="H705" s="13" t="str">
        <f t="shared" si="63"/>
        <v/>
      </c>
      <c r="I705" t="str">
        <f>IFERROR(INDEX(Analysis!$D$116:$N$137, MATCH(B705, Analysis!$C$116:$C$137, 0), MATCH(C705, Analysis!$D$115:$N$115, 0)), "")</f>
        <v/>
      </c>
      <c r="J705" t="str">
        <f t="shared" si="64"/>
        <v/>
      </c>
      <c r="K705" s="28" t="str">
        <f t="shared" si="61"/>
        <v/>
      </c>
      <c r="L705" s="46" t="str">
        <f t="shared" si="65"/>
        <v/>
      </c>
      <c r="M705" t="str" cm="1">
        <f t="array" ref="M705">IF(L705="","",_xlfn.IFS(
  AND(L705&gt;=TIME(9,0,0), L705&lt;TIME(16,0,0)),"Morning",
  AND(L705&gt;=TIME(16,0,0), L705&lt;TIME(23,59,0)),"Evening",
  L705&gt;=TIME(23,59,0),"Night",
  L705&lt;TIME(9,0,0),"Night"
))</f>
        <v/>
      </c>
      <c r="O705" t="str">
        <f t="shared" si="62"/>
        <v/>
      </c>
    </row>
    <row r="706" spans="1:15" x14ac:dyDescent="0.25">
      <c r="A706" s="49"/>
      <c r="B706" s="50"/>
      <c r="G706" t="str">
        <f t="shared" ref="G706:G769" si="66">IF(ISBLANK(A706), "", IF(ISBLANK(F706), 0, F706))</f>
        <v/>
      </c>
      <c r="H706" s="13" t="str">
        <f t="shared" si="63"/>
        <v/>
      </c>
      <c r="I706" t="str">
        <f>IFERROR(INDEX(Analysis!$D$116:$N$137, MATCH(B706, Analysis!$C$116:$C$137, 0), MATCH(C706, Analysis!$D$115:$N$115, 0)), "")</f>
        <v/>
      </c>
      <c r="J706" t="str">
        <f t="shared" si="64"/>
        <v/>
      </c>
      <c r="K706" s="28" t="str">
        <f t="shared" ref="K706:K769" si="67">IF(ISBLANK(A706),"",DATE(YEAR(A706),MONTH(A706),DAY(A706)))</f>
        <v/>
      </c>
      <c r="L706" s="46" t="str">
        <f t="shared" si="65"/>
        <v/>
      </c>
      <c r="M706" t="str" cm="1">
        <f t="array" ref="M706">IF(L706="","",_xlfn.IFS(
  AND(L706&gt;=TIME(9,0,0), L706&lt;TIME(16,0,0)),"Morning",
  AND(L706&gt;=TIME(16,0,0), L706&lt;TIME(23,59,0)),"Evening",
  L706&gt;=TIME(23,59,0),"Night",
  L706&lt;TIME(9,0,0),"Night"
))</f>
        <v/>
      </c>
      <c r="O706" t="str">
        <f t="shared" ref="O706:O769" si="68">IF(N706="ON", _xlfn.IMAGE(E706, 1), "")</f>
        <v/>
      </c>
    </row>
    <row r="707" spans="1:15" x14ac:dyDescent="0.25">
      <c r="A707" s="49"/>
      <c r="B707" s="50"/>
      <c r="G707" t="str">
        <f t="shared" si="66"/>
        <v/>
      </c>
      <c r="H707" s="13" t="str">
        <f t="shared" ref="H707:H770" si="69">IF(ISBLANK(E707),"",HYPERLINK(E707,"Click here"))</f>
        <v/>
      </c>
      <c r="I707" t="str">
        <f>IFERROR(INDEX(Analysis!$D$116:$N$137, MATCH(B707, Analysis!$C$116:$C$137, 0), MATCH(C707, Analysis!$D$115:$N$115, 0)), "")</f>
        <v/>
      </c>
      <c r="J707" t="str">
        <f t="shared" ref="J707:J770" si="70">IF(ISBLANK(A707),"",WEEKNUM(A707))</f>
        <v/>
      </c>
      <c r="K707" s="28" t="str">
        <f t="shared" si="67"/>
        <v/>
      </c>
      <c r="L707" s="46" t="str">
        <f t="shared" ref="L707:L770" si="71">IF(A707="", "", A707 - INT(A707))</f>
        <v/>
      </c>
      <c r="M707" t="str" cm="1">
        <f t="array" ref="M707">IF(L707="","",_xlfn.IFS(
  AND(L707&gt;=TIME(9,0,0), L707&lt;TIME(16,0,0)),"Morning",
  AND(L707&gt;=TIME(16,0,0), L707&lt;TIME(23,59,0)),"Evening",
  L707&gt;=TIME(23,59,0),"Night",
  L707&lt;TIME(9,0,0),"Night"
))</f>
        <v/>
      </c>
      <c r="O707" t="str">
        <f t="shared" si="68"/>
        <v/>
      </c>
    </row>
    <row r="708" spans="1:15" x14ac:dyDescent="0.25">
      <c r="A708" s="49"/>
      <c r="B708" s="50"/>
      <c r="G708" t="str">
        <f t="shared" si="66"/>
        <v/>
      </c>
      <c r="H708" s="13" t="str">
        <f t="shared" si="69"/>
        <v/>
      </c>
      <c r="I708" t="str">
        <f>IFERROR(INDEX(Analysis!$D$116:$N$137, MATCH(B708, Analysis!$C$116:$C$137, 0), MATCH(C708, Analysis!$D$115:$N$115, 0)), "")</f>
        <v/>
      </c>
      <c r="J708" t="str">
        <f t="shared" si="70"/>
        <v/>
      </c>
      <c r="K708" s="28" t="str">
        <f t="shared" si="67"/>
        <v/>
      </c>
      <c r="L708" s="46" t="str">
        <f t="shared" si="71"/>
        <v/>
      </c>
      <c r="M708" t="str" cm="1">
        <f t="array" ref="M708">IF(L708="","",_xlfn.IFS(
  AND(L708&gt;=TIME(9,0,0), L708&lt;TIME(16,0,0)),"Morning",
  AND(L708&gt;=TIME(16,0,0), L708&lt;TIME(23,59,0)),"Evening",
  L708&gt;=TIME(23,59,0),"Night",
  L708&lt;TIME(9,0,0),"Night"
))</f>
        <v/>
      </c>
      <c r="O708" t="str">
        <f t="shared" si="68"/>
        <v/>
      </c>
    </row>
    <row r="709" spans="1:15" x14ac:dyDescent="0.25">
      <c r="A709" s="49"/>
      <c r="B709" s="50"/>
      <c r="G709" t="str">
        <f t="shared" si="66"/>
        <v/>
      </c>
      <c r="H709" s="13" t="str">
        <f t="shared" si="69"/>
        <v/>
      </c>
      <c r="I709" t="str">
        <f>IFERROR(INDEX(Analysis!$D$116:$N$137, MATCH(B709, Analysis!$C$116:$C$137, 0), MATCH(C709, Analysis!$D$115:$N$115, 0)), "")</f>
        <v/>
      </c>
      <c r="J709" t="str">
        <f t="shared" si="70"/>
        <v/>
      </c>
      <c r="K709" s="28" t="str">
        <f t="shared" si="67"/>
        <v/>
      </c>
      <c r="L709" s="46" t="str">
        <f t="shared" si="71"/>
        <v/>
      </c>
      <c r="M709" t="str" cm="1">
        <f t="array" ref="M709">IF(L709="","",_xlfn.IFS(
  AND(L709&gt;=TIME(9,0,0), L709&lt;TIME(16,0,0)),"Morning",
  AND(L709&gt;=TIME(16,0,0), L709&lt;TIME(23,59,0)),"Evening",
  L709&gt;=TIME(23,59,0),"Night",
  L709&lt;TIME(9,0,0),"Night"
))</f>
        <v/>
      </c>
      <c r="O709" t="str">
        <f t="shared" si="68"/>
        <v/>
      </c>
    </row>
    <row r="710" spans="1:15" x14ac:dyDescent="0.25">
      <c r="A710" s="49"/>
      <c r="B710" s="50"/>
      <c r="G710" t="str">
        <f t="shared" si="66"/>
        <v/>
      </c>
      <c r="H710" s="13" t="str">
        <f t="shared" si="69"/>
        <v/>
      </c>
      <c r="I710" t="str">
        <f>IFERROR(INDEX(Analysis!$D$116:$N$137, MATCH(B710, Analysis!$C$116:$C$137, 0), MATCH(C710, Analysis!$D$115:$N$115, 0)), "")</f>
        <v/>
      </c>
      <c r="J710" t="str">
        <f t="shared" si="70"/>
        <v/>
      </c>
      <c r="K710" s="28" t="str">
        <f t="shared" si="67"/>
        <v/>
      </c>
      <c r="L710" s="46" t="str">
        <f t="shared" si="71"/>
        <v/>
      </c>
      <c r="M710" t="str" cm="1">
        <f t="array" ref="M710">IF(L710="","",_xlfn.IFS(
  AND(L710&gt;=TIME(9,0,0), L710&lt;TIME(16,0,0)),"Morning",
  AND(L710&gt;=TIME(16,0,0), L710&lt;TIME(23,59,0)),"Evening",
  L710&gt;=TIME(23,59,0),"Night",
  L710&lt;TIME(9,0,0),"Night"
))</f>
        <v/>
      </c>
      <c r="O710" t="str">
        <f t="shared" si="68"/>
        <v/>
      </c>
    </row>
    <row r="711" spans="1:15" x14ac:dyDescent="0.25">
      <c r="A711" s="49"/>
      <c r="B711" s="50"/>
      <c r="G711" t="str">
        <f t="shared" si="66"/>
        <v/>
      </c>
      <c r="H711" s="13" t="str">
        <f t="shared" si="69"/>
        <v/>
      </c>
      <c r="I711" t="str">
        <f>IFERROR(INDEX(Analysis!$D$116:$N$137, MATCH(B711, Analysis!$C$116:$C$137, 0), MATCH(C711, Analysis!$D$115:$N$115, 0)), "")</f>
        <v/>
      </c>
      <c r="J711" t="str">
        <f t="shared" si="70"/>
        <v/>
      </c>
      <c r="K711" s="28" t="str">
        <f t="shared" si="67"/>
        <v/>
      </c>
      <c r="L711" s="46" t="str">
        <f t="shared" si="71"/>
        <v/>
      </c>
      <c r="M711" t="str" cm="1">
        <f t="array" ref="M711">IF(L711="","",_xlfn.IFS(
  AND(L711&gt;=TIME(9,0,0), L711&lt;TIME(16,0,0)),"Morning",
  AND(L711&gt;=TIME(16,0,0), L711&lt;TIME(23,59,0)),"Evening",
  L711&gt;=TIME(23,59,0),"Night",
  L711&lt;TIME(9,0,0),"Night"
))</f>
        <v/>
      </c>
      <c r="O711" t="str">
        <f t="shared" si="68"/>
        <v/>
      </c>
    </row>
    <row r="712" spans="1:15" x14ac:dyDescent="0.25">
      <c r="A712" s="49"/>
      <c r="B712" s="50"/>
      <c r="G712" t="str">
        <f t="shared" si="66"/>
        <v/>
      </c>
      <c r="H712" s="13" t="str">
        <f t="shared" si="69"/>
        <v/>
      </c>
      <c r="I712" t="str">
        <f>IFERROR(INDEX(Analysis!$D$116:$N$137, MATCH(B712, Analysis!$C$116:$C$137, 0), MATCH(C712, Analysis!$D$115:$N$115, 0)), "")</f>
        <v/>
      </c>
      <c r="J712" t="str">
        <f t="shared" si="70"/>
        <v/>
      </c>
      <c r="K712" s="28" t="str">
        <f t="shared" si="67"/>
        <v/>
      </c>
      <c r="L712" s="46" t="str">
        <f t="shared" si="71"/>
        <v/>
      </c>
      <c r="M712" t="str" cm="1">
        <f t="array" ref="M712">IF(L712="","",_xlfn.IFS(
  AND(L712&gt;=TIME(9,0,0), L712&lt;TIME(16,0,0)),"Morning",
  AND(L712&gt;=TIME(16,0,0), L712&lt;TIME(23,59,0)),"Evening",
  L712&gt;=TIME(23,59,0),"Night",
  L712&lt;TIME(9,0,0),"Night"
))</f>
        <v/>
      </c>
      <c r="O712" t="str">
        <f t="shared" si="68"/>
        <v/>
      </c>
    </row>
    <row r="713" spans="1:15" x14ac:dyDescent="0.25">
      <c r="A713" s="49"/>
      <c r="B713" s="50"/>
      <c r="G713" t="str">
        <f t="shared" si="66"/>
        <v/>
      </c>
      <c r="H713" s="13" t="str">
        <f t="shared" si="69"/>
        <v/>
      </c>
      <c r="I713" t="str">
        <f>IFERROR(INDEX(Analysis!$D$116:$N$137, MATCH(B713, Analysis!$C$116:$C$137, 0), MATCH(C713, Analysis!$D$115:$N$115, 0)), "")</f>
        <v/>
      </c>
      <c r="J713" t="str">
        <f t="shared" si="70"/>
        <v/>
      </c>
      <c r="K713" s="28" t="str">
        <f t="shared" si="67"/>
        <v/>
      </c>
      <c r="L713" s="46" t="str">
        <f t="shared" si="71"/>
        <v/>
      </c>
      <c r="M713" t="str" cm="1">
        <f t="array" ref="M713">IF(L713="","",_xlfn.IFS(
  AND(L713&gt;=TIME(9,0,0), L713&lt;TIME(16,0,0)),"Morning",
  AND(L713&gt;=TIME(16,0,0), L713&lt;TIME(23,59,0)),"Evening",
  L713&gt;=TIME(23,59,0),"Night",
  L713&lt;TIME(9,0,0),"Night"
))</f>
        <v/>
      </c>
      <c r="O713" t="str">
        <f t="shared" si="68"/>
        <v/>
      </c>
    </row>
    <row r="714" spans="1:15" x14ac:dyDescent="0.25">
      <c r="A714" s="49"/>
      <c r="B714" s="50"/>
      <c r="G714" t="str">
        <f t="shared" si="66"/>
        <v/>
      </c>
      <c r="H714" s="13" t="str">
        <f t="shared" si="69"/>
        <v/>
      </c>
      <c r="I714" t="str">
        <f>IFERROR(INDEX(Analysis!$D$116:$N$137, MATCH(B714, Analysis!$C$116:$C$137, 0), MATCH(C714, Analysis!$D$115:$N$115, 0)), "")</f>
        <v/>
      </c>
      <c r="J714" t="str">
        <f t="shared" si="70"/>
        <v/>
      </c>
      <c r="K714" s="28" t="str">
        <f t="shared" si="67"/>
        <v/>
      </c>
      <c r="L714" s="46" t="str">
        <f t="shared" si="71"/>
        <v/>
      </c>
      <c r="M714" t="str" cm="1">
        <f t="array" ref="M714">IF(L714="","",_xlfn.IFS(
  AND(L714&gt;=TIME(9,0,0), L714&lt;TIME(16,0,0)),"Morning",
  AND(L714&gt;=TIME(16,0,0), L714&lt;TIME(23,59,0)),"Evening",
  L714&gt;=TIME(23,59,0),"Night",
  L714&lt;TIME(9,0,0),"Night"
))</f>
        <v/>
      </c>
      <c r="O714" t="str">
        <f t="shared" si="68"/>
        <v/>
      </c>
    </row>
    <row r="715" spans="1:15" x14ac:dyDescent="0.25">
      <c r="A715" s="49"/>
      <c r="B715" s="50"/>
      <c r="G715" t="str">
        <f t="shared" si="66"/>
        <v/>
      </c>
      <c r="H715" s="13" t="str">
        <f t="shared" si="69"/>
        <v/>
      </c>
      <c r="I715" t="str">
        <f>IFERROR(INDEX(Analysis!$D$116:$N$137, MATCH(B715, Analysis!$C$116:$C$137, 0), MATCH(C715, Analysis!$D$115:$N$115, 0)), "")</f>
        <v/>
      </c>
      <c r="J715" t="str">
        <f t="shared" si="70"/>
        <v/>
      </c>
      <c r="K715" s="28" t="str">
        <f t="shared" si="67"/>
        <v/>
      </c>
      <c r="L715" s="46" t="str">
        <f t="shared" si="71"/>
        <v/>
      </c>
      <c r="M715" t="str" cm="1">
        <f t="array" ref="M715">IF(L715="","",_xlfn.IFS(
  AND(L715&gt;=TIME(9,0,0), L715&lt;TIME(16,0,0)),"Morning",
  AND(L715&gt;=TIME(16,0,0), L715&lt;TIME(23,59,0)),"Evening",
  L715&gt;=TIME(23,59,0),"Night",
  L715&lt;TIME(9,0,0),"Night"
))</f>
        <v/>
      </c>
      <c r="O715" t="str">
        <f t="shared" si="68"/>
        <v/>
      </c>
    </row>
    <row r="716" spans="1:15" x14ac:dyDescent="0.25">
      <c r="A716" s="49"/>
      <c r="B716" s="50"/>
      <c r="G716" t="str">
        <f t="shared" si="66"/>
        <v/>
      </c>
      <c r="H716" s="13" t="str">
        <f t="shared" si="69"/>
        <v/>
      </c>
      <c r="I716" t="str">
        <f>IFERROR(INDEX(Analysis!$D$116:$N$137, MATCH(B716, Analysis!$C$116:$C$137, 0), MATCH(C716, Analysis!$D$115:$N$115, 0)), "")</f>
        <v/>
      </c>
      <c r="J716" t="str">
        <f t="shared" si="70"/>
        <v/>
      </c>
      <c r="K716" s="28" t="str">
        <f t="shared" si="67"/>
        <v/>
      </c>
      <c r="L716" s="46" t="str">
        <f t="shared" si="71"/>
        <v/>
      </c>
      <c r="M716" t="str" cm="1">
        <f t="array" ref="M716">IF(L716="","",_xlfn.IFS(
  AND(L716&gt;=TIME(9,0,0), L716&lt;TIME(16,0,0)),"Morning",
  AND(L716&gt;=TIME(16,0,0), L716&lt;TIME(23,59,0)),"Evening",
  L716&gt;=TIME(23,59,0),"Night",
  L716&lt;TIME(9,0,0),"Night"
))</f>
        <v/>
      </c>
      <c r="O716" t="str">
        <f t="shared" si="68"/>
        <v/>
      </c>
    </row>
    <row r="717" spans="1:15" x14ac:dyDescent="0.25">
      <c r="A717" s="49"/>
      <c r="B717" s="50"/>
      <c r="G717" t="str">
        <f t="shared" si="66"/>
        <v/>
      </c>
      <c r="H717" s="13" t="str">
        <f t="shared" si="69"/>
        <v/>
      </c>
      <c r="I717" t="str">
        <f>IFERROR(INDEX(Analysis!$D$116:$N$137, MATCH(B717, Analysis!$C$116:$C$137, 0), MATCH(C717, Analysis!$D$115:$N$115, 0)), "")</f>
        <v/>
      </c>
      <c r="J717" t="str">
        <f t="shared" si="70"/>
        <v/>
      </c>
      <c r="K717" s="28" t="str">
        <f t="shared" si="67"/>
        <v/>
      </c>
      <c r="L717" s="46" t="str">
        <f t="shared" si="71"/>
        <v/>
      </c>
      <c r="M717" t="str" cm="1">
        <f t="array" ref="M717">IF(L717="","",_xlfn.IFS(
  AND(L717&gt;=TIME(9,0,0), L717&lt;TIME(16,0,0)),"Morning",
  AND(L717&gt;=TIME(16,0,0), L717&lt;TIME(23,59,0)),"Evening",
  L717&gt;=TIME(23,59,0),"Night",
  L717&lt;TIME(9,0,0),"Night"
))</f>
        <v/>
      </c>
      <c r="O717" t="str">
        <f t="shared" si="68"/>
        <v/>
      </c>
    </row>
    <row r="718" spans="1:15" x14ac:dyDescent="0.25">
      <c r="A718" s="49"/>
      <c r="B718" s="50"/>
      <c r="G718" t="str">
        <f t="shared" si="66"/>
        <v/>
      </c>
      <c r="H718" s="13" t="str">
        <f t="shared" si="69"/>
        <v/>
      </c>
      <c r="I718" t="str">
        <f>IFERROR(INDEX(Analysis!$D$116:$N$137, MATCH(B718, Analysis!$C$116:$C$137, 0), MATCH(C718, Analysis!$D$115:$N$115, 0)), "")</f>
        <v/>
      </c>
      <c r="J718" t="str">
        <f t="shared" si="70"/>
        <v/>
      </c>
      <c r="K718" s="28" t="str">
        <f t="shared" si="67"/>
        <v/>
      </c>
      <c r="L718" s="46" t="str">
        <f t="shared" si="71"/>
        <v/>
      </c>
      <c r="M718" t="str" cm="1">
        <f t="array" ref="M718">IF(L718="","",_xlfn.IFS(
  AND(L718&gt;=TIME(9,0,0), L718&lt;TIME(16,0,0)),"Morning",
  AND(L718&gt;=TIME(16,0,0), L718&lt;TIME(23,59,0)),"Evening",
  L718&gt;=TIME(23,59,0),"Night",
  L718&lt;TIME(9,0,0),"Night"
))</f>
        <v/>
      </c>
      <c r="O718" t="str">
        <f t="shared" si="68"/>
        <v/>
      </c>
    </row>
    <row r="719" spans="1:15" x14ac:dyDescent="0.25">
      <c r="A719" s="49"/>
      <c r="B719" s="50"/>
      <c r="G719" t="str">
        <f t="shared" si="66"/>
        <v/>
      </c>
      <c r="H719" s="13" t="str">
        <f t="shared" si="69"/>
        <v/>
      </c>
      <c r="I719" t="str">
        <f>IFERROR(INDEX(Analysis!$D$116:$N$137, MATCH(B719, Analysis!$C$116:$C$137, 0), MATCH(C719, Analysis!$D$115:$N$115, 0)), "")</f>
        <v/>
      </c>
      <c r="J719" t="str">
        <f t="shared" si="70"/>
        <v/>
      </c>
      <c r="K719" s="28" t="str">
        <f t="shared" si="67"/>
        <v/>
      </c>
      <c r="L719" s="46" t="str">
        <f t="shared" si="71"/>
        <v/>
      </c>
      <c r="M719" t="str" cm="1">
        <f t="array" ref="M719">IF(L719="","",_xlfn.IFS(
  AND(L719&gt;=TIME(9,0,0), L719&lt;TIME(16,0,0)),"Morning",
  AND(L719&gt;=TIME(16,0,0), L719&lt;TIME(23,59,0)),"Evening",
  L719&gt;=TIME(23,59,0),"Night",
  L719&lt;TIME(9,0,0),"Night"
))</f>
        <v/>
      </c>
      <c r="O719" t="str">
        <f t="shared" si="68"/>
        <v/>
      </c>
    </row>
    <row r="720" spans="1:15" x14ac:dyDescent="0.25">
      <c r="A720" s="49"/>
      <c r="B720" s="50"/>
      <c r="G720" t="str">
        <f t="shared" si="66"/>
        <v/>
      </c>
      <c r="H720" s="13" t="str">
        <f t="shared" si="69"/>
        <v/>
      </c>
      <c r="I720" t="str">
        <f>IFERROR(INDEX(Analysis!$D$116:$N$137, MATCH(B720, Analysis!$C$116:$C$137, 0), MATCH(C720, Analysis!$D$115:$N$115, 0)), "")</f>
        <v/>
      </c>
      <c r="J720" t="str">
        <f t="shared" si="70"/>
        <v/>
      </c>
      <c r="K720" s="28" t="str">
        <f t="shared" si="67"/>
        <v/>
      </c>
      <c r="L720" s="46" t="str">
        <f t="shared" si="71"/>
        <v/>
      </c>
      <c r="M720" t="str" cm="1">
        <f t="array" ref="M720">IF(L720="","",_xlfn.IFS(
  AND(L720&gt;=TIME(9,0,0), L720&lt;TIME(16,0,0)),"Morning",
  AND(L720&gt;=TIME(16,0,0), L720&lt;TIME(23,59,0)),"Evening",
  L720&gt;=TIME(23,59,0),"Night",
  L720&lt;TIME(9,0,0),"Night"
))</f>
        <v/>
      </c>
      <c r="O720" t="str">
        <f t="shared" si="68"/>
        <v/>
      </c>
    </row>
    <row r="721" spans="1:15" x14ac:dyDescent="0.25">
      <c r="A721" s="49"/>
      <c r="B721" s="50"/>
      <c r="G721" t="str">
        <f t="shared" si="66"/>
        <v/>
      </c>
      <c r="H721" s="13" t="str">
        <f t="shared" si="69"/>
        <v/>
      </c>
      <c r="I721" t="str">
        <f>IFERROR(INDEX(Analysis!$D$116:$N$137, MATCH(B721, Analysis!$C$116:$C$137, 0), MATCH(C721, Analysis!$D$115:$N$115, 0)), "")</f>
        <v/>
      </c>
      <c r="J721" t="str">
        <f t="shared" si="70"/>
        <v/>
      </c>
      <c r="K721" s="28" t="str">
        <f t="shared" si="67"/>
        <v/>
      </c>
      <c r="L721" s="46" t="str">
        <f t="shared" si="71"/>
        <v/>
      </c>
      <c r="M721" t="str" cm="1">
        <f t="array" ref="M721">IF(L721="","",_xlfn.IFS(
  AND(L721&gt;=TIME(9,0,0), L721&lt;TIME(16,0,0)),"Morning",
  AND(L721&gt;=TIME(16,0,0), L721&lt;TIME(23,59,0)),"Evening",
  L721&gt;=TIME(23,59,0),"Night",
  L721&lt;TIME(9,0,0),"Night"
))</f>
        <v/>
      </c>
      <c r="O721" t="str">
        <f t="shared" si="68"/>
        <v/>
      </c>
    </row>
    <row r="722" spans="1:15" x14ac:dyDescent="0.25">
      <c r="A722" s="49"/>
      <c r="B722" s="50"/>
      <c r="G722" t="str">
        <f t="shared" si="66"/>
        <v/>
      </c>
      <c r="H722" s="13" t="str">
        <f t="shared" si="69"/>
        <v/>
      </c>
      <c r="I722" t="str">
        <f>IFERROR(INDEX(Analysis!$D$116:$N$137, MATCH(B722, Analysis!$C$116:$C$137, 0), MATCH(C722, Analysis!$D$115:$N$115, 0)), "")</f>
        <v/>
      </c>
      <c r="J722" t="str">
        <f t="shared" si="70"/>
        <v/>
      </c>
      <c r="K722" s="28" t="str">
        <f t="shared" si="67"/>
        <v/>
      </c>
      <c r="L722" s="46" t="str">
        <f t="shared" si="71"/>
        <v/>
      </c>
      <c r="M722" t="str" cm="1">
        <f t="array" ref="M722">IF(L722="","",_xlfn.IFS(
  AND(L722&gt;=TIME(9,0,0), L722&lt;TIME(16,0,0)),"Morning",
  AND(L722&gt;=TIME(16,0,0), L722&lt;TIME(23,59,0)),"Evening",
  L722&gt;=TIME(23,59,0),"Night",
  L722&lt;TIME(9,0,0),"Night"
))</f>
        <v/>
      </c>
      <c r="O722" t="str">
        <f t="shared" si="68"/>
        <v/>
      </c>
    </row>
    <row r="723" spans="1:15" x14ac:dyDescent="0.25">
      <c r="A723" s="49"/>
      <c r="B723" s="50"/>
      <c r="G723" t="str">
        <f t="shared" si="66"/>
        <v/>
      </c>
      <c r="H723" s="13" t="str">
        <f t="shared" si="69"/>
        <v/>
      </c>
      <c r="I723" t="str">
        <f>IFERROR(INDEX(Analysis!$D$116:$N$137, MATCH(B723, Analysis!$C$116:$C$137, 0), MATCH(C723, Analysis!$D$115:$N$115, 0)), "")</f>
        <v/>
      </c>
      <c r="J723" t="str">
        <f t="shared" si="70"/>
        <v/>
      </c>
      <c r="K723" s="28" t="str">
        <f t="shared" si="67"/>
        <v/>
      </c>
      <c r="L723" s="46" t="str">
        <f t="shared" si="71"/>
        <v/>
      </c>
      <c r="M723" t="str" cm="1">
        <f t="array" ref="M723">IF(L723="","",_xlfn.IFS(
  AND(L723&gt;=TIME(9,0,0), L723&lt;TIME(16,0,0)),"Morning",
  AND(L723&gt;=TIME(16,0,0), L723&lt;TIME(23,59,0)),"Evening",
  L723&gt;=TIME(23,59,0),"Night",
  L723&lt;TIME(9,0,0),"Night"
))</f>
        <v/>
      </c>
      <c r="O723" t="str">
        <f t="shared" si="68"/>
        <v/>
      </c>
    </row>
    <row r="724" spans="1:15" x14ac:dyDescent="0.25">
      <c r="A724" s="49"/>
      <c r="B724" s="50"/>
      <c r="G724" t="str">
        <f t="shared" si="66"/>
        <v/>
      </c>
      <c r="H724" s="13" t="str">
        <f t="shared" si="69"/>
        <v/>
      </c>
      <c r="I724" t="str">
        <f>IFERROR(INDEX(Analysis!$D$116:$N$137, MATCH(B724, Analysis!$C$116:$C$137, 0), MATCH(C724, Analysis!$D$115:$N$115, 0)), "")</f>
        <v/>
      </c>
      <c r="J724" t="str">
        <f t="shared" si="70"/>
        <v/>
      </c>
      <c r="K724" s="28" t="str">
        <f t="shared" si="67"/>
        <v/>
      </c>
      <c r="L724" s="46" t="str">
        <f t="shared" si="71"/>
        <v/>
      </c>
      <c r="M724" t="str" cm="1">
        <f t="array" ref="M724">IF(L724="","",_xlfn.IFS(
  AND(L724&gt;=TIME(9,0,0), L724&lt;TIME(16,0,0)),"Morning",
  AND(L724&gt;=TIME(16,0,0), L724&lt;TIME(23,59,0)),"Evening",
  L724&gt;=TIME(23,59,0),"Night",
  L724&lt;TIME(9,0,0),"Night"
))</f>
        <v/>
      </c>
      <c r="O724" t="str">
        <f t="shared" si="68"/>
        <v/>
      </c>
    </row>
    <row r="725" spans="1:15" x14ac:dyDescent="0.25">
      <c r="A725" s="49"/>
      <c r="B725" s="50"/>
      <c r="G725" t="str">
        <f t="shared" si="66"/>
        <v/>
      </c>
      <c r="H725" s="13" t="str">
        <f t="shared" si="69"/>
        <v/>
      </c>
      <c r="I725" t="str">
        <f>IFERROR(INDEX(Analysis!$D$116:$N$137, MATCH(B725, Analysis!$C$116:$C$137, 0), MATCH(C725, Analysis!$D$115:$N$115, 0)), "")</f>
        <v/>
      </c>
      <c r="J725" t="str">
        <f t="shared" si="70"/>
        <v/>
      </c>
      <c r="K725" s="28" t="str">
        <f t="shared" si="67"/>
        <v/>
      </c>
      <c r="L725" s="46" t="str">
        <f t="shared" si="71"/>
        <v/>
      </c>
      <c r="M725" t="str" cm="1">
        <f t="array" ref="M725">IF(L725="","",_xlfn.IFS(
  AND(L725&gt;=TIME(9,0,0), L725&lt;TIME(16,0,0)),"Morning",
  AND(L725&gt;=TIME(16,0,0), L725&lt;TIME(23,59,0)),"Evening",
  L725&gt;=TIME(23,59,0),"Night",
  L725&lt;TIME(9,0,0),"Night"
))</f>
        <v/>
      </c>
      <c r="O725" t="str">
        <f t="shared" si="68"/>
        <v/>
      </c>
    </row>
    <row r="726" spans="1:15" x14ac:dyDescent="0.25">
      <c r="A726" s="49"/>
      <c r="B726" s="50"/>
      <c r="G726" t="str">
        <f t="shared" si="66"/>
        <v/>
      </c>
      <c r="H726" s="13" t="str">
        <f t="shared" si="69"/>
        <v/>
      </c>
      <c r="I726" t="str">
        <f>IFERROR(INDEX(Analysis!$D$116:$N$137, MATCH(B726, Analysis!$C$116:$C$137, 0), MATCH(C726, Analysis!$D$115:$N$115, 0)), "")</f>
        <v/>
      </c>
      <c r="J726" t="str">
        <f t="shared" si="70"/>
        <v/>
      </c>
      <c r="K726" s="28" t="str">
        <f t="shared" si="67"/>
        <v/>
      </c>
      <c r="L726" s="46" t="str">
        <f t="shared" si="71"/>
        <v/>
      </c>
      <c r="M726" t="str" cm="1">
        <f t="array" ref="M726">IF(L726="","",_xlfn.IFS(
  AND(L726&gt;=TIME(9,0,0), L726&lt;TIME(16,0,0)),"Morning",
  AND(L726&gt;=TIME(16,0,0), L726&lt;TIME(23,59,0)),"Evening",
  L726&gt;=TIME(23,59,0),"Night",
  L726&lt;TIME(9,0,0),"Night"
))</f>
        <v/>
      </c>
      <c r="O726" t="str">
        <f t="shared" si="68"/>
        <v/>
      </c>
    </row>
    <row r="727" spans="1:15" x14ac:dyDescent="0.25">
      <c r="A727" s="49"/>
      <c r="B727" s="50"/>
      <c r="G727" t="str">
        <f t="shared" si="66"/>
        <v/>
      </c>
      <c r="H727" s="13" t="str">
        <f t="shared" si="69"/>
        <v/>
      </c>
      <c r="I727" t="str">
        <f>IFERROR(INDEX(Analysis!$D$116:$N$137, MATCH(B727, Analysis!$C$116:$C$137, 0), MATCH(C727, Analysis!$D$115:$N$115, 0)), "")</f>
        <v/>
      </c>
      <c r="J727" t="str">
        <f t="shared" si="70"/>
        <v/>
      </c>
      <c r="K727" s="28" t="str">
        <f t="shared" si="67"/>
        <v/>
      </c>
      <c r="L727" s="46" t="str">
        <f t="shared" si="71"/>
        <v/>
      </c>
      <c r="M727" t="str" cm="1">
        <f t="array" ref="M727">IF(L727="","",_xlfn.IFS(
  AND(L727&gt;=TIME(9,0,0), L727&lt;TIME(16,0,0)),"Morning",
  AND(L727&gt;=TIME(16,0,0), L727&lt;TIME(23,59,0)),"Evening",
  L727&gt;=TIME(23,59,0),"Night",
  L727&lt;TIME(9,0,0),"Night"
))</f>
        <v/>
      </c>
      <c r="O727" t="str">
        <f t="shared" si="68"/>
        <v/>
      </c>
    </row>
    <row r="728" spans="1:15" x14ac:dyDescent="0.25">
      <c r="A728" s="49"/>
      <c r="B728" s="50"/>
      <c r="G728" t="str">
        <f t="shared" si="66"/>
        <v/>
      </c>
      <c r="H728" s="13" t="str">
        <f t="shared" si="69"/>
        <v/>
      </c>
      <c r="I728" t="str">
        <f>IFERROR(INDEX(Analysis!$D$116:$N$137, MATCH(B728, Analysis!$C$116:$C$137, 0), MATCH(C728, Analysis!$D$115:$N$115, 0)), "")</f>
        <v/>
      </c>
      <c r="J728" t="str">
        <f t="shared" si="70"/>
        <v/>
      </c>
      <c r="K728" s="28" t="str">
        <f t="shared" si="67"/>
        <v/>
      </c>
      <c r="L728" s="46" t="str">
        <f t="shared" si="71"/>
        <v/>
      </c>
      <c r="M728" t="str" cm="1">
        <f t="array" ref="M728">IF(L728="","",_xlfn.IFS(
  AND(L728&gt;=TIME(9,0,0), L728&lt;TIME(16,0,0)),"Morning",
  AND(L728&gt;=TIME(16,0,0), L728&lt;TIME(23,59,0)),"Evening",
  L728&gt;=TIME(23,59,0),"Night",
  L728&lt;TIME(9,0,0),"Night"
))</f>
        <v/>
      </c>
      <c r="O728" t="str">
        <f t="shared" si="68"/>
        <v/>
      </c>
    </row>
    <row r="729" spans="1:15" x14ac:dyDescent="0.25">
      <c r="A729" s="49"/>
      <c r="B729" s="50"/>
      <c r="G729" t="str">
        <f t="shared" si="66"/>
        <v/>
      </c>
      <c r="H729" s="13" t="str">
        <f t="shared" si="69"/>
        <v/>
      </c>
      <c r="I729" t="str">
        <f>IFERROR(INDEX(Analysis!$D$116:$N$137, MATCH(B729, Analysis!$C$116:$C$137, 0), MATCH(C729, Analysis!$D$115:$N$115, 0)), "")</f>
        <v/>
      </c>
      <c r="J729" t="str">
        <f t="shared" si="70"/>
        <v/>
      </c>
      <c r="K729" s="28" t="str">
        <f t="shared" si="67"/>
        <v/>
      </c>
      <c r="L729" s="46" t="str">
        <f t="shared" si="71"/>
        <v/>
      </c>
      <c r="M729" t="str" cm="1">
        <f t="array" ref="M729">IF(L729="","",_xlfn.IFS(
  AND(L729&gt;=TIME(9,0,0), L729&lt;TIME(16,0,0)),"Morning",
  AND(L729&gt;=TIME(16,0,0), L729&lt;TIME(23,59,0)),"Evening",
  L729&gt;=TIME(23,59,0),"Night",
  L729&lt;TIME(9,0,0),"Night"
))</f>
        <v/>
      </c>
      <c r="O729" t="str">
        <f t="shared" si="68"/>
        <v/>
      </c>
    </row>
    <row r="730" spans="1:15" x14ac:dyDescent="0.25">
      <c r="A730" s="49"/>
      <c r="B730" s="50"/>
      <c r="G730" t="str">
        <f t="shared" si="66"/>
        <v/>
      </c>
      <c r="H730" s="13" t="str">
        <f t="shared" si="69"/>
        <v/>
      </c>
      <c r="I730" t="str">
        <f>IFERROR(INDEX(Analysis!$D$116:$N$137, MATCH(B730, Analysis!$C$116:$C$137, 0), MATCH(C730, Analysis!$D$115:$N$115, 0)), "")</f>
        <v/>
      </c>
      <c r="J730" t="str">
        <f t="shared" si="70"/>
        <v/>
      </c>
      <c r="K730" s="28" t="str">
        <f t="shared" si="67"/>
        <v/>
      </c>
      <c r="L730" s="46" t="str">
        <f t="shared" si="71"/>
        <v/>
      </c>
      <c r="M730" t="str" cm="1">
        <f t="array" ref="M730">IF(L730="","",_xlfn.IFS(
  AND(L730&gt;=TIME(9,0,0), L730&lt;TIME(16,0,0)),"Morning",
  AND(L730&gt;=TIME(16,0,0), L730&lt;TIME(23,59,0)),"Evening",
  L730&gt;=TIME(23,59,0),"Night",
  L730&lt;TIME(9,0,0),"Night"
))</f>
        <v/>
      </c>
      <c r="O730" t="str">
        <f t="shared" si="68"/>
        <v/>
      </c>
    </row>
    <row r="731" spans="1:15" x14ac:dyDescent="0.25">
      <c r="A731" s="49"/>
      <c r="B731" s="50"/>
      <c r="G731" t="str">
        <f t="shared" si="66"/>
        <v/>
      </c>
      <c r="H731" s="13" t="str">
        <f t="shared" si="69"/>
        <v/>
      </c>
      <c r="I731" t="str">
        <f>IFERROR(INDEX(Analysis!$D$116:$N$137, MATCH(B731, Analysis!$C$116:$C$137, 0), MATCH(C731, Analysis!$D$115:$N$115, 0)), "")</f>
        <v/>
      </c>
      <c r="J731" t="str">
        <f t="shared" si="70"/>
        <v/>
      </c>
      <c r="K731" s="28" t="str">
        <f t="shared" si="67"/>
        <v/>
      </c>
      <c r="L731" s="46" t="str">
        <f t="shared" si="71"/>
        <v/>
      </c>
      <c r="M731" t="str" cm="1">
        <f t="array" ref="M731">IF(L731="","",_xlfn.IFS(
  AND(L731&gt;=TIME(9,0,0), L731&lt;TIME(16,0,0)),"Morning",
  AND(L731&gt;=TIME(16,0,0), L731&lt;TIME(23,59,0)),"Evening",
  L731&gt;=TIME(23,59,0),"Night",
  L731&lt;TIME(9,0,0),"Night"
))</f>
        <v/>
      </c>
      <c r="O731" t="str">
        <f t="shared" si="68"/>
        <v/>
      </c>
    </row>
    <row r="732" spans="1:15" x14ac:dyDescent="0.25">
      <c r="A732" s="49"/>
      <c r="B732" s="50"/>
      <c r="G732" t="str">
        <f t="shared" si="66"/>
        <v/>
      </c>
      <c r="H732" s="13" t="str">
        <f t="shared" si="69"/>
        <v/>
      </c>
      <c r="I732" t="str">
        <f>IFERROR(INDEX(Analysis!$D$116:$N$137, MATCH(B732, Analysis!$C$116:$C$137, 0), MATCH(C732, Analysis!$D$115:$N$115, 0)), "")</f>
        <v/>
      </c>
      <c r="J732" t="str">
        <f t="shared" si="70"/>
        <v/>
      </c>
      <c r="K732" s="28" t="str">
        <f t="shared" si="67"/>
        <v/>
      </c>
      <c r="L732" s="46" t="str">
        <f t="shared" si="71"/>
        <v/>
      </c>
      <c r="M732" t="str" cm="1">
        <f t="array" ref="M732">IF(L732="","",_xlfn.IFS(
  AND(L732&gt;=TIME(9,0,0), L732&lt;TIME(16,0,0)),"Morning",
  AND(L732&gt;=TIME(16,0,0), L732&lt;TIME(23,59,0)),"Evening",
  L732&gt;=TIME(23,59,0),"Night",
  L732&lt;TIME(9,0,0),"Night"
))</f>
        <v/>
      </c>
      <c r="O732" t="str">
        <f t="shared" si="68"/>
        <v/>
      </c>
    </row>
    <row r="733" spans="1:15" x14ac:dyDescent="0.25">
      <c r="A733" s="49"/>
      <c r="B733" s="50"/>
      <c r="G733" t="str">
        <f t="shared" si="66"/>
        <v/>
      </c>
      <c r="H733" s="13" t="str">
        <f t="shared" si="69"/>
        <v/>
      </c>
      <c r="I733" t="str">
        <f>IFERROR(INDEX(Analysis!$D$116:$N$137, MATCH(B733, Analysis!$C$116:$C$137, 0), MATCH(C733, Analysis!$D$115:$N$115, 0)), "")</f>
        <v/>
      </c>
      <c r="J733" t="str">
        <f t="shared" si="70"/>
        <v/>
      </c>
      <c r="K733" s="28" t="str">
        <f t="shared" si="67"/>
        <v/>
      </c>
      <c r="L733" s="46" t="str">
        <f t="shared" si="71"/>
        <v/>
      </c>
      <c r="M733" t="str" cm="1">
        <f t="array" ref="M733">IF(L733="","",_xlfn.IFS(
  AND(L733&gt;=TIME(9,0,0), L733&lt;TIME(16,0,0)),"Morning",
  AND(L733&gt;=TIME(16,0,0), L733&lt;TIME(23,59,0)),"Evening",
  L733&gt;=TIME(23,59,0),"Night",
  L733&lt;TIME(9,0,0),"Night"
))</f>
        <v/>
      </c>
      <c r="O733" t="str">
        <f t="shared" si="68"/>
        <v/>
      </c>
    </row>
    <row r="734" spans="1:15" x14ac:dyDescent="0.25">
      <c r="A734" s="49"/>
      <c r="B734" s="50"/>
      <c r="G734" t="str">
        <f t="shared" si="66"/>
        <v/>
      </c>
      <c r="H734" s="13" t="str">
        <f t="shared" si="69"/>
        <v/>
      </c>
      <c r="I734" t="str">
        <f>IFERROR(INDEX(Analysis!$D$116:$N$137, MATCH(B734, Analysis!$C$116:$C$137, 0), MATCH(C734, Analysis!$D$115:$N$115, 0)), "")</f>
        <v/>
      </c>
      <c r="J734" t="str">
        <f t="shared" si="70"/>
        <v/>
      </c>
      <c r="K734" s="28" t="str">
        <f t="shared" si="67"/>
        <v/>
      </c>
      <c r="L734" s="46" t="str">
        <f t="shared" si="71"/>
        <v/>
      </c>
      <c r="M734" t="str" cm="1">
        <f t="array" ref="M734">IF(L734="","",_xlfn.IFS(
  AND(L734&gt;=TIME(9,0,0), L734&lt;TIME(16,0,0)),"Morning",
  AND(L734&gt;=TIME(16,0,0), L734&lt;TIME(23,59,0)),"Evening",
  L734&gt;=TIME(23,59,0),"Night",
  L734&lt;TIME(9,0,0),"Night"
))</f>
        <v/>
      </c>
      <c r="O734" t="str">
        <f t="shared" si="68"/>
        <v/>
      </c>
    </row>
    <row r="735" spans="1:15" x14ac:dyDescent="0.25">
      <c r="A735" s="49"/>
      <c r="B735" s="50"/>
      <c r="G735" t="str">
        <f t="shared" si="66"/>
        <v/>
      </c>
      <c r="H735" s="13" t="str">
        <f t="shared" si="69"/>
        <v/>
      </c>
      <c r="I735" t="str">
        <f>IFERROR(INDEX(Analysis!$D$116:$N$137, MATCH(B735, Analysis!$C$116:$C$137, 0), MATCH(C735, Analysis!$D$115:$N$115, 0)), "")</f>
        <v/>
      </c>
      <c r="J735" t="str">
        <f t="shared" si="70"/>
        <v/>
      </c>
      <c r="K735" s="28" t="str">
        <f t="shared" si="67"/>
        <v/>
      </c>
      <c r="L735" s="46" t="str">
        <f t="shared" si="71"/>
        <v/>
      </c>
      <c r="M735" t="str" cm="1">
        <f t="array" ref="M735">IF(L735="","",_xlfn.IFS(
  AND(L735&gt;=TIME(9,0,0), L735&lt;TIME(16,0,0)),"Morning",
  AND(L735&gt;=TIME(16,0,0), L735&lt;TIME(23,59,0)),"Evening",
  L735&gt;=TIME(23,59,0),"Night",
  L735&lt;TIME(9,0,0),"Night"
))</f>
        <v/>
      </c>
      <c r="O735" t="str">
        <f t="shared" si="68"/>
        <v/>
      </c>
    </row>
    <row r="736" spans="1:15" x14ac:dyDescent="0.25">
      <c r="A736" s="49"/>
      <c r="B736" s="50"/>
      <c r="G736" t="str">
        <f t="shared" si="66"/>
        <v/>
      </c>
      <c r="H736" s="13" t="str">
        <f t="shared" si="69"/>
        <v/>
      </c>
      <c r="I736" t="str">
        <f>IFERROR(INDEX(Analysis!$D$116:$N$137, MATCH(B736, Analysis!$C$116:$C$137, 0), MATCH(C736, Analysis!$D$115:$N$115, 0)), "")</f>
        <v/>
      </c>
      <c r="J736" t="str">
        <f t="shared" si="70"/>
        <v/>
      </c>
      <c r="K736" s="28" t="str">
        <f t="shared" si="67"/>
        <v/>
      </c>
      <c r="L736" s="46" t="str">
        <f t="shared" si="71"/>
        <v/>
      </c>
      <c r="M736" t="str" cm="1">
        <f t="array" ref="M736">IF(L736="","",_xlfn.IFS(
  AND(L736&gt;=TIME(9,0,0), L736&lt;TIME(16,0,0)),"Morning",
  AND(L736&gt;=TIME(16,0,0), L736&lt;TIME(23,59,0)),"Evening",
  L736&gt;=TIME(23,59,0),"Night",
  L736&lt;TIME(9,0,0),"Night"
))</f>
        <v/>
      </c>
      <c r="O736" t="str">
        <f t="shared" si="68"/>
        <v/>
      </c>
    </row>
    <row r="737" spans="1:15" x14ac:dyDescent="0.25">
      <c r="A737" s="49"/>
      <c r="B737" s="50"/>
      <c r="G737" t="str">
        <f t="shared" si="66"/>
        <v/>
      </c>
      <c r="H737" s="13" t="str">
        <f t="shared" si="69"/>
        <v/>
      </c>
      <c r="I737" t="str">
        <f>IFERROR(INDEX(Analysis!$D$116:$N$137, MATCH(B737, Analysis!$C$116:$C$137, 0), MATCH(C737, Analysis!$D$115:$N$115, 0)), "")</f>
        <v/>
      </c>
      <c r="J737" t="str">
        <f t="shared" si="70"/>
        <v/>
      </c>
      <c r="K737" s="28" t="str">
        <f t="shared" si="67"/>
        <v/>
      </c>
      <c r="L737" s="46" t="str">
        <f t="shared" si="71"/>
        <v/>
      </c>
      <c r="M737" t="str" cm="1">
        <f t="array" ref="M737">IF(L737="","",_xlfn.IFS(
  AND(L737&gt;=TIME(9,0,0), L737&lt;TIME(16,0,0)),"Morning",
  AND(L737&gt;=TIME(16,0,0), L737&lt;TIME(23,59,0)),"Evening",
  L737&gt;=TIME(23,59,0),"Night",
  L737&lt;TIME(9,0,0),"Night"
))</f>
        <v/>
      </c>
      <c r="O737" t="str">
        <f t="shared" si="68"/>
        <v/>
      </c>
    </row>
    <row r="738" spans="1:15" x14ac:dyDescent="0.25">
      <c r="A738" s="49"/>
      <c r="B738" s="50"/>
      <c r="G738" t="str">
        <f t="shared" si="66"/>
        <v/>
      </c>
      <c r="H738" s="13" t="str">
        <f t="shared" si="69"/>
        <v/>
      </c>
      <c r="I738" t="str">
        <f>IFERROR(INDEX(Analysis!$D$116:$N$137, MATCH(B738, Analysis!$C$116:$C$137, 0), MATCH(C738, Analysis!$D$115:$N$115, 0)), "")</f>
        <v/>
      </c>
      <c r="J738" t="str">
        <f t="shared" si="70"/>
        <v/>
      </c>
      <c r="K738" s="28" t="str">
        <f t="shared" si="67"/>
        <v/>
      </c>
      <c r="L738" s="46" t="str">
        <f t="shared" si="71"/>
        <v/>
      </c>
      <c r="M738" t="str" cm="1">
        <f t="array" ref="M738">IF(L738="","",_xlfn.IFS(
  AND(L738&gt;=TIME(9,0,0), L738&lt;TIME(16,0,0)),"Morning",
  AND(L738&gt;=TIME(16,0,0), L738&lt;TIME(23,59,0)),"Evening",
  L738&gt;=TIME(23,59,0),"Night",
  L738&lt;TIME(9,0,0),"Night"
))</f>
        <v/>
      </c>
      <c r="O738" t="str">
        <f t="shared" si="68"/>
        <v/>
      </c>
    </row>
    <row r="739" spans="1:15" x14ac:dyDescent="0.25">
      <c r="A739" s="49"/>
      <c r="B739" s="50"/>
      <c r="G739" t="str">
        <f t="shared" si="66"/>
        <v/>
      </c>
      <c r="H739" s="13" t="str">
        <f t="shared" si="69"/>
        <v/>
      </c>
      <c r="I739" t="str">
        <f>IFERROR(INDEX(Analysis!$D$116:$N$137, MATCH(B739, Analysis!$C$116:$C$137, 0), MATCH(C739, Analysis!$D$115:$N$115, 0)), "")</f>
        <v/>
      </c>
      <c r="J739" t="str">
        <f t="shared" si="70"/>
        <v/>
      </c>
      <c r="K739" s="28" t="str">
        <f t="shared" si="67"/>
        <v/>
      </c>
      <c r="L739" s="46" t="str">
        <f t="shared" si="71"/>
        <v/>
      </c>
      <c r="M739" t="str" cm="1">
        <f t="array" ref="M739">IF(L739="","",_xlfn.IFS(
  AND(L739&gt;=TIME(9,0,0), L739&lt;TIME(16,0,0)),"Morning",
  AND(L739&gt;=TIME(16,0,0), L739&lt;TIME(23,59,0)),"Evening",
  L739&gt;=TIME(23,59,0),"Night",
  L739&lt;TIME(9,0,0),"Night"
))</f>
        <v/>
      </c>
      <c r="O739" t="str">
        <f t="shared" si="68"/>
        <v/>
      </c>
    </row>
    <row r="740" spans="1:15" x14ac:dyDescent="0.25">
      <c r="A740" s="49"/>
      <c r="B740" s="50"/>
      <c r="G740" t="str">
        <f t="shared" si="66"/>
        <v/>
      </c>
      <c r="H740" s="13" t="str">
        <f t="shared" si="69"/>
        <v/>
      </c>
      <c r="I740" t="str">
        <f>IFERROR(INDEX(Analysis!$D$116:$N$137, MATCH(B740, Analysis!$C$116:$C$137, 0), MATCH(C740, Analysis!$D$115:$N$115, 0)), "")</f>
        <v/>
      </c>
      <c r="J740" t="str">
        <f t="shared" si="70"/>
        <v/>
      </c>
      <c r="K740" s="28" t="str">
        <f t="shared" si="67"/>
        <v/>
      </c>
      <c r="L740" s="46" t="str">
        <f t="shared" si="71"/>
        <v/>
      </c>
      <c r="M740" t="str" cm="1">
        <f t="array" ref="M740">IF(L740="","",_xlfn.IFS(
  AND(L740&gt;=TIME(9,0,0), L740&lt;TIME(16,0,0)),"Morning",
  AND(L740&gt;=TIME(16,0,0), L740&lt;TIME(23,59,0)),"Evening",
  L740&gt;=TIME(23,59,0),"Night",
  L740&lt;TIME(9,0,0),"Night"
))</f>
        <v/>
      </c>
      <c r="O740" t="str">
        <f t="shared" si="68"/>
        <v/>
      </c>
    </row>
    <row r="741" spans="1:15" x14ac:dyDescent="0.25">
      <c r="A741" s="49"/>
      <c r="B741" s="50"/>
      <c r="G741" t="str">
        <f t="shared" si="66"/>
        <v/>
      </c>
      <c r="H741" s="13" t="str">
        <f t="shared" si="69"/>
        <v/>
      </c>
      <c r="I741" t="str">
        <f>IFERROR(INDEX(Analysis!$D$116:$N$137, MATCH(B741, Analysis!$C$116:$C$137, 0), MATCH(C741, Analysis!$D$115:$N$115, 0)), "")</f>
        <v/>
      </c>
      <c r="J741" t="str">
        <f t="shared" si="70"/>
        <v/>
      </c>
      <c r="K741" s="28" t="str">
        <f t="shared" si="67"/>
        <v/>
      </c>
      <c r="L741" s="46" t="str">
        <f t="shared" si="71"/>
        <v/>
      </c>
      <c r="M741" t="str" cm="1">
        <f t="array" ref="M741">IF(L741="","",_xlfn.IFS(
  AND(L741&gt;=TIME(9,0,0), L741&lt;TIME(16,0,0)),"Morning",
  AND(L741&gt;=TIME(16,0,0), L741&lt;TIME(23,59,0)),"Evening",
  L741&gt;=TIME(23,59,0),"Night",
  L741&lt;TIME(9,0,0),"Night"
))</f>
        <v/>
      </c>
      <c r="O741" t="str">
        <f t="shared" si="68"/>
        <v/>
      </c>
    </row>
    <row r="742" spans="1:15" x14ac:dyDescent="0.25">
      <c r="A742" s="49"/>
      <c r="B742" s="50"/>
      <c r="G742" t="str">
        <f t="shared" si="66"/>
        <v/>
      </c>
      <c r="H742" s="13" t="str">
        <f t="shared" si="69"/>
        <v/>
      </c>
      <c r="I742" t="str">
        <f>IFERROR(INDEX(Analysis!$D$116:$N$137, MATCH(B742, Analysis!$C$116:$C$137, 0), MATCH(C742, Analysis!$D$115:$N$115, 0)), "")</f>
        <v/>
      </c>
      <c r="J742" t="str">
        <f t="shared" si="70"/>
        <v/>
      </c>
      <c r="K742" s="28" t="str">
        <f t="shared" si="67"/>
        <v/>
      </c>
      <c r="L742" s="46" t="str">
        <f t="shared" si="71"/>
        <v/>
      </c>
      <c r="M742" t="str" cm="1">
        <f t="array" ref="M742">IF(L742="","",_xlfn.IFS(
  AND(L742&gt;=TIME(9,0,0), L742&lt;TIME(16,0,0)),"Morning",
  AND(L742&gt;=TIME(16,0,0), L742&lt;TIME(23,59,0)),"Evening",
  L742&gt;=TIME(23,59,0),"Night",
  L742&lt;TIME(9,0,0),"Night"
))</f>
        <v/>
      </c>
      <c r="O742" t="str">
        <f t="shared" si="68"/>
        <v/>
      </c>
    </row>
    <row r="743" spans="1:15" x14ac:dyDescent="0.25">
      <c r="A743" s="49"/>
      <c r="B743" s="50"/>
      <c r="G743" t="str">
        <f t="shared" si="66"/>
        <v/>
      </c>
      <c r="H743" s="13" t="str">
        <f t="shared" si="69"/>
        <v/>
      </c>
      <c r="I743" t="str">
        <f>IFERROR(INDEX(Analysis!$D$116:$N$137, MATCH(B743, Analysis!$C$116:$C$137, 0), MATCH(C743, Analysis!$D$115:$N$115, 0)), "")</f>
        <v/>
      </c>
      <c r="J743" t="str">
        <f t="shared" si="70"/>
        <v/>
      </c>
      <c r="K743" s="28" t="str">
        <f t="shared" si="67"/>
        <v/>
      </c>
      <c r="L743" s="46" t="str">
        <f t="shared" si="71"/>
        <v/>
      </c>
      <c r="M743" t="str" cm="1">
        <f t="array" ref="M743">IF(L743="","",_xlfn.IFS(
  AND(L743&gt;=TIME(9,0,0), L743&lt;TIME(16,0,0)),"Morning",
  AND(L743&gt;=TIME(16,0,0), L743&lt;TIME(23,59,0)),"Evening",
  L743&gt;=TIME(23,59,0),"Night",
  L743&lt;TIME(9,0,0),"Night"
))</f>
        <v/>
      </c>
      <c r="O743" t="str">
        <f t="shared" si="68"/>
        <v/>
      </c>
    </row>
    <row r="744" spans="1:15" x14ac:dyDescent="0.25">
      <c r="A744" s="49"/>
      <c r="B744" s="50"/>
      <c r="G744" t="str">
        <f t="shared" si="66"/>
        <v/>
      </c>
      <c r="H744" s="13" t="str">
        <f t="shared" si="69"/>
        <v/>
      </c>
      <c r="I744" t="str">
        <f>IFERROR(INDEX(Analysis!$D$116:$N$137, MATCH(B744, Analysis!$C$116:$C$137, 0), MATCH(C744, Analysis!$D$115:$N$115, 0)), "")</f>
        <v/>
      </c>
      <c r="J744" t="str">
        <f t="shared" si="70"/>
        <v/>
      </c>
      <c r="K744" s="28" t="str">
        <f t="shared" si="67"/>
        <v/>
      </c>
      <c r="L744" s="46" t="str">
        <f t="shared" si="71"/>
        <v/>
      </c>
      <c r="M744" t="str" cm="1">
        <f t="array" ref="M744">IF(L744="","",_xlfn.IFS(
  AND(L744&gt;=TIME(9,0,0), L744&lt;TIME(16,0,0)),"Morning",
  AND(L744&gt;=TIME(16,0,0), L744&lt;TIME(23,59,0)),"Evening",
  L744&gt;=TIME(23,59,0),"Night",
  L744&lt;TIME(9,0,0),"Night"
))</f>
        <v/>
      </c>
      <c r="O744" t="str">
        <f t="shared" si="68"/>
        <v/>
      </c>
    </row>
    <row r="745" spans="1:15" x14ac:dyDescent="0.25">
      <c r="A745" s="49"/>
      <c r="B745" s="50"/>
      <c r="G745" t="str">
        <f t="shared" si="66"/>
        <v/>
      </c>
      <c r="H745" s="13" t="str">
        <f t="shared" si="69"/>
        <v/>
      </c>
      <c r="I745" t="str">
        <f>IFERROR(INDEX(Analysis!$D$116:$N$137, MATCH(B745, Analysis!$C$116:$C$137, 0), MATCH(C745, Analysis!$D$115:$N$115, 0)), "")</f>
        <v/>
      </c>
      <c r="J745" t="str">
        <f t="shared" si="70"/>
        <v/>
      </c>
      <c r="K745" s="28" t="str">
        <f t="shared" si="67"/>
        <v/>
      </c>
      <c r="L745" s="46" t="str">
        <f t="shared" si="71"/>
        <v/>
      </c>
      <c r="M745" t="str" cm="1">
        <f t="array" ref="M745">IF(L745="","",_xlfn.IFS(
  AND(L745&gt;=TIME(9,0,0), L745&lt;TIME(16,0,0)),"Morning",
  AND(L745&gt;=TIME(16,0,0), L745&lt;TIME(23,59,0)),"Evening",
  L745&gt;=TIME(23,59,0),"Night",
  L745&lt;TIME(9,0,0),"Night"
))</f>
        <v/>
      </c>
      <c r="O745" t="str">
        <f t="shared" si="68"/>
        <v/>
      </c>
    </row>
    <row r="746" spans="1:15" x14ac:dyDescent="0.25">
      <c r="A746" s="49"/>
      <c r="B746" s="50"/>
      <c r="G746" t="str">
        <f t="shared" si="66"/>
        <v/>
      </c>
      <c r="H746" s="13" t="str">
        <f t="shared" si="69"/>
        <v/>
      </c>
      <c r="I746" t="str">
        <f>IFERROR(INDEX(Analysis!$D$116:$N$137, MATCH(B746, Analysis!$C$116:$C$137, 0), MATCH(C746, Analysis!$D$115:$N$115, 0)), "")</f>
        <v/>
      </c>
      <c r="J746" t="str">
        <f t="shared" si="70"/>
        <v/>
      </c>
      <c r="K746" s="28" t="str">
        <f t="shared" si="67"/>
        <v/>
      </c>
      <c r="L746" s="46" t="str">
        <f t="shared" si="71"/>
        <v/>
      </c>
      <c r="M746" t="str" cm="1">
        <f t="array" ref="M746">IF(L746="","",_xlfn.IFS(
  AND(L746&gt;=TIME(9,0,0), L746&lt;TIME(16,0,0)),"Morning",
  AND(L746&gt;=TIME(16,0,0), L746&lt;TIME(23,59,0)),"Evening",
  L746&gt;=TIME(23,59,0),"Night",
  L746&lt;TIME(9,0,0),"Night"
))</f>
        <v/>
      </c>
      <c r="O746" t="str">
        <f t="shared" si="68"/>
        <v/>
      </c>
    </row>
    <row r="747" spans="1:15" x14ac:dyDescent="0.25">
      <c r="A747" s="49"/>
      <c r="B747" s="50"/>
      <c r="G747" t="str">
        <f t="shared" si="66"/>
        <v/>
      </c>
      <c r="H747" s="13" t="str">
        <f t="shared" si="69"/>
        <v/>
      </c>
      <c r="I747" t="str">
        <f>IFERROR(INDEX(Analysis!$D$116:$N$137, MATCH(B747, Analysis!$C$116:$C$137, 0), MATCH(C747, Analysis!$D$115:$N$115, 0)), "")</f>
        <v/>
      </c>
      <c r="J747" t="str">
        <f t="shared" si="70"/>
        <v/>
      </c>
      <c r="K747" s="28" t="str">
        <f t="shared" si="67"/>
        <v/>
      </c>
      <c r="L747" s="46" t="str">
        <f t="shared" si="71"/>
        <v/>
      </c>
      <c r="M747" t="str" cm="1">
        <f t="array" ref="M747">IF(L747="","",_xlfn.IFS(
  AND(L747&gt;=TIME(9,0,0), L747&lt;TIME(16,0,0)),"Morning",
  AND(L747&gt;=TIME(16,0,0), L747&lt;TIME(23,59,0)),"Evening",
  L747&gt;=TIME(23,59,0),"Night",
  L747&lt;TIME(9,0,0),"Night"
))</f>
        <v/>
      </c>
      <c r="O747" t="str">
        <f t="shared" si="68"/>
        <v/>
      </c>
    </row>
    <row r="748" spans="1:15" x14ac:dyDescent="0.25">
      <c r="A748" s="49"/>
      <c r="B748" s="50"/>
      <c r="G748" t="str">
        <f t="shared" si="66"/>
        <v/>
      </c>
      <c r="H748" s="13" t="str">
        <f t="shared" si="69"/>
        <v/>
      </c>
      <c r="I748" t="str">
        <f>IFERROR(INDEX(Analysis!$D$116:$N$137, MATCH(B748, Analysis!$C$116:$C$137, 0), MATCH(C748, Analysis!$D$115:$N$115, 0)), "")</f>
        <v/>
      </c>
      <c r="J748" t="str">
        <f t="shared" si="70"/>
        <v/>
      </c>
      <c r="K748" s="28" t="str">
        <f t="shared" si="67"/>
        <v/>
      </c>
      <c r="L748" s="46" t="str">
        <f t="shared" si="71"/>
        <v/>
      </c>
      <c r="M748" t="str" cm="1">
        <f t="array" ref="M748">IF(L748="","",_xlfn.IFS(
  AND(L748&gt;=TIME(9,0,0), L748&lt;TIME(16,0,0)),"Morning",
  AND(L748&gt;=TIME(16,0,0), L748&lt;TIME(23,59,0)),"Evening",
  L748&gt;=TIME(23,59,0),"Night",
  L748&lt;TIME(9,0,0),"Night"
))</f>
        <v/>
      </c>
      <c r="O748" t="str">
        <f t="shared" si="68"/>
        <v/>
      </c>
    </row>
    <row r="749" spans="1:15" x14ac:dyDescent="0.25">
      <c r="A749" s="49"/>
      <c r="B749" s="50"/>
      <c r="G749" t="str">
        <f t="shared" si="66"/>
        <v/>
      </c>
      <c r="H749" s="13" t="str">
        <f t="shared" si="69"/>
        <v/>
      </c>
      <c r="I749" t="str">
        <f>IFERROR(INDEX(Analysis!$D$116:$N$137, MATCH(B749, Analysis!$C$116:$C$137, 0), MATCH(C749, Analysis!$D$115:$N$115, 0)), "")</f>
        <v/>
      </c>
      <c r="J749" t="str">
        <f t="shared" si="70"/>
        <v/>
      </c>
      <c r="K749" s="28" t="str">
        <f t="shared" si="67"/>
        <v/>
      </c>
      <c r="L749" s="46" t="str">
        <f t="shared" si="71"/>
        <v/>
      </c>
      <c r="M749" t="str" cm="1">
        <f t="array" ref="M749">IF(L749="","",_xlfn.IFS(
  AND(L749&gt;=TIME(9,0,0), L749&lt;TIME(16,0,0)),"Morning",
  AND(L749&gt;=TIME(16,0,0), L749&lt;TIME(23,59,0)),"Evening",
  L749&gt;=TIME(23,59,0),"Night",
  L749&lt;TIME(9,0,0),"Night"
))</f>
        <v/>
      </c>
      <c r="O749" t="str">
        <f t="shared" si="68"/>
        <v/>
      </c>
    </row>
    <row r="750" spans="1:15" x14ac:dyDescent="0.25">
      <c r="A750" s="49"/>
      <c r="B750" s="50"/>
      <c r="G750" t="str">
        <f t="shared" si="66"/>
        <v/>
      </c>
      <c r="H750" s="13" t="str">
        <f t="shared" si="69"/>
        <v/>
      </c>
      <c r="I750" t="str">
        <f>IFERROR(INDEX(Analysis!$D$116:$N$137, MATCH(B750, Analysis!$C$116:$C$137, 0), MATCH(C750, Analysis!$D$115:$N$115, 0)), "")</f>
        <v/>
      </c>
      <c r="J750" t="str">
        <f t="shared" si="70"/>
        <v/>
      </c>
      <c r="K750" s="28" t="str">
        <f t="shared" si="67"/>
        <v/>
      </c>
      <c r="L750" s="46" t="str">
        <f t="shared" si="71"/>
        <v/>
      </c>
      <c r="M750" t="str" cm="1">
        <f t="array" ref="M750">IF(L750="","",_xlfn.IFS(
  AND(L750&gt;=TIME(9,0,0), L750&lt;TIME(16,0,0)),"Morning",
  AND(L750&gt;=TIME(16,0,0), L750&lt;TIME(23,59,0)),"Evening",
  L750&gt;=TIME(23,59,0),"Night",
  L750&lt;TIME(9,0,0),"Night"
))</f>
        <v/>
      </c>
      <c r="O750" t="str">
        <f t="shared" si="68"/>
        <v/>
      </c>
    </row>
    <row r="751" spans="1:15" x14ac:dyDescent="0.25">
      <c r="A751" s="49"/>
      <c r="B751" s="50"/>
      <c r="G751" t="str">
        <f t="shared" si="66"/>
        <v/>
      </c>
      <c r="H751" s="13" t="str">
        <f t="shared" si="69"/>
        <v/>
      </c>
      <c r="I751" t="str">
        <f>IFERROR(INDEX(Analysis!$D$116:$N$137, MATCH(B751, Analysis!$C$116:$C$137, 0), MATCH(C751, Analysis!$D$115:$N$115, 0)), "")</f>
        <v/>
      </c>
      <c r="J751" t="str">
        <f t="shared" si="70"/>
        <v/>
      </c>
      <c r="K751" s="28" t="str">
        <f t="shared" si="67"/>
        <v/>
      </c>
      <c r="L751" s="46" t="str">
        <f t="shared" si="71"/>
        <v/>
      </c>
      <c r="M751" t="str" cm="1">
        <f t="array" ref="M751">IF(L751="","",_xlfn.IFS(
  AND(L751&gt;=TIME(9,0,0), L751&lt;TIME(16,0,0)),"Morning",
  AND(L751&gt;=TIME(16,0,0), L751&lt;TIME(23,59,0)),"Evening",
  L751&gt;=TIME(23,59,0),"Night",
  L751&lt;TIME(9,0,0),"Night"
))</f>
        <v/>
      </c>
      <c r="O751" t="str">
        <f t="shared" si="68"/>
        <v/>
      </c>
    </row>
    <row r="752" spans="1:15" x14ac:dyDescent="0.25">
      <c r="A752" s="49"/>
      <c r="B752" s="50"/>
      <c r="G752" t="str">
        <f t="shared" si="66"/>
        <v/>
      </c>
      <c r="H752" s="13" t="str">
        <f t="shared" si="69"/>
        <v/>
      </c>
      <c r="I752" t="str">
        <f>IFERROR(INDEX(Analysis!$D$116:$N$137, MATCH(B752, Analysis!$C$116:$C$137, 0), MATCH(C752, Analysis!$D$115:$N$115, 0)), "")</f>
        <v/>
      </c>
      <c r="J752" t="str">
        <f t="shared" si="70"/>
        <v/>
      </c>
      <c r="K752" s="28" t="str">
        <f t="shared" si="67"/>
        <v/>
      </c>
      <c r="L752" s="46" t="str">
        <f t="shared" si="71"/>
        <v/>
      </c>
      <c r="M752" t="str" cm="1">
        <f t="array" ref="M752">IF(L752="","",_xlfn.IFS(
  AND(L752&gt;=TIME(9,0,0), L752&lt;TIME(16,0,0)),"Morning",
  AND(L752&gt;=TIME(16,0,0), L752&lt;TIME(23,59,0)),"Evening",
  L752&gt;=TIME(23,59,0),"Night",
  L752&lt;TIME(9,0,0),"Night"
))</f>
        <v/>
      </c>
      <c r="O752" t="str">
        <f t="shared" si="68"/>
        <v/>
      </c>
    </row>
    <row r="753" spans="1:15" x14ac:dyDescent="0.25">
      <c r="A753" s="49"/>
      <c r="B753" s="50"/>
      <c r="G753" t="str">
        <f t="shared" si="66"/>
        <v/>
      </c>
      <c r="H753" s="13" t="str">
        <f t="shared" si="69"/>
        <v/>
      </c>
      <c r="I753" t="str">
        <f>IFERROR(INDEX(Analysis!$D$116:$N$137, MATCH(B753, Analysis!$C$116:$C$137, 0), MATCH(C753, Analysis!$D$115:$N$115, 0)), "")</f>
        <v/>
      </c>
      <c r="J753" t="str">
        <f t="shared" si="70"/>
        <v/>
      </c>
      <c r="K753" s="28" t="str">
        <f t="shared" si="67"/>
        <v/>
      </c>
      <c r="L753" s="46" t="str">
        <f t="shared" si="71"/>
        <v/>
      </c>
      <c r="M753" t="str" cm="1">
        <f t="array" ref="M753">IF(L753="","",_xlfn.IFS(
  AND(L753&gt;=TIME(9,0,0), L753&lt;TIME(16,0,0)),"Morning",
  AND(L753&gt;=TIME(16,0,0), L753&lt;TIME(23,59,0)),"Evening",
  L753&gt;=TIME(23,59,0),"Night",
  L753&lt;TIME(9,0,0),"Night"
))</f>
        <v/>
      </c>
      <c r="O753" t="str">
        <f t="shared" si="68"/>
        <v/>
      </c>
    </row>
    <row r="754" spans="1:15" x14ac:dyDescent="0.25">
      <c r="A754" s="49"/>
      <c r="B754" s="50"/>
      <c r="G754" t="str">
        <f t="shared" si="66"/>
        <v/>
      </c>
      <c r="H754" s="13" t="str">
        <f t="shared" si="69"/>
        <v/>
      </c>
      <c r="I754" t="str">
        <f>IFERROR(INDEX(Analysis!$D$116:$N$137, MATCH(B754, Analysis!$C$116:$C$137, 0), MATCH(C754, Analysis!$D$115:$N$115, 0)), "")</f>
        <v/>
      </c>
      <c r="J754" t="str">
        <f t="shared" si="70"/>
        <v/>
      </c>
      <c r="K754" s="28" t="str">
        <f t="shared" si="67"/>
        <v/>
      </c>
      <c r="L754" s="46" t="str">
        <f t="shared" si="71"/>
        <v/>
      </c>
      <c r="M754" t="str" cm="1">
        <f t="array" ref="M754">IF(L754="","",_xlfn.IFS(
  AND(L754&gt;=TIME(9,0,0), L754&lt;TIME(16,0,0)),"Morning",
  AND(L754&gt;=TIME(16,0,0), L754&lt;TIME(23,59,0)),"Evening",
  L754&gt;=TIME(23,59,0),"Night",
  L754&lt;TIME(9,0,0),"Night"
))</f>
        <v/>
      </c>
      <c r="O754" t="str">
        <f t="shared" si="68"/>
        <v/>
      </c>
    </row>
    <row r="755" spans="1:15" x14ac:dyDescent="0.25">
      <c r="A755" s="49"/>
      <c r="B755" s="50"/>
      <c r="G755" t="str">
        <f t="shared" si="66"/>
        <v/>
      </c>
      <c r="H755" s="13" t="str">
        <f t="shared" si="69"/>
        <v/>
      </c>
      <c r="I755" t="str">
        <f>IFERROR(INDEX(Analysis!$D$116:$N$137, MATCH(B755, Analysis!$C$116:$C$137, 0), MATCH(C755, Analysis!$D$115:$N$115, 0)), "")</f>
        <v/>
      </c>
      <c r="J755" t="str">
        <f t="shared" si="70"/>
        <v/>
      </c>
      <c r="K755" s="28" t="str">
        <f t="shared" si="67"/>
        <v/>
      </c>
      <c r="L755" s="46" t="str">
        <f t="shared" si="71"/>
        <v/>
      </c>
      <c r="M755" t="str" cm="1">
        <f t="array" ref="M755">IF(L755="","",_xlfn.IFS(
  AND(L755&gt;=TIME(9,0,0), L755&lt;TIME(16,0,0)),"Morning",
  AND(L755&gt;=TIME(16,0,0), L755&lt;TIME(23,59,0)),"Evening",
  L755&gt;=TIME(23,59,0),"Night",
  L755&lt;TIME(9,0,0),"Night"
))</f>
        <v/>
      </c>
      <c r="O755" t="str">
        <f t="shared" si="68"/>
        <v/>
      </c>
    </row>
    <row r="756" spans="1:15" x14ac:dyDescent="0.25">
      <c r="A756" s="49"/>
      <c r="B756" s="50"/>
      <c r="G756" t="str">
        <f t="shared" si="66"/>
        <v/>
      </c>
      <c r="H756" s="13" t="str">
        <f t="shared" si="69"/>
        <v/>
      </c>
      <c r="I756" t="str">
        <f>IFERROR(INDEX(Analysis!$D$116:$N$137, MATCH(B756, Analysis!$C$116:$C$137, 0), MATCH(C756, Analysis!$D$115:$N$115, 0)), "")</f>
        <v/>
      </c>
      <c r="J756" t="str">
        <f t="shared" si="70"/>
        <v/>
      </c>
      <c r="K756" s="28" t="str">
        <f t="shared" si="67"/>
        <v/>
      </c>
      <c r="L756" s="46" t="str">
        <f t="shared" si="71"/>
        <v/>
      </c>
      <c r="M756" t="str" cm="1">
        <f t="array" ref="M756">IF(L756="","",_xlfn.IFS(
  AND(L756&gt;=TIME(9,0,0), L756&lt;TIME(16,0,0)),"Morning",
  AND(L756&gt;=TIME(16,0,0), L756&lt;TIME(23,59,0)),"Evening",
  L756&gt;=TIME(23,59,0),"Night",
  L756&lt;TIME(9,0,0),"Night"
))</f>
        <v/>
      </c>
      <c r="O756" t="str">
        <f t="shared" si="68"/>
        <v/>
      </c>
    </row>
    <row r="757" spans="1:15" x14ac:dyDescent="0.25">
      <c r="A757" s="49"/>
      <c r="B757" s="50"/>
      <c r="G757" t="str">
        <f t="shared" si="66"/>
        <v/>
      </c>
      <c r="H757" s="13" t="str">
        <f t="shared" si="69"/>
        <v/>
      </c>
      <c r="I757" t="str">
        <f>IFERROR(INDEX(Analysis!$D$116:$N$137, MATCH(B757, Analysis!$C$116:$C$137, 0), MATCH(C757, Analysis!$D$115:$N$115, 0)), "")</f>
        <v/>
      </c>
      <c r="J757" t="str">
        <f t="shared" si="70"/>
        <v/>
      </c>
      <c r="K757" s="28" t="str">
        <f t="shared" si="67"/>
        <v/>
      </c>
      <c r="L757" s="46" t="str">
        <f t="shared" si="71"/>
        <v/>
      </c>
      <c r="M757" t="str" cm="1">
        <f t="array" ref="M757">IF(L757="","",_xlfn.IFS(
  AND(L757&gt;=TIME(9,0,0), L757&lt;TIME(16,0,0)),"Morning",
  AND(L757&gt;=TIME(16,0,0), L757&lt;TIME(23,59,0)),"Evening",
  L757&gt;=TIME(23,59,0),"Night",
  L757&lt;TIME(9,0,0),"Night"
))</f>
        <v/>
      </c>
      <c r="O757" t="str">
        <f t="shared" si="68"/>
        <v/>
      </c>
    </row>
    <row r="758" spans="1:15" x14ac:dyDescent="0.25">
      <c r="A758" s="49"/>
      <c r="B758" s="50"/>
      <c r="G758" t="str">
        <f t="shared" si="66"/>
        <v/>
      </c>
      <c r="H758" s="13" t="str">
        <f t="shared" si="69"/>
        <v/>
      </c>
      <c r="I758" t="str">
        <f>IFERROR(INDEX(Analysis!$D$116:$N$137, MATCH(B758, Analysis!$C$116:$C$137, 0), MATCH(C758, Analysis!$D$115:$N$115, 0)), "")</f>
        <v/>
      </c>
      <c r="J758" t="str">
        <f t="shared" si="70"/>
        <v/>
      </c>
      <c r="K758" s="28" t="str">
        <f t="shared" si="67"/>
        <v/>
      </c>
      <c r="L758" s="46" t="str">
        <f t="shared" si="71"/>
        <v/>
      </c>
      <c r="M758" t="str" cm="1">
        <f t="array" ref="M758">IF(L758="","",_xlfn.IFS(
  AND(L758&gt;=TIME(9,0,0), L758&lt;TIME(16,0,0)),"Morning",
  AND(L758&gt;=TIME(16,0,0), L758&lt;TIME(23,59,0)),"Evening",
  L758&gt;=TIME(23,59,0),"Night",
  L758&lt;TIME(9,0,0),"Night"
))</f>
        <v/>
      </c>
      <c r="O758" t="str">
        <f t="shared" si="68"/>
        <v/>
      </c>
    </row>
    <row r="759" spans="1:15" x14ac:dyDescent="0.25">
      <c r="A759" s="49"/>
      <c r="B759" s="50"/>
      <c r="G759" t="str">
        <f t="shared" si="66"/>
        <v/>
      </c>
      <c r="H759" s="13" t="str">
        <f t="shared" si="69"/>
        <v/>
      </c>
      <c r="I759" t="str">
        <f>IFERROR(INDEX(Analysis!$D$116:$N$137, MATCH(B759, Analysis!$C$116:$C$137, 0), MATCH(C759, Analysis!$D$115:$N$115, 0)), "")</f>
        <v/>
      </c>
      <c r="J759" t="str">
        <f t="shared" si="70"/>
        <v/>
      </c>
      <c r="K759" s="28" t="str">
        <f t="shared" si="67"/>
        <v/>
      </c>
      <c r="L759" s="46" t="str">
        <f t="shared" si="71"/>
        <v/>
      </c>
      <c r="M759" t="str" cm="1">
        <f t="array" ref="M759">IF(L759="","",_xlfn.IFS(
  AND(L759&gt;=TIME(9,0,0), L759&lt;TIME(16,0,0)),"Morning",
  AND(L759&gt;=TIME(16,0,0), L759&lt;TIME(23,59,0)),"Evening",
  L759&gt;=TIME(23,59,0),"Night",
  L759&lt;TIME(9,0,0),"Night"
))</f>
        <v/>
      </c>
      <c r="O759" t="str">
        <f t="shared" si="68"/>
        <v/>
      </c>
    </row>
    <row r="760" spans="1:15" x14ac:dyDescent="0.25">
      <c r="A760" s="49"/>
      <c r="B760" s="50"/>
      <c r="G760" t="str">
        <f t="shared" si="66"/>
        <v/>
      </c>
      <c r="H760" s="13" t="str">
        <f t="shared" si="69"/>
        <v/>
      </c>
      <c r="I760" t="str">
        <f>IFERROR(INDEX(Analysis!$D$116:$N$137, MATCH(B760, Analysis!$C$116:$C$137, 0), MATCH(C760, Analysis!$D$115:$N$115, 0)), "")</f>
        <v/>
      </c>
      <c r="J760" t="str">
        <f t="shared" si="70"/>
        <v/>
      </c>
      <c r="K760" s="28" t="str">
        <f t="shared" si="67"/>
        <v/>
      </c>
      <c r="L760" s="46" t="str">
        <f t="shared" si="71"/>
        <v/>
      </c>
      <c r="M760" t="str" cm="1">
        <f t="array" ref="M760">IF(L760="","",_xlfn.IFS(
  AND(L760&gt;=TIME(9,0,0), L760&lt;TIME(16,0,0)),"Morning",
  AND(L760&gt;=TIME(16,0,0), L760&lt;TIME(23,59,0)),"Evening",
  L760&gt;=TIME(23,59,0),"Night",
  L760&lt;TIME(9,0,0),"Night"
))</f>
        <v/>
      </c>
      <c r="O760" t="str">
        <f t="shared" si="68"/>
        <v/>
      </c>
    </row>
    <row r="761" spans="1:15" x14ac:dyDescent="0.25">
      <c r="A761" s="49"/>
      <c r="B761" s="50"/>
      <c r="G761" t="str">
        <f t="shared" si="66"/>
        <v/>
      </c>
      <c r="H761" s="13" t="str">
        <f t="shared" si="69"/>
        <v/>
      </c>
      <c r="I761" t="str">
        <f>IFERROR(INDEX(Analysis!$D$116:$N$137, MATCH(B761, Analysis!$C$116:$C$137, 0), MATCH(C761, Analysis!$D$115:$N$115, 0)), "")</f>
        <v/>
      </c>
      <c r="J761" t="str">
        <f t="shared" si="70"/>
        <v/>
      </c>
      <c r="K761" s="28" t="str">
        <f t="shared" si="67"/>
        <v/>
      </c>
      <c r="L761" s="46" t="str">
        <f t="shared" si="71"/>
        <v/>
      </c>
      <c r="M761" t="str" cm="1">
        <f t="array" ref="M761">IF(L761="","",_xlfn.IFS(
  AND(L761&gt;=TIME(9,0,0), L761&lt;TIME(16,0,0)),"Morning",
  AND(L761&gt;=TIME(16,0,0), L761&lt;TIME(23,59,0)),"Evening",
  L761&gt;=TIME(23,59,0),"Night",
  L761&lt;TIME(9,0,0),"Night"
))</f>
        <v/>
      </c>
      <c r="O761" t="str">
        <f t="shared" si="68"/>
        <v/>
      </c>
    </row>
    <row r="762" spans="1:15" x14ac:dyDescent="0.25">
      <c r="A762" s="49"/>
      <c r="B762" s="50"/>
      <c r="G762" t="str">
        <f t="shared" si="66"/>
        <v/>
      </c>
      <c r="H762" s="13" t="str">
        <f t="shared" si="69"/>
        <v/>
      </c>
      <c r="I762" t="str">
        <f>IFERROR(INDEX(Analysis!$D$116:$N$137, MATCH(B762, Analysis!$C$116:$C$137, 0), MATCH(C762, Analysis!$D$115:$N$115, 0)), "")</f>
        <v/>
      </c>
      <c r="J762" t="str">
        <f t="shared" si="70"/>
        <v/>
      </c>
      <c r="K762" s="28" t="str">
        <f t="shared" si="67"/>
        <v/>
      </c>
      <c r="L762" s="46" t="str">
        <f t="shared" si="71"/>
        <v/>
      </c>
      <c r="M762" t="str" cm="1">
        <f t="array" ref="M762">IF(L762="","",_xlfn.IFS(
  AND(L762&gt;=TIME(9,0,0), L762&lt;TIME(16,0,0)),"Morning",
  AND(L762&gt;=TIME(16,0,0), L762&lt;TIME(23,59,0)),"Evening",
  L762&gt;=TIME(23,59,0),"Night",
  L762&lt;TIME(9,0,0),"Night"
))</f>
        <v/>
      </c>
      <c r="O762" t="str">
        <f t="shared" si="68"/>
        <v/>
      </c>
    </row>
    <row r="763" spans="1:15" x14ac:dyDescent="0.25">
      <c r="A763" s="49"/>
      <c r="B763" s="50"/>
      <c r="G763" t="str">
        <f t="shared" si="66"/>
        <v/>
      </c>
      <c r="H763" s="13" t="str">
        <f t="shared" si="69"/>
        <v/>
      </c>
      <c r="I763" t="str">
        <f>IFERROR(INDEX(Analysis!$D$116:$N$137, MATCH(B763, Analysis!$C$116:$C$137, 0), MATCH(C763, Analysis!$D$115:$N$115, 0)), "")</f>
        <v/>
      </c>
      <c r="J763" t="str">
        <f t="shared" si="70"/>
        <v/>
      </c>
      <c r="K763" s="28" t="str">
        <f t="shared" si="67"/>
        <v/>
      </c>
      <c r="L763" s="46" t="str">
        <f t="shared" si="71"/>
        <v/>
      </c>
      <c r="M763" t="str" cm="1">
        <f t="array" ref="M763">IF(L763="","",_xlfn.IFS(
  AND(L763&gt;=TIME(9,0,0), L763&lt;TIME(16,0,0)),"Morning",
  AND(L763&gt;=TIME(16,0,0), L763&lt;TIME(23,59,0)),"Evening",
  L763&gt;=TIME(23,59,0),"Night",
  L763&lt;TIME(9,0,0),"Night"
))</f>
        <v/>
      </c>
      <c r="O763" t="str">
        <f t="shared" si="68"/>
        <v/>
      </c>
    </row>
    <row r="764" spans="1:15" x14ac:dyDescent="0.25">
      <c r="A764" s="49"/>
      <c r="B764" s="50"/>
      <c r="G764" t="str">
        <f t="shared" si="66"/>
        <v/>
      </c>
      <c r="H764" s="13" t="str">
        <f t="shared" si="69"/>
        <v/>
      </c>
      <c r="I764" t="str">
        <f>IFERROR(INDEX(Analysis!$D$116:$N$137, MATCH(B764, Analysis!$C$116:$C$137, 0), MATCH(C764, Analysis!$D$115:$N$115, 0)), "")</f>
        <v/>
      </c>
      <c r="J764" t="str">
        <f t="shared" si="70"/>
        <v/>
      </c>
      <c r="K764" s="28" t="str">
        <f t="shared" si="67"/>
        <v/>
      </c>
      <c r="L764" s="46" t="str">
        <f t="shared" si="71"/>
        <v/>
      </c>
      <c r="M764" t="str" cm="1">
        <f t="array" ref="M764">IF(L764="","",_xlfn.IFS(
  AND(L764&gt;=TIME(9,0,0), L764&lt;TIME(16,0,0)),"Morning",
  AND(L764&gt;=TIME(16,0,0), L764&lt;TIME(23,59,0)),"Evening",
  L764&gt;=TIME(23,59,0),"Night",
  L764&lt;TIME(9,0,0),"Night"
))</f>
        <v/>
      </c>
      <c r="O764" t="str">
        <f t="shared" si="68"/>
        <v/>
      </c>
    </row>
    <row r="765" spans="1:15" x14ac:dyDescent="0.25">
      <c r="A765" s="49"/>
      <c r="B765" s="50"/>
      <c r="G765" t="str">
        <f t="shared" si="66"/>
        <v/>
      </c>
      <c r="H765" s="13" t="str">
        <f t="shared" si="69"/>
        <v/>
      </c>
      <c r="I765" t="str">
        <f>IFERROR(INDEX(Analysis!$D$116:$N$137, MATCH(B765, Analysis!$C$116:$C$137, 0), MATCH(C765, Analysis!$D$115:$N$115, 0)), "")</f>
        <v/>
      </c>
      <c r="J765" t="str">
        <f t="shared" si="70"/>
        <v/>
      </c>
      <c r="K765" s="28" t="str">
        <f t="shared" si="67"/>
        <v/>
      </c>
      <c r="L765" s="46" t="str">
        <f t="shared" si="71"/>
        <v/>
      </c>
      <c r="M765" t="str" cm="1">
        <f t="array" ref="M765">IF(L765="","",_xlfn.IFS(
  AND(L765&gt;=TIME(9,0,0), L765&lt;TIME(16,0,0)),"Morning",
  AND(L765&gt;=TIME(16,0,0), L765&lt;TIME(23,59,0)),"Evening",
  L765&gt;=TIME(23,59,0),"Night",
  L765&lt;TIME(9,0,0),"Night"
))</f>
        <v/>
      </c>
      <c r="O765" t="str">
        <f t="shared" si="68"/>
        <v/>
      </c>
    </row>
    <row r="766" spans="1:15" x14ac:dyDescent="0.25">
      <c r="A766" s="49"/>
      <c r="B766" s="50"/>
      <c r="G766" t="str">
        <f t="shared" si="66"/>
        <v/>
      </c>
      <c r="H766" s="13" t="str">
        <f t="shared" si="69"/>
        <v/>
      </c>
      <c r="I766" t="str">
        <f>IFERROR(INDEX(Analysis!$D$116:$N$137, MATCH(B766, Analysis!$C$116:$C$137, 0), MATCH(C766, Analysis!$D$115:$N$115, 0)), "")</f>
        <v/>
      </c>
      <c r="J766" t="str">
        <f t="shared" si="70"/>
        <v/>
      </c>
      <c r="K766" s="28" t="str">
        <f t="shared" si="67"/>
        <v/>
      </c>
      <c r="L766" s="46" t="str">
        <f t="shared" si="71"/>
        <v/>
      </c>
      <c r="M766" t="str" cm="1">
        <f t="array" ref="M766">IF(L766="","",_xlfn.IFS(
  AND(L766&gt;=TIME(9,0,0), L766&lt;TIME(16,0,0)),"Morning",
  AND(L766&gt;=TIME(16,0,0), L766&lt;TIME(23,59,0)),"Evening",
  L766&gt;=TIME(23,59,0),"Night",
  L766&lt;TIME(9,0,0),"Night"
))</f>
        <v/>
      </c>
      <c r="O766" t="str">
        <f t="shared" si="68"/>
        <v/>
      </c>
    </row>
    <row r="767" spans="1:15" x14ac:dyDescent="0.25">
      <c r="A767" s="49"/>
      <c r="B767" s="50"/>
      <c r="G767" t="str">
        <f t="shared" si="66"/>
        <v/>
      </c>
      <c r="H767" s="13" t="str">
        <f t="shared" si="69"/>
        <v/>
      </c>
      <c r="I767" t="str">
        <f>IFERROR(INDEX(Analysis!$D$116:$N$137, MATCH(B767, Analysis!$C$116:$C$137, 0), MATCH(C767, Analysis!$D$115:$N$115, 0)), "")</f>
        <v/>
      </c>
      <c r="J767" t="str">
        <f t="shared" si="70"/>
        <v/>
      </c>
      <c r="K767" s="28" t="str">
        <f t="shared" si="67"/>
        <v/>
      </c>
      <c r="L767" s="46" t="str">
        <f t="shared" si="71"/>
        <v/>
      </c>
      <c r="M767" t="str" cm="1">
        <f t="array" ref="M767">IF(L767="","",_xlfn.IFS(
  AND(L767&gt;=TIME(9,0,0), L767&lt;TIME(16,0,0)),"Morning",
  AND(L767&gt;=TIME(16,0,0), L767&lt;TIME(23,59,0)),"Evening",
  L767&gt;=TIME(23,59,0),"Night",
  L767&lt;TIME(9,0,0),"Night"
))</f>
        <v/>
      </c>
      <c r="O767" t="str">
        <f t="shared" si="68"/>
        <v/>
      </c>
    </row>
    <row r="768" spans="1:15" x14ac:dyDescent="0.25">
      <c r="A768" s="49"/>
      <c r="B768" s="50"/>
      <c r="G768" t="str">
        <f t="shared" si="66"/>
        <v/>
      </c>
      <c r="H768" s="13" t="str">
        <f t="shared" si="69"/>
        <v/>
      </c>
      <c r="I768" t="str">
        <f>IFERROR(INDEX(Analysis!$D$116:$N$137, MATCH(B768, Analysis!$C$116:$C$137, 0), MATCH(C768, Analysis!$D$115:$N$115, 0)), "")</f>
        <v/>
      </c>
      <c r="J768" t="str">
        <f t="shared" si="70"/>
        <v/>
      </c>
      <c r="K768" s="28" t="str">
        <f t="shared" si="67"/>
        <v/>
      </c>
      <c r="L768" s="46" t="str">
        <f t="shared" si="71"/>
        <v/>
      </c>
      <c r="M768" t="str" cm="1">
        <f t="array" ref="M768">IF(L768="","",_xlfn.IFS(
  AND(L768&gt;=TIME(9,0,0), L768&lt;TIME(16,0,0)),"Morning",
  AND(L768&gt;=TIME(16,0,0), L768&lt;TIME(23,59,0)),"Evening",
  L768&gt;=TIME(23,59,0),"Night",
  L768&lt;TIME(9,0,0),"Night"
))</f>
        <v/>
      </c>
      <c r="O768" t="str">
        <f t="shared" si="68"/>
        <v/>
      </c>
    </row>
    <row r="769" spans="1:15" x14ac:dyDescent="0.25">
      <c r="A769" s="49"/>
      <c r="B769" s="50"/>
      <c r="G769" t="str">
        <f t="shared" si="66"/>
        <v/>
      </c>
      <c r="H769" s="13" t="str">
        <f t="shared" si="69"/>
        <v/>
      </c>
      <c r="I769" t="str">
        <f>IFERROR(INDEX(Analysis!$D$116:$N$137, MATCH(B769, Analysis!$C$116:$C$137, 0), MATCH(C769, Analysis!$D$115:$N$115, 0)), "")</f>
        <v/>
      </c>
      <c r="J769" t="str">
        <f t="shared" si="70"/>
        <v/>
      </c>
      <c r="K769" s="28" t="str">
        <f t="shared" si="67"/>
        <v/>
      </c>
      <c r="L769" s="46" t="str">
        <f t="shared" si="71"/>
        <v/>
      </c>
      <c r="M769" t="str" cm="1">
        <f t="array" ref="M769">IF(L769="","",_xlfn.IFS(
  AND(L769&gt;=TIME(9,0,0), L769&lt;TIME(16,0,0)),"Morning",
  AND(L769&gt;=TIME(16,0,0), L769&lt;TIME(23,59,0)),"Evening",
  L769&gt;=TIME(23,59,0),"Night",
  L769&lt;TIME(9,0,0),"Night"
))</f>
        <v/>
      </c>
      <c r="O769" t="str">
        <f t="shared" si="68"/>
        <v/>
      </c>
    </row>
    <row r="770" spans="1:15" x14ac:dyDescent="0.25">
      <c r="A770" s="49"/>
      <c r="B770" s="50"/>
      <c r="G770" t="str">
        <f t="shared" ref="G770:G833" si="72">IF(ISBLANK(A770), "", IF(ISBLANK(F770), 0, F770))</f>
        <v/>
      </c>
      <c r="H770" s="13" t="str">
        <f t="shared" si="69"/>
        <v/>
      </c>
      <c r="I770" t="str">
        <f>IFERROR(INDEX(Analysis!$D$116:$N$137, MATCH(B770, Analysis!$C$116:$C$137, 0), MATCH(C770, Analysis!$D$115:$N$115, 0)), "")</f>
        <v/>
      </c>
      <c r="J770" t="str">
        <f t="shared" si="70"/>
        <v/>
      </c>
      <c r="K770" s="28" t="str">
        <f t="shared" ref="K770:K833" si="73">IF(ISBLANK(A770),"",DATE(YEAR(A770),MONTH(A770),DAY(A770)))</f>
        <v/>
      </c>
      <c r="L770" s="46" t="str">
        <f t="shared" si="71"/>
        <v/>
      </c>
      <c r="M770" t="str" cm="1">
        <f t="array" ref="M770">IF(L770="","",_xlfn.IFS(
  AND(L770&gt;=TIME(9,0,0), L770&lt;TIME(16,0,0)),"Morning",
  AND(L770&gt;=TIME(16,0,0), L770&lt;TIME(23,59,0)),"Evening",
  L770&gt;=TIME(23,59,0),"Night",
  L770&lt;TIME(9,0,0),"Night"
))</f>
        <v/>
      </c>
      <c r="O770" t="str">
        <f t="shared" ref="O770:O833" si="74">IF(N770="ON", _xlfn.IMAGE(E770, 1), "")</f>
        <v/>
      </c>
    </row>
    <row r="771" spans="1:15" x14ac:dyDescent="0.25">
      <c r="A771" s="49"/>
      <c r="B771" s="50"/>
      <c r="G771" t="str">
        <f t="shared" si="72"/>
        <v/>
      </c>
      <c r="H771" s="13" t="str">
        <f t="shared" ref="H771:H834" si="75">IF(ISBLANK(E771),"",HYPERLINK(E771,"Click here"))</f>
        <v/>
      </c>
      <c r="I771" t="str">
        <f>IFERROR(INDEX(Analysis!$D$116:$N$137, MATCH(B771, Analysis!$C$116:$C$137, 0), MATCH(C771, Analysis!$D$115:$N$115, 0)), "")</f>
        <v/>
      </c>
      <c r="J771" t="str">
        <f t="shared" ref="J771:J834" si="76">IF(ISBLANK(A771),"",WEEKNUM(A771))</f>
        <v/>
      </c>
      <c r="K771" s="28" t="str">
        <f t="shared" si="73"/>
        <v/>
      </c>
      <c r="L771" s="46" t="str">
        <f t="shared" ref="L771:L834" si="77">IF(A771="", "", A771 - INT(A771))</f>
        <v/>
      </c>
      <c r="M771" t="str" cm="1">
        <f t="array" ref="M771">IF(L771="","",_xlfn.IFS(
  AND(L771&gt;=TIME(9,0,0), L771&lt;TIME(16,0,0)),"Morning",
  AND(L771&gt;=TIME(16,0,0), L771&lt;TIME(23,59,0)),"Evening",
  L771&gt;=TIME(23,59,0),"Night",
  L771&lt;TIME(9,0,0),"Night"
))</f>
        <v/>
      </c>
      <c r="O771" t="str">
        <f t="shared" si="74"/>
        <v/>
      </c>
    </row>
    <row r="772" spans="1:15" x14ac:dyDescent="0.25">
      <c r="A772" s="49"/>
      <c r="B772" s="50"/>
      <c r="G772" t="str">
        <f t="shared" si="72"/>
        <v/>
      </c>
      <c r="H772" s="13" t="str">
        <f t="shared" si="75"/>
        <v/>
      </c>
      <c r="I772" t="str">
        <f>IFERROR(INDEX(Analysis!$D$116:$N$137, MATCH(B772, Analysis!$C$116:$C$137, 0), MATCH(C772, Analysis!$D$115:$N$115, 0)), "")</f>
        <v/>
      </c>
      <c r="J772" t="str">
        <f t="shared" si="76"/>
        <v/>
      </c>
      <c r="K772" s="28" t="str">
        <f t="shared" si="73"/>
        <v/>
      </c>
      <c r="L772" s="46" t="str">
        <f t="shared" si="77"/>
        <v/>
      </c>
      <c r="M772" t="str" cm="1">
        <f t="array" ref="M772">IF(L772="","",_xlfn.IFS(
  AND(L772&gt;=TIME(9,0,0), L772&lt;TIME(16,0,0)),"Morning",
  AND(L772&gt;=TIME(16,0,0), L772&lt;TIME(23,59,0)),"Evening",
  L772&gt;=TIME(23,59,0),"Night",
  L772&lt;TIME(9,0,0),"Night"
))</f>
        <v/>
      </c>
      <c r="O772" t="str">
        <f t="shared" si="74"/>
        <v/>
      </c>
    </row>
    <row r="773" spans="1:15" x14ac:dyDescent="0.25">
      <c r="A773" s="49"/>
      <c r="B773" s="50"/>
      <c r="G773" t="str">
        <f t="shared" si="72"/>
        <v/>
      </c>
      <c r="H773" s="13" t="str">
        <f t="shared" si="75"/>
        <v/>
      </c>
      <c r="I773" t="str">
        <f>IFERROR(INDEX(Analysis!$D$116:$N$137, MATCH(B773, Analysis!$C$116:$C$137, 0), MATCH(C773, Analysis!$D$115:$N$115, 0)), "")</f>
        <v/>
      </c>
      <c r="J773" t="str">
        <f t="shared" si="76"/>
        <v/>
      </c>
      <c r="K773" s="28" t="str">
        <f t="shared" si="73"/>
        <v/>
      </c>
      <c r="L773" s="46" t="str">
        <f t="shared" si="77"/>
        <v/>
      </c>
      <c r="M773" t="str" cm="1">
        <f t="array" ref="M773">IF(L773="","",_xlfn.IFS(
  AND(L773&gt;=TIME(9,0,0), L773&lt;TIME(16,0,0)),"Morning",
  AND(L773&gt;=TIME(16,0,0), L773&lt;TIME(23,59,0)),"Evening",
  L773&gt;=TIME(23,59,0),"Night",
  L773&lt;TIME(9,0,0),"Night"
))</f>
        <v/>
      </c>
      <c r="O773" t="str">
        <f t="shared" si="74"/>
        <v/>
      </c>
    </row>
    <row r="774" spans="1:15" x14ac:dyDescent="0.25">
      <c r="A774" s="49"/>
      <c r="B774" s="50"/>
      <c r="G774" t="str">
        <f t="shared" si="72"/>
        <v/>
      </c>
      <c r="H774" s="13" t="str">
        <f t="shared" si="75"/>
        <v/>
      </c>
      <c r="I774" t="str">
        <f>IFERROR(INDEX(Analysis!$D$116:$N$137, MATCH(B774, Analysis!$C$116:$C$137, 0), MATCH(C774, Analysis!$D$115:$N$115, 0)), "")</f>
        <v/>
      </c>
      <c r="J774" t="str">
        <f t="shared" si="76"/>
        <v/>
      </c>
      <c r="K774" s="28" t="str">
        <f t="shared" si="73"/>
        <v/>
      </c>
      <c r="L774" s="46" t="str">
        <f t="shared" si="77"/>
        <v/>
      </c>
      <c r="M774" t="str" cm="1">
        <f t="array" ref="M774">IF(L774="","",_xlfn.IFS(
  AND(L774&gt;=TIME(9,0,0), L774&lt;TIME(16,0,0)),"Morning",
  AND(L774&gt;=TIME(16,0,0), L774&lt;TIME(23,59,0)),"Evening",
  L774&gt;=TIME(23,59,0),"Night",
  L774&lt;TIME(9,0,0),"Night"
))</f>
        <v/>
      </c>
      <c r="O774" t="str">
        <f t="shared" si="74"/>
        <v/>
      </c>
    </row>
    <row r="775" spans="1:15" x14ac:dyDescent="0.25">
      <c r="A775" s="49"/>
      <c r="B775" s="50"/>
      <c r="G775" t="str">
        <f t="shared" si="72"/>
        <v/>
      </c>
      <c r="H775" s="13" t="str">
        <f t="shared" si="75"/>
        <v/>
      </c>
      <c r="I775" t="str">
        <f>IFERROR(INDEX(Analysis!$D$116:$N$137, MATCH(B775, Analysis!$C$116:$C$137, 0), MATCH(C775, Analysis!$D$115:$N$115, 0)), "")</f>
        <v/>
      </c>
      <c r="J775" t="str">
        <f t="shared" si="76"/>
        <v/>
      </c>
      <c r="K775" s="28" t="str">
        <f t="shared" si="73"/>
        <v/>
      </c>
      <c r="L775" s="46" t="str">
        <f t="shared" si="77"/>
        <v/>
      </c>
      <c r="M775" t="str" cm="1">
        <f t="array" ref="M775">IF(L775="","",_xlfn.IFS(
  AND(L775&gt;=TIME(9,0,0), L775&lt;TIME(16,0,0)),"Morning",
  AND(L775&gt;=TIME(16,0,0), L775&lt;TIME(23,59,0)),"Evening",
  L775&gt;=TIME(23,59,0),"Night",
  L775&lt;TIME(9,0,0),"Night"
))</f>
        <v/>
      </c>
      <c r="O775" t="str">
        <f t="shared" si="74"/>
        <v/>
      </c>
    </row>
    <row r="776" spans="1:15" x14ac:dyDescent="0.25">
      <c r="A776" s="49"/>
      <c r="B776" s="50"/>
      <c r="G776" t="str">
        <f t="shared" si="72"/>
        <v/>
      </c>
      <c r="H776" s="13" t="str">
        <f t="shared" si="75"/>
        <v/>
      </c>
      <c r="I776" t="str">
        <f>IFERROR(INDEX(Analysis!$D$116:$N$137, MATCH(B776, Analysis!$C$116:$C$137, 0), MATCH(C776, Analysis!$D$115:$N$115, 0)), "")</f>
        <v/>
      </c>
      <c r="J776" t="str">
        <f t="shared" si="76"/>
        <v/>
      </c>
      <c r="K776" s="28" t="str">
        <f t="shared" si="73"/>
        <v/>
      </c>
      <c r="L776" s="46" t="str">
        <f t="shared" si="77"/>
        <v/>
      </c>
      <c r="M776" t="str" cm="1">
        <f t="array" ref="M776">IF(L776="","",_xlfn.IFS(
  AND(L776&gt;=TIME(9,0,0), L776&lt;TIME(16,0,0)),"Morning",
  AND(L776&gt;=TIME(16,0,0), L776&lt;TIME(23,59,0)),"Evening",
  L776&gt;=TIME(23,59,0),"Night",
  L776&lt;TIME(9,0,0),"Night"
))</f>
        <v/>
      </c>
      <c r="O776" t="str">
        <f t="shared" si="74"/>
        <v/>
      </c>
    </row>
    <row r="777" spans="1:15" x14ac:dyDescent="0.25">
      <c r="A777" s="49"/>
      <c r="B777" s="50"/>
      <c r="G777" t="str">
        <f t="shared" si="72"/>
        <v/>
      </c>
      <c r="H777" s="13" t="str">
        <f t="shared" si="75"/>
        <v/>
      </c>
      <c r="I777" t="str">
        <f>IFERROR(INDEX(Analysis!$D$116:$N$137, MATCH(B777, Analysis!$C$116:$C$137, 0), MATCH(C777, Analysis!$D$115:$N$115, 0)), "")</f>
        <v/>
      </c>
      <c r="J777" t="str">
        <f t="shared" si="76"/>
        <v/>
      </c>
      <c r="K777" s="28" t="str">
        <f t="shared" si="73"/>
        <v/>
      </c>
      <c r="L777" s="46" t="str">
        <f t="shared" si="77"/>
        <v/>
      </c>
      <c r="M777" t="str" cm="1">
        <f t="array" ref="M777">IF(L777="","",_xlfn.IFS(
  AND(L777&gt;=TIME(9,0,0), L777&lt;TIME(16,0,0)),"Morning",
  AND(L777&gt;=TIME(16,0,0), L777&lt;TIME(23,59,0)),"Evening",
  L777&gt;=TIME(23,59,0),"Night",
  L777&lt;TIME(9,0,0),"Night"
))</f>
        <v/>
      </c>
      <c r="O777" t="str">
        <f t="shared" si="74"/>
        <v/>
      </c>
    </row>
    <row r="778" spans="1:15" x14ac:dyDescent="0.25">
      <c r="A778" s="49"/>
      <c r="B778" s="50"/>
      <c r="G778" t="str">
        <f t="shared" si="72"/>
        <v/>
      </c>
      <c r="H778" s="13" t="str">
        <f t="shared" si="75"/>
        <v/>
      </c>
      <c r="I778" t="str">
        <f>IFERROR(INDEX(Analysis!$D$116:$N$137, MATCH(B778, Analysis!$C$116:$C$137, 0), MATCH(C778, Analysis!$D$115:$N$115, 0)), "")</f>
        <v/>
      </c>
      <c r="J778" t="str">
        <f t="shared" si="76"/>
        <v/>
      </c>
      <c r="K778" s="28" t="str">
        <f t="shared" si="73"/>
        <v/>
      </c>
      <c r="L778" s="46" t="str">
        <f t="shared" si="77"/>
        <v/>
      </c>
      <c r="M778" t="str" cm="1">
        <f t="array" ref="M778">IF(L778="","",_xlfn.IFS(
  AND(L778&gt;=TIME(9,0,0), L778&lt;TIME(16,0,0)),"Morning",
  AND(L778&gt;=TIME(16,0,0), L778&lt;TIME(23,59,0)),"Evening",
  L778&gt;=TIME(23,59,0),"Night",
  L778&lt;TIME(9,0,0),"Night"
))</f>
        <v/>
      </c>
      <c r="O778" t="str">
        <f t="shared" si="74"/>
        <v/>
      </c>
    </row>
    <row r="779" spans="1:15" x14ac:dyDescent="0.25">
      <c r="A779" s="49"/>
      <c r="B779" s="50"/>
      <c r="G779" t="str">
        <f t="shared" si="72"/>
        <v/>
      </c>
      <c r="H779" s="13" t="str">
        <f t="shared" si="75"/>
        <v/>
      </c>
      <c r="I779" t="str">
        <f>IFERROR(INDEX(Analysis!$D$116:$N$137, MATCH(B779, Analysis!$C$116:$C$137, 0), MATCH(C779, Analysis!$D$115:$N$115, 0)), "")</f>
        <v/>
      </c>
      <c r="J779" t="str">
        <f t="shared" si="76"/>
        <v/>
      </c>
      <c r="K779" s="28" t="str">
        <f t="shared" si="73"/>
        <v/>
      </c>
      <c r="L779" s="46" t="str">
        <f t="shared" si="77"/>
        <v/>
      </c>
      <c r="M779" t="str" cm="1">
        <f t="array" ref="M779">IF(L779="","",_xlfn.IFS(
  AND(L779&gt;=TIME(9,0,0), L779&lt;TIME(16,0,0)),"Morning",
  AND(L779&gt;=TIME(16,0,0), L779&lt;TIME(23,59,0)),"Evening",
  L779&gt;=TIME(23,59,0),"Night",
  L779&lt;TIME(9,0,0),"Night"
))</f>
        <v/>
      </c>
      <c r="O779" t="str">
        <f t="shared" si="74"/>
        <v/>
      </c>
    </row>
    <row r="780" spans="1:15" x14ac:dyDescent="0.25">
      <c r="A780" s="49"/>
      <c r="B780" s="50"/>
      <c r="G780" t="str">
        <f t="shared" si="72"/>
        <v/>
      </c>
      <c r="H780" s="13" t="str">
        <f t="shared" si="75"/>
        <v/>
      </c>
      <c r="I780" t="str">
        <f>IFERROR(INDEX(Analysis!$D$116:$N$137, MATCH(B780, Analysis!$C$116:$C$137, 0), MATCH(C780, Analysis!$D$115:$N$115, 0)), "")</f>
        <v/>
      </c>
      <c r="J780" t="str">
        <f t="shared" si="76"/>
        <v/>
      </c>
      <c r="K780" s="28" t="str">
        <f t="shared" si="73"/>
        <v/>
      </c>
      <c r="L780" s="46" t="str">
        <f t="shared" si="77"/>
        <v/>
      </c>
      <c r="M780" t="str" cm="1">
        <f t="array" ref="M780">IF(L780="","",_xlfn.IFS(
  AND(L780&gt;=TIME(9,0,0), L780&lt;TIME(16,0,0)),"Morning",
  AND(L780&gt;=TIME(16,0,0), L780&lt;TIME(23,59,0)),"Evening",
  L780&gt;=TIME(23,59,0),"Night",
  L780&lt;TIME(9,0,0),"Night"
))</f>
        <v/>
      </c>
      <c r="O780" t="str">
        <f t="shared" si="74"/>
        <v/>
      </c>
    </row>
    <row r="781" spans="1:15" x14ac:dyDescent="0.25">
      <c r="A781" s="49"/>
      <c r="B781" s="50"/>
      <c r="G781" t="str">
        <f t="shared" si="72"/>
        <v/>
      </c>
      <c r="H781" s="13" t="str">
        <f t="shared" si="75"/>
        <v/>
      </c>
      <c r="I781" t="str">
        <f>IFERROR(INDEX(Analysis!$D$116:$N$137, MATCH(B781, Analysis!$C$116:$C$137, 0), MATCH(C781, Analysis!$D$115:$N$115, 0)), "")</f>
        <v/>
      </c>
      <c r="J781" t="str">
        <f t="shared" si="76"/>
        <v/>
      </c>
      <c r="K781" s="28" t="str">
        <f t="shared" si="73"/>
        <v/>
      </c>
      <c r="L781" s="46" t="str">
        <f t="shared" si="77"/>
        <v/>
      </c>
      <c r="M781" t="str" cm="1">
        <f t="array" ref="M781">IF(L781="","",_xlfn.IFS(
  AND(L781&gt;=TIME(9,0,0), L781&lt;TIME(16,0,0)),"Morning",
  AND(L781&gt;=TIME(16,0,0), L781&lt;TIME(23,59,0)),"Evening",
  L781&gt;=TIME(23,59,0),"Night",
  L781&lt;TIME(9,0,0),"Night"
))</f>
        <v/>
      </c>
      <c r="O781" t="str">
        <f t="shared" si="74"/>
        <v/>
      </c>
    </row>
    <row r="782" spans="1:15" x14ac:dyDescent="0.25">
      <c r="A782" s="49"/>
      <c r="B782" s="50"/>
      <c r="G782" t="str">
        <f t="shared" si="72"/>
        <v/>
      </c>
      <c r="H782" s="13" t="str">
        <f t="shared" si="75"/>
        <v/>
      </c>
      <c r="I782" t="str">
        <f>IFERROR(INDEX(Analysis!$D$116:$N$137, MATCH(B782, Analysis!$C$116:$C$137, 0), MATCH(C782, Analysis!$D$115:$N$115, 0)), "")</f>
        <v/>
      </c>
      <c r="J782" t="str">
        <f t="shared" si="76"/>
        <v/>
      </c>
      <c r="K782" s="28" t="str">
        <f t="shared" si="73"/>
        <v/>
      </c>
      <c r="L782" s="46" t="str">
        <f t="shared" si="77"/>
        <v/>
      </c>
      <c r="M782" t="str" cm="1">
        <f t="array" ref="M782">IF(L782="","",_xlfn.IFS(
  AND(L782&gt;=TIME(9,0,0), L782&lt;TIME(16,0,0)),"Morning",
  AND(L782&gt;=TIME(16,0,0), L782&lt;TIME(23,59,0)),"Evening",
  L782&gt;=TIME(23,59,0),"Night",
  L782&lt;TIME(9,0,0),"Night"
))</f>
        <v/>
      </c>
      <c r="O782" t="str">
        <f t="shared" si="74"/>
        <v/>
      </c>
    </row>
    <row r="783" spans="1:15" x14ac:dyDescent="0.25">
      <c r="A783" s="49"/>
      <c r="B783" s="50"/>
      <c r="G783" t="str">
        <f t="shared" si="72"/>
        <v/>
      </c>
      <c r="H783" s="13" t="str">
        <f t="shared" si="75"/>
        <v/>
      </c>
      <c r="I783" t="str">
        <f>IFERROR(INDEX(Analysis!$D$116:$N$137, MATCH(B783, Analysis!$C$116:$C$137, 0), MATCH(C783, Analysis!$D$115:$N$115, 0)), "")</f>
        <v/>
      </c>
      <c r="J783" t="str">
        <f t="shared" si="76"/>
        <v/>
      </c>
      <c r="K783" s="28" t="str">
        <f t="shared" si="73"/>
        <v/>
      </c>
      <c r="L783" s="46" t="str">
        <f t="shared" si="77"/>
        <v/>
      </c>
      <c r="M783" t="str" cm="1">
        <f t="array" ref="M783">IF(L783="","",_xlfn.IFS(
  AND(L783&gt;=TIME(9,0,0), L783&lt;TIME(16,0,0)),"Morning",
  AND(L783&gt;=TIME(16,0,0), L783&lt;TIME(23,59,0)),"Evening",
  L783&gt;=TIME(23,59,0),"Night",
  L783&lt;TIME(9,0,0),"Night"
))</f>
        <v/>
      </c>
      <c r="O783" t="str">
        <f t="shared" si="74"/>
        <v/>
      </c>
    </row>
    <row r="784" spans="1:15" x14ac:dyDescent="0.25">
      <c r="A784" s="49"/>
      <c r="B784" s="50"/>
      <c r="G784" t="str">
        <f t="shared" si="72"/>
        <v/>
      </c>
      <c r="H784" s="13" t="str">
        <f t="shared" si="75"/>
        <v/>
      </c>
      <c r="I784" t="str">
        <f>IFERROR(INDEX(Analysis!$D$116:$N$137, MATCH(B784, Analysis!$C$116:$C$137, 0), MATCH(C784, Analysis!$D$115:$N$115, 0)), "")</f>
        <v/>
      </c>
      <c r="J784" t="str">
        <f t="shared" si="76"/>
        <v/>
      </c>
      <c r="K784" s="28" t="str">
        <f t="shared" si="73"/>
        <v/>
      </c>
      <c r="L784" s="46" t="str">
        <f t="shared" si="77"/>
        <v/>
      </c>
      <c r="M784" t="str" cm="1">
        <f t="array" ref="M784">IF(L784="","",_xlfn.IFS(
  AND(L784&gt;=TIME(9,0,0), L784&lt;TIME(16,0,0)),"Morning",
  AND(L784&gt;=TIME(16,0,0), L784&lt;TIME(23,59,0)),"Evening",
  L784&gt;=TIME(23,59,0),"Night",
  L784&lt;TIME(9,0,0),"Night"
))</f>
        <v/>
      </c>
      <c r="O784" t="str">
        <f t="shared" si="74"/>
        <v/>
      </c>
    </row>
    <row r="785" spans="1:15" x14ac:dyDescent="0.25">
      <c r="A785" s="49"/>
      <c r="B785" s="50"/>
      <c r="G785" t="str">
        <f t="shared" si="72"/>
        <v/>
      </c>
      <c r="H785" s="13" t="str">
        <f t="shared" si="75"/>
        <v/>
      </c>
      <c r="I785" t="str">
        <f>IFERROR(INDEX(Analysis!$D$116:$N$137, MATCH(B785, Analysis!$C$116:$C$137, 0), MATCH(C785, Analysis!$D$115:$N$115, 0)), "")</f>
        <v/>
      </c>
      <c r="J785" t="str">
        <f t="shared" si="76"/>
        <v/>
      </c>
      <c r="K785" s="28" t="str">
        <f t="shared" si="73"/>
        <v/>
      </c>
      <c r="L785" s="46" t="str">
        <f t="shared" si="77"/>
        <v/>
      </c>
      <c r="M785" t="str" cm="1">
        <f t="array" ref="M785">IF(L785="","",_xlfn.IFS(
  AND(L785&gt;=TIME(9,0,0), L785&lt;TIME(16,0,0)),"Morning",
  AND(L785&gt;=TIME(16,0,0), L785&lt;TIME(23,59,0)),"Evening",
  L785&gt;=TIME(23,59,0),"Night",
  L785&lt;TIME(9,0,0),"Night"
))</f>
        <v/>
      </c>
      <c r="O785" t="str">
        <f t="shared" si="74"/>
        <v/>
      </c>
    </row>
    <row r="786" spans="1:15" x14ac:dyDescent="0.25">
      <c r="A786" s="49"/>
      <c r="B786" s="50"/>
      <c r="G786" t="str">
        <f t="shared" si="72"/>
        <v/>
      </c>
      <c r="H786" s="13" t="str">
        <f t="shared" si="75"/>
        <v/>
      </c>
      <c r="I786" t="str">
        <f>IFERROR(INDEX(Analysis!$D$116:$N$137, MATCH(B786, Analysis!$C$116:$C$137, 0), MATCH(C786, Analysis!$D$115:$N$115, 0)), "")</f>
        <v/>
      </c>
      <c r="J786" t="str">
        <f t="shared" si="76"/>
        <v/>
      </c>
      <c r="K786" s="28" t="str">
        <f t="shared" si="73"/>
        <v/>
      </c>
      <c r="L786" s="46" t="str">
        <f t="shared" si="77"/>
        <v/>
      </c>
      <c r="M786" t="str" cm="1">
        <f t="array" ref="M786">IF(L786="","",_xlfn.IFS(
  AND(L786&gt;=TIME(9,0,0), L786&lt;TIME(16,0,0)),"Morning",
  AND(L786&gt;=TIME(16,0,0), L786&lt;TIME(23,59,0)),"Evening",
  L786&gt;=TIME(23,59,0),"Night",
  L786&lt;TIME(9,0,0),"Night"
))</f>
        <v/>
      </c>
      <c r="O786" t="str">
        <f t="shared" si="74"/>
        <v/>
      </c>
    </row>
    <row r="787" spans="1:15" x14ac:dyDescent="0.25">
      <c r="A787" s="49"/>
      <c r="B787" s="50"/>
      <c r="G787" t="str">
        <f t="shared" si="72"/>
        <v/>
      </c>
      <c r="H787" s="13" t="str">
        <f t="shared" si="75"/>
        <v/>
      </c>
      <c r="I787" t="str">
        <f>IFERROR(INDEX(Analysis!$D$116:$N$137, MATCH(B787, Analysis!$C$116:$C$137, 0), MATCH(C787, Analysis!$D$115:$N$115, 0)), "")</f>
        <v/>
      </c>
      <c r="J787" t="str">
        <f t="shared" si="76"/>
        <v/>
      </c>
      <c r="K787" s="28" t="str">
        <f t="shared" si="73"/>
        <v/>
      </c>
      <c r="L787" s="46" t="str">
        <f t="shared" si="77"/>
        <v/>
      </c>
      <c r="M787" t="str" cm="1">
        <f t="array" ref="M787">IF(L787="","",_xlfn.IFS(
  AND(L787&gt;=TIME(9,0,0), L787&lt;TIME(16,0,0)),"Morning",
  AND(L787&gt;=TIME(16,0,0), L787&lt;TIME(23,59,0)),"Evening",
  L787&gt;=TIME(23,59,0),"Night",
  L787&lt;TIME(9,0,0),"Night"
))</f>
        <v/>
      </c>
      <c r="O787" t="str">
        <f t="shared" si="74"/>
        <v/>
      </c>
    </row>
    <row r="788" spans="1:15" x14ac:dyDescent="0.25">
      <c r="A788" s="49"/>
      <c r="B788" s="50"/>
      <c r="G788" t="str">
        <f t="shared" si="72"/>
        <v/>
      </c>
      <c r="H788" s="13" t="str">
        <f t="shared" si="75"/>
        <v/>
      </c>
      <c r="I788" t="str">
        <f>IFERROR(INDEX(Analysis!$D$116:$N$137, MATCH(B788, Analysis!$C$116:$C$137, 0), MATCH(C788, Analysis!$D$115:$N$115, 0)), "")</f>
        <v/>
      </c>
      <c r="J788" t="str">
        <f t="shared" si="76"/>
        <v/>
      </c>
      <c r="K788" s="28" t="str">
        <f t="shared" si="73"/>
        <v/>
      </c>
      <c r="L788" s="46" t="str">
        <f t="shared" si="77"/>
        <v/>
      </c>
      <c r="M788" t="str" cm="1">
        <f t="array" ref="M788">IF(L788="","",_xlfn.IFS(
  AND(L788&gt;=TIME(9,0,0), L788&lt;TIME(16,0,0)),"Morning",
  AND(L788&gt;=TIME(16,0,0), L788&lt;TIME(23,59,0)),"Evening",
  L788&gt;=TIME(23,59,0),"Night",
  L788&lt;TIME(9,0,0),"Night"
))</f>
        <v/>
      </c>
      <c r="O788" t="str">
        <f t="shared" si="74"/>
        <v/>
      </c>
    </row>
    <row r="789" spans="1:15" x14ac:dyDescent="0.25">
      <c r="A789" s="49"/>
      <c r="B789" s="50"/>
      <c r="G789" t="str">
        <f t="shared" si="72"/>
        <v/>
      </c>
      <c r="H789" s="13" t="str">
        <f t="shared" si="75"/>
        <v/>
      </c>
      <c r="I789" t="str">
        <f>IFERROR(INDEX(Analysis!$D$116:$N$137, MATCH(B789, Analysis!$C$116:$C$137, 0), MATCH(C789, Analysis!$D$115:$N$115, 0)), "")</f>
        <v/>
      </c>
      <c r="J789" t="str">
        <f t="shared" si="76"/>
        <v/>
      </c>
      <c r="K789" s="28" t="str">
        <f t="shared" si="73"/>
        <v/>
      </c>
      <c r="L789" s="46" t="str">
        <f t="shared" si="77"/>
        <v/>
      </c>
      <c r="M789" t="str" cm="1">
        <f t="array" ref="M789">IF(L789="","",_xlfn.IFS(
  AND(L789&gt;=TIME(9,0,0), L789&lt;TIME(16,0,0)),"Morning",
  AND(L789&gt;=TIME(16,0,0), L789&lt;TIME(23,59,0)),"Evening",
  L789&gt;=TIME(23,59,0),"Night",
  L789&lt;TIME(9,0,0),"Night"
))</f>
        <v/>
      </c>
      <c r="O789" t="str">
        <f t="shared" si="74"/>
        <v/>
      </c>
    </row>
    <row r="790" spans="1:15" x14ac:dyDescent="0.25">
      <c r="A790" s="49"/>
      <c r="B790" s="50"/>
      <c r="G790" t="str">
        <f t="shared" si="72"/>
        <v/>
      </c>
      <c r="H790" s="13" t="str">
        <f t="shared" si="75"/>
        <v/>
      </c>
      <c r="I790" t="str">
        <f>IFERROR(INDEX(Analysis!$D$116:$N$137, MATCH(B790, Analysis!$C$116:$C$137, 0), MATCH(C790, Analysis!$D$115:$N$115, 0)), "")</f>
        <v/>
      </c>
      <c r="J790" t="str">
        <f t="shared" si="76"/>
        <v/>
      </c>
      <c r="K790" s="28" t="str">
        <f t="shared" si="73"/>
        <v/>
      </c>
      <c r="L790" s="46" t="str">
        <f t="shared" si="77"/>
        <v/>
      </c>
      <c r="M790" t="str" cm="1">
        <f t="array" ref="M790">IF(L790="","",_xlfn.IFS(
  AND(L790&gt;=TIME(9,0,0), L790&lt;TIME(16,0,0)),"Morning",
  AND(L790&gt;=TIME(16,0,0), L790&lt;TIME(23,59,0)),"Evening",
  L790&gt;=TIME(23,59,0),"Night",
  L790&lt;TIME(9,0,0),"Night"
))</f>
        <v/>
      </c>
      <c r="O790" t="str">
        <f t="shared" si="74"/>
        <v/>
      </c>
    </row>
    <row r="791" spans="1:15" x14ac:dyDescent="0.25">
      <c r="A791" s="49"/>
      <c r="B791" s="50"/>
      <c r="G791" t="str">
        <f t="shared" si="72"/>
        <v/>
      </c>
      <c r="H791" s="13" t="str">
        <f t="shared" si="75"/>
        <v/>
      </c>
      <c r="I791" t="str">
        <f>IFERROR(INDEX(Analysis!$D$116:$N$137, MATCH(B791, Analysis!$C$116:$C$137, 0), MATCH(C791, Analysis!$D$115:$N$115, 0)), "")</f>
        <v/>
      </c>
      <c r="J791" t="str">
        <f t="shared" si="76"/>
        <v/>
      </c>
      <c r="K791" s="28" t="str">
        <f t="shared" si="73"/>
        <v/>
      </c>
      <c r="L791" s="46" t="str">
        <f t="shared" si="77"/>
        <v/>
      </c>
      <c r="M791" t="str" cm="1">
        <f t="array" ref="M791">IF(L791="","",_xlfn.IFS(
  AND(L791&gt;=TIME(9,0,0), L791&lt;TIME(16,0,0)),"Morning",
  AND(L791&gt;=TIME(16,0,0), L791&lt;TIME(23,59,0)),"Evening",
  L791&gt;=TIME(23,59,0),"Night",
  L791&lt;TIME(9,0,0),"Night"
))</f>
        <v/>
      </c>
      <c r="O791" t="str">
        <f t="shared" si="74"/>
        <v/>
      </c>
    </row>
    <row r="792" spans="1:15" x14ac:dyDescent="0.25">
      <c r="A792" s="49"/>
      <c r="B792" s="50"/>
      <c r="G792" t="str">
        <f t="shared" si="72"/>
        <v/>
      </c>
      <c r="H792" s="13" t="str">
        <f t="shared" si="75"/>
        <v/>
      </c>
      <c r="I792" t="str">
        <f>IFERROR(INDEX(Analysis!$D$116:$N$137, MATCH(B792, Analysis!$C$116:$C$137, 0), MATCH(C792, Analysis!$D$115:$N$115, 0)), "")</f>
        <v/>
      </c>
      <c r="J792" t="str">
        <f t="shared" si="76"/>
        <v/>
      </c>
      <c r="K792" s="28" t="str">
        <f t="shared" si="73"/>
        <v/>
      </c>
      <c r="L792" s="46" t="str">
        <f t="shared" si="77"/>
        <v/>
      </c>
      <c r="M792" t="str" cm="1">
        <f t="array" ref="M792">IF(L792="","",_xlfn.IFS(
  AND(L792&gt;=TIME(9,0,0), L792&lt;TIME(16,0,0)),"Morning",
  AND(L792&gt;=TIME(16,0,0), L792&lt;TIME(23,59,0)),"Evening",
  L792&gt;=TIME(23,59,0),"Night",
  L792&lt;TIME(9,0,0),"Night"
))</f>
        <v/>
      </c>
      <c r="O792" t="str">
        <f t="shared" si="74"/>
        <v/>
      </c>
    </row>
    <row r="793" spans="1:15" x14ac:dyDescent="0.25">
      <c r="A793" s="49"/>
      <c r="B793" s="50"/>
      <c r="G793" t="str">
        <f t="shared" si="72"/>
        <v/>
      </c>
      <c r="H793" s="13" t="str">
        <f t="shared" si="75"/>
        <v/>
      </c>
      <c r="I793" t="str">
        <f>IFERROR(INDEX(Analysis!$D$116:$N$137, MATCH(B793, Analysis!$C$116:$C$137, 0), MATCH(C793, Analysis!$D$115:$N$115, 0)), "")</f>
        <v/>
      </c>
      <c r="J793" t="str">
        <f t="shared" si="76"/>
        <v/>
      </c>
      <c r="K793" s="28" t="str">
        <f t="shared" si="73"/>
        <v/>
      </c>
      <c r="L793" s="46" t="str">
        <f t="shared" si="77"/>
        <v/>
      </c>
      <c r="M793" t="str" cm="1">
        <f t="array" ref="M793">IF(L793="","",_xlfn.IFS(
  AND(L793&gt;=TIME(9,0,0), L793&lt;TIME(16,0,0)),"Morning",
  AND(L793&gt;=TIME(16,0,0), L793&lt;TIME(23,59,0)),"Evening",
  L793&gt;=TIME(23,59,0),"Night",
  L793&lt;TIME(9,0,0),"Night"
))</f>
        <v/>
      </c>
      <c r="O793" t="str">
        <f t="shared" si="74"/>
        <v/>
      </c>
    </row>
    <row r="794" spans="1:15" x14ac:dyDescent="0.25">
      <c r="A794" s="49"/>
      <c r="B794" s="50"/>
      <c r="G794" t="str">
        <f t="shared" si="72"/>
        <v/>
      </c>
      <c r="H794" s="13" t="str">
        <f t="shared" si="75"/>
        <v/>
      </c>
      <c r="I794" t="str">
        <f>IFERROR(INDEX(Analysis!$D$116:$N$137, MATCH(B794, Analysis!$C$116:$C$137, 0), MATCH(C794, Analysis!$D$115:$N$115, 0)), "")</f>
        <v/>
      </c>
      <c r="J794" t="str">
        <f t="shared" si="76"/>
        <v/>
      </c>
      <c r="K794" s="28" t="str">
        <f t="shared" si="73"/>
        <v/>
      </c>
      <c r="L794" s="46" t="str">
        <f t="shared" si="77"/>
        <v/>
      </c>
      <c r="M794" t="str" cm="1">
        <f t="array" ref="M794">IF(L794="","",_xlfn.IFS(
  AND(L794&gt;=TIME(9,0,0), L794&lt;TIME(16,0,0)),"Morning",
  AND(L794&gt;=TIME(16,0,0), L794&lt;TIME(23,59,0)),"Evening",
  L794&gt;=TIME(23,59,0),"Night",
  L794&lt;TIME(9,0,0),"Night"
))</f>
        <v/>
      </c>
      <c r="O794" t="str">
        <f t="shared" si="74"/>
        <v/>
      </c>
    </row>
    <row r="795" spans="1:15" x14ac:dyDescent="0.25">
      <c r="A795" s="49"/>
      <c r="B795" s="50"/>
      <c r="G795" t="str">
        <f t="shared" si="72"/>
        <v/>
      </c>
      <c r="H795" s="13" t="str">
        <f t="shared" si="75"/>
        <v/>
      </c>
      <c r="I795" t="str">
        <f>IFERROR(INDEX(Analysis!$D$116:$N$137, MATCH(B795, Analysis!$C$116:$C$137, 0), MATCH(C795, Analysis!$D$115:$N$115, 0)), "")</f>
        <v/>
      </c>
      <c r="J795" t="str">
        <f t="shared" si="76"/>
        <v/>
      </c>
      <c r="K795" s="28" t="str">
        <f t="shared" si="73"/>
        <v/>
      </c>
      <c r="L795" s="46" t="str">
        <f t="shared" si="77"/>
        <v/>
      </c>
      <c r="M795" t="str" cm="1">
        <f t="array" ref="M795">IF(L795="","",_xlfn.IFS(
  AND(L795&gt;=TIME(9,0,0), L795&lt;TIME(16,0,0)),"Morning",
  AND(L795&gt;=TIME(16,0,0), L795&lt;TIME(23,59,0)),"Evening",
  L795&gt;=TIME(23,59,0),"Night",
  L795&lt;TIME(9,0,0),"Night"
))</f>
        <v/>
      </c>
      <c r="O795" t="str">
        <f t="shared" si="74"/>
        <v/>
      </c>
    </row>
    <row r="796" spans="1:15" x14ac:dyDescent="0.25">
      <c r="A796" s="49"/>
      <c r="B796" s="50"/>
      <c r="G796" t="str">
        <f t="shared" si="72"/>
        <v/>
      </c>
      <c r="H796" s="13" t="str">
        <f t="shared" si="75"/>
        <v/>
      </c>
      <c r="I796" t="str">
        <f>IFERROR(INDEX(Analysis!$D$116:$N$137, MATCH(B796, Analysis!$C$116:$C$137, 0), MATCH(C796, Analysis!$D$115:$N$115, 0)), "")</f>
        <v/>
      </c>
      <c r="J796" t="str">
        <f t="shared" si="76"/>
        <v/>
      </c>
      <c r="K796" s="28" t="str">
        <f t="shared" si="73"/>
        <v/>
      </c>
      <c r="L796" s="46" t="str">
        <f t="shared" si="77"/>
        <v/>
      </c>
      <c r="M796" t="str" cm="1">
        <f t="array" ref="M796">IF(L796="","",_xlfn.IFS(
  AND(L796&gt;=TIME(9,0,0), L796&lt;TIME(16,0,0)),"Morning",
  AND(L796&gt;=TIME(16,0,0), L796&lt;TIME(23,59,0)),"Evening",
  L796&gt;=TIME(23,59,0),"Night",
  L796&lt;TIME(9,0,0),"Night"
))</f>
        <v/>
      </c>
      <c r="O796" t="str">
        <f t="shared" si="74"/>
        <v/>
      </c>
    </row>
    <row r="797" spans="1:15" x14ac:dyDescent="0.25">
      <c r="A797" s="49"/>
      <c r="B797" s="50"/>
      <c r="G797" t="str">
        <f t="shared" si="72"/>
        <v/>
      </c>
      <c r="H797" s="13" t="str">
        <f t="shared" si="75"/>
        <v/>
      </c>
      <c r="I797" t="str">
        <f>IFERROR(INDEX(Analysis!$D$116:$N$137, MATCH(B797, Analysis!$C$116:$C$137, 0), MATCH(C797, Analysis!$D$115:$N$115, 0)), "")</f>
        <v/>
      </c>
      <c r="J797" t="str">
        <f t="shared" si="76"/>
        <v/>
      </c>
      <c r="K797" s="28" t="str">
        <f t="shared" si="73"/>
        <v/>
      </c>
      <c r="L797" s="46" t="str">
        <f t="shared" si="77"/>
        <v/>
      </c>
      <c r="M797" t="str" cm="1">
        <f t="array" ref="M797">IF(L797="","",_xlfn.IFS(
  AND(L797&gt;=TIME(9,0,0), L797&lt;TIME(16,0,0)),"Morning",
  AND(L797&gt;=TIME(16,0,0), L797&lt;TIME(23,59,0)),"Evening",
  L797&gt;=TIME(23,59,0),"Night",
  L797&lt;TIME(9,0,0),"Night"
))</f>
        <v/>
      </c>
      <c r="O797" t="str">
        <f t="shared" si="74"/>
        <v/>
      </c>
    </row>
    <row r="798" spans="1:15" x14ac:dyDescent="0.25">
      <c r="A798" s="49"/>
      <c r="B798" s="50"/>
      <c r="G798" t="str">
        <f t="shared" si="72"/>
        <v/>
      </c>
      <c r="H798" s="13" t="str">
        <f t="shared" si="75"/>
        <v/>
      </c>
      <c r="I798" t="str">
        <f>IFERROR(INDEX(Analysis!$D$116:$N$137, MATCH(B798, Analysis!$C$116:$C$137, 0), MATCH(C798, Analysis!$D$115:$N$115, 0)), "")</f>
        <v/>
      </c>
      <c r="J798" t="str">
        <f t="shared" si="76"/>
        <v/>
      </c>
      <c r="K798" s="28" t="str">
        <f t="shared" si="73"/>
        <v/>
      </c>
      <c r="L798" s="46" t="str">
        <f t="shared" si="77"/>
        <v/>
      </c>
      <c r="M798" t="str" cm="1">
        <f t="array" ref="M798">IF(L798="","",_xlfn.IFS(
  AND(L798&gt;=TIME(9,0,0), L798&lt;TIME(16,0,0)),"Morning",
  AND(L798&gt;=TIME(16,0,0), L798&lt;TIME(23,59,0)),"Evening",
  L798&gt;=TIME(23,59,0),"Night",
  L798&lt;TIME(9,0,0),"Night"
))</f>
        <v/>
      </c>
      <c r="O798" t="str">
        <f t="shared" si="74"/>
        <v/>
      </c>
    </row>
    <row r="799" spans="1:15" x14ac:dyDescent="0.25">
      <c r="A799" s="49"/>
      <c r="B799" s="50"/>
      <c r="G799" t="str">
        <f t="shared" si="72"/>
        <v/>
      </c>
      <c r="H799" s="13" t="str">
        <f t="shared" si="75"/>
        <v/>
      </c>
      <c r="I799" t="str">
        <f>IFERROR(INDEX(Analysis!$D$116:$N$137, MATCH(B799, Analysis!$C$116:$C$137, 0), MATCH(C799, Analysis!$D$115:$N$115, 0)), "")</f>
        <v/>
      </c>
      <c r="J799" t="str">
        <f t="shared" si="76"/>
        <v/>
      </c>
      <c r="K799" s="28" t="str">
        <f t="shared" si="73"/>
        <v/>
      </c>
      <c r="L799" s="46" t="str">
        <f t="shared" si="77"/>
        <v/>
      </c>
      <c r="M799" t="str" cm="1">
        <f t="array" ref="M799">IF(L799="","",_xlfn.IFS(
  AND(L799&gt;=TIME(9,0,0), L799&lt;TIME(16,0,0)),"Morning",
  AND(L799&gt;=TIME(16,0,0), L799&lt;TIME(23,59,0)),"Evening",
  L799&gt;=TIME(23,59,0),"Night",
  L799&lt;TIME(9,0,0),"Night"
))</f>
        <v/>
      </c>
      <c r="O799" t="str">
        <f t="shared" si="74"/>
        <v/>
      </c>
    </row>
    <row r="800" spans="1:15" x14ac:dyDescent="0.25">
      <c r="A800" s="49"/>
      <c r="B800" s="50"/>
      <c r="G800" t="str">
        <f t="shared" si="72"/>
        <v/>
      </c>
      <c r="H800" s="13" t="str">
        <f t="shared" si="75"/>
        <v/>
      </c>
      <c r="I800" t="str">
        <f>IFERROR(INDEX(Analysis!$D$116:$N$137, MATCH(B800, Analysis!$C$116:$C$137, 0), MATCH(C800, Analysis!$D$115:$N$115, 0)), "")</f>
        <v/>
      </c>
      <c r="J800" t="str">
        <f t="shared" si="76"/>
        <v/>
      </c>
      <c r="K800" s="28" t="str">
        <f t="shared" si="73"/>
        <v/>
      </c>
      <c r="L800" s="46" t="str">
        <f t="shared" si="77"/>
        <v/>
      </c>
      <c r="M800" t="str" cm="1">
        <f t="array" ref="M800">IF(L800="","",_xlfn.IFS(
  AND(L800&gt;=TIME(9,0,0), L800&lt;TIME(16,0,0)),"Morning",
  AND(L800&gt;=TIME(16,0,0), L800&lt;TIME(23,59,0)),"Evening",
  L800&gt;=TIME(23,59,0),"Night",
  L800&lt;TIME(9,0,0),"Night"
))</f>
        <v/>
      </c>
      <c r="O800" t="str">
        <f t="shared" si="74"/>
        <v/>
      </c>
    </row>
    <row r="801" spans="1:15" x14ac:dyDescent="0.25">
      <c r="A801" s="49"/>
      <c r="B801" s="50"/>
      <c r="G801" t="str">
        <f t="shared" si="72"/>
        <v/>
      </c>
      <c r="H801" s="13" t="str">
        <f t="shared" si="75"/>
        <v/>
      </c>
      <c r="I801" t="str">
        <f>IFERROR(INDEX(Analysis!$D$116:$N$137, MATCH(B801, Analysis!$C$116:$C$137, 0), MATCH(C801, Analysis!$D$115:$N$115, 0)), "")</f>
        <v/>
      </c>
      <c r="J801" t="str">
        <f t="shared" si="76"/>
        <v/>
      </c>
      <c r="K801" s="28" t="str">
        <f t="shared" si="73"/>
        <v/>
      </c>
      <c r="L801" s="46" t="str">
        <f t="shared" si="77"/>
        <v/>
      </c>
      <c r="M801" t="str" cm="1">
        <f t="array" ref="M801">IF(L801="","",_xlfn.IFS(
  AND(L801&gt;=TIME(9,0,0), L801&lt;TIME(16,0,0)),"Morning",
  AND(L801&gt;=TIME(16,0,0), L801&lt;TIME(23,59,0)),"Evening",
  L801&gt;=TIME(23,59,0),"Night",
  L801&lt;TIME(9,0,0),"Night"
))</f>
        <v/>
      </c>
      <c r="O801" t="str">
        <f t="shared" si="74"/>
        <v/>
      </c>
    </row>
    <row r="802" spans="1:15" x14ac:dyDescent="0.25">
      <c r="A802" s="49"/>
      <c r="B802" s="50"/>
      <c r="G802" t="str">
        <f t="shared" si="72"/>
        <v/>
      </c>
      <c r="H802" s="13" t="str">
        <f t="shared" si="75"/>
        <v/>
      </c>
      <c r="I802" t="str">
        <f>IFERROR(INDEX(Analysis!$D$116:$N$137, MATCH(B802, Analysis!$C$116:$C$137, 0), MATCH(C802, Analysis!$D$115:$N$115, 0)), "")</f>
        <v/>
      </c>
      <c r="J802" t="str">
        <f t="shared" si="76"/>
        <v/>
      </c>
      <c r="K802" s="28" t="str">
        <f t="shared" si="73"/>
        <v/>
      </c>
      <c r="L802" s="46" t="str">
        <f t="shared" si="77"/>
        <v/>
      </c>
      <c r="M802" t="str" cm="1">
        <f t="array" ref="M802">IF(L802="","",_xlfn.IFS(
  AND(L802&gt;=TIME(9,0,0), L802&lt;TIME(16,0,0)),"Morning",
  AND(L802&gt;=TIME(16,0,0), L802&lt;TIME(23,59,0)),"Evening",
  L802&gt;=TIME(23,59,0),"Night",
  L802&lt;TIME(9,0,0),"Night"
))</f>
        <v/>
      </c>
      <c r="O802" t="str">
        <f t="shared" si="74"/>
        <v/>
      </c>
    </row>
    <row r="803" spans="1:15" x14ac:dyDescent="0.25">
      <c r="A803" s="49"/>
      <c r="B803" s="50"/>
      <c r="G803" t="str">
        <f t="shared" si="72"/>
        <v/>
      </c>
      <c r="H803" s="13" t="str">
        <f t="shared" si="75"/>
        <v/>
      </c>
      <c r="I803" t="str">
        <f>IFERROR(INDEX(Analysis!$D$116:$N$137, MATCH(B803, Analysis!$C$116:$C$137, 0), MATCH(C803, Analysis!$D$115:$N$115, 0)), "")</f>
        <v/>
      </c>
      <c r="J803" t="str">
        <f t="shared" si="76"/>
        <v/>
      </c>
      <c r="K803" s="28" t="str">
        <f t="shared" si="73"/>
        <v/>
      </c>
      <c r="L803" s="46" t="str">
        <f t="shared" si="77"/>
        <v/>
      </c>
      <c r="M803" t="str" cm="1">
        <f t="array" ref="M803">IF(L803="","",_xlfn.IFS(
  AND(L803&gt;=TIME(9,0,0), L803&lt;TIME(16,0,0)),"Morning",
  AND(L803&gt;=TIME(16,0,0), L803&lt;TIME(23,59,0)),"Evening",
  L803&gt;=TIME(23,59,0),"Night",
  L803&lt;TIME(9,0,0),"Night"
))</f>
        <v/>
      </c>
      <c r="O803" t="str">
        <f t="shared" si="74"/>
        <v/>
      </c>
    </row>
    <row r="804" spans="1:15" x14ac:dyDescent="0.25">
      <c r="A804" s="49"/>
      <c r="B804" s="50"/>
      <c r="G804" t="str">
        <f t="shared" si="72"/>
        <v/>
      </c>
      <c r="H804" s="13" t="str">
        <f t="shared" si="75"/>
        <v/>
      </c>
      <c r="I804" t="str">
        <f>IFERROR(INDEX(Analysis!$D$116:$N$137, MATCH(B804, Analysis!$C$116:$C$137, 0), MATCH(C804, Analysis!$D$115:$N$115, 0)), "")</f>
        <v/>
      </c>
      <c r="J804" t="str">
        <f t="shared" si="76"/>
        <v/>
      </c>
      <c r="K804" s="28" t="str">
        <f t="shared" si="73"/>
        <v/>
      </c>
      <c r="L804" s="46" t="str">
        <f t="shared" si="77"/>
        <v/>
      </c>
      <c r="M804" t="str" cm="1">
        <f t="array" ref="M804">IF(L804="","",_xlfn.IFS(
  AND(L804&gt;=TIME(9,0,0), L804&lt;TIME(16,0,0)),"Morning",
  AND(L804&gt;=TIME(16,0,0), L804&lt;TIME(23,59,0)),"Evening",
  L804&gt;=TIME(23,59,0),"Night",
  L804&lt;TIME(9,0,0),"Night"
))</f>
        <v/>
      </c>
      <c r="O804" t="str">
        <f t="shared" si="74"/>
        <v/>
      </c>
    </row>
    <row r="805" spans="1:15" x14ac:dyDescent="0.25">
      <c r="A805" s="49"/>
      <c r="B805" s="50"/>
      <c r="G805" t="str">
        <f t="shared" si="72"/>
        <v/>
      </c>
      <c r="H805" s="13" t="str">
        <f t="shared" si="75"/>
        <v/>
      </c>
      <c r="I805" t="str">
        <f>IFERROR(INDEX(Analysis!$D$116:$N$137, MATCH(B805, Analysis!$C$116:$C$137, 0), MATCH(C805, Analysis!$D$115:$N$115, 0)), "")</f>
        <v/>
      </c>
      <c r="J805" t="str">
        <f t="shared" si="76"/>
        <v/>
      </c>
      <c r="K805" s="28" t="str">
        <f t="shared" si="73"/>
        <v/>
      </c>
      <c r="L805" s="46" t="str">
        <f t="shared" si="77"/>
        <v/>
      </c>
      <c r="M805" t="str" cm="1">
        <f t="array" ref="M805">IF(L805="","",_xlfn.IFS(
  AND(L805&gt;=TIME(9,0,0), L805&lt;TIME(16,0,0)),"Morning",
  AND(L805&gt;=TIME(16,0,0), L805&lt;TIME(23,59,0)),"Evening",
  L805&gt;=TIME(23,59,0),"Night",
  L805&lt;TIME(9,0,0),"Night"
))</f>
        <v/>
      </c>
      <c r="O805" t="str">
        <f t="shared" si="74"/>
        <v/>
      </c>
    </row>
    <row r="806" spans="1:15" x14ac:dyDescent="0.25">
      <c r="A806" s="49"/>
      <c r="B806" s="50"/>
      <c r="G806" t="str">
        <f t="shared" si="72"/>
        <v/>
      </c>
      <c r="H806" s="13" t="str">
        <f t="shared" si="75"/>
        <v/>
      </c>
      <c r="I806" t="str">
        <f>IFERROR(INDEX(Analysis!$D$116:$N$137, MATCH(B806, Analysis!$C$116:$C$137, 0), MATCH(C806, Analysis!$D$115:$N$115, 0)), "")</f>
        <v/>
      </c>
      <c r="J806" t="str">
        <f t="shared" si="76"/>
        <v/>
      </c>
      <c r="K806" s="28" t="str">
        <f t="shared" si="73"/>
        <v/>
      </c>
      <c r="L806" s="46" t="str">
        <f t="shared" si="77"/>
        <v/>
      </c>
      <c r="M806" t="str" cm="1">
        <f t="array" ref="M806">IF(L806="","",_xlfn.IFS(
  AND(L806&gt;=TIME(9,0,0), L806&lt;TIME(16,0,0)),"Morning",
  AND(L806&gt;=TIME(16,0,0), L806&lt;TIME(23,59,0)),"Evening",
  L806&gt;=TIME(23,59,0),"Night",
  L806&lt;TIME(9,0,0),"Night"
))</f>
        <v/>
      </c>
      <c r="O806" t="str">
        <f t="shared" si="74"/>
        <v/>
      </c>
    </row>
    <row r="807" spans="1:15" x14ac:dyDescent="0.25">
      <c r="A807" s="49"/>
      <c r="B807" s="50"/>
      <c r="G807" t="str">
        <f t="shared" si="72"/>
        <v/>
      </c>
      <c r="H807" s="13" t="str">
        <f t="shared" si="75"/>
        <v/>
      </c>
      <c r="I807" t="str">
        <f>IFERROR(INDEX(Analysis!$D$116:$N$137, MATCH(B807, Analysis!$C$116:$C$137, 0), MATCH(C807, Analysis!$D$115:$N$115, 0)), "")</f>
        <v/>
      </c>
      <c r="J807" t="str">
        <f t="shared" si="76"/>
        <v/>
      </c>
      <c r="K807" s="28" t="str">
        <f t="shared" si="73"/>
        <v/>
      </c>
      <c r="L807" s="46" t="str">
        <f t="shared" si="77"/>
        <v/>
      </c>
      <c r="M807" t="str" cm="1">
        <f t="array" ref="M807">IF(L807="","",_xlfn.IFS(
  AND(L807&gt;=TIME(9,0,0), L807&lt;TIME(16,0,0)),"Morning",
  AND(L807&gt;=TIME(16,0,0), L807&lt;TIME(23,59,0)),"Evening",
  L807&gt;=TIME(23,59,0),"Night",
  L807&lt;TIME(9,0,0),"Night"
))</f>
        <v/>
      </c>
      <c r="O807" t="str">
        <f t="shared" si="74"/>
        <v/>
      </c>
    </row>
    <row r="808" spans="1:15" x14ac:dyDescent="0.25">
      <c r="A808" s="49"/>
      <c r="B808" s="50"/>
      <c r="G808" t="str">
        <f t="shared" si="72"/>
        <v/>
      </c>
      <c r="H808" s="13" t="str">
        <f t="shared" si="75"/>
        <v/>
      </c>
      <c r="I808" t="str">
        <f>IFERROR(INDEX(Analysis!$D$116:$N$137, MATCH(B808, Analysis!$C$116:$C$137, 0), MATCH(C808, Analysis!$D$115:$N$115, 0)), "")</f>
        <v/>
      </c>
      <c r="J808" t="str">
        <f t="shared" si="76"/>
        <v/>
      </c>
      <c r="K808" s="28" t="str">
        <f t="shared" si="73"/>
        <v/>
      </c>
      <c r="L808" s="46" t="str">
        <f t="shared" si="77"/>
        <v/>
      </c>
      <c r="M808" t="str" cm="1">
        <f t="array" ref="M808">IF(L808="","",_xlfn.IFS(
  AND(L808&gt;=TIME(9,0,0), L808&lt;TIME(16,0,0)),"Morning",
  AND(L808&gt;=TIME(16,0,0), L808&lt;TIME(23,59,0)),"Evening",
  L808&gt;=TIME(23,59,0),"Night",
  L808&lt;TIME(9,0,0),"Night"
))</f>
        <v/>
      </c>
      <c r="O808" t="str">
        <f t="shared" si="74"/>
        <v/>
      </c>
    </row>
    <row r="809" spans="1:15" x14ac:dyDescent="0.25">
      <c r="A809" s="49"/>
      <c r="B809" s="50"/>
      <c r="G809" t="str">
        <f t="shared" si="72"/>
        <v/>
      </c>
      <c r="H809" s="13" t="str">
        <f t="shared" si="75"/>
        <v/>
      </c>
      <c r="I809" t="str">
        <f>IFERROR(INDEX(Analysis!$D$116:$N$137, MATCH(B809, Analysis!$C$116:$C$137, 0), MATCH(C809, Analysis!$D$115:$N$115, 0)), "")</f>
        <v/>
      </c>
      <c r="J809" t="str">
        <f t="shared" si="76"/>
        <v/>
      </c>
      <c r="K809" s="28" t="str">
        <f t="shared" si="73"/>
        <v/>
      </c>
      <c r="L809" s="46" t="str">
        <f t="shared" si="77"/>
        <v/>
      </c>
      <c r="M809" t="str" cm="1">
        <f t="array" ref="M809">IF(L809="","",_xlfn.IFS(
  AND(L809&gt;=TIME(9,0,0), L809&lt;TIME(16,0,0)),"Morning",
  AND(L809&gt;=TIME(16,0,0), L809&lt;TIME(23,59,0)),"Evening",
  L809&gt;=TIME(23,59,0),"Night",
  L809&lt;TIME(9,0,0),"Night"
))</f>
        <v/>
      </c>
      <c r="O809" t="str">
        <f t="shared" si="74"/>
        <v/>
      </c>
    </row>
    <row r="810" spans="1:15" x14ac:dyDescent="0.25">
      <c r="A810" s="49"/>
      <c r="B810" s="50"/>
      <c r="G810" t="str">
        <f t="shared" si="72"/>
        <v/>
      </c>
      <c r="H810" s="13" t="str">
        <f t="shared" si="75"/>
        <v/>
      </c>
      <c r="I810" t="str">
        <f>IFERROR(INDEX(Analysis!$D$116:$N$137, MATCH(B810, Analysis!$C$116:$C$137, 0), MATCH(C810, Analysis!$D$115:$N$115, 0)), "")</f>
        <v/>
      </c>
      <c r="J810" t="str">
        <f t="shared" si="76"/>
        <v/>
      </c>
      <c r="K810" s="28" t="str">
        <f t="shared" si="73"/>
        <v/>
      </c>
      <c r="L810" s="46" t="str">
        <f t="shared" si="77"/>
        <v/>
      </c>
      <c r="M810" t="str" cm="1">
        <f t="array" ref="M810">IF(L810="","",_xlfn.IFS(
  AND(L810&gt;=TIME(9,0,0), L810&lt;TIME(16,0,0)),"Morning",
  AND(L810&gt;=TIME(16,0,0), L810&lt;TIME(23,59,0)),"Evening",
  L810&gt;=TIME(23,59,0),"Night",
  L810&lt;TIME(9,0,0),"Night"
))</f>
        <v/>
      </c>
      <c r="O810" t="str">
        <f t="shared" si="74"/>
        <v/>
      </c>
    </row>
    <row r="811" spans="1:15" x14ac:dyDescent="0.25">
      <c r="A811" s="49"/>
      <c r="B811" s="50"/>
      <c r="G811" t="str">
        <f t="shared" si="72"/>
        <v/>
      </c>
      <c r="H811" s="13" t="str">
        <f t="shared" si="75"/>
        <v/>
      </c>
      <c r="I811" t="str">
        <f>IFERROR(INDEX(Analysis!$D$116:$N$137, MATCH(B811, Analysis!$C$116:$C$137, 0), MATCH(C811, Analysis!$D$115:$N$115, 0)), "")</f>
        <v/>
      </c>
      <c r="J811" t="str">
        <f t="shared" si="76"/>
        <v/>
      </c>
      <c r="K811" s="28" t="str">
        <f t="shared" si="73"/>
        <v/>
      </c>
      <c r="L811" s="46" t="str">
        <f t="shared" si="77"/>
        <v/>
      </c>
      <c r="M811" t="str" cm="1">
        <f t="array" ref="M811">IF(L811="","",_xlfn.IFS(
  AND(L811&gt;=TIME(9,0,0), L811&lt;TIME(16,0,0)),"Morning",
  AND(L811&gt;=TIME(16,0,0), L811&lt;TIME(23,59,0)),"Evening",
  L811&gt;=TIME(23,59,0),"Night",
  L811&lt;TIME(9,0,0),"Night"
))</f>
        <v/>
      </c>
      <c r="O811" t="str">
        <f t="shared" si="74"/>
        <v/>
      </c>
    </row>
    <row r="812" spans="1:15" x14ac:dyDescent="0.25">
      <c r="A812" s="49"/>
      <c r="B812" s="50"/>
      <c r="G812" t="str">
        <f t="shared" si="72"/>
        <v/>
      </c>
      <c r="H812" s="13" t="str">
        <f t="shared" si="75"/>
        <v/>
      </c>
      <c r="I812" t="str">
        <f>IFERROR(INDEX(Analysis!$D$116:$N$137, MATCH(B812, Analysis!$C$116:$C$137, 0), MATCH(C812, Analysis!$D$115:$N$115, 0)), "")</f>
        <v/>
      </c>
      <c r="J812" t="str">
        <f t="shared" si="76"/>
        <v/>
      </c>
      <c r="K812" s="28" t="str">
        <f t="shared" si="73"/>
        <v/>
      </c>
      <c r="L812" s="46" t="str">
        <f t="shared" si="77"/>
        <v/>
      </c>
      <c r="M812" t="str" cm="1">
        <f t="array" ref="M812">IF(L812="","",_xlfn.IFS(
  AND(L812&gt;=TIME(9,0,0), L812&lt;TIME(16,0,0)),"Morning",
  AND(L812&gt;=TIME(16,0,0), L812&lt;TIME(23,59,0)),"Evening",
  L812&gt;=TIME(23,59,0),"Night",
  L812&lt;TIME(9,0,0),"Night"
))</f>
        <v/>
      </c>
      <c r="O812" t="str">
        <f t="shared" si="74"/>
        <v/>
      </c>
    </row>
    <row r="813" spans="1:15" x14ac:dyDescent="0.25">
      <c r="A813" s="49"/>
      <c r="B813" s="50"/>
      <c r="G813" t="str">
        <f t="shared" si="72"/>
        <v/>
      </c>
      <c r="H813" s="13" t="str">
        <f t="shared" si="75"/>
        <v/>
      </c>
      <c r="I813" t="str">
        <f>IFERROR(INDEX(Analysis!$D$116:$N$137, MATCH(B813, Analysis!$C$116:$C$137, 0), MATCH(C813, Analysis!$D$115:$N$115, 0)), "")</f>
        <v/>
      </c>
      <c r="J813" t="str">
        <f t="shared" si="76"/>
        <v/>
      </c>
      <c r="K813" s="28" t="str">
        <f t="shared" si="73"/>
        <v/>
      </c>
      <c r="L813" s="46" t="str">
        <f t="shared" si="77"/>
        <v/>
      </c>
      <c r="M813" t="str" cm="1">
        <f t="array" ref="M813">IF(L813="","",_xlfn.IFS(
  AND(L813&gt;=TIME(9,0,0), L813&lt;TIME(16,0,0)),"Morning",
  AND(L813&gt;=TIME(16,0,0), L813&lt;TIME(23,59,0)),"Evening",
  L813&gt;=TIME(23,59,0),"Night",
  L813&lt;TIME(9,0,0),"Night"
))</f>
        <v/>
      </c>
      <c r="O813" t="str">
        <f t="shared" si="74"/>
        <v/>
      </c>
    </row>
    <row r="814" spans="1:15" x14ac:dyDescent="0.25">
      <c r="A814" s="49"/>
      <c r="B814" s="50"/>
      <c r="G814" t="str">
        <f t="shared" si="72"/>
        <v/>
      </c>
      <c r="H814" s="13" t="str">
        <f t="shared" si="75"/>
        <v/>
      </c>
      <c r="I814" t="str">
        <f>IFERROR(INDEX(Analysis!$D$116:$N$137, MATCH(B814, Analysis!$C$116:$C$137, 0), MATCH(C814, Analysis!$D$115:$N$115, 0)), "")</f>
        <v/>
      </c>
      <c r="J814" t="str">
        <f t="shared" si="76"/>
        <v/>
      </c>
      <c r="K814" s="28" t="str">
        <f t="shared" si="73"/>
        <v/>
      </c>
      <c r="L814" s="46" t="str">
        <f t="shared" si="77"/>
        <v/>
      </c>
      <c r="M814" t="str" cm="1">
        <f t="array" ref="M814">IF(L814="","",_xlfn.IFS(
  AND(L814&gt;=TIME(9,0,0), L814&lt;TIME(16,0,0)),"Morning",
  AND(L814&gt;=TIME(16,0,0), L814&lt;TIME(23,59,0)),"Evening",
  L814&gt;=TIME(23,59,0),"Night",
  L814&lt;TIME(9,0,0),"Night"
))</f>
        <v/>
      </c>
      <c r="O814" t="str">
        <f t="shared" si="74"/>
        <v/>
      </c>
    </row>
    <row r="815" spans="1:15" x14ac:dyDescent="0.25">
      <c r="A815" s="49"/>
      <c r="B815" s="50"/>
      <c r="G815" t="str">
        <f t="shared" si="72"/>
        <v/>
      </c>
      <c r="H815" s="13" t="str">
        <f t="shared" si="75"/>
        <v/>
      </c>
      <c r="I815" t="str">
        <f>IFERROR(INDEX(Analysis!$D$116:$N$137, MATCH(B815, Analysis!$C$116:$C$137, 0), MATCH(C815, Analysis!$D$115:$N$115, 0)), "")</f>
        <v/>
      </c>
      <c r="J815" t="str">
        <f t="shared" si="76"/>
        <v/>
      </c>
      <c r="K815" s="28" t="str">
        <f t="shared" si="73"/>
        <v/>
      </c>
      <c r="L815" s="46" t="str">
        <f t="shared" si="77"/>
        <v/>
      </c>
      <c r="M815" t="str" cm="1">
        <f t="array" ref="M815">IF(L815="","",_xlfn.IFS(
  AND(L815&gt;=TIME(9,0,0), L815&lt;TIME(16,0,0)),"Morning",
  AND(L815&gt;=TIME(16,0,0), L815&lt;TIME(23,59,0)),"Evening",
  L815&gt;=TIME(23,59,0),"Night",
  L815&lt;TIME(9,0,0),"Night"
))</f>
        <v/>
      </c>
      <c r="O815" t="str">
        <f t="shared" si="74"/>
        <v/>
      </c>
    </row>
    <row r="816" spans="1:15" x14ac:dyDescent="0.25">
      <c r="A816" s="49"/>
      <c r="B816" s="50"/>
      <c r="G816" t="str">
        <f t="shared" si="72"/>
        <v/>
      </c>
      <c r="H816" s="13" t="str">
        <f t="shared" si="75"/>
        <v/>
      </c>
      <c r="I816" t="str">
        <f>IFERROR(INDEX(Analysis!$D$116:$N$137, MATCH(B816, Analysis!$C$116:$C$137, 0), MATCH(C816, Analysis!$D$115:$N$115, 0)), "")</f>
        <v/>
      </c>
      <c r="J816" t="str">
        <f t="shared" si="76"/>
        <v/>
      </c>
      <c r="K816" s="28" t="str">
        <f t="shared" si="73"/>
        <v/>
      </c>
      <c r="L816" s="46" t="str">
        <f t="shared" si="77"/>
        <v/>
      </c>
      <c r="M816" t="str" cm="1">
        <f t="array" ref="M816">IF(L816="","",_xlfn.IFS(
  AND(L816&gt;=TIME(9,0,0), L816&lt;TIME(16,0,0)),"Morning",
  AND(L816&gt;=TIME(16,0,0), L816&lt;TIME(23,59,0)),"Evening",
  L816&gt;=TIME(23,59,0),"Night",
  L816&lt;TIME(9,0,0),"Night"
))</f>
        <v/>
      </c>
      <c r="O816" t="str">
        <f t="shared" si="74"/>
        <v/>
      </c>
    </row>
    <row r="817" spans="1:15" x14ac:dyDescent="0.25">
      <c r="A817" s="49"/>
      <c r="B817" s="50"/>
      <c r="G817" t="str">
        <f t="shared" si="72"/>
        <v/>
      </c>
      <c r="H817" s="13" t="str">
        <f t="shared" si="75"/>
        <v/>
      </c>
      <c r="I817" t="str">
        <f>IFERROR(INDEX(Analysis!$D$116:$N$137, MATCH(B817, Analysis!$C$116:$C$137, 0), MATCH(C817, Analysis!$D$115:$N$115, 0)), "")</f>
        <v/>
      </c>
      <c r="J817" t="str">
        <f t="shared" si="76"/>
        <v/>
      </c>
      <c r="K817" s="28" t="str">
        <f t="shared" si="73"/>
        <v/>
      </c>
      <c r="L817" s="46" t="str">
        <f t="shared" si="77"/>
        <v/>
      </c>
      <c r="M817" t="str" cm="1">
        <f t="array" ref="M817">IF(L817="","",_xlfn.IFS(
  AND(L817&gt;=TIME(9,0,0), L817&lt;TIME(16,0,0)),"Morning",
  AND(L817&gt;=TIME(16,0,0), L817&lt;TIME(23,59,0)),"Evening",
  L817&gt;=TIME(23,59,0),"Night",
  L817&lt;TIME(9,0,0),"Night"
))</f>
        <v/>
      </c>
      <c r="O817" t="str">
        <f t="shared" si="74"/>
        <v/>
      </c>
    </row>
    <row r="818" spans="1:15" x14ac:dyDescent="0.25">
      <c r="A818" s="49"/>
      <c r="B818" s="50"/>
      <c r="G818" t="str">
        <f t="shared" si="72"/>
        <v/>
      </c>
      <c r="H818" s="13" t="str">
        <f t="shared" si="75"/>
        <v/>
      </c>
      <c r="I818" t="str">
        <f>IFERROR(INDEX(Analysis!$D$116:$N$137, MATCH(B818, Analysis!$C$116:$C$137, 0), MATCH(C818, Analysis!$D$115:$N$115, 0)), "")</f>
        <v/>
      </c>
      <c r="J818" t="str">
        <f t="shared" si="76"/>
        <v/>
      </c>
      <c r="K818" s="28" t="str">
        <f t="shared" si="73"/>
        <v/>
      </c>
      <c r="L818" s="46" t="str">
        <f t="shared" si="77"/>
        <v/>
      </c>
      <c r="M818" t="str" cm="1">
        <f t="array" ref="M818">IF(L818="","",_xlfn.IFS(
  AND(L818&gt;=TIME(9,0,0), L818&lt;TIME(16,0,0)),"Morning",
  AND(L818&gt;=TIME(16,0,0), L818&lt;TIME(23,59,0)),"Evening",
  L818&gt;=TIME(23,59,0),"Night",
  L818&lt;TIME(9,0,0),"Night"
))</f>
        <v/>
      </c>
      <c r="O818" t="str">
        <f t="shared" si="74"/>
        <v/>
      </c>
    </row>
    <row r="819" spans="1:15" x14ac:dyDescent="0.25">
      <c r="A819" s="49"/>
      <c r="B819" s="50"/>
      <c r="G819" t="str">
        <f t="shared" si="72"/>
        <v/>
      </c>
      <c r="H819" s="13" t="str">
        <f t="shared" si="75"/>
        <v/>
      </c>
      <c r="I819" t="str">
        <f>IFERROR(INDEX(Analysis!$D$116:$N$137, MATCH(B819, Analysis!$C$116:$C$137, 0), MATCH(C819, Analysis!$D$115:$N$115, 0)), "")</f>
        <v/>
      </c>
      <c r="J819" t="str">
        <f t="shared" si="76"/>
        <v/>
      </c>
      <c r="K819" s="28" t="str">
        <f t="shared" si="73"/>
        <v/>
      </c>
      <c r="L819" s="46" t="str">
        <f t="shared" si="77"/>
        <v/>
      </c>
      <c r="M819" t="str" cm="1">
        <f t="array" ref="M819">IF(L819="","",_xlfn.IFS(
  AND(L819&gt;=TIME(9,0,0), L819&lt;TIME(16,0,0)),"Morning",
  AND(L819&gt;=TIME(16,0,0), L819&lt;TIME(23,59,0)),"Evening",
  L819&gt;=TIME(23,59,0),"Night",
  L819&lt;TIME(9,0,0),"Night"
))</f>
        <v/>
      </c>
      <c r="O819" t="str">
        <f t="shared" si="74"/>
        <v/>
      </c>
    </row>
    <row r="820" spans="1:15" x14ac:dyDescent="0.25">
      <c r="A820" s="49"/>
      <c r="B820" s="50"/>
      <c r="G820" t="str">
        <f t="shared" si="72"/>
        <v/>
      </c>
      <c r="H820" s="13" t="str">
        <f t="shared" si="75"/>
        <v/>
      </c>
      <c r="I820" t="str">
        <f>IFERROR(INDEX(Analysis!$D$116:$N$137, MATCH(B820, Analysis!$C$116:$C$137, 0), MATCH(C820, Analysis!$D$115:$N$115, 0)), "")</f>
        <v/>
      </c>
      <c r="J820" t="str">
        <f t="shared" si="76"/>
        <v/>
      </c>
      <c r="K820" s="28" t="str">
        <f t="shared" si="73"/>
        <v/>
      </c>
      <c r="L820" s="46" t="str">
        <f t="shared" si="77"/>
        <v/>
      </c>
      <c r="M820" t="str" cm="1">
        <f t="array" ref="M820">IF(L820="","",_xlfn.IFS(
  AND(L820&gt;=TIME(9,0,0), L820&lt;TIME(16,0,0)),"Morning",
  AND(L820&gt;=TIME(16,0,0), L820&lt;TIME(23,59,0)),"Evening",
  L820&gt;=TIME(23,59,0),"Night",
  L820&lt;TIME(9,0,0),"Night"
))</f>
        <v/>
      </c>
      <c r="O820" t="str">
        <f t="shared" si="74"/>
        <v/>
      </c>
    </row>
    <row r="821" spans="1:15" x14ac:dyDescent="0.25">
      <c r="A821" s="49"/>
      <c r="B821" s="50"/>
      <c r="G821" t="str">
        <f t="shared" si="72"/>
        <v/>
      </c>
      <c r="H821" s="13" t="str">
        <f t="shared" si="75"/>
        <v/>
      </c>
      <c r="I821" t="str">
        <f>IFERROR(INDEX(Analysis!$D$116:$N$137, MATCH(B821, Analysis!$C$116:$C$137, 0), MATCH(C821, Analysis!$D$115:$N$115, 0)), "")</f>
        <v/>
      </c>
      <c r="J821" t="str">
        <f t="shared" si="76"/>
        <v/>
      </c>
      <c r="K821" s="28" t="str">
        <f t="shared" si="73"/>
        <v/>
      </c>
      <c r="L821" s="46" t="str">
        <f t="shared" si="77"/>
        <v/>
      </c>
      <c r="M821" t="str" cm="1">
        <f t="array" ref="M821">IF(L821="","",_xlfn.IFS(
  AND(L821&gt;=TIME(9,0,0), L821&lt;TIME(16,0,0)),"Morning",
  AND(L821&gt;=TIME(16,0,0), L821&lt;TIME(23,59,0)),"Evening",
  L821&gt;=TIME(23,59,0),"Night",
  L821&lt;TIME(9,0,0),"Night"
))</f>
        <v/>
      </c>
      <c r="O821" t="str">
        <f t="shared" si="74"/>
        <v/>
      </c>
    </row>
    <row r="822" spans="1:15" x14ac:dyDescent="0.25">
      <c r="A822" s="49"/>
      <c r="B822" s="50"/>
      <c r="G822" t="str">
        <f t="shared" si="72"/>
        <v/>
      </c>
      <c r="H822" s="13" t="str">
        <f t="shared" si="75"/>
        <v/>
      </c>
      <c r="I822" t="str">
        <f>IFERROR(INDEX(Analysis!$D$116:$N$137, MATCH(B822, Analysis!$C$116:$C$137, 0), MATCH(C822, Analysis!$D$115:$N$115, 0)), "")</f>
        <v/>
      </c>
      <c r="J822" t="str">
        <f t="shared" si="76"/>
        <v/>
      </c>
      <c r="K822" s="28" t="str">
        <f t="shared" si="73"/>
        <v/>
      </c>
      <c r="L822" s="46" t="str">
        <f t="shared" si="77"/>
        <v/>
      </c>
      <c r="M822" t="str" cm="1">
        <f t="array" ref="M822">IF(L822="","",_xlfn.IFS(
  AND(L822&gt;=TIME(9,0,0), L822&lt;TIME(16,0,0)),"Morning",
  AND(L822&gt;=TIME(16,0,0), L822&lt;TIME(23,59,0)),"Evening",
  L822&gt;=TIME(23,59,0),"Night",
  L822&lt;TIME(9,0,0),"Night"
))</f>
        <v/>
      </c>
      <c r="O822" t="str">
        <f t="shared" si="74"/>
        <v/>
      </c>
    </row>
    <row r="823" spans="1:15" x14ac:dyDescent="0.25">
      <c r="A823" s="49"/>
      <c r="B823" s="50"/>
      <c r="G823" t="str">
        <f t="shared" si="72"/>
        <v/>
      </c>
      <c r="H823" s="13" t="str">
        <f t="shared" si="75"/>
        <v/>
      </c>
      <c r="I823" t="str">
        <f>IFERROR(INDEX(Analysis!$D$116:$N$137, MATCH(B823, Analysis!$C$116:$C$137, 0), MATCH(C823, Analysis!$D$115:$N$115, 0)), "")</f>
        <v/>
      </c>
      <c r="J823" t="str">
        <f t="shared" si="76"/>
        <v/>
      </c>
      <c r="K823" s="28" t="str">
        <f t="shared" si="73"/>
        <v/>
      </c>
      <c r="L823" s="46" t="str">
        <f t="shared" si="77"/>
        <v/>
      </c>
      <c r="M823" t="str" cm="1">
        <f t="array" ref="M823">IF(L823="","",_xlfn.IFS(
  AND(L823&gt;=TIME(9,0,0), L823&lt;TIME(16,0,0)),"Morning",
  AND(L823&gt;=TIME(16,0,0), L823&lt;TIME(23,59,0)),"Evening",
  L823&gt;=TIME(23,59,0),"Night",
  L823&lt;TIME(9,0,0),"Night"
))</f>
        <v/>
      </c>
      <c r="O823" t="str">
        <f t="shared" si="74"/>
        <v/>
      </c>
    </row>
    <row r="824" spans="1:15" x14ac:dyDescent="0.25">
      <c r="A824" s="49"/>
      <c r="B824" s="50"/>
      <c r="G824" t="str">
        <f t="shared" si="72"/>
        <v/>
      </c>
      <c r="H824" s="13" t="str">
        <f t="shared" si="75"/>
        <v/>
      </c>
      <c r="I824" t="str">
        <f>IFERROR(INDEX(Analysis!$D$116:$N$137, MATCH(B824, Analysis!$C$116:$C$137, 0), MATCH(C824, Analysis!$D$115:$N$115, 0)), "")</f>
        <v/>
      </c>
      <c r="J824" t="str">
        <f t="shared" si="76"/>
        <v/>
      </c>
      <c r="K824" s="28" t="str">
        <f t="shared" si="73"/>
        <v/>
      </c>
      <c r="L824" s="46" t="str">
        <f t="shared" si="77"/>
        <v/>
      </c>
      <c r="M824" t="str" cm="1">
        <f t="array" ref="M824">IF(L824="","",_xlfn.IFS(
  AND(L824&gt;=TIME(9,0,0), L824&lt;TIME(16,0,0)),"Morning",
  AND(L824&gt;=TIME(16,0,0), L824&lt;TIME(23,59,0)),"Evening",
  L824&gt;=TIME(23,59,0),"Night",
  L824&lt;TIME(9,0,0),"Night"
))</f>
        <v/>
      </c>
      <c r="O824" t="str">
        <f t="shared" si="74"/>
        <v/>
      </c>
    </row>
    <row r="825" spans="1:15" x14ac:dyDescent="0.25">
      <c r="A825" s="49"/>
      <c r="B825" s="50"/>
      <c r="G825" t="str">
        <f t="shared" si="72"/>
        <v/>
      </c>
      <c r="H825" s="13" t="str">
        <f t="shared" si="75"/>
        <v/>
      </c>
      <c r="I825" t="str">
        <f>IFERROR(INDEX(Analysis!$D$116:$N$137, MATCH(B825, Analysis!$C$116:$C$137, 0), MATCH(C825, Analysis!$D$115:$N$115, 0)), "")</f>
        <v/>
      </c>
      <c r="J825" t="str">
        <f t="shared" si="76"/>
        <v/>
      </c>
      <c r="K825" s="28" t="str">
        <f t="shared" si="73"/>
        <v/>
      </c>
      <c r="L825" s="46" t="str">
        <f t="shared" si="77"/>
        <v/>
      </c>
      <c r="M825" t="str" cm="1">
        <f t="array" ref="M825">IF(L825="","",_xlfn.IFS(
  AND(L825&gt;=TIME(9,0,0), L825&lt;TIME(16,0,0)),"Morning",
  AND(L825&gt;=TIME(16,0,0), L825&lt;TIME(23,59,0)),"Evening",
  L825&gt;=TIME(23,59,0),"Night",
  L825&lt;TIME(9,0,0),"Night"
))</f>
        <v/>
      </c>
      <c r="O825" t="str">
        <f t="shared" si="74"/>
        <v/>
      </c>
    </row>
    <row r="826" spans="1:15" x14ac:dyDescent="0.25">
      <c r="A826" s="49"/>
      <c r="B826" s="50"/>
      <c r="G826" t="str">
        <f t="shared" si="72"/>
        <v/>
      </c>
      <c r="H826" s="13" t="str">
        <f t="shared" si="75"/>
        <v/>
      </c>
      <c r="I826" t="str">
        <f>IFERROR(INDEX(Analysis!$D$116:$N$137, MATCH(B826, Analysis!$C$116:$C$137, 0), MATCH(C826, Analysis!$D$115:$N$115, 0)), "")</f>
        <v/>
      </c>
      <c r="J826" t="str">
        <f t="shared" si="76"/>
        <v/>
      </c>
      <c r="K826" s="28" t="str">
        <f t="shared" si="73"/>
        <v/>
      </c>
      <c r="L826" s="46" t="str">
        <f t="shared" si="77"/>
        <v/>
      </c>
      <c r="M826" t="str" cm="1">
        <f t="array" ref="M826">IF(L826="","",_xlfn.IFS(
  AND(L826&gt;=TIME(9,0,0), L826&lt;TIME(16,0,0)),"Morning",
  AND(L826&gt;=TIME(16,0,0), L826&lt;TIME(23,59,0)),"Evening",
  L826&gt;=TIME(23,59,0),"Night",
  L826&lt;TIME(9,0,0),"Night"
))</f>
        <v/>
      </c>
      <c r="O826" t="str">
        <f t="shared" si="74"/>
        <v/>
      </c>
    </row>
    <row r="827" spans="1:15" x14ac:dyDescent="0.25">
      <c r="A827" s="49"/>
      <c r="B827" s="50"/>
      <c r="G827" t="str">
        <f t="shared" si="72"/>
        <v/>
      </c>
      <c r="H827" s="13" t="str">
        <f t="shared" si="75"/>
        <v/>
      </c>
      <c r="I827" t="str">
        <f>IFERROR(INDEX(Analysis!$D$116:$N$137, MATCH(B827, Analysis!$C$116:$C$137, 0), MATCH(C827, Analysis!$D$115:$N$115, 0)), "")</f>
        <v/>
      </c>
      <c r="J827" t="str">
        <f t="shared" si="76"/>
        <v/>
      </c>
      <c r="K827" s="28" t="str">
        <f t="shared" si="73"/>
        <v/>
      </c>
      <c r="L827" s="46" t="str">
        <f t="shared" si="77"/>
        <v/>
      </c>
      <c r="M827" t="str" cm="1">
        <f t="array" ref="M827">IF(L827="","",_xlfn.IFS(
  AND(L827&gt;=TIME(9,0,0), L827&lt;TIME(16,0,0)),"Morning",
  AND(L827&gt;=TIME(16,0,0), L827&lt;TIME(23,59,0)),"Evening",
  L827&gt;=TIME(23,59,0),"Night",
  L827&lt;TIME(9,0,0),"Night"
))</f>
        <v/>
      </c>
      <c r="O827" t="str">
        <f t="shared" si="74"/>
        <v/>
      </c>
    </row>
    <row r="828" spans="1:15" x14ac:dyDescent="0.25">
      <c r="A828" s="49"/>
      <c r="B828" s="50"/>
      <c r="G828" t="str">
        <f t="shared" si="72"/>
        <v/>
      </c>
      <c r="H828" s="13" t="str">
        <f t="shared" si="75"/>
        <v/>
      </c>
      <c r="I828" t="str">
        <f>IFERROR(INDEX(Analysis!$D$116:$N$137, MATCH(B828, Analysis!$C$116:$C$137, 0), MATCH(C828, Analysis!$D$115:$N$115, 0)), "")</f>
        <v/>
      </c>
      <c r="J828" t="str">
        <f t="shared" si="76"/>
        <v/>
      </c>
      <c r="K828" s="28" t="str">
        <f t="shared" si="73"/>
        <v/>
      </c>
      <c r="L828" s="46" t="str">
        <f t="shared" si="77"/>
        <v/>
      </c>
      <c r="M828" t="str" cm="1">
        <f t="array" ref="M828">IF(L828="","",_xlfn.IFS(
  AND(L828&gt;=TIME(9,0,0), L828&lt;TIME(16,0,0)),"Morning",
  AND(L828&gt;=TIME(16,0,0), L828&lt;TIME(23,59,0)),"Evening",
  L828&gt;=TIME(23,59,0),"Night",
  L828&lt;TIME(9,0,0),"Night"
))</f>
        <v/>
      </c>
      <c r="O828" t="str">
        <f t="shared" si="74"/>
        <v/>
      </c>
    </row>
    <row r="829" spans="1:15" x14ac:dyDescent="0.25">
      <c r="A829" s="49"/>
      <c r="B829" s="50"/>
      <c r="G829" t="str">
        <f t="shared" si="72"/>
        <v/>
      </c>
      <c r="H829" s="13" t="str">
        <f t="shared" si="75"/>
        <v/>
      </c>
      <c r="I829" t="str">
        <f>IFERROR(INDEX(Analysis!$D$116:$N$137, MATCH(B829, Analysis!$C$116:$C$137, 0), MATCH(C829, Analysis!$D$115:$N$115, 0)), "")</f>
        <v/>
      </c>
      <c r="J829" t="str">
        <f t="shared" si="76"/>
        <v/>
      </c>
      <c r="K829" s="28" t="str">
        <f t="shared" si="73"/>
        <v/>
      </c>
      <c r="L829" s="46" t="str">
        <f t="shared" si="77"/>
        <v/>
      </c>
      <c r="M829" t="str" cm="1">
        <f t="array" ref="M829">IF(L829="","",_xlfn.IFS(
  AND(L829&gt;=TIME(9,0,0), L829&lt;TIME(16,0,0)),"Morning",
  AND(L829&gt;=TIME(16,0,0), L829&lt;TIME(23,59,0)),"Evening",
  L829&gt;=TIME(23,59,0),"Night",
  L829&lt;TIME(9,0,0),"Night"
))</f>
        <v/>
      </c>
      <c r="O829" t="str">
        <f t="shared" si="74"/>
        <v/>
      </c>
    </row>
    <row r="830" spans="1:15" x14ac:dyDescent="0.25">
      <c r="A830" s="49"/>
      <c r="B830" s="50"/>
      <c r="G830" t="str">
        <f t="shared" si="72"/>
        <v/>
      </c>
      <c r="H830" s="13" t="str">
        <f t="shared" si="75"/>
        <v/>
      </c>
      <c r="I830" t="str">
        <f>IFERROR(INDEX(Analysis!$D$116:$N$137, MATCH(B830, Analysis!$C$116:$C$137, 0), MATCH(C830, Analysis!$D$115:$N$115, 0)), "")</f>
        <v/>
      </c>
      <c r="J830" t="str">
        <f t="shared" si="76"/>
        <v/>
      </c>
      <c r="K830" s="28" t="str">
        <f t="shared" si="73"/>
        <v/>
      </c>
      <c r="L830" s="46" t="str">
        <f t="shared" si="77"/>
        <v/>
      </c>
      <c r="M830" t="str" cm="1">
        <f t="array" ref="M830">IF(L830="","",_xlfn.IFS(
  AND(L830&gt;=TIME(9,0,0), L830&lt;TIME(16,0,0)),"Morning",
  AND(L830&gt;=TIME(16,0,0), L830&lt;TIME(23,59,0)),"Evening",
  L830&gt;=TIME(23,59,0),"Night",
  L830&lt;TIME(9,0,0),"Night"
))</f>
        <v/>
      </c>
      <c r="O830" t="str">
        <f t="shared" si="74"/>
        <v/>
      </c>
    </row>
    <row r="831" spans="1:15" x14ac:dyDescent="0.25">
      <c r="A831" s="49"/>
      <c r="B831" s="50"/>
      <c r="G831" t="str">
        <f t="shared" si="72"/>
        <v/>
      </c>
      <c r="H831" s="13" t="str">
        <f t="shared" si="75"/>
        <v/>
      </c>
      <c r="I831" t="str">
        <f>IFERROR(INDEX(Analysis!$D$116:$N$137, MATCH(B831, Analysis!$C$116:$C$137, 0), MATCH(C831, Analysis!$D$115:$N$115, 0)), "")</f>
        <v/>
      </c>
      <c r="J831" t="str">
        <f t="shared" si="76"/>
        <v/>
      </c>
      <c r="K831" s="28" t="str">
        <f t="shared" si="73"/>
        <v/>
      </c>
      <c r="L831" s="46" t="str">
        <f t="shared" si="77"/>
        <v/>
      </c>
      <c r="M831" t="str" cm="1">
        <f t="array" ref="M831">IF(L831="","",_xlfn.IFS(
  AND(L831&gt;=TIME(9,0,0), L831&lt;TIME(16,0,0)),"Morning",
  AND(L831&gt;=TIME(16,0,0), L831&lt;TIME(23,59,0)),"Evening",
  L831&gt;=TIME(23,59,0),"Night",
  L831&lt;TIME(9,0,0),"Night"
))</f>
        <v/>
      </c>
      <c r="O831" t="str">
        <f t="shared" si="74"/>
        <v/>
      </c>
    </row>
    <row r="832" spans="1:15" x14ac:dyDescent="0.25">
      <c r="A832" s="49"/>
      <c r="B832" s="50"/>
      <c r="G832" t="str">
        <f t="shared" si="72"/>
        <v/>
      </c>
      <c r="H832" s="13" t="str">
        <f t="shared" si="75"/>
        <v/>
      </c>
      <c r="I832" t="str">
        <f>IFERROR(INDEX(Analysis!$D$116:$N$137, MATCH(B832, Analysis!$C$116:$C$137, 0), MATCH(C832, Analysis!$D$115:$N$115, 0)), "")</f>
        <v/>
      </c>
      <c r="J832" t="str">
        <f t="shared" si="76"/>
        <v/>
      </c>
      <c r="K832" s="28" t="str">
        <f t="shared" si="73"/>
        <v/>
      </c>
      <c r="L832" s="46" t="str">
        <f t="shared" si="77"/>
        <v/>
      </c>
      <c r="M832" t="str" cm="1">
        <f t="array" ref="M832">IF(L832="","",_xlfn.IFS(
  AND(L832&gt;=TIME(9,0,0), L832&lt;TIME(16,0,0)),"Morning",
  AND(L832&gt;=TIME(16,0,0), L832&lt;TIME(23,59,0)),"Evening",
  L832&gt;=TIME(23,59,0),"Night",
  L832&lt;TIME(9,0,0),"Night"
))</f>
        <v/>
      </c>
      <c r="O832" t="str">
        <f t="shared" si="74"/>
        <v/>
      </c>
    </row>
    <row r="833" spans="1:15" x14ac:dyDescent="0.25">
      <c r="A833" s="49"/>
      <c r="B833" s="50"/>
      <c r="G833" t="str">
        <f t="shared" si="72"/>
        <v/>
      </c>
      <c r="H833" s="13" t="str">
        <f t="shared" si="75"/>
        <v/>
      </c>
      <c r="I833" t="str">
        <f>IFERROR(INDEX(Analysis!$D$116:$N$137, MATCH(B833, Analysis!$C$116:$C$137, 0), MATCH(C833, Analysis!$D$115:$N$115, 0)), "")</f>
        <v/>
      </c>
      <c r="J833" t="str">
        <f t="shared" si="76"/>
        <v/>
      </c>
      <c r="K833" s="28" t="str">
        <f t="shared" si="73"/>
        <v/>
      </c>
      <c r="L833" s="46" t="str">
        <f t="shared" si="77"/>
        <v/>
      </c>
      <c r="M833" t="str" cm="1">
        <f t="array" ref="M833">IF(L833="","",_xlfn.IFS(
  AND(L833&gt;=TIME(9,0,0), L833&lt;TIME(16,0,0)),"Morning",
  AND(L833&gt;=TIME(16,0,0), L833&lt;TIME(23,59,0)),"Evening",
  L833&gt;=TIME(23,59,0),"Night",
  L833&lt;TIME(9,0,0),"Night"
))</f>
        <v/>
      </c>
      <c r="O833" t="str">
        <f t="shared" si="74"/>
        <v/>
      </c>
    </row>
    <row r="834" spans="1:15" x14ac:dyDescent="0.25">
      <c r="A834" s="49"/>
      <c r="B834" s="50"/>
      <c r="G834" t="str">
        <f t="shared" ref="G834:G897" si="78">IF(ISBLANK(A834), "", IF(ISBLANK(F834), 0, F834))</f>
        <v/>
      </c>
      <c r="H834" s="13" t="str">
        <f t="shared" si="75"/>
        <v/>
      </c>
      <c r="I834" t="str">
        <f>IFERROR(INDEX(Analysis!$D$116:$N$137, MATCH(B834, Analysis!$C$116:$C$137, 0), MATCH(C834, Analysis!$D$115:$N$115, 0)), "")</f>
        <v/>
      </c>
      <c r="J834" t="str">
        <f t="shared" si="76"/>
        <v/>
      </c>
      <c r="K834" s="28" t="str">
        <f t="shared" ref="K834:K897" si="79">IF(ISBLANK(A834),"",DATE(YEAR(A834),MONTH(A834),DAY(A834)))</f>
        <v/>
      </c>
      <c r="L834" s="46" t="str">
        <f t="shared" si="77"/>
        <v/>
      </c>
      <c r="M834" t="str" cm="1">
        <f t="array" ref="M834">IF(L834="","",_xlfn.IFS(
  AND(L834&gt;=TIME(9,0,0), L834&lt;TIME(16,0,0)),"Morning",
  AND(L834&gt;=TIME(16,0,0), L834&lt;TIME(23,59,0)),"Evening",
  L834&gt;=TIME(23,59,0),"Night",
  L834&lt;TIME(9,0,0),"Night"
))</f>
        <v/>
      </c>
      <c r="O834" t="str">
        <f t="shared" ref="O834:O897" si="80">IF(N834="ON", _xlfn.IMAGE(E834, 1), "")</f>
        <v/>
      </c>
    </row>
    <row r="835" spans="1:15" x14ac:dyDescent="0.25">
      <c r="A835" s="49"/>
      <c r="B835" s="50"/>
      <c r="G835" t="str">
        <f t="shared" si="78"/>
        <v/>
      </c>
      <c r="H835" s="13" t="str">
        <f t="shared" ref="H835:H898" si="81">IF(ISBLANK(E835),"",HYPERLINK(E835,"Click here"))</f>
        <v/>
      </c>
      <c r="I835" t="str">
        <f>IFERROR(INDEX(Analysis!$D$116:$N$137, MATCH(B835, Analysis!$C$116:$C$137, 0), MATCH(C835, Analysis!$D$115:$N$115, 0)), "")</f>
        <v/>
      </c>
      <c r="J835" t="str">
        <f t="shared" ref="J835:J898" si="82">IF(ISBLANK(A835),"",WEEKNUM(A835))</f>
        <v/>
      </c>
      <c r="K835" s="28" t="str">
        <f t="shared" si="79"/>
        <v/>
      </c>
      <c r="L835" s="46" t="str">
        <f t="shared" ref="L835:L898" si="83">IF(A835="", "", A835 - INT(A835))</f>
        <v/>
      </c>
      <c r="M835" t="str" cm="1">
        <f t="array" ref="M835">IF(L835="","",_xlfn.IFS(
  AND(L835&gt;=TIME(9,0,0), L835&lt;TIME(16,0,0)),"Morning",
  AND(L835&gt;=TIME(16,0,0), L835&lt;TIME(23,59,0)),"Evening",
  L835&gt;=TIME(23,59,0),"Night",
  L835&lt;TIME(9,0,0),"Night"
))</f>
        <v/>
      </c>
      <c r="O835" t="str">
        <f t="shared" si="80"/>
        <v/>
      </c>
    </row>
    <row r="836" spans="1:15" x14ac:dyDescent="0.25">
      <c r="A836" s="49"/>
      <c r="B836" s="50"/>
      <c r="G836" t="str">
        <f t="shared" si="78"/>
        <v/>
      </c>
      <c r="H836" s="13" t="str">
        <f t="shared" si="81"/>
        <v/>
      </c>
      <c r="I836" t="str">
        <f>IFERROR(INDEX(Analysis!$D$116:$N$137, MATCH(B836, Analysis!$C$116:$C$137, 0), MATCH(C836, Analysis!$D$115:$N$115, 0)), "")</f>
        <v/>
      </c>
      <c r="J836" t="str">
        <f t="shared" si="82"/>
        <v/>
      </c>
      <c r="K836" s="28" t="str">
        <f t="shared" si="79"/>
        <v/>
      </c>
      <c r="L836" s="46" t="str">
        <f t="shared" si="83"/>
        <v/>
      </c>
      <c r="M836" t="str" cm="1">
        <f t="array" ref="M836">IF(L836="","",_xlfn.IFS(
  AND(L836&gt;=TIME(9,0,0), L836&lt;TIME(16,0,0)),"Morning",
  AND(L836&gt;=TIME(16,0,0), L836&lt;TIME(23,59,0)),"Evening",
  L836&gt;=TIME(23,59,0),"Night",
  L836&lt;TIME(9,0,0),"Night"
))</f>
        <v/>
      </c>
      <c r="O836" t="str">
        <f t="shared" si="80"/>
        <v/>
      </c>
    </row>
    <row r="837" spans="1:15" x14ac:dyDescent="0.25">
      <c r="A837" s="49"/>
      <c r="B837" s="50"/>
      <c r="G837" t="str">
        <f t="shared" si="78"/>
        <v/>
      </c>
      <c r="H837" s="13" t="str">
        <f t="shared" si="81"/>
        <v/>
      </c>
      <c r="I837" t="str">
        <f>IFERROR(INDEX(Analysis!$D$116:$N$137, MATCH(B837, Analysis!$C$116:$C$137, 0), MATCH(C837, Analysis!$D$115:$N$115, 0)), "")</f>
        <v/>
      </c>
      <c r="J837" t="str">
        <f t="shared" si="82"/>
        <v/>
      </c>
      <c r="K837" s="28" t="str">
        <f t="shared" si="79"/>
        <v/>
      </c>
      <c r="L837" s="46" t="str">
        <f t="shared" si="83"/>
        <v/>
      </c>
      <c r="M837" t="str" cm="1">
        <f t="array" ref="M837">IF(L837="","",_xlfn.IFS(
  AND(L837&gt;=TIME(9,0,0), L837&lt;TIME(16,0,0)),"Morning",
  AND(L837&gt;=TIME(16,0,0), L837&lt;TIME(23,59,0)),"Evening",
  L837&gt;=TIME(23,59,0),"Night",
  L837&lt;TIME(9,0,0),"Night"
))</f>
        <v/>
      </c>
      <c r="O837" t="str">
        <f t="shared" si="80"/>
        <v/>
      </c>
    </row>
    <row r="838" spans="1:15" x14ac:dyDescent="0.25">
      <c r="A838" s="49"/>
      <c r="B838" s="50"/>
      <c r="G838" t="str">
        <f t="shared" si="78"/>
        <v/>
      </c>
      <c r="H838" s="13" t="str">
        <f t="shared" si="81"/>
        <v/>
      </c>
      <c r="I838" t="str">
        <f>IFERROR(INDEX(Analysis!$D$116:$N$137, MATCH(B838, Analysis!$C$116:$C$137, 0), MATCH(C838, Analysis!$D$115:$N$115, 0)), "")</f>
        <v/>
      </c>
      <c r="J838" t="str">
        <f t="shared" si="82"/>
        <v/>
      </c>
      <c r="K838" s="28" t="str">
        <f t="shared" si="79"/>
        <v/>
      </c>
      <c r="L838" s="46" t="str">
        <f t="shared" si="83"/>
        <v/>
      </c>
      <c r="M838" t="str" cm="1">
        <f t="array" ref="M838">IF(L838="","",_xlfn.IFS(
  AND(L838&gt;=TIME(9,0,0), L838&lt;TIME(16,0,0)),"Morning",
  AND(L838&gt;=TIME(16,0,0), L838&lt;TIME(23,59,0)),"Evening",
  L838&gt;=TIME(23,59,0),"Night",
  L838&lt;TIME(9,0,0),"Night"
))</f>
        <v/>
      </c>
      <c r="O838" t="str">
        <f t="shared" si="80"/>
        <v/>
      </c>
    </row>
    <row r="839" spans="1:15" x14ac:dyDescent="0.25">
      <c r="A839" s="49"/>
      <c r="B839" s="50"/>
      <c r="G839" t="str">
        <f t="shared" si="78"/>
        <v/>
      </c>
      <c r="H839" s="13" t="str">
        <f t="shared" si="81"/>
        <v/>
      </c>
      <c r="I839" t="str">
        <f>IFERROR(INDEX(Analysis!$D$116:$N$137, MATCH(B839, Analysis!$C$116:$C$137, 0), MATCH(C839, Analysis!$D$115:$N$115, 0)), "")</f>
        <v/>
      </c>
      <c r="J839" t="str">
        <f t="shared" si="82"/>
        <v/>
      </c>
      <c r="K839" s="28" t="str">
        <f t="shared" si="79"/>
        <v/>
      </c>
      <c r="L839" s="46" t="str">
        <f t="shared" si="83"/>
        <v/>
      </c>
      <c r="M839" t="str" cm="1">
        <f t="array" ref="M839">IF(L839="","",_xlfn.IFS(
  AND(L839&gt;=TIME(9,0,0), L839&lt;TIME(16,0,0)),"Morning",
  AND(L839&gt;=TIME(16,0,0), L839&lt;TIME(23,59,0)),"Evening",
  L839&gt;=TIME(23,59,0),"Night",
  L839&lt;TIME(9,0,0),"Night"
))</f>
        <v/>
      </c>
      <c r="O839" t="str">
        <f t="shared" si="80"/>
        <v/>
      </c>
    </row>
    <row r="840" spans="1:15" x14ac:dyDescent="0.25">
      <c r="A840" s="49"/>
      <c r="B840" s="50"/>
      <c r="G840" t="str">
        <f t="shared" si="78"/>
        <v/>
      </c>
      <c r="H840" s="13" t="str">
        <f t="shared" si="81"/>
        <v/>
      </c>
      <c r="I840" t="str">
        <f>IFERROR(INDEX(Analysis!$D$116:$N$137, MATCH(B840, Analysis!$C$116:$C$137, 0), MATCH(C840, Analysis!$D$115:$N$115, 0)), "")</f>
        <v/>
      </c>
      <c r="J840" t="str">
        <f t="shared" si="82"/>
        <v/>
      </c>
      <c r="K840" s="28" t="str">
        <f t="shared" si="79"/>
        <v/>
      </c>
      <c r="L840" s="46" t="str">
        <f t="shared" si="83"/>
        <v/>
      </c>
      <c r="M840" t="str" cm="1">
        <f t="array" ref="M840">IF(L840="","",_xlfn.IFS(
  AND(L840&gt;=TIME(9,0,0), L840&lt;TIME(16,0,0)),"Morning",
  AND(L840&gt;=TIME(16,0,0), L840&lt;TIME(23,59,0)),"Evening",
  L840&gt;=TIME(23,59,0),"Night",
  L840&lt;TIME(9,0,0),"Night"
))</f>
        <v/>
      </c>
      <c r="O840" t="str">
        <f t="shared" si="80"/>
        <v/>
      </c>
    </row>
    <row r="841" spans="1:15" x14ac:dyDescent="0.25">
      <c r="A841" s="49"/>
      <c r="B841" s="50"/>
      <c r="G841" t="str">
        <f t="shared" si="78"/>
        <v/>
      </c>
      <c r="H841" s="13" t="str">
        <f t="shared" si="81"/>
        <v/>
      </c>
      <c r="I841" t="str">
        <f>IFERROR(INDEX(Analysis!$D$116:$N$137, MATCH(B841, Analysis!$C$116:$C$137, 0), MATCH(C841, Analysis!$D$115:$N$115, 0)), "")</f>
        <v/>
      </c>
      <c r="J841" t="str">
        <f t="shared" si="82"/>
        <v/>
      </c>
      <c r="K841" s="28" t="str">
        <f t="shared" si="79"/>
        <v/>
      </c>
      <c r="L841" s="46" t="str">
        <f t="shared" si="83"/>
        <v/>
      </c>
      <c r="M841" t="str" cm="1">
        <f t="array" ref="M841">IF(L841="","",_xlfn.IFS(
  AND(L841&gt;=TIME(9,0,0), L841&lt;TIME(16,0,0)),"Morning",
  AND(L841&gt;=TIME(16,0,0), L841&lt;TIME(23,59,0)),"Evening",
  L841&gt;=TIME(23,59,0),"Night",
  L841&lt;TIME(9,0,0),"Night"
))</f>
        <v/>
      </c>
      <c r="O841" t="str">
        <f t="shared" si="80"/>
        <v/>
      </c>
    </row>
    <row r="842" spans="1:15" x14ac:dyDescent="0.25">
      <c r="A842" s="49"/>
      <c r="B842" s="50"/>
      <c r="G842" t="str">
        <f t="shared" si="78"/>
        <v/>
      </c>
      <c r="H842" s="13" t="str">
        <f t="shared" si="81"/>
        <v/>
      </c>
      <c r="I842" t="str">
        <f>IFERROR(INDEX(Analysis!$D$116:$N$137, MATCH(B842, Analysis!$C$116:$C$137, 0), MATCH(C842, Analysis!$D$115:$N$115, 0)), "")</f>
        <v/>
      </c>
      <c r="J842" t="str">
        <f t="shared" si="82"/>
        <v/>
      </c>
      <c r="K842" s="28" t="str">
        <f t="shared" si="79"/>
        <v/>
      </c>
      <c r="L842" s="46" t="str">
        <f t="shared" si="83"/>
        <v/>
      </c>
      <c r="M842" t="str" cm="1">
        <f t="array" ref="M842">IF(L842="","",_xlfn.IFS(
  AND(L842&gt;=TIME(9,0,0), L842&lt;TIME(16,0,0)),"Morning",
  AND(L842&gt;=TIME(16,0,0), L842&lt;TIME(23,59,0)),"Evening",
  L842&gt;=TIME(23,59,0),"Night",
  L842&lt;TIME(9,0,0),"Night"
))</f>
        <v/>
      </c>
      <c r="O842" t="str">
        <f t="shared" si="80"/>
        <v/>
      </c>
    </row>
    <row r="843" spans="1:15" x14ac:dyDescent="0.25">
      <c r="A843" s="49"/>
      <c r="B843" s="50"/>
      <c r="G843" t="str">
        <f t="shared" si="78"/>
        <v/>
      </c>
      <c r="H843" s="13" t="str">
        <f t="shared" si="81"/>
        <v/>
      </c>
      <c r="I843" t="str">
        <f>IFERROR(INDEX(Analysis!$D$116:$N$137, MATCH(B843, Analysis!$C$116:$C$137, 0), MATCH(C843, Analysis!$D$115:$N$115, 0)), "")</f>
        <v/>
      </c>
      <c r="J843" t="str">
        <f t="shared" si="82"/>
        <v/>
      </c>
      <c r="K843" s="28" t="str">
        <f t="shared" si="79"/>
        <v/>
      </c>
      <c r="L843" s="46" t="str">
        <f t="shared" si="83"/>
        <v/>
      </c>
      <c r="M843" t="str" cm="1">
        <f t="array" ref="M843">IF(L843="","",_xlfn.IFS(
  AND(L843&gt;=TIME(9,0,0), L843&lt;TIME(16,0,0)),"Morning",
  AND(L843&gt;=TIME(16,0,0), L843&lt;TIME(23,59,0)),"Evening",
  L843&gt;=TIME(23,59,0),"Night",
  L843&lt;TIME(9,0,0),"Night"
))</f>
        <v/>
      </c>
      <c r="O843" t="str">
        <f t="shared" si="80"/>
        <v/>
      </c>
    </row>
    <row r="844" spans="1:15" x14ac:dyDescent="0.25">
      <c r="A844" s="49"/>
      <c r="B844" s="50"/>
      <c r="G844" t="str">
        <f t="shared" si="78"/>
        <v/>
      </c>
      <c r="H844" s="13" t="str">
        <f t="shared" si="81"/>
        <v/>
      </c>
      <c r="I844" t="str">
        <f>IFERROR(INDEX(Analysis!$D$116:$N$137, MATCH(B844, Analysis!$C$116:$C$137, 0), MATCH(C844, Analysis!$D$115:$N$115, 0)), "")</f>
        <v/>
      </c>
      <c r="J844" t="str">
        <f t="shared" si="82"/>
        <v/>
      </c>
      <c r="K844" s="28" t="str">
        <f t="shared" si="79"/>
        <v/>
      </c>
      <c r="L844" s="46" t="str">
        <f t="shared" si="83"/>
        <v/>
      </c>
      <c r="M844" t="str" cm="1">
        <f t="array" ref="M844">IF(L844="","",_xlfn.IFS(
  AND(L844&gt;=TIME(9,0,0), L844&lt;TIME(16,0,0)),"Morning",
  AND(L844&gt;=TIME(16,0,0), L844&lt;TIME(23,59,0)),"Evening",
  L844&gt;=TIME(23,59,0),"Night",
  L844&lt;TIME(9,0,0),"Night"
))</f>
        <v/>
      </c>
      <c r="O844" t="str">
        <f t="shared" si="80"/>
        <v/>
      </c>
    </row>
    <row r="845" spans="1:15" x14ac:dyDescent="0.25">
      <c r="A845" s="49"/>
      <c r="B845" s="50"/>
      <c r="G845" t="str">
        <f t="shared" si="78"/>
        <v/>
      </c>
      <c r="H845" s="13" t="str">
        <f t="shared" si="81"/>
        <v/>
      </c>
      <c r="I845" t="str">
        <f>IFERROR(INDEX(Analysis!$D$116:$N$137, MATCH(B845, Analysis!$C$116:$C$137, 0), MATCH(C845, Analysis!$D$115:$N$115, 0)), "")</f>
        <v/>
      </c>
      <c r="J845" t="str">
        <f t="shared" si="82"/>
        <v/>
      </c>
      <c r="K845" s="28" t="str">
        <f t="shared" si="79"/>
        <v/>
      </c>
      <c r="L845" s="46" t="str">
        <f t="shared" si="83"/>
        <v/>
      </c>
      <c r="M845" t="str" cm="1">
        <f t="array" ref="M845">IF(L845="","",_xlfn.IFS(
  AND(L845&gt;=TIME(9,0,0), L845&lt;TIME(16,0,0)),"Morning",
  AND(L845&gt;=TIME(16,0,0), L845&lt;TIME(23,59,0)),"Evening",
  L845&gt;=TIME(23,59,0),"Night",
  L845&lt;TIME(9,0,0),"Night"
))</f>
        <v/>
      </c>
      <c r="O845" t="str">
        <f t="shared" si="80"/>
        <v/>
      </c>
    </row>
    <row r="846" spans="1:15" x14ac:dyDescent="0.25">
      <c r="A846" s="49"/>
      <c r="B846" s="50"/>
      <c r="G846" t="str">
        <f t="shared" si="78"/>
        <v/>
      </c>
      <c r="H846" s="13" t="str">
        <f t="shared" si="81"/>
        <v/>
      </c>
      <c r="I846" t="str">
        <f>IFERROR(INDEX(Analysis!$D$116:$N$137, MATCH(B846, Analysis!$C$116:$C$137, 0), MATCH(C846, Analysis!$D$115:$N$115, 0)), "")</f>
        <v/>
      </c>
      <c r="J846" t="str">
        <f t="shared" si="82"/>
        <v/>
      </c>
      <c r="K846" s="28" t="str">
        <f t="shared" si="79"/>
        <v/>
      </c>
      <c r="L846" s="46" t="str">
        <f t="shared" si="83"/>
        <v/>
      </c>
      <c r="M846" t="str" cm="1">
        <f t="array" ref="M846">IF(L846="","",_xlfn.IFS(
  AND(L846&gt;=TIME(9,0,0), L846&lt;TIME(16,0,0)),"Morning",
  AND(L846&gt;=TIME(16,0,0), L846&lt;TIME(23,59,0)),"Evening",
  L846&gt;=TIME(23,59,0),"Night",
  L846&lt;TIME(9,0,0),"Night"
))</f>
        <v/>
      </c>
      <c r="O846" t="str">
        <f t="shared" si="80"/>
        <v/>
      </c>
    </row>
    <row r="847" spans="1:15" x14ac:dyDescent="0.25">
      <c r="A847" s="49"/>
      <c r="B847" s="50"/>
      <c r="G847" t="str">
        <f t="shared" si="78"/>
        <v/>
      </c>
      <c r="H847" s="13" t="str">
        <f t="shared" si="81"/>
        <v/>
      </c>
      <c r="I847" t="str">
        <f>IFERROR(INDEX(Analysis!$D$116:$N$137, MATCH(B847, Analysis!$C$116:$C$137, 0), MATCH(C847, Analysis!$D$115:$N$115, 0)), "")</f>
        <v/>
      </c>
      <c r="J847" t="str">
        <f t="shared" si="82"/>
        <v/>
      </c>
      <c r="K847" s="28" t="str">
        <f t="shared" si="79"/>
        <v/>
      </c>
      <c r="L847" s="46" t="str">
        <f t="shared" si="83"/>
        <v/>
      </c>
      <c r="M847" t="str" cm="1">
        <f t="array" ref="M847">IF(L847="","",_xlfn.IFS(
  AND(L847&gt;=TIME(9,0,0), L847&lt;TIME(16,0,0)),"Morning",
  AND(L847&gt;=TIME(16,0,0), L847&lt;TIME(23,59,0)),"Evening",
  L847&gt;=TIME(23,59,0),"Night",
  L847&lt;TIME(9,0,0),"Night"
))</f>
        <v/>
      </c>
      <c r="O847" t="str">
        <f t="shared" si="80"/>
        <v/>
      </c>
    </row>
    <row r="848" spans="1:15" x14ac:dyDescent="0.25">
      <c r="A848" s="49"/>
      <c r="B848" s="50"/>
      <c r="G848" t="str">
        <f t="shared" si="78"/>
        <v/>
      </c>
      <c r="H848" s="13" t="str">
        <f t="shared" si="81"/>
        <v/>
      </c>
      <c r="I848" t="str">
        <f>IFERROR(INDEX(Analysis!$D$116:$N$137, MATCH(B848, Analysis!$C$116:$C$137, 0), MATCH(C848, Analysis!$D$115:$N$115, 0)), "")</f>
        <v/>
      </c>
      <c r="J848" t="str">
        <f t="shared" si="82"/>
        <v/>
      </c>
      <c r="K848" s="28" t="str">
        <f t="shared" si="79"/>
        <v/>
      </c>
      <c r="L848" s="46" t="str">
        <f t="shared" si="83"/>
        <v/>
      </c>
      <c r="M848" t="str" cm="1">
        <f t="array" ref="M848">IF(L848="","",_xlfn.IFS(
  AND(L848&gt;=TIME(9,0,0), L848&lt;TIME(16,0,0)),"Morning",
  AND(L848&gt;=TIME(16,0,0), L848&lt;TIME(23,59,0)),"Evening",
  L848&gt;=TIME(23,59,0),"Night",
  L848&lt;TIME(9,0,0),"Night"
))</f>
        <v/>
      </c>
      <c r="O848" t="str">
        <f t="shared" si="80"/>
        <v/>
      </c>
    </row>
    <row r="849" spans="1:15" x14ac:dyDescent="0.25">
      <c r="A849" s="49"/>
      <c r="B849" s="50"/>
      <c r="G849" t="str">
        <f t="shared" si="78"/>
        <v/>
      </c>
      <c r="H849" s="13" t="str">
        <f t="shared" si="81"/>
        <v/>
      </c>
      <c r="I849" t="str">
        <f>IFERROR(INDEX(Analysis!$D$116:$N$137, MATCH(B849, Analysis!$C$116:$C$137, 0), MATCH(C849, Analysis!$D$115:$N$115, 0)), "")</f>
        <v/>
      </c>
      <c r="J849" t="str">
        <f t="shared" si="82"/>
        <v/>
      </c>
      <c r="K849" s="28" t="str">
        <f t="shared" si="79"/>
        <v/>
      </c>
      <c r="L849" s="46" t="str">
        <f t="shared" si="83"/>
        <v/>
      </c>
      <c r="M849" t="str" cm="1">
        <f t="array" ref="M849">IF(L849="","",_xlfn.IFS(
  AND(L849&gt;=TIME(9,0,0), L849&lt;TIME(16,0,0)),"Morning",
  AND(L849&gt;=TIME(16,0,0), L849&lt;TIME(23,59,0)),"Evening",
  L849&gt;=TIME(23,59,0),"Night",
  L849&lt;TIME(9,0,0),"Night"
))</f>
        <v/>
      </c>
      <c r="O849" t="str">
        <f t="shared" si="80"/>
        <v/>
      </c>
    </row>
    <row r="850" spans="1:15" x14ac:dyDescent="0.25">
      <c r="A850" s="49"/>
      <c r="B850" s="50"/>
      <c r="G850" t="str">
        <f t="shared" si="78"/>
        <v/>
      </c>
      <c r="H850" s="13" t="str">
        <f t="shared" si="81"/>
        <v/>
      </c>
      <c r="I850" t="str">
        <f>IFERROR(INDEX(Analysis!$D$116:$N$137, MATCH(B850, Analysis!$C$116:$C$137, 0), MATCH(C850, Analysis!$D$115:$N$115, 0)), "")</f>
        <v/>
      </c>
      <c r="J850" t="str">
        <f t="shared" si="82"/>
        <v/>
      </c>
      <c r="K850" s="28" t="str">
        <f t="shared" si="79"/>
        <v/>
      </c>
      <c r="L850" s="46" t="str">
        <f t="shared" si="83"/>
        <v/>
      </c>
      <c r="M850" t="str" cm="1">
        <f t="array" ref="M850">IF(L850="","",_xlfn.IFS(
  AND(L850&gt;=TIME(9,0,0), L850&lt;TIME(16,0,0)),"Morning",
  AND(L850&gt;=TIME(16,0,0), L850&lt;TIME(23,59,0)),"Evening",
  L850&gt;=TIME(23,59,0),"Night",
  L850&lt;TIME(9,0,0),"Night"
))</f>
        <v/>
      </c>
      <c r="O850" t="str">
        <f t="shared" si="80"/>
        <v/>
      </c>
    </row>
    <row r="851" spans="1:15" x14ac:dyDescent="0.25">
      <c r="A851" s="49"/>
      <c r="B851" s="50"/>
      <c r="G851" t="str">
        <f t="shared" si="78"/>
        <v/>
      </c>
      <c r="H851" s="13" t="str">
        <f t="shared" si="81"/>
        <v/>
      </c>
      <c r="I851" t="str">
        <f>IFERROR(INDEX(Analysis!$D$116:$N$137, MATCH(B851, Analysis!$C$116:$C$137, 0), MATCH(C851, Analysis!$D$115:$N$115, 0)), "")</f>
        <v/>
      </c>
      <c r="J851" t="str">
        <f t="shared" si="82"/>
        <v/>
      </c>
      <c r="K851" s="28" t="str">
        <f t="shared" si="79"/>
        <v/>
      </c>
      <c r="L851" s="46" t="str">
        <f t="shared" si="83"/>
        <v/>
      </c>
      <c r="M851" t="str" cm="1">
        <f t="array" ref="M851">IF(L851="","",_xlfn.IFS(
  AND(L851&gt;=TIME(9,0,0), L851&lt;TIME(16,0,0)),"Morning",
  AND(L851&gt;=TIME(16,0,0), L851&lt;TIME(23,59,0)),"Evening",
  L851&gt;=TIME(23,59,0),"Night",
  L851&lt;TIME(9,0,0),"Night"
))</f>
        <v/>
      </c>
      <c r="O851" t="str">
        <f t="shared" si="80"/>
        <v/>
      </c>
    </row>
    <row r="852" spans="1:15" x14ac:dyDescent="0.25">
      <c r="A852" s="49"/>
      <c r="B852" s="50"/>
      <c r="G852" t="str">
        <f t="shared" si="78"/>
        <v/>
      </c>
      <c r="H852" s="13" t="str">
        <f t="shared" si="81"/>
        <v/>
      </c>
      <c r="I852" t="str">
        <f>IFERROR(INDEX(Analysis!$D$116:$N$137, MATCH(B852, Analysis!$C$116:$C$137, 0), MATCH(C852, Analysis!$D$115:$N$115, 0)), "")</f>
        <v/>
      </c>
      <c r="J852" t="str">
        <f t="shared" si="82"/>
        <v/>
      </c>
      <c r="K852" s="28" t="str">
        <f t="shared" si="79"/>
        <v/>
      </c>
      <c r="L852" s="46" t="str">
        <f t="shared" si="83"/>
        <v/>
      </c>
      <c r="M852" t="str" cm="1">
        <f t="array" ref="M852">IF(L852="","",_xlfn.IFS(
  AND(L852&gt;=TIME(9,0,0), L852&lt;TIME(16,0,0)),"Morning",
  AND(L852&gt;=TIME(16,0,0), L852&lt;TIME(23,59,0)),"Evening",
  L852&gt;=TIME(23,59,0),"Night",
  L852&lt;TIME(9,0,0),"Night"
))</f>
        <v/>
      </c>
      <c r="O852" t="str">
        <f t="shared" si="80"/>
        <v/>
      </c>
    </row>
    <row r="853" spans="1:15" x14ac:dyDescent="0.25">
      <c r="A853" s="49"/>
      <c r="B853" s="50"/>
      <c r="G853" t="str">
        <f t="shared" si="78"/>
        <v/>
      </c>
      <c r="H853" s="13" t="str">
        <f t="shared" si="81"/>
        <v/>
      </c>
      <c r="I853" t="str">
        <f>IFERROR(INDEX(Analysis!$D$116:$N$137, MATCH(B853, Analysis!$C$116:$C$137, 0), MATCH(C853, Analysis!$D$115:$N$115, 0)), "")</f>
        <v/>
      </c>
      <c r="J853" t="str">
        <f t="shared" si="82"/>
        <v/>
      </c>
      <c r="K853" s="28" t="str">
        <f t="shared" si="79"/>
        <v/>
      </c>
      <c r="L853" s="46" t="str">
        <f t="shared" si="83"/>
        <v/>
      </c>
      <c r="M853" t="str" cm="1">
        <f t="array" ref="M853">IF(L853="","",_xlfn.IFS(
  AND(L853&gt;=TIME(9,0,0), L853&lt;TIME(16,0,0)),"Morning",
  AND(L853&gt;=TIME(16,0,0), L853&lt;TIME(23,59,0)),"Evening",
  L853&gt;=TIME(23,59,0),"Night",
  L853&lt;TIME(9,0,0),"Night"
))</f>
        <v/>
      </c>
      <c r="O853" t="str">
        <f t="shared" si="80"/>
        <v/>
      </c>
    </row>
    <row r="854" spans="1:15" x14ac:dyDescent="0.25">
      <c r="A854" s="49"/>
      <c r="B854" s="50"/>
      <c r="G854" t="str">
        <f t="shared" si="78"/>
        <v/>
      </c>
      <c r="H854" s="13" t="str">
        <f t="shared" si="81"/>
        <v/>
      </c>
      <c r="I854" t="str">
        <f>IFERROR(INDEX(Analysis!$D$116:$N$137, MATCH(B854, Analysis!$C$116:$C$137, 0), MATCH(C854, Analysis!$D$115:$N$115, 0)), "")</f>
        <v/>
      </c>
      <c r="J854" t="str">
        <f t="shared" si="82"/>
        <v/>
      </c>
      <c r="K854" s="28" t="str">
        <f t="shared" si="79"/>
        <v/>
      </c>
      <c r="L854" s="46" t="str">
        <f t="shared" si="83"/>
        <v/>
      </c>
      <c r="M854" t="str" cm="1">
        <f t="array" ref="M854">IF(L854="","",_xlfn.IFS(
  AND(L854&gt;=TIME(9,0,0), L854&lt;TIME(16,0,0)),"Morning",
  AND(L854&gt;=TIME(16,0,0), L854&lt;TIME(23,59,0)),"Evening",
  L854&gt;=TIME(23,59,0),"Night",
  L854&lt;TIME(9,0,0),"Night"
))</f>
        <v/>
      </c>
      <c r="O854" t="str">
        <f t="shared" si="80"/>
        <v/>
      </c>
    </row>
    <row r="855" spans="1:15" x14ac:dyDescent="0.25">
      <c r="A855" s="49"/>
      <c r="B855" s="50"/>
      <c r="G855" t="str">
        <f t="shared" si="78"/>
        <v/>
      </c>
      <c r="H855" s="13" t="str">
        <f t="shared" si="81"/>
        <v/>
      </c>
      <c r="I855" t="str">
        <f>IFERROR(INDEX(Analysis!$D$116:$N$137, MATCH(B855, Analysis!$C$116:$C$137, 0), MATCH(C855, Analysis!$D$115:$N$115, 0)), "")</f>
        <v/>
      </c>
      <c r="J855" t="str">
        <f t="shared" si="82"/>
        <v/>
      </c>
      <c r="K855" s="28" t="str">
        <f t="shared" si="79"/>
        <v/>
      </c>
      <c r="L855" s="46" t="str">
        <f t="shared" si="83"/>
        <v/>
      </c>
      <c r="M855" t="str" cm="1">
        <f t="array" ref="M855">IF(L855="","",_xlfn.IFS(
  AND(L855&gt;=TIME(9,0,0), L855&lt;TIME(16,0,0)),"Morning",
  AND(L855&gt;=TIME(16,0,0), L855&lt;TIME(23,59,0)),"Evening",
  L855&gt;=TIME(23,59,0),"Night",
  L855&lt;TIME(9,0,0),"Night"
))</f>
        <v/>
      </c>
      <c r="O855" t="str">
        <f t="shared" si="80"/>
        <v/>
      </c>
    </row>
    <row r="856" spans="1:15" x14ac:dyDescent="0.25">
      <c r="A856" s="49"/>
      <c r="B856" s="50"/>
      <c r="G856" t="str">
        <f t="shared" si="78"/>
        <v/>
      </c>
      <c r="H856" s="13" t="str">
        <f t="shared" si="81"/>
        <v/>
      </c>
      <c r="I856" t="str">
        <f>IFERROR(INDEX(Analysis!$D$116:$N$137, MATCH(B856, Analysis!$C$116:$C$137, 0), MATCH(C856, Analysis!$D$115:$N$115, 0)), "")</f>
        <v/>
      </c>
      <c r="J856" t="str">
        <f t="shared" si="82"/>
        <v/>
      </c>
      <c r="K856" s="28" t="str">
        <f t="shared" si="79"/>
        <v/>
      </c>
      <c r="L856" s="46" t="str">
        <f t="shared" si="83"/>
        <v/>
      </c>
      <c r="M856" t="str" cm="1">
        <f t="array" ref="M856">IF(L856="","",_xlfn.IFS(
  AND(L856&gt;=TIME(9,0,0), L856&lt;TIME(16,0,0)),"Morning",
  AND(L856&gt;=TIME(16,0,0), L856&lt;TIME(23,59,0)),"Evening",
  L856&gt;=TIME(23,59,0),"Night",
  L856&lt;TIME(9,0,0),"Night"
))</f>
        <v/>
      </c>
      <c r="O856" t="str">
        <f t="shared" si="80"/>
        <v/>
      </c>
    </row>
    <row r="857" spans="1:15" x14ac:dyDescent="0.25">
      <c r="A857" s="49"/>
      <c r="B857" s="50"/>
      <c r="G857" t="str">
        <f t="shared" si="78"/>
        <v/>
      </c>
      <c r="H857" s="13" t="str">
        <f t="shared" si="81"/>
        <v/>
      </c>
      <c r="I857" t="str">
        <f>IFERROR(INDEX(Analysis!$D$116:$N$137, MATCH(B857, Analysis!$C$116:$C$137, 0), MATCH(C857, Analysis!$D$115:$N$115, 0)), "")</f>
        <v/>
      </c>
      <c r="J857" t="str">
        <f t="shared" si="82"/>
        <v/>
      </c>
      <c r="K857" s="28" t="str">
        <f t="shared" si="79"/>
        <v/>
      </c>
      <c r="L857" s="46" t="str">
        <f t="shared" si="83"/>
        <v/>
      </c>
      <c r="M857" t="str" cm="1">
        <f t="array" ref="M857">IF(L857="","",_xlfn.IFS(
  AND(L857&gt;=TIME(9,0,0), L857&lt;TIME(16,0,0)),"Morning",
  AND(L857&gt;=TIME(16,0,0), L857&lt;TIME(23,59,0)),"Evening",
  L857&gt;=TIME(23,59,0),"Night",
  L857&lt;TIME(9,0,0),"Night"
))</f>
        <v/>
      </c>
      <c r="O857" t="str">
        <f t="shared" si="80"/>
        <v/>
      </c>
    </row>
    <row r="858" spans="1:15" x14ac:dyDescent="0.25">
      <c r="A858" s="49"/>
      <c r="B858" s="50"/>
      <c r="G858" t="str">
        <f t="shared" si="78"/>
        <v/>
      </c>
      <c r="H858" s="13" t="str">
        <f t="shared" si="81"/>
        <v/>
      </c>
      <c r="I858" t="str">
        <f>IFERROR(INDEX(Analysis!$D$116:$N$137, MATCH(B858, Analysis!$C$116:$C$137, 0), MATCH(C858, Analysis!$D$115:$N$115, 0)), "")</f>
        <v/>
      </c>
      <c r="J858" t="str">
        <f t="shared" si="82"/>
        <v/>
      </c>
      <c r="K858" s="28" t="str">
        <f t="shared" si="79"/>
        <v/>
      </c>
      <c r="L858" s="46" t="str">
        <f t="shared" si="83"/>
        <v/>
      </c>
      <c r="M858" t="str" cm="1">
        <f t="array" ref="M858">IF(L858="","",_xlfn.IFS(
  AND(L858&gt;=TIME(9,0,0), L858&lt;TIME(16,0,0)),"Morning",
  AND(L858&gt;=TIME(16,0,0), L858&lt;TIME(23,59,0)),"Evening",
  L858&gt;=TIME(23,59,0),"Night",
  L858&lt;TIME(9,0,0),"Night"
))</f>
        <v/>
      </c>
      <c r="O858" t="str">
        <f t="shared" si="80"/>
        <v/>
      </c>
    </row>
    <row r="859" spans="1:15" x14ac:dyDescent="0.25">
      <c r="A859" s="49"/>
      <c r="B859" s="50"/>
      <c r="G859" t="str">
        <f t="shared" si="78"/>
        <v/>
      </c>
      <c r="H859" s="13" t="str">
        <f t="shared" si="81"/>
        <v/>
      </c>
      <c r="I859" t="str">
        <f>IFERROR(INDEX(Analysis!$D$116:$N$137, MATCH(B859, Analysis!$C$116:$C$137, 0), MATCH(C859, Analysis!$D$115:$N$115, 0)), "")</f>
        <v/>
      </c>
      <c r="J859" t="str">
        <f t="shared" si="82"/>
        <v/>
      </c>
      <c r="K859" s="28" t="str">
        <f t="shared" si="79"/>
        <v/>
      </c>
      <c r="L859" s="46" t="str">
        <f t="shared" si="83"/>
        <v/>
      </c>
      <c r="M859" t="str" cm="1">
        <f t="array" ref="M859">IF(L859="","",_xlfn.IFS(
  AND(L859&gt;=TIME(9,0,0), L859&lt;TIME(16,0,0)),"Morning",
  AND(L859&gt;=TIME(16,0,0), L859&lt;TIME(23,59,0)),"Evening",
  L859&gt;=TIME(23,59,0),"Night",
  L859&lt;TIME(9,0,0),"Night"
))</f>
        <v/>
      </c>
      <c r="O859" t="str">
        <f t="shared" si="80"/>
        <v/>
      </c>
    </row>
    <row r="860" spans="1:15" x14ac:dyDescent="0.25">
      <c r="A860" s="49"/>
      <c r="B860" s="50"/>
      <c r="G860" t="str">
        <f t="shared" si="78"/>
        <v/>
      </c>
      <c r="H860" s="13" t="str">
        <f t="shared" si="81"/>
        <v/>
      </c>
      <c r="I860" t="str">
        <f>IFERROR(INDEX(Analysis!$D$116:$N$137, MATCH(B860, Analysis!$C$116:$C$137, 0), MATCH(C860, Analysis!$D$115:$N$115, 0)), "")</f>
        <v/>
      </c>
      <c r="J860" t="str">
        <f t="shared" si="82"/>
        <v/>
      </c>
      <c r="K860" s="28" t="str">
        <f t="shared" si="79"/>
        <v/>
      </c>
      <c r="L860" s="46" t="str">
        <f t="shared" si="83"/>
        <v/>
      </c>
      <c r="M860" t="str" cm="1">
        <f t="array" ref="M860">IF(L860="","",_xlfn.IFS(
  AND(L860&gt;=TIME(9,0,0), L860&lt;TIME(16,0,0)),"Morning",
  AND(L860&gt;=TIME(16,0,0), L860&lt;TIME(23,59,0)),"Evening",
  L860&gt;=TIME(23,59,0),"Night",
  L860&lt;TIME(9,0,0),"Night"
))</f>
        <v/>
      </c>
      <c r="O860" t="str">
        <f t="shared" si="80"/>
        <v/>
      </c>
    </row>
    <row r="861" spans="1:15" x14ac:dyDescent="0.25">
      <c r="A861" s="49"/>
      <c r="B861" s="50"/>
      <c r="G861" t="str">
        <f t="shared" si="78"/>
        <v/>
      </c>
      <c r="H861" s="13" t="str">
        <f t="shared" si="81"/>
        <v/>
      </c>
      <c r="I861" t="str">
        <f>IFERROR(INDEX(Analysis!$D$116:$N$137, MATCH(B861, Analysis!$C$116:$C$137, 0), MATCH(C861, Analysis!$D$115:$N$115, 0)), "")</f>
        <v/>
      </c>
      <c r="J861" t="str">
        <f t="shared" si="82"/>
        <v/>
      </c>
      <c r="K861" s="28" t="str">
        <f t="shared" si="79"/>
        <v/>
      </c>
      <c r="L861" s="46" t="str">
        <f t="shared" si="83"/>
        <v/>
      </c>
      <c r="M861" t="str" cm="1">
        <f t="array" ref="M861">IF(L861="","",_xlfn.IFS(
  AND(L861&gt;=TIME(9,0,0), L861&lt;TIME(16,0,0)),"Morning",
  AND(L861&gt;=TIME(16,0,0), L861&lt;TIME(23,59,0)),"Evening",
  L861&gt;=TIME(23,59,0),"Night",
  L861&lt;TIME(9,0,0),"Night"
))</f>
        <v/>
      </c>
      <c r="O861" t="str">
        <f t="shared" si="80"/>
        <v/>
      </c>
    </row>
    <row r="862" spans="1:15" x14ac:dyDescent="0.25">
      <c r="A862" s="49"/>
      <c r="B862" s="50"/>
      <c r="G862" t="str">
        <f t="shared" si="78"/>
        <v/>
      </c>
      <c r="H862" s="13" t="str">
        <f t="shared" si="81"/>
        <v/>
      </c>
      <c r="I862" t="str">
        <f>IFERROR(INDEX(Analysis!$D$116:$N$137, MATCH(B862, Analysis!$C$116:$C$137, 0), MATCH(C862, Analysis!$D$115:$N$115, 0)), "")</f>
        <v/>
      </c>
      <c r="J862" t="str">
        <f t="shared" si="82"/>
        <v/>
      </c>
      <c r="K862" s="28" t="str">
        <f t="shared" si="79"/>
        <v/>
      </c>
      <c r="L862" s="46" t="str">
        <f t="shared" si="83"/>
        <v/>
      </c>
      <c r="M862" t="str" cm="1">
        <f t="array" ref="M862">IF(L862="","",_xlfn.IFS(
  AND(L862&gt;=TIME(9,0,0), L862&lt;TIME(16,0,0)),"Morning",
  AND(L862&gt;=TIME(16,0,0), L862&lt;TIME(23,59,0)),"Evening",
  L862&gt;=TIME(23,59,0),"Night",
  L862&lt;TIME(9,0,0),"Night"
))</f>
        <v/>
      </c>
      <c r="O862" t="str">
        <f t="shared" si="80"/>
        <v/>
      </c>
    </row>
    <row r="863" spans="1:15" x14ac:dyDescent="0.25">
      <c r="A863" s="49"/>
      <c r="B863" s="50"/>
      <c r="G863" t="str">
        <f t="shared" si="78"/>
        <v/>
      </c>
      <c r="H863" s="13" t="str">
        <f t="shared" si="81"/>
        <v/>
      </c>
      <c r="I863" t="str">
        <f>IFERROR(INDEX(Analysis!$D$116:$N$137, MATCH(B863, Analysis!$C$116:$C$137, 0), MATCH(C863, Analysis!$D$115:$N$115, 0)), "")</f>
        <v/>
      </c>
      <c r="J863" t="str">
        <f t="shared" si="82"/>
        <v/>
      </c>
      <c r="K863" s="28" t="str">
        <f t="shared" si="79"/>
        <v/>
      </c>
      <c r="L863" s="46" t="str">
        <f t="shared" si="83"/>
        <v/>
      </c>
      <c r="M863" t="str" cm="1">
        <f t="array" ref="M863">IF(L863="","",_xlfn.IFS(
  AND(L863&gt;=TIME(9,0,0), L863&lt;TIME(16,0,0)),"Morning",
  AND(L863&gt;=TIME(16,0,0), L863&lt;TIME(23,59,0)),"Evening",
  L863&gt;=TIME(23,59,0),"Night",
  L863&lt;TIME(9,0,0),"Night"
))</f>
        <v/>
      </c>
      <c r="O863" t="str">
        <f t="shared" si="80"/>
        <v/>
      </c>
    </row>
    <row r="864" spans="1:15" x14ac:dyDescent="0.25">
      <c r="A864" s="49"/>
      <c r="B864" s="50"/>
      <c r="G864" t="str">
        <f t="shared" si="78"/>
        <v/>
      </c>
      <c r="H864" s="13" t="str">
        <f t="shared" si="81"/>
        <v/>
      </c>
      <c r="I864" t="str">
        <f>IFERROR(INDEX(Analysis!$D$116:$N$137, MATCH(B864, Analysis!$C$116:$C$137, 0), MATCH(C864, Analysis!$D$115:$N$115, 0)), "")</f>
        <v/>
      </c>
      <c r="J864" t="str">
        <f t="shared" si="82"/>
        <v/>
      </c>
      <c r="K864" s="28" t="str">
        <f t="shared" si="79"/>
        <v/>
      </c>
      <c r="L864" s="46" t="str">
        <f t="shared" si="83"/>
        <v/>
      </c>
      <c r="M864" t="str" cm="1">
        <f t="array" ref="M864">IF(L864="","",_xlfn.IFS(
  AND(L864&gt;=TIME(9,0,0), L864&lt;TIME(16,0,0)),"Morning",
  AND(L864&gt;=TIME(16,0,0), L864&lt;TIME(23,59,0)),"Evening",
  L864&gt;=TIME(23,59,0),"Night",
  L864&lt;TIME(9,0,0),"Night"
))</f>
        <v/>
      </c>
      <c r="O864" t="str">
        <f t="shared" si="80"/>
        <v/>
      </c>
    </row>
    <row r="865" spans="1:15" x14ac:dyDescent="0.25">
      <c r="A865" s="49"/>
      <c r="B865" s="50"/>
      <c r="G865" t="str">
        <f t="shared" si="78"/>
        <v/>
      </c>
      <c r="H865" s="13" t="str">
        <f t="shared" si="81"/>
        <v/>
      </c>
      <c r="I865" t="str">
        <f>IFERROR(INDEX(Analysis!$D$116:$N$137, MATCH(B865, Analysis!$C$116:$C$137, 0), MATCH(C865, Analysis!$D$115:$N$115, 0)), "")</f>
        <v/>
      </c>
      <c r="J865" t="str">
        <f t="shared" si="82"/>
        <v/>
      </c>
      <c r="K865" s="28" t="str">
        <f t="shared" si="79"/>
        <v/>
      </c>
      <c r="L865" s="46" t="str">
        <f t="shared" si="83"/>
        <v/>
      </c>
      <c r="M865" t="str" cm="1">
        <f t="array" ref="M865">IF(L865="","",_xlfn.IFS(
  AND(L865&gt;=TIME(9,0,0), L865&lt;TIME(16,0,0)),"Morning",
  AND(L865&gt;=TIME(16,0,0), L865&lt;TIME(23,59,0)),"Evening",
  L865&gt;=TIME(23,59,0),"Night",
  L865&lt;TIME(9,0,0),"Night"
))</f>
        <v/>
      </c>
      <c r="O865" t="str">
        <f t="shared" si="80"/>
        <v/>
      </c>
    </row>
    <row r="866" spans="1:15" x14ac:dyDescent="0.25">
      <c r="A866" s="49"/>
      <c r="B866" s="50"/>
      <c r="G866" t="str">
        <f t="shared" si="78"/>
        <v/>
      </c>
      <c r="H866" s="13" t="str">
        <f t="shared" si="81"/>
        <v/>
      </c>
      <c r="I866" t="str">
        <f>IFERROR(INDEX(Analysis!$D$116:$N$137, MATCH(B866, Analysis!$C$116:$C$137, 0), MATCH(C866, Analysis!$D$115:$N$115, 0)), "")</f>
        <v/>
      </c>
      <c r="J866" t="str">
        <f t="shared" si="82"/>
        <v/>
      </c>
      <c r="K866" s="28" t="str">
        <f t="shared" si="79"/>
        <v/>
      </c>
      <c r="L866" s="46" t="str">
        <f t="shared" si="83"/>
        <v/>
      </c>
      <c r="M866" t="str" cm="1">
        <f t="array" ref="M866">IF(L866="","",_xlfn.IFS(
  AND(L866&gt;=TIME(9,0,0), L866&lt;TIME(16,0,0)),"Morning",
  AND(L866&gt;=TIME(16,0,0), L866&lt;TIME(23,59,0)),"Evening",
  L866&gt;=TIME(23,59,0),"Night",
  L866&lt;TIME(9,0,0),"Night"
))</f>
        <v/>
      </c>
      <c r="O866" t="str">
        <f t="shared" si="80"/>
        <v/>
      </c>
    </row>
    <row r="867" spans="1:15" x14ac:dyDescent="0.25">
      <c r="A867" s="49"/>
      <c r="B867" s="50"/>
      <c r="G867" t="str">
        <f t="shared" si="78"/>
        <v/>
      </c>
      <c r="H867" s="13" t="str">
        <f t="shared" si="81"/>
        <v/>
      </c>
      <c r="I867" t="str">
        <f>IFERROR(INDEX(Analysis!$D$116:$N$137, MATCH(B867, Analysis!$C$116:$C$137, 0), MATCH(C867, Analysis!$D$115:$N$115, 0)), "")</f>
        <v/>
      </c>
      <c r="J867" t="str">
        <f t="shared" si="82"/>
        <v/>
      </c>
      <c r="K867" s="28" t="str">
        <f t="shared" si="79"/>
        <v/>
      </c>
      <c r="L867" s="46" t="str">
        <f t="shared" si="83"/>
        <v/>
      </c>
      <c r="M867" t="str" cm="1">
        <f t="array" ref="M867">IF(L867="","",_xlfn.IFS(
  AND(L867&gt;=TIME(9,0,0), L867&lt;TIME(16,0,0)),"Morning",
  AND(L867&gt;=TIME(16,0,0), L867&lt;TIME(23,59,0)),"Evening",
  L867&gt;=TIME(23,59,0),"Night",
  L867&lt;TIME(9,0,0),"Night"
))</f>
        <v/>
      </c>
      <c r="O867" t="str">
        <f t="shared" si="80"/>
        <v/>
      </c>
    </row>
    <row r="868" spans="1:15" x14ac:dyDescent="0.25">
      <c r="A868" s="49"/>
      <c r="B868" s="50"/>
      <c r="G868" t="str">
        <f t="shared" si="78"/>
        <v/>
      </c>
      <c r="H868" s="13" t="str">
        <f t="shared" si="81"/>
        <v/>
      </c>
      <c r="I868" t="str">
        <f>IFERROR(INDEX(Analysis!$D$116:$N$137, MATCH(B868, Analysis!$C$116:$C$137, 0), MATCH(C868, Analysis!$D$115:$N$115, 0)), "")</f>
        <v/>
      </c>
      <c r="J868" t="str">
        <f t="shared" si="82"/>
        <v/>
      </c>
      <c r="K868" s="28" t="str">
        <f t="shared" si="79"/>
        <v/>
      </c>
      <c r="L868" s="46" t="str">
        <f t="shared" si="83"/>
        <v/>
      </c>
      <c r="M868" t="str" cm="1">
        <f t="array" ref="M868">IF(L868="","",_xlfn.IFS(
  AND(L868&gt;=TIME(9,0,0), L868&lt;TIME(16,0,0)),"Morning",
  AND(L868&gt;=TIME(16,0,0), L868&lt;TIME(23,59,0)),"Evening",
  L868&gt;=TIME(23,59,0),"Night",
  L868&lt;TIME(9,0,0),"Night"
))</f>
        <v/>
      </c>
      <c r="O868" t="str">
        <f t="shared" si="80"/>
        <v/>
      </c>
    </row>
    <row r="869" spans="1:15" x14ac:dyDescent="0.25">
      <c r="A869" s="49"/>
      <c r="B869" s="50"/>
      <c r="G869" t="str">
        <f t="shared" si="78"/>
        <v/>
      </c>
      <c r="H869" s="13" t="str">
        <f t="shared" si="81"/>
        <v/>
      </c>
      <c r="I869" t="str">
        <f>IFERROR(INDEX(Analysis!$D$116:$N$137, MATCH(B869, Analysis!$C$116:$C$137, 0), MATCH(C869, Analysis!$D$115:$N$115, 0)), "")</f>
        <v/>
      </c>
      <c r="J869" t="str">
        <f t="shared" si="82"/>
        <v/>
      </c>
      <c r="K869" s="28" t="str">
        <f t="shared" si="79"/>
        <v/>
      </c>
      <c r="L869" s="46" t="str">
        <f t="shared" si="83"/>
        <v/>
      </c>
      <c r="M869" t="str" cm="1">
        <f t="array" ref="M869">IF(L869="","",_xlfn.IFS(
  AND(L869&gt;=TIME(9,0,0), L869&lt;TIME(16,0,0)),"Morning",
  AND(L869&gt;=TIME(16,0,0), L869&lt;TIME(23,59,0)),"Evening",
  L869&gt;=TIME(23,59,0),"Night",
  L869&lt;TIME(9,0,0),"Night"
))</f>
        <v/>
      </c>
      <c r="O869" t="str">
        <f t="shared" si="80"/>
        <v/>
      </c>
    </row>
    <row r="870" spans="1:15" x14ac:dyDescent="0.25">
      <c r="A870" s="49"/>
      <c r="B870" s="50"/>
      <c r="G870" t="str">
        <f t="shared" si="78"/>
        <v/>
      </c>
      <c r="H870" s="13" t="str">
        <f t="shared" si="81"/>
        <v/>
      </c>
      <c r="I870" t="str">
        <f>IFERROR(INDEX(Analysis!$D$116:$N$137, MATCH(B870, Analysis!$C$116:$C$137, 0), MATCH(C870, Analysis!$D$115:$N$115, 0)), "")</f>
        <v/>
      </c>
      <c r="J870" t="str">
        <f t="shared" si="82"/>
        <v/>
      </c>
      <c r="K870" s="28" t="str">
        <f t="shared" si="79"/>
        <v/>
      </c>
      <c r="L870" s="46" t="str">
        <f t="shared" si="83"/>
        <v/>
      </c>
      <c r="M870" t="str" cm="1">
        <f t="array" ref="M870">IF(L870="","",_xlfn.IFS(
  AND(L870&gt;=TIME(9,0,0), L870&lt;TIME(16,0,0)),"Morning",
  AND(L870&gt;=TIME(16,0,0), L870&lt;TIME(23,59,0)),"Evening",
  L870&gt;=TIME(23,59,0),"Night",
  L870&lt;TIME(9,0,0),"Night"
))</f>
        <v/>
      </c>
      <c r="O870" t="str">
        <f t="shared" si="80"/>
        <v/>
      </c>
    </row>
    <row r="871" spans="1:15" x14ac:dyDescent="0.25">
      <c r="A871" s="49"/>
      <c r="B871" s="50"/>
      <c r="G871" t="str">
        <f t="shared" si="78"/>
        <v/>
      </c>
      <c r="H871" s="13" t="str">
        <f t="shared" si="81"/>
        <v/>
      </c>
      <c r="I871" t="str">
        <f>IFERROR(INDEX(Analysis!$D$116:$N$137, MATCH(B871, Analysis!$C$116:$C$137, 0), MATCH(C871, Analysis!$D$115:$N$115, 0)), "")</f>
        <v/>
      </c>
      <c r="J871" t="str">
        <f t="shared" si="82"/>
        <v/>
      </c>
      <c r="K871" s="28" t="str">
        <f t="shared" si="79"/>
        <v/>
      </c>
      <c r="L871" s="46" t="str">
        <f t="shared" si="83"/>
        <v/>
      </c>
      <c r="M871" t="str" cm="1">
        <f t="array" ref="M871">IF(L871="","",_xlfn.IFS(
  AND(L871&gt;=TIME(9,0,0), L871&lt;TIME(16,0,0)),"Morning",
  AND(L871&gt;=TIME(16,0,0), L871&lt;TIME(23,59,0)),"Evening",
  L871&gt;=TIME(23,59,0),"Night",
  L871&lt;TIME(9,0,0),"Night"
))</f>
        <v/>
      </c>
      <c r="O871" t="str">
        <f t="shared" si="80"/>
        <v/>
      </c>
    </row>
    <row r="872" spans="1:15" x14ac:dyDescent="0.25">
      <c r="A872" s="49"/>
      <c r="B872" s="50"/>
      <c r="G872" t="str">
        <f t="shared" si="78"/>
        <v/>
      </c>
      <c r="H872" s="13" t="str">
        <f t="shared" si="81"/>
        <v/>
      </c>
      <c r="I872" t="str">
        <f>IFERROR(INDEX(Analysis!$D$116:$N$137, MATCH(B872, Analysis!$C$116:$C$137, 0), MATCH(C872, Analysis!$D$115:$N$115, 0)), "")</f>
        <v/>
      </c>
      <c r="J872" t="str">
        <f t="shared" si="82"/>
        <v/>
      </c>
      <c r="K872" s="28" t="str">
        <f t="shared" si="79"/>
        <v/>
      </c>
      <c r="L872" s="46" t="str">
        <f t="shared" si="83"/>
        <v/>
      </c>
      <c r="M872" t="str" cm="1">
        <f t="array" ref="M872">IF(L872="","",_xlfn.IFS(
  AND(L872&gt;=TIME(9,0,0), L872&lt;TIME(16,0,0)),"Morning",
  AND(L872&gt;=TIME(16,0,0), L872&lt;TIME(23,59,0)),"Evening",
  L872&gt;=TIME(23,59,0),"Night",
  L872&lt;TIME(9,0,0),"Night"
))</f>
        <v/>
      </c>
      <c r="O872" t="str">
        <f t="shared" si="80"/>
        <v/>
      </c>
    </row>
    <row r="873" spans="1:15" x14ac:dyDescent="0.25">
      <c r="A873" s="49"/>
      <c r="B873" s="50"/>
      <c r="G873" t="str">
        <f t="shared" si="78"/>
        <v/>
      </c>
      <c r="H873" s="13" t="str">
        <f t="shared" si="81"/>
        <v/>
      </c>
      <c r="I873" t="str">
        <f>IFERROR(INDEX(Analysis!$D$116:$N$137, MATCH(B873, Analysis!$C$116:$C$137, 0), MATCH(C873, Analysis!$D$115:$N$115, 0)), "")</f>
        <v/>
      </c>
      <c r="J873" t="str">
        <f t="shared" si="82"/>
        <v/>
      </c>
      <c r="K873" s="28" t="str">
        <f t="shared" si="79"/>
        <v/>
      </c>
      <c r="L873" s="46" t="str">
        <f t="shared" si="83"/>
        <v/>
      </c>
      <c r="M873" t="str" cm="1">
        <f t="array" ref="M873">IF(L873="","",_xlfn.IFS(
  AND(L873&gt;=TIME(9,0,0), L873&lt;TIME(16,0,0)),"Morning",
  AND(L873&gt;=TIME(16,0,0), L873&lt;TIME(23,59,0)),"Evening",
  L873&gt;=TIME(23,59,0),"Night",
  L873&lt;TIME(9,0,0),"Night"
))</f>
        <v/>
      </c>
      <c r="O873" t="str">
        <f t="shared" si="80"/>
        <v/>
      </c>
    </row>
    <row r="874" spans="1:15" x14ac:dyDescent="0.25">
      <c r="A874" s="49"/>
      <c r="B874" s="50"/>
      <c r="G874" t="str">
        <f t="shared" si="78"/>
        <v/>
      </c>
      <c r="H874" s="13" t="str">
        <f t="shared" si="81"/>
        <v/>
      </c>
      <c r="I874" t="str">
        <f>IFERROR(INDEX(Analysis!$D$116:$N$137, MATCH(B874, Analysis!$C$116:$C$137, 0), MATCH(C874, Analysis!$D$115:$N$115, 0)), "")</f>
        <v/>
      </c>
      <c r="J874" t="str">
        <f t="shared" si="82"/>
        <v/>
      </c>
      <c r="K874" s="28" t="str">
        <f t="shared" si="79"/>
        <v/>
      </c>
      <c r="L874" s="46" t="str">
        <f t="shared" si="83"/>
        <v/>
      </c>
      <c r="M874" t="str" cm="1">
        <f t="array" ref="M874">IF(L874="","",_xlfn.IFS(
  AND(L874&gt;=TIME(9,0,0), L874&lt;TIME(16,0,0)),"Morning",
  AND(L874&gt;=TIME(16,0,0), L874&lt;TIME(23,59,0)),"Evening",
  L874&gt;=TIME(23,59,0),"Night",
  L874&lt;TIME(9,0,0),"Night"
))</f>
        <v/>
      </c>
      <c r="O874" t="str">
        <f t="shared" si="80"/>
        <v/>
      </c>
    </row>
    <row r="875" spans="1:15" x14ac:dyDescent="0.25">
      <c r="A875" s="49"/>
      <c r="B875" s="50"/>
      <c r="G875" t="str">
        <f t="shared" si="78"/>
        <v/>
      </c>
      <c r="H875" s="13" t="str">
        <f t="shared" si="81"/>
        <v/>
      </c>
      <c r="I875" t="str">
        <f>IFERROR(INDEX(Analysis!$D$116:$N$137, MATCH(B875, Analysis!$C$116:$C$137, 0), MATCH(C875, Analysis!$D$115:$N$115, 0)), "")</f>
        <v/>
      </c>
      <c r="J875" t="str">
        <f t="shared" si="82"/>
        <v/>
      </c>
      <c r="K875" s="28" t="str">
        <f t="shared" si="79"/>
        <v/>
      </c>
      <c r="L875" s="46" t="str">
        <f t="shared" si="83"/>
        <v/>
      </c>
      <c r="M875" t="str" cm="1">
        <f t="array" ref="M875">IF(L875="","",_xlfn.IFS(
  AND(L875&gt;=TIME(9,0,0), L875&lt;TIME(16,0,0)),"Morning",
  AND(L875&gt;=TIME(16,0,0), L875&lt;TIME(23,59,0)),"Evening",
  L875&gt;=TIME(23,59,0),"Night",
  L875&lt;TIME(9,0,0),"Night"
))</f>
        <v/>
      </c>
      <c r="O875" t="str">
        <f t="shared" si="80"/>
        <v/>
      </c>
    </row>
    <row r="876" spans="1:15" x14ac:dyDescent="0.25">
      <c r="A876" s="49"/>
      <c r="B876" s="50"/>
      <c r="G876" t="str">
        <f t="shared" si="78"/>
        <v/>
      </c>
      <c r="H876" s="13" t="str">
        <f t="shared" si="81"/>
        <v/>
      </c>
      <c r="I876" t="str">
        <f>IFERROR(INDEX(Analysis!$D$116:$N$137, MATCH(B876, Analysis!$C$116:$C$137, 0), MATCH(C876, Analysis!$D$115:$N$115, 0)), "")</f>
        <v/>
      </c>
      <c r="J876" t="str">
        <f t="shared" si="82"/>
        <v/>
      </c>
      <c r="K876" s="28" t="str">
        <f t="shared" si="79"/>
        <v/>
      </c>
      <c r="L876" s="46" t="str">
        <f t="shared" si="83"/>
        <v/>
      </c>
      <c r="M876" t="str" cm="1">
        <f t="array" ref="M876">IF(L876="","",_xlfn.IFS(
  AND(L876&gt;=TIME(9,0,0), L876&lt;TIME(16,0,0)),"Morning",
  AND(L876&gt;=TIME(16,0,0), L876&lt;TIME(23,59,0)),"Evening",
  L876&gt;=TIME(23,59,0),"Night",
  L876&lt;TIME(9,0,0),"Night"
))</f>
        <v/>
      </c>
      <c r="O876" t="str">
        <f t="shared" si="80"/>
        <v/>
      </c>
    </row>
    <row r="877" spans="1:15" x14ac:dyDescent="0.25">
      <c r="A877" s="49"/>
      <c r="B877" s="50"/>
      <c r="G877" t="str">
        <f t="shared" si="78"/>
        <v/>
      </c>
      <c r="H877" s="13" t="str">
        <f t="shared" si="81"/>
        <v/>
      </c>
      <c r="I877" t="str">
        <f>IFERROR(INDEX(Analysis!$D$116:$N$137, MATCH(B877, Analysis!$C$116:$C$137, 0), MATCH(C877, Analysis!$D$115:$N$115, 0)), "")</f>
        <v/>
      </c>
      <c r="J877" t="str">
        <f t="shared" si="82"/>
        <v/>
      </c>
      <c r="K877" s="28" t="str">
        <f t="shared" si="79"/>
        <v/>
      </c>
      <c r="L877" s="46" t="str">
        <f t="shared" si="83"/>
        <v/>
      </c>
      <c r="M877" t="str" cm="1">
        <f t="array" ref="M877">IF(L877="","",_xlfn.IFS(
  AND(L877&gt;=TIME(9,0,0), L877&lt;TIME(16,0,0)),"Morning",
  AND(L877&gt;=TIME(16,0,0), L877&lt;TIME(23,59,0)),"Evening",
  L877&gt;=TIME(23,59,0),"Night",
  L877&lt;TIME(9,0,0),"Night"
))</f>
        <v/>
      </c>
      <c r="O877" t="str">
        <f t="shared" si="80"/>
        <v/>
      </c>
    </row>
    <row r="878" spans="1:15" x14ac:dyDescent="0.25">
      <c r="A878" s="49"/>
      <c r="B878" s="50"/>
      <c r="G878" t="str">
        <f t="shared" si="78"/>
        <v/>
      </c>
      <c r="H878" s="13" t="str">
        <f t="shared" si="81"/>
        <v/>
      </c>
      <c r="I878" t="str">
        <f>IFERROR(INDEX(Analysis!$D$116:$N$137, MATCH(B878, Analysis!$C$116:$C$137, 0), MATCH(C878, Analysis!$D$115:$N$115, 0)), "")</f>
        <v/>
      </c>
      <c r="J878" t="str">
        <f t="shared" si="82"/>
        <v/>
      </c>
      <c r="K878" s="28" t="str">
        <f t="shared" si="79"/>
        <v/>
      </c>
      <c r="L878" s="46" t="str">
        <f t="shared" si="83"/>
        <v/>
      </c>
      <c r="M878" t="str" cm="1">
        <f t="array" ref="M878">IF(L878="","",_xlfn.IFS(
  AND(L878&gt;=TIME(9,0,0), L878&lt;TIME(16,0,0)),"Morning",
  AND(L878&gt;=TIME(16,0,0), L878&lt;TIME(23,59,0)),"Evening",
  L878&gt;=TIME(23,59,0),"Night",
  L878&lt;TIME(9,0,0),"Night"
))</f>
        <v/>
      </c>
      <c r="O878" t="str">
        <f t="shared" si="80"/>
        <v/>
      </c>
    </row>
    <row r="879" spans="1:15" x14ac:dyDescent="0.25">
      <c r="A879" s="49"/>
      <c r="B879" s="50"/>
      <c r="G879" t="str">
        <f t="shared" si="78"/>
        <v/>
      </c>
      <c r="H879" s="13" t="str">
        <f t="shared" si="81"/>
        <v/>
      </c>
      <c r="I879" t="str">
        <f>IFERROR(INDEX(Analysis!$D$116:$N$137, MATCH(B879, Analysis!$C$116:$C$137, 0), MATCH(C879, Analysis!$D$115:$N$115, 0)), "")</f>
        <v/>
      </c>
      <c r="J879" t="str">
        <f t="shared" si="82"/>
        <v/>
      </c>
      <c r="K879" s="28" t="str">
        <f t="shared" si="79"/>
        <v/>
      </c>
      <c r="L879" s="46" t="str">
        <f t="shared" si="83"/>
        <v/>
      </c>
      <c r="M879" t="str" cm="1">
        <f t="array" ref="M879">IF(L879="","",_xlfn.IFS(
  AND(L879&gt;=TIME(9,0,0), L879&lt;TIME(16,0,0)),"Morning",
  AND(L879&gt;=TIME(16,0,0), L879&lt;TIME(23,59,0)),"Evening",
  L879&gt;=TIME(23,59,0),"Night",
  L879&lt;TIME(9,0,0),"Night"
))</f>
        <v/>
      </c>
      <c r="O879" t="str">
        <f t="shared" si="80"/>
        <v/>
      </c>
    </row>
    <row r="880" spans="1:15" x14ac:dyDescent="0.25">
      <c r="A880" s="49"/>
      <c r="B880" s="50"/>
      <c r="G880" t="str">
        <f t="shared" si="78"/>
        <v/>
      </c>
      <c r="H880" s="13" t="str">
        <f t="shared" si="81"/>
        <v/>
      </c>
      <c r="I880" t="str">
        <f>IFERROR(INDEX(Analysis!$D$116:$N$137, MATCH(B880, Analysis!$C$116:$C$137, 0), MATCH(C880, Analysis!$D$115:$N$115, 0)), "")</f>
        <v/>
      </c>
      <c r="J880" t="str">
        <f t="shared" si="82"/>
        <v/>
      </c>
      <c r="K880" s="28" t="str">
        <f t="shared" si="79"/>
        <v/>
      </c>
      <c r="L880" s="46" t="str">
        <f t="shared" si="83"/>
        <v/>
      </c>
      <c r="M880" t="str" cm="1">
        <f t="array" ref="M880">IF(L880="","",_xlfn.IFS(
  AND(L880&gt;=TIME(9,0,0), L880&lt;TIME(16,0,0)),"Morning",
  AND(L880&gt;=TIME(16,0,0), L880&lt;TIME(23,59,0)),"Evening",
  L880&gt;=TIME(23,59,0),"Night",
  L880&lt;TIME(9,0,0),"Night"
))</f>
        <v/>
      </c>
      <c r="O880" t="str">
        <f t="shared" si="80"/>
        <v/>
      </c>
    </row>
    <row r="881" spans="1:15" x14ac:dyDescent="0.25">
      <c r="A881" s="49"/>
      <c r="B881" s="50"/>
      <c r="G881" t="str">
        <f t="shared" si="78"/>
        <v/>
      </c>
      <c r="H881" s="13" t="str">
        <f t="shared" si="81"/>
        <v/>
      </c>
      <c r="I881" t="str">
        <f>IFERROR(INDEX(Analysis!$D$116:$N$137, MATCH(B881, Analysis!$C$116:$C$137, 0), MATCH(C881, Analysis!$D$115:$N$115, 0)), "")</f>
        <v/>
      </c>
      <c r="J881" t="str">
        <f t="shared" si="82"/>
        <v/>
      </c>
      <c r="K881" s="28" t="str">
        <f t="shared" si="79"/>
        <v/>
      </c>
      <c r="L881" s="46" t="str">
        <f t="shared" si="83"/>
        <v/>
      </c>
      <c r="M881" t="str" cm="1">
        <f t="array" ref="M881">IF(L881="","",_xlfn.IFS(
  AND(L881&gt;=TIME(9,0,0), L881&lt;TIME(16,0,0)),"Morning",
  AND(L881&gt;=TIME(16,0,0), L881&lt;TIME(23,59,0)),"Evening",
  L881&gt;=TIME(23,59,0),"Night",
  L881&lt;TIME(9,0,0),"Night"
))</f>
        <v/>
      </c>
      <c r="O881" t="str">
        <f t="shared" si="80"/>
        <v/>
      </c>
    </row>
    <row r="882" spans="1:15" x14ac:dyDescent="0.25">
      <c r="A882" s="49"/>
      <c r="B882" s="50"/>
      <c r="G882" t="str">
        <f t="shared" si="78"/>
        <v/>
      </c>
      <c r="H882" s="13" t="str">
        <f t="shared" si="81"/>
        <v/>
      </c>
      <c r="I882" t="str">
        <f>IFERROR(INDEX(Analysis!$D$116:$N$137, MATCH(B882, Analysis!$C$116:$C$137, 0), MATCH(C882, Analysis!$D$115:$N$115, 0)), "")</f>
        <v/>
      </c>
      <c r="J882" t="str">
        <f t="shared" si="82"/>
        <v/>
      </c>
      <c r="K882" s="28" t="str">
        <f t="shared" si="79"/>
        <v/>
      </c>
      <c r="L882" s="46" t="str">
        <f t="shared" si="83"/>
        <v/>
      </c>
      <c r="M882" t="str" cm="1">
        <f t="array" ref="M882">IF(L882="","",_xlfn.IFS(
  AND(L882&gt;=TIME(9,0,0), L882&lt;TIME(16,0,0)),"Morning",
  AND(L882&gt;=TIME(16,0,0), L882&lt;TIME(23,59,0)),"Evening",
  L882&gt;=TIME(23,59,0),"Night",
  L882&lt;TIME(9,0,0),"Night"
))</f>
        <v/>
      </c>
      <c r="O882" t="str">
        <f t="shared" si="80"/>
        <v/>
      </c>
    </row>
    <row r="883" spans="1:15" x14ac:dyDescent="0.25">
      <c r="A883" s="49"/>
      <c r="B883" s="50"/>
      <c r="G883" t="str">
        <f t="shared" si="78"/>
        <v/>
      </c>
      <c r="H883" s="13" t="str">
        <f t="shared" si="81"/>
        <v/>
      </c>
      <c r="I883" t="str">
        <f>IFERROR(INDEX(Analysis!$D$116:$N$137, MATCH(B883, Analysis!$C$116:$C$137, 0), MATCH(C883, Analysis!$D$115:$N$115, 0)), "")</f>
        <v/>
      </c>
      <c r="J883" t="str">
        <f t="shared" si="82"/>
        <v/>
      </c>
      <c r="K883" s="28" t="str">
        <f t="shared" si="79"/>
        <v/>
      </c>
      <c r="L883" s="46" t="str">
        <f t="shared" si="83"/>
        <v/>
      </c>
      <c r="M883" t="str" cm="1">
        <f t="array" ref="M883">IF(L883="","",_xlfn.IFS(
  AND(L883&gt;=TIME(9,0,0), L883&lt;TIME(16,0,0)),"Morning",
  AND(L883&gt;=TIME(16,0,0), L883&lt;TIME(23,59,0)),"Evening",
  L883&gt;=TIME(23,59,0),"Night",
  L883&lt;TIME(9,0,0),"Night"
))</f>
        <v/>
      </c>
      <c r="O883" t="str">
        <f t="shared" si="80"/>
        <v/>
      </c>
    </row>
    <row r="884" spans="1:15" x14ac:dyDescent="0.25">
      <c r="A884" s="49"/>
      <c r="B884" s="50"/>
      <c r="G884" t="str">
        <f t="shared" si="78"/>
        <v/>
      </c>
      <c r="H884" s="13" t="str">
        <f t="shared" si="81"/>
        <v/>
      </c>
      <c r="I884" t="str">
        <f>IFERROR(INDEX(Analysis!$D$116:$N$137, MATCH(B884, Analysis!$C$116:$C$137, 0), MATCH(C884, Analysis!$D$115:$N$115, 0)), "")</f>
        <v/>
      </c>
      <c r="J884" t="str">
        <f t="shared" si="82"/>
        <v/>
      </c>
      <c r="K884" s="28" t="str">
        <f t="shared" si="79"/>
        <v/>
      </c>
      <c r="L884" s="46" t="str">
        <f t="shared" si="83"/>
        <v/>
      </c>
      <c r="M884" t="str" cm="1">
        <f t="array" ref="M884">IF(L884="","",_xlfn.IFS(
  AND(L884&gt;=TIME(9,0,0), L884&lt;TIME(16,0,0)),"Morning",
  AND(L884&gt;=TIME(16,0,0), L884&lt;TIME(23,59,0)),"Evening",
  L884&gt;=TIME(23,59,0),"Night",
  L884&lt;TIME(9,0,0),"Night"
))</f>
        <v/>
      </c>
      <c r="O884" t="str">
        <f t="shared" si="80"/>
        <v/>
      </c>
    </row>
    <row r="885" spans="1:15" x14ac:dyDescent="0.25">
      <c r="A885" s="49"/>
      <c r="B885" s="50"/>
      <c r="G885" t="str">
        <f t="shared" si="78"/>
        <v/>
      </c>
      <c r="H885" s="13" t="str">
        <f t="shared" si="81"/>
        <v/>
      </c>
      <c r="I885" t="str">
        <f>IFERROR(INDEX(Analysis!$D$116:$N$137, MATCH(B885, Analysis!$C$116:$C$137, 0), MATCH(C885, Analysis!$D$115:$N$115, 0)), "")</f>
        <v/>
      </c>
      <c r="J885" t="str">
        <f t="shared" si="82"/>
        <v/>
      </c>
      <c r="K885" s="28" t="str">
        <f t="shared" si="79"/>
        <v/>
      </c>
      <c r="L885" s="46" t="str">
        <f t="shared" si="83"/>
        <v/>
      </c>
      <c r="M885" t="str" cm="1">
        <f t="array" ref="M885">IF(L885="","",_xlfn.IFS(
  AND(L885&gt;=TIME(9,0,0), L885&lt;TIME(16,0,0)),"Morning",
  AND(L885&gt;=TIME(16,0,0), L885&lt;TIME(23,59,0)),"Evening",
  L885&gt;=TIME(23,59,0),"Night",
  L885&lt;TIME(9,0,0),"Night"
))</f>
        <v/>
      </c>
      <c r="O885" t="str">
        <f t="shared" si="80"/>
        <v/>
      </c>
    </row>
    <row r="886" spans="1:15" x14ac:dyDescent="0.25">
      <c r="A886" s="49"/>
      <c r="B886" s="50"/>
      <c r="G886" t="str">
        <f t="shared" si="78"/>
        <v/>
      </c>
      <c r="H886" s="13" t="str">
        <f t="shared" si="81"/>
        <v/>
      </c>
      <c r="I886" t="str">
        <f>IFERROR(INDEX(Analysis!$D$116:$N$137, MATCH(B886, Analysis!$C$116:$C$137, 0), MATCH(C886, Analysis!$D$115:$N$115, 0)), "")</f>
        <v/>
      </c>
      <c r="J886" t="str">
        <f t="shared" si="82"/>
        <v/>
      </c>
      <c r="K886" s="28" t="str">
        <f t="shared" si="79"/>
        <v/>
      </c>
      <c r="L886" s="46" t="str">
        <f t="shared" si="83"/>
        <v/>
      </c>
      <c r="M886" t="str" cm="1">
        <f t="array" ref="M886">IF(L886="","",_xlfn.IFS(
  AND(L886&gt;=TIME(9,0,0), L886&lt;TIME(16,0,0)),"Morning",
  AND(L886&gt;=TIME(16,0,0), L886&lt;TIME(23,59,0)),"Evening",
  L886&gt;=TIME(23,59,0),"Night",
  L886&lt;TIME(9,0,0),"Night"
))</f>
        <v/>
      </c>
      <c r="O886" t="str">
        <f t="shared" si="80"/>
        <v/>
      </c>
    </row>
    <row r="887" spans="1:15" x14ac:dyDescent="0.25">
      <c r="A887" s="49"/>
      <c r="B887" s="50"/>
      <c r="G887" t="str">
        <f t="shared" si="78"/>
        <v/>
      </c>
      <c r="H887" s="13" t="str">
        <f t="shared" si="81"/>
        <v/>
      </c>
      <c r="I887" t="str">
        <f>IFERROR(INDEX(Analysis!$D$116:$N$137, MATCH(B887, Analysis!$C$116:$C$137, 0), MATCH(C887, Analysis!$D$115:$N$115, 0)), "")</f>
        <v/>
      </c>
      <c r="J887" t="str">
        <f t="shared" si="82"/>
        <v/>
      </c>
      <c r="K887" s="28" t="str">
        <f t="shared" si="79"/>
        <v/>
      </c>
      <c r="L887" s="46" t="str">
        <f t="shared" si="83"/>
        <v/>
      </c>
      <c r="M887" t="str" cm="1">
        <f t="array" ref="M887">IF(L887="","",_xlfn.IFS(
  AND(L887&gt;=TIME(9,0,0), L887&lt;TIME(16,0,0)),"Morning",
  AND(L887&gt;=TIME(16,0,0), L887&lt;TIME(23,59,0)),"Evening",
  L887&gt;=TIME(23,59,0),"Night",
  L887&lt;TIME(9,0,0),"Night"
))</f>
        <v/>
      </c>
      <c r="O887" t="str">
        <f t="shared" si="80"/>
        <v/>
      </c>
    </row>
    <row r="888" spans="1:15" x14ac:dyDescent="0.25">
      <c r="A888" s="49"/>
      <c r="B888" s="50"/>
      <c r="G888" t="str">
        <f t="shared" si="78"/>
        <v/>
      </c>
      <c r="H888" s="13" t="str">
        <f t="shared" si="81"/>
        <v/>
      </c>
      <c r="I888" t="str">
        <f>IFERROR(INDEX(Analysis!$D$116:$N$137, MATCH(B888, Analysis!$C$116:$C$137, 0), MATCH(C888, Analysis!$D$115:$N$115, 0)), "")</f>
        <v/>
      </c>
      <c r="J888" t="str">
        <f t="shared" si="82"/>
        <v/>
      </c>
      <c r="K888" s="28" t="str">
        <f t="shared" si="79"/>
        <v/>
      </c>
      <c r="L888" s="46" t="str">
        <f t="shared" si="83"/>
        <v/>
      </c>
      <c r="M888" t="str" cm="1">
        <f t="array" ref="M888">IF(L888="","",_xlfn.IFS(
  AND(L888&gt;=TIME(9,0,0), L888&lt;TIME(16,0,0)),"Morning",
  AND(L888&gt;=TIME(16,0,0), L888&lt;TIME(23,59,0)),"Evening",
  L888&gt;=TIME(23,59,0),"Night",
  L888&lt;TIME(9,0,0),"Night"
))</f>
        <v/>
      </c>
      <c r="O888" t="str">
        <f t="shared" si="80"/>
        <v/>
      </c>
    </row>
    <row r="889" spans="1:15" x14ac:dyDescent="0.25">
      <c r="A889" s="49"/>
      <c r="B889" s="50"/>
      <c r="G889" t="str">
        <f t="shared" si="78"/>
        <v/>
      </c>
      <c r="H889" s="13" t="str">
        <f t="shared" si="81"/>
        <v/>
      </c>
      <c r="I889" t="str">
        <f>IFERROR(INDEX(Analysis!$D$116:$N$137, MATCH(B889, Analysis!$C$116:$C$137, 0), MATCH(C889, Analysis!$D$115:$N$115, 0)), "")</f>
        <v/>
      </c>
      <c r="J889" t="str">
        <f t="shared" si="82"/>
        <v/>
      </c>
      <c r="K889" s="28" t="str">
        <f t="shared" si="79"/>
        <v/>
      </c>
      <c r="L889" s="46" t="str">
        <f t="shared" si="83"/>
        <v/>
      </c>
      <c r="M889" t="str" cm="1">
        <f t="array" ref="M889">IF(L889="","",_xlfn.IFS(
  AND(L889&gt;=TIME(9,0,0), L889&lt;TIME(16,0,0)),"Morning",
  AND(L889&gt;=TIME(16,0,0), L889&lt;TIME(23,59,0)),"Evening",
  L889&gt;=TIME(23,59,0),"Night",
  L889&lt;TIME(9,0,0),"Night"
))</f>
        <v/>
      </c>
      <c r="O889" t="str">
        <f t="shared" si="80"/>
        <v/>
      </c>
    </row>
    <row r="890" spans="1:15" x14ac:dyDescent="0.25">
      <c r="A890" s="49"/>
      <c r="B890" s="50"/>
      <c r="G890" t="str">
        <f t="shared" si="78"/>
        <v/>
      </c>
      <c r="H890" s="13" t="str">
        <f t="shared" si="81"/>
        <v/>
      </c>
      <c r="I890" t="str">
        <f>IFERROR(INDEX(Analysis!$D$116:$N$137, MATCH(B890, Analysis!$C$116:$C$137, 0), MATCH(C890, Analysis!$D$115:$N$115, 0)), "")</f>
        <v/>
      </c>
      <c r="J890" t="str">
        <f t="shared" si="82"/>
        <v/>
      </c>
      <c r="K890" s="28" t="str">
        <f t="shared" si="79"/>
        <v/>
      </c>
      <c r="L890" s="46" t="str">
        <f t="shared" si="83"/>
        <v/>
      </c>
      <c r="M890" t="str" cm="1">
        <f t="array" ref="M890">IF(L890="","",_xlfn.IFS(
  AND(L890&gt;=TIME(9,0,0), L890&lt;TIME(16,0,0)),"Morning",
  AND(L890&gt;=TIME(16,0,0), L890&lt;TIME(23,59,0)),"Evening",
  L890&gt;=TIME(23,59,0),"Night",
  L890&lt;TIME(9,0,0),"Night"
))</f>
        <v/>
      </c>
      <c r="O890" t="str">
        <f t="shared" si="80"/>
        <v/>
      </c>
    </row>
    <row r="891" spans="1:15" x14ac:dyDescent="0.25">
      <c r="A891" s="49"/>
      <c r="B891" s="50"/>
      <c r="G891" t="str">
        <f t="shared" si="78"/>
        <v/>
      </c>
      <c r="H891" s="13" t="str">
        <f t="shared" si="81"/>
        <v/>
      </c>
      <c r="I891" t="str">
        <f>IFERROR(INDEX(Analysis!$D$116:$N$137, MATCH(B891, Analysis!$C$116:$C$137, 0), MATCH(C891, Analysis!$D$115:$N$115, 0)), "")</f>
        <v/>
      </c>
      <c r="J891" t="str">
        <f t="shared" si="82"/>
        <v/>
      </c>
      <c r="K891" s="28" t="str">
        <f t="shared" si="79"/>
        <v/>
      </c>
      <c r="L891" s="46" t="str">
        <f t="shared" si="83"/>
        <v/>
      </c>
      <c r="M891" t="str" cm="1">
        <f t="array" ref="M891">IF(L891="","",_xlfn.IFS(
  AND(L891&gt;=TIME(9,0,0), L891&lt;TIME(16,0,0)),"Morning",
  AND(L891&gt;=TIME(16,0,0), L891&lt;TIME(23,59,0)),"Evening",
  L891&gt;=TIME(23,59,0),"Night",
  L891&lt;TIME(9,0,0),"Night"
))</f>
        <v/>
      </c>
      <c r="O891" t="str">
        <f t="shared" si="80"/>
        <v/>
      </c>
    </row>
    <row r="892" spans="1:15" x14ac:dyDescent="0.25">
      <c r="A892" s="49"/>
      <c r="B892" s="50"/>
      <c r="G892" t="str">
        <f t="shared" si="78"/>
        <v/>
      </c>
      <c r="H892" s="13" t="str">
        <f t="shared" si="81"/>
        <v/>
      </c>
      <c r="I892" t="str">
        <f>IFERROR(INDEX(Analysis!$D$116:$N$137, MATCH(B892, Analysis!$C$116:$C$137, 0), MATCH(C892, Analysis!$D$115:$N$115, 0)), "")</f>
        <v/>
      </c>
      <c r="J892" t="str">
        <f t="shared" si="82"/>
        <v/>
      </c>
      <c r="K892" s="28" t="str">
        <f t="shared" si="79"/>
        <v/>
      </c>
      <c r="L892" s="46" t="str">
        <f t="shared" si="83"/>
        <v/>
      </c>
      <c r="M892" t="str" cm="1">
        <f t="array" ref="M892">IF(L892="","",_xlfn.IFS(
  AND(L892&gt;=TIME(9,0,0), L892&lt;TIME(16,0,0)),"Morning",
  AND(L892&gt;=TIME(16,0,0), L892&lt;TIME(23,59,0)),"Evening",
  L892&gt;=TIME(23,59,0),"Night",
  L892&lt;TIME(9,0,0),"Night"
))</f>
        <v/>
      </c>
      <c r="O892" t="str">
        <f t="shared" si="80"/>
        <v/>
      </c>
    </row>
    <row r="893" spans="1:15" x14ac:dyDescent="0.25">
      <c r="A893" s="49"/>
      <c r="G893" t="str">
        <f t="shared" si="78"/>
        <v/>
      </c>
      <c r="H893" s="13" t="str">
        <f t="shared" si="81"/>
        <v/>
      </c>
      <c r="I893" t="str">
        <f>IFERROR(INDEX(Analysis!$D$116:$N$137, MATCH(B893, Analysis!$C$116:$C$137, 0), MATCH(C893, Analysis!$D$115:$N$115, 0)), "")</f>
        <v/>
      </c>
      <c r="J893" t="str">
        <f t="shared" si="82"/>
        <v/>
      </c>
      <c r="K893" s="28" t="str">
        <f t="shared" si="79"/>
        <v/>
      </c>
      <c r="L893" s="46" t="str">
        <f t="shared" si="83"/>
        <v/>
      </c>
      <c r="M893" t="str" cm="1">
        <f t="array" ref="M893">IF(L893="","",_xlfn.IFS(
  AND(L893&gt;=TIME(9,0,0), L893&lt;TIME(16,0,0)),"Morning",
  AND(L893&gt;=TIME(16,0,0), L893&lt;TIME(23,59,0)),"Evening",
  L893&gt;=TIME(23,59,0),"Night",
  L893&lt;TIME(9,0,0),"Night"
))</f>
        <v/>
      </c>
      <c r="O893" t="str">
        <f t="shared" si="80"/>
        <v/>
      </c>
    </row>
    <row r="894" spans="1:15" x14ac:dyDescent="0.25">
      <c r="A894" s="49"/>
      <c r="G894" t="str">
        <f t="shared" si="78"/>
        <v/>
      </c>
      <c r="H894" s="13" t="str">
        <f t="shared" si="81"/>
        <v/>
      </c>
      <c r="I894" t="str">
        <f>IFERROR(INDEX(Analysis!$D$116:$N$137, MATCH(B894, Analysis!$C$116:$C$137, 0), MATCH(C894, Analysis!$D$115:$N$115, 0)), "")</f>
        <v/>
      </c>
      <c r="J894" t="str">
        <f t="shared" si="82"/>
        <v/>
      </c>
      <c r="K894" s="28" t="str">
        <f t="shared" si="79"/>
        <v/>
      </c>
      <c r="L894" s="46" t="str">
        <f t="shared" si="83"/>
        <v/>
      </c>
      <c r="M894" t="str" cm="1">
        <f t="array" ref="M894">IF(L894="","",_xlfn.IFS(
  AND(L894&gt;=TIME(9,0,0), L894&lt;TIME(16,0,0)),"Morning",
  AND(L894&gt;=TIME(16,0,0), L894&lt;TIME(23,59,0)),"Evening",
  L894&gt;=TIME(23,59,0),"Night",
  L894&lt;TIME(9,0,0),"Night"
))</f>
        <v/>
      </c>
      <c r="O894" t="str">
        <f t="shared" si="80"/>
        <v/>
      </c>
    </row>
    <row r="895" spans="1:15" x14ac:dyDescent="0.25">
      <c r="A895" s="49"/>
      <c r="G895" t="str">
        <f t="shared" si="78"/>
        <v/>
      </c>
      <c r="H895" s="13" t="str">
        <f t="shared" si="81"/>
        <v/>
      </c>
      <c r="I895" t="str">
        <f>IFERROR(INDEX(Analysis!$D$116:$N$137, MATCH(B895, Analysis!$C$116:$C$137, 0), MATCH(C895, Analysis!$D$115:$N$115, 0)), "")</f>
        <v/>
      </c>
      <c r="J895" t="str">
        <f t="shared" si="82"/>
        <v/>
      </c>
      <c r="K895" s="28" t="str">
        <f t="shared" si="79"/>
        <v/>
      </c>
      <c r="L895" s="46" t="str">
        <f t="shared" si="83"/>
        <v/>
      </c>
      <c r="M895" t="str" cm="1">
        <f t="array" ref="M895">IF(L895="","",_xlfn.IFS(
  AND(L895&gt;=TIME(9,0,0), L895&lt;TIME(16,0,0)),"Morning",
  AND(L895&gt;=TIME(16,0,0), L895&lt;TIME(23,59,0)),"Evening",
  L895&gt;=TIME(23,59,0),"Night",
  L895&lt;TIME(9,0,0),"Night"
))</f>
        <v/>
      </c>
      <c r="O895" t="str">
        <f t="shared" si="80"/>
        <v/>
      </c>
    </row>
    <row r="896" spans="1:15" x14ac:dyDescent="0.25">
      <c r="A896" s="49"/>
      <c r="G896" t="str">
        <f t="shared" si="78"/>
        <v/>
      </c>
      <c r="H896" s="13" t="str">
        <f t="shared" si="81"/>
        <v/>
      </c>
      <c r="I896" t="str">
        <f>IFERROR(INDEX(Analysis!$D$116:$N$137, MATCH(B896, Analysis!$C$116:$C$137, 0), MATCH(C896, Analysis!$D$115:$N$115, 0)), "")</f>
        <v/>
      </c>
      <c r="J896" t="str">
        <f t="shared" si="82"/>
        <v/>
      </c>
      <c r="K896" s="28" t="str">
        <f t="shared" si="79"/>
        <v/>
      </c>
      <c r="L896" s="46" t="str">
        <f t="shared" si="83"/>
        <v/>
      </c>
      <c r="M896" t="str" cm="1">
        <f t="array" ref="M896">IF(L896="","",_xlfn.IFS(
  AND(L896&gt;=TIME(9,0,0), L896&lt;TIME(16,0,0)),"Morning",
  AND(L896&gt;=TIME(16,0,0), L896&lt;TIME(23,59,0)),"Evening",
  L896&gt;=TIME(23,59,0),"Night",
  L896&lt;TIME(9,0,0),"Night"
))</f>
        <v/>
      </c>
      <c r="O896" t="str">
        <f t="shared" si="80"/>
        <v/>
      </c>
    </row>
    <row r="897" spans="1:15" x14ac:dyDescent="0.25">
      <c r="A897" s="49"/>
      <c r="G897" t="str">
        <f t="shared" si="78"/>
        <v/>
      </c>
      <c r="H897" s="13" t="str">
        <f t="shared" si="81"/>
        <v/>
      </c>
      <c r="I897" t="str">
        <f>IFERROR(INDEX(Analysis!$D$116:$N$137, MATCH(B897, Analysis!$C$116:$C$137, 0), MATCH(C897, Analysis!$D$115:$N$115, 0)), "")</f>
        <v/>
      </c>
      <c r="J897" t="str">
        <f t="shared" si="82"/>
        <v/>
      </c>
      <c r="K897" s="28" t="str">
        <f t="shared" si="79"/>
        <v/>
      </c>
      <c r="L897" s="46" t="str">
        <f t="shared" si="83"/>
        <v/>
      </c>
      <c r="M897" t="str" cm="1">
        <f t="array" ref="M897">IF(L897="","",_xlfn.IFS(
  AND(L897&gt;=TIME(9,0,0), L897&lt;TIME(16,0,0)),"Morning",
  AND(L897&gt;=TIME(16,0,0), L897&lt;TIME(23,59,0)),"Evening",
  L897&gt;=TIME(23,59,0),"Night",
  L897&lt;TIME(9,0,0),"Night"
))</f>
        <v/>
      </c>
      <c r="O897" t="str">
        <f t="shared" si="80"/>
        <v/>
      </c>
    </row>
    <row r="898" spans="1:15" x14ac:dyDescent="0.25">
      <c r="A898" s="49"/>
      <c r="G898" t="str">
        <f t="shared" ref="G898:G961" si="84">IF(ISBLANK(A898), "", IF(ISBLANK(F898), 0, F898))</f>
        <v/>
      </c>
      <c r="H898" s="13" t="str">
        <f t="shared" si="81"/>
        <v/>
      </c>
      <c r="I898" t="str">
        <f>IFERROR(INDEX(Analysis!$D$116:$N$137, MATCH(B898, Analysis!$C$116:$C$137, 0), MATCH(C898, Analysis!$D$115:$N$115, 0)), "")</f>
        <v/>
      </c>
      <c r="J898" t="str">
        <f t="shared" si="82"/>
        <v/>
      </c>
      <c r="K898" s="28" t="str">
        <f t="shared" ref="K898:K961" si="85">IF(ISBLANK(A898),"",DATE(YEAR(A898),MONTH(A898),DAY(A898)))</f>
        <v/>
      </c>
      <c r="L898" s="46" t="str">
        <f t="shared" si="83"/>
        <v/>
      </c>
      <c r="M898" t="str" cm="1">
        <f t="array" ref="M898">IF(L898="","",_xlfn.IFS(
  AND(L898&gt;=TIME(9,0,0), L898&lt;TIME(16,0,0)),"Morning",
  AND(L898&gt;=TIME(16,0,0), L898&lt;TIME(23,59,0)),"Evening",
  L898&gt;=TIME(23,59,0),"Night",
  L898&lt;TIME(9,0,0),"Night"
))</f>
        <v/>
      </c>
      <c r="O898" t="str">
        <f t="shared" ref="O898:O961" si="86">IF(N898="ON", _xlfn.IMAGE(E898, 1), "")</f>
        <v/>
      </c>
    </row>
    <row r="899" spans="1:15" x14ac:dyDescent="0.25">
      <c r="A899" s="49"/>
      <c r="G899" t="str">
        <f t="shared" si="84"/>
        <v/>
      </c>
      <c r="H899" s="13" t="str">
        <f t="shared" ref="H899:H962" si="87">IF(ISBLANK(E899),"",HYPERLINK(E899,"Click here"))</f>
        <v/>
      </c>
      <c r="I899" t="str">
        <f>IFERROR(INDEX(Analysis!$D$116:$N$137, MATCH(B899, Analysis!$C$116:$C$137, 0), MATCH(C899, Analysis!$D$115:$N$115, 0)), "")</f>
        <v/>
      </c>
      <c r="J899" t="str">
        <f t="shared" ref="J899:J962" si="88">IF(ISBLANK(A899),"",WEEKNUM(A899))</f>
        <v/>
      </c>
      <c r="K899" s="28" t="str">
        <f t="shared" si="85"/>
        <v/>
      </c>
      <c r="L899" s="46" t="str">
        <f t="shared" ref="L899:L962" si="89">IF(A899="", "", A899 - INT(A899))</f>
        <v/>
      </c>
      <c r="M899" t="str" cm="1">
        <f t="array" ref="M899">IF(L899="","",_xlfn.IFS(
  AND(L899&gt;=TIME(9,0,0), L899&lt;TIME(16,0,0)),"Morning",
  AND(L899&gt;=TIME(16,0,0), L899&lt;TIME(23,59,0)),"Evening",
  L899&gt;=TIME(23,59,0),"Night",
  L899&lt;TIME(9,0,0),"Night"
))</f>
        <v/>
      </c>
      <c r="O899" t="str">
        <f t="shared" si="86"/>
        <v/>
      </c>
    </row>
    <row r="900" spans="1:15" x14ac:dyDescent="0.25">
      <c r="A900" s="49"/>
      <c r="G900" t="str">
        <f t="shared" si="84"/>
        <v/>
      </c>
      <c r="H900" s="13" t="str">
        <f t="shared" si="87"/>
        <v/>
      </c>
      <c r="I900" t="str">
        <f>IFERROR(INDEX(Analysis!$D$116:$N$137, MATCH(B900, Analysis!$C$116:$C$137, 0), MATCH(C900, Analysis!$D$115:$N$115, 0)), "")</f>
        <v/>
      </c>
      <c r="J900" t="str">
        <f t="shared" si="88"/>
        <v/>
      </c>
      <c r="K900" s="28" t="str">
        <f t="shared" si="85"/>
        <v/>
      </c>
      <c r="L900" s="46" t="str">
        <f t="shared" si="89"/>
        <v/>
      </c>
      <c r="M900" t="str" cm="1">
        <f t="array" ref="M900">IF(L900="","",_xlfn.IFS(
  AND(L900&gt;=TIME(9,0,0), L900&lt;TIME(16,0,0)),"Morning",
  AND(L900&gt;=TIME(16,0,0), L900&lt;TIME(23,59,0)),"Evening",
  L900&gt;=TIME(23,59,0),"Night",
  L900&lt;TIME(9,0,0),"Night"
))</f>
        <v/>
      </c>
      <c r="O900" t="str">
        <f t="shared" si="86"/>
        <v/>
      </c>
    </row>
    <row r="901" spans="1:15" x14ac:dyDescent="0.25">
      <c r="A901" s="49"/>
      <c r="G901" t="str">
        <f t="shared" si="84"/>
        <v/>
      </c>
      <c r="H901" s="13" t="str">
        <f t="shared" si="87"/>
        <v/>
      </c>
      <c r="I901" t="str">
        <f>IFERROR(INDEX(Analysis!$D$116:$N$137, MATCH(B901, Analysis!$C$116:$C$137, 0), MATCH(C901, Analysis!$D$115:$N$115, 0)), "")</f>
        <v/>
      </c>
      <c r="J901" t="str">
        <f t="shared" si="88"/>
        <v/>
      </c>
      <c r="K901" s="28" t="str">
        <f t="shared" si="85"/>
        <v/>
      </c>
      <c r="L901" s="46" t="str">
        <f t="shared" si="89"/>
        <v/>
      </c>
      <c r="M901" t="str" cm="1">
        <f t="array" ref="M901">IF(L901="","",_xlfn.IFS(
  AND(L901&gt;=TIME(9,0,0), L901&lt;TIME(16,0,0)),"Morning",
  AND(L901&gt;=TIME(16,0,0), L901&lt;TIME(23,59,0)),"Evening",
  L901&gt;=TIME(23,59,0),"Night",
  L901&lt;TIME(9,0,0),"Night"
))</f>
        <v/>
      </c>
      <c r="O901" t="str">
        <f t="shared" si="86"/>
        <v/>
      </c>
    </row>
    <row r="902" spans="1:15" x14ac:dyDescent="0.25">
      <c r="A902" s="49"/>
      <c r="G902" t="str">
        <f t="shared" si="84"/>
        <v/>
      </c>
      <c r="H902" s="13" t="str">
        <f t="shared" si="87"/>
        <v/>
      </c>
      <c r="I902" t="str">
        <f>IFERROR(INDEX(Analysis!$D$116:$N$137, MATCH(B902, Analysis!$C$116:$C$137, 0), MATCH(C902, Analysis!$D$115:$N$115, 0)), "")</f>
        <v/>
      </c>
      <c r="J902" t="str">
        <f t="shared" si="88"/>
        <v/>
      </c>
      <c r="K902" s="28" t="str">
        <f t="shared" si="85"/>
        <v/>
      </c>
      <c r="L902" s="46" t="str">
        <f t="shared" si="89"/>
        <v/>
      </c>
      <c r="M902" t="str" cm="1">
        <f t="array" ref="M902">IF(L902="","",_xlfn.IFS(
  AND(L902&gt;=TIME(9,0,0), L902&lt;TIME(16,0,0)),"Morning",
  AND(L902&gt;=TIME(16,0,0), L902&lt;TIME(23,59,0)),"Evening",
  L902&gt;=TIME(23,59,0),"Night",
  L902&lt;TIME(9,0,0),"Night"
))</f>
        <v/>
      </c>
      <c r="O902" t="str">
        <f t="shared" si="86"/>
        <v/>
      </c>
    </row>
    <row r="903" spans="1:15" x14ac:dyDescent="0.25">
      <c r="A903" s="49"/>
      <c r="G903" t="str">
        <f t="shared" si="84"/>
        <v/>
      </c>
      <c r="H903" s="13" t="str">
        <f t="shared" si="87"/>
        <v/>
      </c>
      <c r="I903" t="str">
        <f>IFERROR(INDEX(Analysis!$D$116:$N$137, MATCH(B903, Analysis!$C$116:$C$137, 0), MATCH(C903, Analysis!$D$115:$N$115, 0)), "")</f>
        <v/>
      </c>
      <c r="J903" t="str">
        <f t="shared" si="88"/>
        <v/>
      </c>
      <c r="K903" s="28" t="str">
        <f t="shared" si="85"/>
        <v/>
      </c>
      <c r="L903" s="46" t="str">
        <f t="shared" si="89"/>
        <v/>
      </c>
      <c r="M903" t="str" cm="1">
        <f t="array" ref="M903">IF(L903="","",_xlfn.IFS(
  AND(L903&gt;=TIME(9,0,0), L903&lt;TIME(16,0,0)),"Morning",
  AND(L903&gt;=TIME(16,0,0), L903&lt;TIME(23,59,0)),"Evening",
  L903&gt;=TIME(23,59,0),"Night",
  L903&lt;TIME(9,0,0),"Night"
))</f>
        <v/>
      </c>
      <c r="O903" t="str">
        <f t="shared" si="86"/>
        <v/>
      </c>
    </row>
    <row r="904" spans="1:15" x14ac:dyDescent="0.25">
      <c r="A904" s="49"/>
      <c r="G904" t="str">
        <f t="shared" si="84"/>
        <v/>
      </c>
      <c r="H904" s="13" t="str">
        <f t="shared" si="87"/>
        <v/>
      </c>
      <c r="I904" t="str">
        <f>IFERROR(INDEX(Analysis!$D$116:$N$137, MATCH(B904, Analysis!$C$116:$C$137, 0), MATCH(C904, Analysis!$D$115:$N$115, 0)), "")</f>
        <v/>
      </c>
      <c r="J904" t="str">
        <f t="shared" si="88"/>
        <v/>
      </c>
      <c r="K904" s="28" t="str">
        <f t="shared" si="85"/>
        <v/>
      </c>
      <c r="L904" s="46" t="str">
        <f t="shared" si="89"/>
        <v/>
      </c>
      <c r="M904" t="str" cm="1">
        <f t="array" ref="M904">IF(L904="","",_xlfn.IFS(
  AND(L904&gt;=TIME(9,0,0), L904&lt;TIME(16,0,0)),"Morning",
  AND(L904&gt;=TIME(16,0,0), L904&lt;TIME(23,59,0)),"Evening",
  L904&gt;=TIME(23,59,0),"Night",
  L904&lt;TIME(9,0,0),"Night"
))</f>
        <v/>
      </c>
      <c r="O904" t="str">
        <f t="shared" si="86"/>
        <v/>
      </c>
    </row>
    <row r="905" spans="1:15" x14ac:dyDescent="0.25">
      <c r="A905" s="49"/>
      <c r="G905" t="str">
        <f t="shared" si="84"/>
        <v/>
      </c>
      <c r="H905" s="13" t="str">
        <f t="shared" si="87"/>
        <v/>
      </c>
      <c r="I905" t="str">
        <f>IFERROR(INDEX(Analysis!$D$116:$N$137, MATCH(B905, Analysis!$C$116:$C$137, 0), MATCH(C905, Analysis!$D$115:$N$115, 0)), "")</f>
        <v/>
      </c>
      <c r="J905" t="str">
        <f t="shared" si="88"/>
        <v/>
      </c>
      <c r="K905" s="28" t="str">
        <f t="shared" si="85"/>
        <v/>
      </c>
      <c r="L905" s="46" t="str">
        <f t="shared" si="89"/>
        <v/>
      </c>
      <c r="M905" t="str" cm="1">
        <f t="array" ref="M905">IF(L905="","",_xlfn.IFS(
  AND(L905&gt;=TIME(9,0,0), L905&lt;TIME(16,0,0)),"Morning",
  AND(L905&gt;=TIME(16,0,0), L905&lt;TIME(23,59,0)),"Evening",
  L905&gt;=TIME(23,59,0),"Night",
  L905&lt;TIME(9,0,0),"Night"
))</f>
        <v/>
      </c>
      <c r="O905" t="str">
        <f t="shared" si="86"/>
        <v/>
      </c>
    </row>
    <row r="906" spans="1:15" x14ac:dyDescent="0.25">
      <c r="A906" s="49"/>
      <c r="G906" t="str">
        <f t="shared" si="84"/>
        <v/>
      </c>
      <c r="H906" s="13" t="str">
        <f t="shared" si="87"/>
        <v/>
      </c>
      <c r="I906" t="str">
        <f>IFERROR(INDEX(Analysis!$D$116:$N$137, MATCH(B906, Analysis!$C$116:$C$137, 0), MATCH(C906, Analysis!$D$115:$N$115, 0)), "")</f>
        <v/>
      </c>
      <c r="J906" t="str">
        <f t="shared" si="88"/>
        <v/>
      </c>
      <c r="K906" s="28" t="str">
        <f t="shared" si="85"/>
        <v/>
      </c>
      <c r="L906" s="46" t="str">
        <f t="shared" si="89"/>
        <v/>
      </c>
      <c r="M906" t="str" cm="1">
        <f t="array" ref="M906">IF(L906="","",_xlfn.IFS(
  AND(L906&gt;=TIME(9,0,0), L906&lt;TIME(16,0,0)),"Morning",
  AND(L906&gt;=TIME(16,0,0), L906&lt;TIME(23,59,0)),"Evening",
  L906&gt;=TIME(23,59,0),"Night",
  L906&lt;TIME(9,0,0),"Night"
))</f>
        <v/>
      </c>
      <c r="O906" t="str">
        <f t="shared" si="86"/>
        <v/>
      </c>
    </row>
    <row r="907" spans="1:15" x14ac:dyDescent="0.25">
      <c r="A907" s="49"/>
      <c r="G907" t="str">
        <f t="shared" si="84"/>
        <v/>
      </c>
      <c r="H907" s="13" t="str">
        <f t="shared" si="87"/>
        <v/>
      </c>
      <c r="I907" t="str">
        <f>IFERROR(INDEX(Analysis!$D$116:$N$137, MATCH(B907, Analysis!$C$116:$C$137, 0), MATCH(C907, Analysis!$D$115:$N$115, 0)), "")</f>
        <v/>
      </c>
      <c r="J907" t="str">
        <f t="shared" si="88"/>
        <v/>
      </c>
      <c r="K907" s="28" t="str">
        <f t="shared" si="85"/>
        <v/>
      </c>
      <c r="L907" s="46" t="str">
        <f t="shared" si="89"/>
        <v/>
      </c>
      <c r="M907" t="str" cm="1">
        <f t="array" ref="M907">IF(L907="","",_xlfn.IFS(
  AND(L907&gt;=TIME(9,0,0), L907&lt;TIME(16,0,0)),"Morning",
  AND(L907&gt;=TIME(16,0,0), L907&lt;TIME(23,59,0)),"Evening",
  L907&gt;=TIME(23,59,0),"Night",
  L907&lt;TIME(9,0,0),"Night"
))</f>
        <v/>
      </c>
      <c r="O907" t="str">
        <f t="shared" si="86"/>
        <v/>
      </c>
    </row>
    <row r="908" spans="1:15" x14ac:dyDescent="0.25">
      <c r="A908" s="49"/>
      <c r="G908" t="str">
        <f t="shared" si="84"/>
        <v/>
      </c>
      <c r="H908" s="13" t="str">
        <f t="shared" si="87"/>
        <v/>
      </c>
      <c r="I908" t="str">
        <f>IFERROR(INDEX(Analysis!$D$116:$N$137, MATCH(B908, Analysis!$C$116:$C$137, 0), MATCH(C908, Analysis!$D$115:$N$115, 0)), "")</f>
        <v/>
      </c>
      <c r="J908" t="str">
        <f t="shared" si="88"/>
        <v/>
      </c>
      <c r="K908" s="28" t="str">
        <f t="shared" si="85"/>
        <v/>
      </c>
      <c r="L908" s="46" t="str">
        <f t="shared" si="89"/>
        <v/>
      </c>
      <c r="M908" t="str" cm="1">
        <f t="array" ref="M908">IF(L908="","",_xlfn.IFS(
  AND(L908&gt;=TIME(9,0,0), L908&lt;TIME(16,0,0)),"Morning",
  AND(L908&gt;=TIME(16,0,0), L908&lt;TIME(23,59,0)),"Evening",
  L908&gt;=TIME(23,59,0),"Night",
  L908&lt;TIME(9,0,0),"Night"
))</f>
        <v/>
      </c>
      <c r="O908" t="str">
        <f t="shared" si="86"/>
        <v/>
      </c>
    </row>
    <row r="909" spans="1:15" x14ac:dyDescent="0.25">
      <c r="A909" s="49"/>
      <c r="G909" t="str">
        <f t="shared" si="84"/>
        <v/>
      </c>
      <c r="H909" s="13" t="str">
        <f t="shared" si="87"/>
        <v/>
      </c>
      <c r="I909" t="str">
        <f>IFERROR(INDEX(Analysis!$D$116:$N$137, MATCH(B909, Analysis!$C$116:$C$137, 0), MATCH(C909, Analysis!$D$115:$N$115, 0)), "")</f>
        <v/>
      </c>
      <c r="J909" t="str">
        <f t="shared" si="88"/>
        <v/>
      </c>
      <c r="K909" s="28" t="str">
        <f t="shared" si="85"/>
        <v/>
      </c>
      <c r="L909" s="46" t="str">
        <f t="shared" si="89"/>
        <v/>
      </c>
      <c r="M909" t="str" cm="1">
        <f t="array" ref="M909">IF(L909="","",_xlfn.IFS(
  AND(L909&gt;=TIME(9,0,0), L909&lt;TIME(16,0,0)),"Morning",
  AND(L909&gt;=TIME(16,0,0), L909&lt;TIME(23,59,0)),"Evening",
  L909&gt;=TIME(23,59,0),"Night",
  L909&lt;TIME(9,0,0),"Night"
))</f>
        <v/>
      </c>
      <c r="O909" t="str">
        <f t="shared" si="86"/>
        <v/>
      </c>
    </row>
    <row r="910" spans="1:15" x14ac:dyDescent="0.25">
      <c r="A910" s="49"/>
      <c r="G910" t="str">
        <f t="shared" si="84"/>
        <v/>
      </c>
      <c r="H910" s="13" t="str">
        <f t="shared" si="87"/>
        <v/>
      </c>
      <c r="I910" t="str">
        <f>IFERROR(INDEX(Analysis!$D$116:$N$137, MATCH(B910, Analysis!$C$116:$C$137, 0), MATCH(C910, Analysis!$D$115:$N$115, 0)), "")</f>
        <v/>
      </c>
      <c r="J910" t="str">
        <f t="shared" si="88"/>
        <v/>
      </c>
      <c r="K910" s="28" t="str">
        <f t="shared" si="85"/>
        <v/>
      </c>
      <c r="L910" s="46" t="str">
        <f t="shared" si="89"/>
        <v/>
      </c>
      <c r="M910" t="str" cm="1">
        <f t="array" ref="M910">IF(L910="","",_xlfn.IFS(
  AND(L910&gt;=TIME(9,0,0), L910&lt;TIME(16,0,0)),"Morning",
  AND(L910&gt;=TIME(16,0,0), L910&lt;TIME(23,59,0)),"Evening",
  L910&gt;=TIME(23,59,0),"Night",
  L910&lt;TIME(9,0,0),"Night"
))</f>
        <v/>
      </c>
      <c r="O910" t="str">
        <f t="shared" si="86"/>
        <v/>
      </c>
    </row>
    <row r="911" spans="1:15" x14ac:dyDescent="0.25">
      <c r="A911" s="49"/>
      <c r="G911" t="str">
        <f t="shared" si="84"/>
        <v/>
      </c>
      <c r="H911" s="13" t="str">
        <f t="shared" si="87"/>
        <v/>
      </c>
      <c r="I911" t="str">
        <f>IFERROR(INDEX(Analysis!$D$116:$N$137, MATCH(B911, Analysis!$C$116:$C$137, 0), MATCH(C911, Analysis!$D$115:$N$115, 0)), "")</f>
        <v/>
      </c>
      <c r="J911" t="str">
        <f t="shared" si="88"/>
        <v/>
      </c>
      <c r="K911" s="28" t="str">
        <f t="shared" si="85"/>
        <v/>
      </c>
      <c r="L911" s="46" t="str">
        <f t="shared" si="89"/>
        <v/>
      </c>
      <c r="M911" t="str" cm="1">
        <f t="array" ref="M911">IF(L911="","",_xlfn.IFS(
  AND(L911&gt;=TIME(9,0,0), L911&lt;TIME(16,0,0)),"Morning",
  AND(L911&gt;=TIME(16,0,0), L911&lt;TIME(23,59,0)),"Evening",
  L911&gt;=TIME(23,59,0),"Night",
  L911&lt;TIME(9,0,0),"Night"
))</f>
        <v/>
      </c>
      <c r="O911" t="str">
        <f t="shared" si="86"/>
        <v/>
      </c>
    </row>
    <row r="912" spans="1:15" x14ac:dyDescent="0.25">
      <c r="A912" s="49"/>
      <c r="G912" t="str">
        <f t="shared" si="84"/>
        <v/>
      </c>
      <c r="H912" s="13" t="str">
        <f t="shared" si="87"/>
        <v/>
      </c>
      <c r="I912" t="str">
        <f>IFERROR(INDEX(Analysis!$D$116:$N$137, MATCH(B912, Analysis!$C$116:$C$137, 0), MATCH(C912, Analysis!$D$115:$N$115, 0)), "")</f>
        <v/>
      </c>
      <c r="J912" t="str">
        <f t="shared" si="88"/>
        <v/>
      </c>
      <c r="K912" s="28" t="str">
        <f t="shared" si="85"/>
        <v/>
      </c>
      <c r="L912" s="46" t="str">
        <f t="shared" si="89"/>
        <v/>
      </c>
      <c r="M912" t="str" cm="1">
        <f t="array" ref="M912">IF(L912="","",_xlfn.IFS(
  AND(L912&gt;=TIME(9,0,0), L912&lt;TIME(16,0,0)),"Morning",
  AND(L912&gt;=TIME(16,0,0), L912&lt;TIME(23,59,0)),"Evening",
  L912&gt;=TIME(23,59,0),"Night",
  L912&lt;TIME(9,0,0),"Night"
))</f>
        <v/>
      </c>
      <c r="O912" t="str">
        <f t="shared" si="86"/>
        <v/>
      </c>
    </row>
    <row r="913" spans="1:15" x14ac:dyDescent="0.25">
      <c r="A913" s="49"/>
      <c r="G913" t="str">
        <f t="shared" si="84"/>
        <v/>
      </c>
      <c r="H913" s="13" t="str">
        <f t="shared" si="87"/>
        <v/>
      </c>
      <c r="I913" t="str">
        <f>IFERROR(INDEX(Analysis!$D$116:$N$137, MATCH(B913, Analysis!$C$116:$C$137, 0), MATCH(C913, Analysis!$D$115:$N$115, 0)), "")</f>
        <v/>
      </c>
      <c r="J913" t="str">
        <f t="shared" si="88"/>
        <v/>
      </c>
      <c r="K913" s="28" t="str">
        <f t="shared" si="85"/>
        <v/>
      </c>
      <c r="L913" s="46" t="str">
        <f t="shared" si="89"/>
        <v/>
      </c>
      <c r="M913" t="str" cm="1">
        <f t="array" ref="M913">IF(L913="","",_xlfn.IFS(
  AND(L913&gt;=TIME(9,0,0), L913&lt;TIME(16,0,0)),"Morning",
  AND(L913&gt;=TIME(16,0,0), L913&lt;TIME(23,59,0)),"Evening",
  L913&gt;=TIME(23,59,0),"Night",
  L913&lt;TIME(9,0,0),"Night"
))</f>
        <v/>
      </c>
      <c r="O913" t="str">
        <f t="shared" si="86"/>
        <v/>
      </c>
    </row>
    <row r="914" spans="1:15" x14ac:dyDescent="0.25">
      <c r="A914" s="49"/>
      <c r="G914" t="str">
        <f t="shared" si="84"/>
        <v/>
      </c>
      <c r="H914" s="13" t="str">
        <f t="shared" si="87"/>
        <v/>
      </c>
      <c r="I914" t="str">
        <f>IFERROR(INDEX(Analysis!$D$116:$N$137, MATCH(B914, Analysis!$C$116:$C$137, 0), MATCH(C914, Analysis!$D$115:$N$115, 0)), "")</f>
        <v/>
      </c>
      <c r="J914" t="str">
        <f t="shared" si="88"/>
        <v/>
      </c>
      <c r="K914" s="28" t="str">
        <f t="shared" si="85"/>
        <v/>
      </c>
      <c r="L914" s="46" t="str">
        <f t="shared" si="89"/>
        <v/>
      </c>
      <c r="M914" t="str" cm="1">
        <f t="array" ref="M914">IF(L914="","",_xlfn.IFS(
  AND(L914&gt;=TIME(9,0,0), L914&lt;TIME(16,0,0)),"Morning",
  AND(L914&gt;=TIME(16,0,0), L914&lt;TIME(23,59,0)),"Evening",
  L914&gt;=TIME(23,59,0),"Night",
  L914&lt;TIME(9,0,0),"Night"
))</f>
        <v/>
      </c>
      <c r="O914" t="str">
        <f t="shared" si="86"/>
        <v/>
      </c>
    </row>
    <row r="915" spans="1:15" x14ac:dyDescent="0.25">
      <c r="A915" s="49"/>
      <c r="G915" t="str">
        <f t="shared" si="84"/>
        <v/>
      </c>
      <c r="H915" s="13" t="str">
        <f t="shared" si="87"/>
        <v/>
      </c>
      <c r="I915" t="str">
        <f>IFERROR(INDEX(Analysis!$D$116:$N$137, MATCH(B915, Analysis!$C$116:$C$137, 0), MATCH(C915, Analysis!$D$115:$N$115, 0)), "")</f>
        <v/>
      </c>
      <c r="J915" t="str">
        <f t="shared" si="88"/>
        <v/>
      </c>
      <c r="K915" s="28" t="str">
        <f t="shared" si="85"/>
        <v/>
      </c>
      <c r="L915" s="46" t="str">
        <f t="shared" si="89"/>
        <v/>
      </c>
      <c r="M915" t="str" cm="1">
        <f t="array" ref="M915">IF(L915="","",_xlfn.IFS(
  AND(L915&gt;=TIME(9,0,0), L915&lt;TIME(16,0,0)),"Morning",
  AND(L915&gt;=TIME(16,0,0), L915&lt;TIME(23,59,0)),"Evening",
  L915&gt;=TIME(23,59,0),"Night",
  L915&lt;TIME(9,0,0),"Night"
))</f>
        <v/>
      </c>
      <c r="O915" t="str">
        <f t="shared" si="86"/>
        <v/>
      </c>
    </row>
    <row r="916" spans="1:15" x14ac:dyDescent="0.25">
      <c r="A916" s="49"/>
      <c r="G916" t="str">
        <f t="shared" si="84"/>
        <v/>
      </c>
      <c r="H916" s="13" t="str">
        <f t="shared" si="87"/>
        <v/>
      </c>
      <c r="I916" t="str">
        <f>IFERROR(INDEX(Analysis!$D$116:$N$137, MATCH(B916, Analysis!$C$116:$C$137, 0), MATCH(C916, Analysis!$D$115:$N$115, 0)), "")</f>
        <v/>
      </c>
      <c r="J916" t="str">
        <f t="shared" si="88"/>
        <v/>
      </c>
      <c r="K916" s="28" t="str">
        <f t="shared" si="85"/>
        <v/>
      </c>
      <c r="L916" s="46" t="str">
        <f t="shared" si="89"/>
        <v/>
      </c>
      <c r="M916" t="str" cm="1">
        <f t="array" ref="M916">IF(L916="","",_xlfn.IFS(
  AND(L916&gt;=TIME(9,0,0), L916&lt;TIME(16,0,0)),"Morning",
  AND(L916&gt;=TIME(16,0,0), L916&lt;TIME(23,59,0)),"Evening",
  L916&gt;=TIME(23,59,0),"Night",
  L916&lt;TIME(9,0,0),"Night"
))</f>
        <v/>
      </c>
      <c r="O916" t="str">
        <f t="shared" si="86"/>
        <v/>
      </c>
    </row>
    <row r="917" spans="1:15" x14ac:dyDescent="0.25">
      <c r="A917" s="49"/>
      <c r="G917" t="str">
        <f t="shared" si="84"/>
        <v/>
      </c>
      <c r="H917" s="13" t="str">
        <f t="shared" si="87"/>
        <v/>
      </c>
      <c r="I917" t="str">
        <f>IFERROR(INDEX(Analysis!$D$116:$N$137, MATCH(B917, Analysis!$C$116:$C$137, 0), MATCH(C917, Analysis!$D$115:$N$115, 0)), "")</f>
        <v/>
      </c>
      <c r="J917" t="str">
        <f t="shared" si="88"/>
        <v/>
      </c>
      <c r="K917" s="28" t="str">
        <f t="shared" si="85"/>
        <v/>
      </c>
      <c r="L917" s="46" t="str">
        <f t="shared" si="89"/>
        <v/>
      </c>
      <c r="M917" t="str" cm="1">
        <f t="array" ref="M917">IF(L917="","",_xlfn.IFS(
  AND(L917&gt;=TIME(9,0,0), L917&lt;TIME(16,0,0)),"Morning",
  AND(L917&gt;=TIME(16,0,0), L917&lt;TIME(23,59,0)),"Evening",
  L917&gt;=TIME(23,59,0),"Night",
  L917&lt;TIME(9,0,0),"Night"
))</f>
        <v/>
      </c>
      <c r="O917" t="str">
        <f t="shared" si="86"/>
        <v/>
      </c>
    </row>
    <row r="918" spans="1:15" x14ac:dyDescent="0.25">
      <c r="A918" s="49"/>
      <c r="G918" t="str">
        <f t="shared" si="84"/>
        <v/>
      </c>
      <c r="H918" s="13" t="str">
        <f t="shared" si="87"/>
        <v/>
      </c>
      <c r="I918" t="str">
        <f>IFERROR(INDEX(Analysis!$D$116:$N$137, MATCH(B918, Analysis!$C$116:$C$137, 0), MATCH(C918, Analysis!$D$115:$N$115, 0)), "")</f>
        <v/>
      </c>
      <c r="J918" t="str">
        <f t="shared" si="88"/>
        <v/>
      </c>
      <c r="K918" s="28" t="str">
        <f t="shared" si="85"/>
        <v/>
      </c>
      <c r="L918" s="46" t="str">
        <f t="shared" si="89"/>
        <v/>
      </c>
      <c r="M918" t="str" cm="1">
        <f t="array" ref="M918">IF(L918="","",_xlfn.IFS(
  AND(L918&gt;=TIME(9,0,0), L918&lt;TIME(16,0,0)),"Morning",
  AND(L918&gt;=TIME(16,0,0), L918&lt;TIME(23,59,0)),"Evening",
  L918&gt;=TIME(23,59,0),"Night",
  L918&lt;TIME(9,0,0),"Night"
))</f>
        <v/>
      </c>
      <c r="O918" t="str">
        <f t="shared" si="86"/>
        <v/>
      </c>
    </row>
    <row r="919" spans="1:15" x14ac:dyDescent="0.25">
      <c r="A919" s="49"/>
      <c r="G919" t="str">
        <f t="shared" si="84"/>
        <v/>
      </c>
      <c r="H919" s="13" t="str">
        <f t="shared" si="87"/>
        <v/>
      </c>
      <c r="I919" t="str">
        <f>IFERROR(INDEX(Analysis!$D$116:$N$137, MATCH(B919, Analysis!$C$116:$C$137, 0), MATCH(C919, Analysis!$D$115:$N$115, 0)), "")</f>
        <v/>
      </c>
      <c r="J919" t="str">
        <f t="shared" si="88"/>
        <v/>
      </c>
      <c r="K919" s="28" t="str">
        <f t="shared" si="85"/>
        <v/>
      </c>
      <c r="L919" s="46" t="str">
        <f t="shared" si="89"/>
        <v/>
      </c>
      <c r="M919" t="str" cm="1">
        <f t="array" ref="M919">IF(L919="","",_xlfn.IFS(
  AND(L919&gt;=TIME(9,0,0), L919&lt;TIME(16,0,0)),"Morning",
  AND(L919&gt;=TIME(16,0,0), L919&lt;TIME(23,59,0)),"Evening",
  L919&gt;=TIME(23,59,0),"Night",
  L919&lt;TIME(9,0,0),"Night"
))</f>
        <v/>
      </c>
      <c r="O919" t="str">
        <f t="shared" si="86"/>
        <v/>
      </c>
    </row>
    <row r="920" spans="1:15" x14ac:dyDescent="0.25">
      <c r="A920" s="49"/>
      <c r="G920" t="str">
        <f t="shared" si="84"/>
        <v/>
      </c>
      <c r="H920" s="13" t="str">
        <f t="shared" si="87"/>
        <v/>
      </c>
      <c r="I920" t="str">
        <f>IFERROR(INDEX(Analysis!$D$116:$N$137, MATCH(B920, Analysis!$C$116:$C$137, 0), MATCH(C920, Analysis!$D$115:$N$115, 0)), "")</f>
        <v/>
      </c>
      <c r="J920" t="str">
        <f t="shared" si="88"/>
        <v/>
      </c>
      <c r="K920" s="28" t="str">
        <f t="shared" si="85"/>
        <v/>
      </c>
      <c r="L920" s="46" t="str">
        <f t="shared" si="89"/>
        <v/>
      </c>
      <c r="M920" t="str" cm="1">
        <f t="array" ref="M920">IF(L920="","",_xlfn.IFS(
  AND(L920&gt;=TIME(9,0,0), L920&lt;TIME(16,0,0)),"Morning",
  AND(L920&gt;=TIME(16,0,0), L920&lt;TIME(23,59,0)),"Evening",
  L920&gt;=TIME(23,59,0),"Night",
  L920&lt;TIME(9,0,0),"Night"
))</f>
        <v/>
      </c>
      <c r="O920" t="str">
        <f t="shared" si="86"/>
        <v/>
      </c>
    </row>
    <row r="921" spans="1:15" x14ac:dyDescent="0.25">
      <c r="A921" s="49"/>
      <c r="G921" t="str">
        <f t="shared" si="84"/>
        <v/>
      </c>
      <c r="H921" s="13" t="str">
        <f t="shared" si="87"/>
        <v/>
      </c>
      <c r="I921" t="str">
        <f>IFERROR(INDEX(Analysis!$D$116:$N$137, MATCH(B921, Analysis!$C$116:$C$137, 0), MATCH(C921, Analysis!$D$115:$N$115, 0)), "")</f>
        <v/>
      </c>
      <c r="J921" t="str">
        <f t="shared" si="88"/>
        <v/>
      </c>
      <c r="K921" s="28" t="str">
        <f t="shared" si="85"/>
        <v/>
      </c>
      <c r="L921" s="46" t="str">
        <f t="shared" si="89"/>
        <v/>
      </c>
      <c r="M921" t="str" cm="1">
        <f t="array" ref="M921">IF(L921="","",_xlfn.IFS(
  AND(L921&gt;=TIME(9,0,0), L921&lt;TIME(16,0,0)),"Morning",
  AND(L921&gt;=TIME(16,0,0), L921&lt;TIME(23,59,0)),"Evening",
  L921&gt;=TIME(23,59,0),"Night",
  L921&lt;TIME(9,0,0),"Night"
))</f>
        <v/>
      </c>
      <c r="O921" t="str">
        <f t="shared" si="86"/>
        <v/>
      </c>
    </row>
    <row r="922" spans="1:15" x14ac:dyDescent="0.25">
      <c r="A922" s="49"/>
      <c r="G922" t="str">
        <f t="shared" si="84"/>
        <v/>
      </c>
      <c r="H922" s="13" t="str">
        <f t="shared" si="87"/>
        <v/>
      </c>
      <c r="I922" t="str">
        <f>IFERROR(INDEX(Analysis!$D$116:$N$137, MATCH(B922, Analysis!$C$116:$C$137, 0), MATCH(C922, Analysis!$D$115:$N$115, 0)), "")</f>
        <v/>
      </c>
      <c r="J922" t="str">
        <f t="shared" si="88"/>
        <v/>
      </c>
      <c r="K922" s="28" t="str">
        <f t="shared" si="85"/>
        <v/>
      </c>
      <c r="L922" s="46" t="str">
        <f t="shared" si="89"/>
        <v/>
      </c>
      <c r="M922" t="str" cm="1">
        <f t="array" ref="M922">IF(L922="","",_xlfn.IFS(
  AND(L922&gt;=TIME(9,0,0), L922&lt;TIME(16,0,0)),"Morning",
  AND(L922&gt;=TIME(16,0,0), L922&lt;TIME(23,59,0)),"Evening",
  L922&gt;=TIME(23,59,0),"Night",
  L922&lt;TIME(9,0,0),"Night"
))</f>
        <v/>
      </c>
      <c r="O922" t="str">
        <f t="shared" si="86"/>
        <v/>
      </c>
    </row>
    <row r="923" spans="1:15" x14ac:dyDescent="0.25">
      <c r="A923" s="49"/>
      <c r="G923" t="str">
        <f t="shared" si="84"/>
        <v/>
      </c>
      <c r="H923" s="13" t="str">
        <f t="shared" si="87"/>
        <v/>
      </c>
      <c r="I923" t="str">
        <f>IFERROR(INDEX(Analysis!$D$116:$N$137, MATCH(B923, Analysis!$C$116:$C$137, 0), MATCH(C923, Analysis!$D$115:$N$115, 0)), "")</f>
        <v/>
      </c>
      <c r="J923" t="str">
        <f t="shared" si="88"/>
        <v/>
      </c>
      <c r="K923" s="28" t="str">
        <f t="shared" si="85"/>
        <v/>
      </c>
      <c r="L923" s="46" t="str">
        <f t="shared" si="89"/>
        <v/>
      </c>
      <c r="M923" t="str" cm="1">
        <f t="array" ref="M923">IF(L923="","",_xlfn.IFS(
  AND(L923&gt;=TIME(9,0,0), L923&lt;TIME(16,0,0)),"Morning",
  AND(L923&gt;=TIME(16,0,0), L923&lt;TIME(23,59,0)),"Evening",
  L923&gt;=TIME(23,59,0),"Night",
  L923&lt;TIME(9,0,0),"Night"
))</f>
        <v/>
      </c>
      <c r="O923" t="str">
        <f t="shared" si="86"/>
        <v/>
      </c>
    </row>
    <row r="924" spans="1:15" x14ac:dyDescent="0.25">
      <c r="A924" s="49"/>
      <c r="G924" t="str">
        <f t="shared" si="84"/>
        <v/>
      </c>
      <c r="H924" s="13" t="str">
        <f t="shared" si="87"/>
        <v/>
      </c>
      <c r="I924" t="str">
        <f>IFERROR(INDEX(Analysis!$D$116:$N$137, MATCH(B924, Analysis!$C$116:$C$137, 0), MATCH(C924, Analysis!$D$115:$N$115, 0)), "")</f>
        <v/>
      </c>
      <c r="J924" t="str">
        <f t="shared" si="88"/>
        <v/>
      </c>
      <c r="K924" s="28" t="str">
        <f t="shared" si="85"/>
        <v/>
      </c>
      <c r="L924" s="46" t="str">
        <f t="shared" si="89"/>
        <v/>
      </c>
      <c r="M924" t="str" cm="1">
        <f t="array" ref="M924">IF(L924="","",_xlfn.IFS(
  AND(L924&gt;=TIME(9,0,0), L924&lt;TIME(16,0,0)),"Morning",
  AND(L924&gt;=TIME(16,0,0), L924&lt;TIME(23,59,0)),"Evening",
  L924&gt;=TIME(23,59,0),"Night",
  L924&lt;TIME(9,0,0),"Night"
))</f>
        <v/>
      </c>
      <c r="O924" t="str">
        <f t="shared" si="86"/>
        <v/>
      </c>
    </row>
    <row r="925" spans="1:15" x14ac:dyDescent="0.25">
      <c r="A925" s="49"/>
      <c r="G925" t="str">
        <f t="shared" si="84"/>
        <v/>
      </c>
      <c r="H925" s="13" t="str">
        <f t="shared" si="87"/>
        <v/>
      </c>
      <c r="I925" t="str">
        <f>IFERROR(INDEX(Analysis!$D$116:$N$137, MATCH(B925, Analysis!$C$116:$C$137, 0), MATCH(C925, Analysis!$D$115:$N$115, 0)), "")</f>
        <v/>
      </c>
      <c r="J925" t="str">
        <f t="shared" si="88"/>
        <v/>
      </c>
      <c r="K925" s="28" t="str">
        <f t="shared" si="85"/>
        <v/>
      </c>
      <c r="L925" s="46" t="str">
        <f t="shared" si="89"/>
        <v/>
      </c>
      <c r="M925" t="str" cm="1">
        <f t="array" ref="M925">IF(L925="","",_xlfn.IFS(
  AND(L925&gt;=TIME(9,0,0), L925&lt;TIME(16,0,0)),"Morning",
  AND(L925&gt;=TIME(16,0,0), L925&lt;TIME(23,59,0)),"Evening",
  L925&gt;=TIME(23,59,0),"Night",
  L925&lt;TIME(9,0,0),"Night"
))</f>
        <v/>
      </c>
      <c r="O925" t="str">
        <f t="shared" si="86"/>
        <v/>
      </c>
    </row>
    <row r="926" spans="1:15" x14ac:dyDescent="0.25">
      <c r="A926" s="49"/>
      <c r="G926" t="str">
        <f t="shared" si="84"/>
        <v/>
      </c>
      <c r="H926" s="13" t="str">
        <f t="shared" si="87"/>
        <v/>
      </c>
      <c r="I926" t="str">
        <f>IFERROR(INDEX(Analysis!$D$116:$N$137, MATCH(B926, Analysis!$C$116:$C$137, 0), MATCH(C926, Analysis!$D$115:$N$115, 0)), "")</f>
        <v/>
      </c>
      <c r="J926" t="str">
        <f t="shared" si="88"/>
        <v/>
      </c>
      <c r="K926" s="28" t="str">
        <f t="shared" si="85"/>
        <v/>
      </c>
      <c r="L926" s="46" t="str">
        <f t="shared" si="89"/>
        <v/>
      </c>
      <c r="M926" t="str" cm="1">
        <f t="array" ref="M926">IF(L926="","",_xlfn.IFS(
  AND(L926&gt;=TIME(9,0,0), L926&lt;TIME(16,0,0)),"Morning",
  AND(L926&gt;=TIME(16,0,0), L926&lt;TIME(23,59,0)),"Evening",
  L926&gt;=TIME(23,59,0),"Night",
  L926&lt;TIME(9,0,0),"Night"
))</f>
        <v/>
      </c>
      <c r="O926" t="str">
        <f t="shared" si="86"/>
        <v/>
      </c>
    </row>
    <row r="927" spans="1:15" x14ac:dyDescent="0.25">
      <c r="A927" s="49"/>
      <c r="G927" t="str">
        <f t="shared" si="84"/>
        <v/>
      </c>
      <c r="H927" s="13" t="str">
        <f t="shared" si="87"/>
        <v/>
      </c>
      <c r="I927" t="str">
        <f>IFERROR(INDEX(Analysis!$D$116:$N$137, MATCH(B927, Analysis!$C$116:$C$137, 0), MATCH(C927, Analysis!$D$115:$N$115, 0)), "")</f>
        <v/>
      </c>
      <c r="J927" t="str">
        <f t="shared" si="88"/>
        <v/>
      </c>
      <c r="K927" s="28" t="str">
        <f t="shared" si="85"/>
        <v/>
      </c>
      <c r="L927" s="46" t="str">
        <f t="shared" si="89"/>
        <v/>
      </c>
      <c r="M927" t="str" cm="1">
        <f t="array" ref="M927">IF(L927="","",_xlfn.IFS(
  AND(L927&gt;=TIME(9,0,0), L927&lt;TIME(16,0,0)),"Morning",
  AND(L927&gt;=TIME(16,0,0), L927&lt;TIME(23,59,0)),"Evening",
  L927&gt;=TIME(23,59,0),"Night",
  L927&lt;TIME(9,0,0),"Night"
))</f>
        <v/>
      </c>
      <c r="O927" t="str">
        <f t="shared" si="86"/>
        <v/>
      </c>
    </row>
    <row r="928" spans="1:15" x14ac:dyDescent="0.25">
      <c r="A928" s="49"/>
      <c r="G928" t="str">
        <f t="shared" si="84"/>
        <v/>
      </c>
      <c r="H928" s="13" t="str">
        <f t="shared" si="87"/>
        <v/>
      </c>
      <c r="I928" t="str">
        <f>IFERROR(INDEX(Analysis!$D$116:$N$137, MATCH(B928, Analysis!$C$116:$C$137, 0), MATCH(C928, Analysis!$D$115:$N$115, 0)), "")</f>
        <v/>
      </c>
      <c r="J928" t="str">
        <f t="shared" si="88"/>
        <v/>
      </c>
      <c r="K928" s="28" t="str">
        <f t="shared" si="85"/>
        <v/>
      </c>
      <c r="L928" s="46" t="str">
        <f t="shared" si="89"/>
        <v/>
      </c>
      <c r="M928" t="str" cm="1">
        <f t="array" ref="M928">IF(L928="","",_xlfn.IFS(
  AND(L928&gt;=TIME(9,0,0), L928&lt;TIME(16,0,0)),"Morning",
  AND(L928&gt;=TIME(16,0,0), L928&lt;TIME(23,59,0)),"Evening",
  L928&gt;=TIME(23,59,0),"Night",
  L928&lt;TIME(9,0,0),"Night"
))</f>
        <v/>
      </c>
      <c r="O928" t="str">
        <f t="shared" si="86"/>
        <v/>
      </c>
    </row>
    <row r="929" spans="1:15" x14ac:dyDescent="0.25">
      <c r="A929" s="49"/>
      <c r="G929" t="str">
        <f t="shared" si="84"/>
        <v/>
      </c>
      <c r="H929" s="13" t="str">
        <f t="shared" si="87"/>
        <v/>
      </c>
      <c r="I929" t="str">
        <f>IFERROR(INDEX(Analysis!$D$116:$N$137, MATCH(B929, Analysis!$C$116:$C$137, 0), MATCH(C929, Analysis!$D$115:$N$115, 0)), "")</f>
        <v/>
      </c>
      <c r="J929" t="str">
        <f t="shared" si="88"/>
        <v/>
      </c>
      <c r="K929" s="28" t="str">
        <f t="shared" si="85"/>
        <v/>
      </c>
      <c r="L929" s="46" t="str">
        <f t="shared" si="89"/>
        <v/>
      </c>
      <c r="M929" t="str" cm="1">
        <f t="array" ref="M929">IF(L929="","",_xlfn.IFS(
  AND(L929&gt;=TIME(9,0,0), L929&lt;TIME(16,0,0)),"Morning",
  AND(L929&gt;=TIME(16,0,0), L929&lt;TIME(23,59,0)),"Evening",
  L929&gt;=TIME(23,59,0),"Night",
  L929&lt;TIME(9,0,0),"Night"
))</f>
        <v/>
      </c>
      <c r="O929" t="str">
        <f t="shared" si="86"/>
        <v/>
      </c>
    </row>
    <row r="930" spans="1:15" x14ac:dyDescent="0.25">
      <c r="A930" s="49"/>
      <c r="G930" t="str">
        <f t="shared" si="84"/>
        <v/>
      </c>
      <c r="H930" s="13" t="str">
        <f t="shared" si="87"/>
        <v/>
      </c>
      <c r="I930" t="str">
        <f>IFERROR(INDEX(Analysis!$D$116:$N$137, MATCH(B930, Analysis!$C$116:$C$137, 0), MATCH(C930, Analysis!$D$115:$N$115, 0)), "")</f>
        <v/>
      </c>
      <c r="J930" t="str">
        <f t="shared" si="88"/>
        <v/>
      </c>
      <c r="K930" s="28" t="str">
        <f t="shared" si="85"/>
        <v/>
      </c>
      <c r="L930" s="46" t="str">
        <f t="shared" si="89"/>
        <v/>
      </c>
      <c r="M930" t="str" cm="1">
        <f t="array" ref="M930">IF(L930="","",_xlfn.IFS(
  AND(L930&gt;=TIME(9,0,0), L930&lt;TIME(16,0,0)),"Morning",
  AND(L930&gt;=TIME(16,0,0), L930&lt;TIME(23,59,0)),"Evening",
  L930&gt;=TIME(23,59,0),"Night",
  L930&lt;TIME(9,0,0),"Night"
))</f>
        <v/>
      </c>
      <c r="O930" t="str">
        <f t="shared" si="86"/>
        <v/>
      </c>
    </row>
    <row r="931" spans="1:15" x14ac:dyDescent="0.25">
      <c r="A931" s="49"/>
      <c r="G931" t="str">
        <f t="shared" si="84"/>
        <v/>
      </c>
      <c r="H931" s="13" t="str">
        <f t="shared" si="87"/>
        <v/>
      </c>
      <c r="I931" t="str">
        <f>IFERROR(INDEX(Analysis!$D$116:$N$137, MATCH(B931, Analysis!$C$116:$C$137, 0), MATCH(C931, Analysis!$D$115:$N$115, 0)), "")</f>
        <v/>
      </c>
      <c r="J931" t="str">
        <f t="shared" si="88"/>
        <v/>
      </c>
      <c r="K931" s="28" t="str">
        <f t="shared" si="85"/>
        <v/>
      </c>
      <c r="L931" s="46" t="str">
        <f t="shared" si="89"/>
        <v/>
      </c>
      <c r="M931" t="str" cm="1">
        <f t="array" ref="M931">IF(L931="","",_xlfn.IFS(
  AND(L931&gt;=TIME(9,0,0), L931&lt;TIME(16,0,0)),"Morning",
  AND(L931&gt;=TIME(16,0,0), L931&lt;TIME(23,59,0)),"Evening",
  L931&gt;=TIME(23,59,0),"Night",
  L931&lt;TIME(9,0,0),"Night"
))</f>
        <v/>
      </c>
      <c r="O931" t="str">
        <f t="shared" si="86"/>
        <v/>
      </c>
    </row>
    <row r="932" spans="1:15" x14ac:dyDescent="0.25">
      <c r="A932" s="49"/>
      <c r="G932" t="str">
        <f t="shared" si="84"/>
        <v/>
      </c>
      <c r="H932" s="13" t="str">
        <f t="shared" si="87"/>
        <v/>
      </c>
      <c r="I932" t="str">
        <f>IFERROR(INDEX(Analysis!$D$116:$N$137, MATCH(B932, Analysis!$C$116:$C$137, 0), MATCH(C932, Analysis!$D$115:$N$115, 0)), "")</f>
        <v/>
      </c>
      <c r="J932" t="str">
        <f t="shared" si="88"/>
        <v/>
      </c>
      <c r="K932" s="28" t="str">
        <f t="shared" si="85"/>
        <v/>
      </c>
      <c r="L932" s="46" t="str">
        <f t="shared" si="89"/>
        <v/>
      </c>
      <c r="M932" t="str" cm="1">
        <f t="array" ref="M932">IF(L932="","",_xlfn.IFS(
  AND(L932&gt;=TIME(9,0,0), L932&lt;TIME(16,0,0)),"Morning",
  AND(L932&gt;=TIME(16,0,0), L932&lt;TIME(23,59,0)),"Evening",
  L932&gt;=TIME(23,59,0),"Night",
  L932&lt;TIME(9,0,0),"Night"
))</f>
        <v/>
      </c>
      <c r="O932" t="str">
        <f t="shared" si="86"/>
        <v/>
      </c>
    </row>
    <row r="933" spans="1:15" x14ac:dyDescent="0.25">
      <c r="A933" s="49"/>
      <c r="G933" t="str">
        <f t="shared" si="84"/>
        <v/>
      </c>
      <c r="H933" s="13" t="str">
        <f t="shared" si="87"/>
        <v/>
      </c>
      <c r="I933" t="str">
        <f>IFERROR(INDEX(Analysis!$D$116:$N$137, MATCH(B933, Analysis!$C$116:$C$137, 0), MATCH(C933, Analysis!$D$115:$N$115, 0)), "")</f>
        <v/>
      </c>
      <c r="J933" t="str">
        <f t="shared" si="88"/>
        <v/>
      </c>
      <c r="K933" s="28" t="str">
        <f t="shared" si="85"/>
        <v/>
      </c>
      <c r="L933" s="46" t="str">
        <f t="shared" si="89"/>
        <v/>
      </c>
      <c r="M933" t="str" cm="1">
        <f t="array" ref="M933">IF(L933="","",_xlfn.IFS(
  AND(L933&gt;=TIME(9,0,0), L933&lt;TIME(16,0,0)),"Morning",
  AND(L933&gt;=TIME(16,0,0), L933&lt;TIME(23,59,0)),"Evening",
  L933&gt;=TIME(23,59,0),"Night",
  L933&lt;TIME(9,0,0),"Night"
))</f>
        <v/>
      </c>
      <c r="O933" t="str">
        <f t="shared" si="86"/>
        <v/>
      </c>
    </row>
    <row r="934" spans="1:15" x14ac:dyDescent="0.25">
      <c r="A934" s="49"/>
      <c r="G934" t="str">
        <f t="shared" si="84"/>
        <v/>
      </c>
      <c r="H934" s="13" t="str">
        <f t="shared" si="87"/>
        <v/>
      </c>
      <c r="I934" t="str">
        <f>IFERROR(INDEX(Analysis!$D$116:$N$137, MATCH(B934, Analysis!$C$116:$C$137, 0), MATCH(C934, Analysis!$D$115:$N$115, 0)), "")</f>
        <v/>
      </c>
      <c r="J934" t="str">
        <f t="shared" si="88"/>
        <v/>
      </c>
      <c r="K934" s="28" t="str">
        <f t="shared" si="85"/>
        <v/>
      </c>
      <c r="L934" s="46" t="str">
        <f t="shared" si="89"/>
        <v/>
      </c>
      <c r="M934" t="str" cm="1">
        <f t="array" ref="M934">IF(L934="","",_xlfn.IFS(
  AND(L934&gt;=TIME(9,0,0), L934&lt;TIME(16,0,0)),"Morning",
  AND(L934&gt;=TIME(16,0,0), L934&lt;TIME(23,59,0)),"Evening",
  L934&gt;=TIME(23,59,0),"Night",
  L934&lt;TIME(9,0,0),"Night"
))</f>
        <v/>
      </c>
      <c r="O934" t="str">
        <f t="shared" si="86"/>
        <v/>
      </c>
    </row>
    <row r="935" spans="1:15" x14ac:dyDescent="0.25">
      <c r="A935" s="49"/>
      <c r="G935" t="str">
        <f t="shared" si="84"/>
        <v/>
      </c>
      <c r="H935" s="13" t="str">
        <f t="shared" si="87"/>
        <v/>
      </c>
      <c r="I935" t="str">
        <f>IFERROR(INDEX(Analysis!$D$116:$N$137, MATCH(B935, Analysis!$C$116:$C$137, 0), MATCH(C935, Analysis!$D$115:$N$115, 0)), "")</f>
        <v/>
      </c>
      <c r="J935" t="str">
        <f t="shared" si="88"/>
        <v/>
      </c>
      <c r="K935" s="28" t="str">
        <f t="shared" si="85"/>
        <v/>
      </c>
      <c r="L935" s="46" t="str">
        <f t="shared" si="89"/>
        <v/>
      </c>
      <c r="M935" t="str" cm="1">
        <f t="array" ref="M935">IF(L935="","",_xlfn.IFS(
  AND(L935&gt;=TIME(9,0,0), L935&lt;TIME(16,0,0)),"Morning",
  AND(L935&gt;=TIME(16,0,0), L935&lt;TIME(23,59,0)),"Evening",
  L935&gt;=TIME(23,59,0),"Night",
  L935&lt;TIME(9,0,0),"Night"
))</f>
        <v/>
      </c>
      <c r="O935" t="str">
        <f t="shared" si="86"/>
        <v/>
      </c>
    </row>
    <row r="936" spans="1:15" x14ac:dyDescent="0.25">
      <c r="A936" s="49"/>
      <c r="G936" t="str">
        <f t="shared" si="84"/>
        <v/>
      </c>
      <c r="H936" s="13" t="str">
        <f t="shared" si="87"/>
        <v/>
      </c>
      <c r="I936" t="str">
        <f>IFERROR(INDEX(Analysis!$D$116:$N$137, MATCH(B936, Analysis!$C$116:$C$137, 0), MATCH(C936, Analysis!$D$115:$N$115, 0)), "")</f>
        <v/>
      </c>
      <c r="J936" t="str">
        <f t="shared" si="88"/>
        <v/>
      </c>
      <c r="K936" s="28" t="str">
        <f t="shared" si="85"/>
        <v/>
      </c>
      <c r="L936" s="46" t="str">
        <f t="shared" si="89"/>
        <v/>
      </c>
      <c r="M936" t="str" cm="1">
        <f t="array" ref="M936">IF(L936="","",_xlfn.IFS(
  AND(L936&gt;=TIME(9,0,0), L936&lt;TIME(16,0,0)),"Morning",
  AND(L936&gt;=TIME(16,0,0), L936&lt;TIME(23,59,0)),"Evening",
  L936&gt;=TIME(23,59,0),"Night",
  L936&lt;TIME(9,0,0),"Night"
))</f>
        <v/>
      </c>
      <c r="O936" t="str">
        <f t="shared" si="86"/>
        <v/>
      </c>
    </row>
    <row r="937" spans="1:15" x14ac:dyDescent="0.25">
      <c r="A937" s="49"/>
      <c r="G937" t="str">
        <f t="shared" si="84"/>
        <v/>
      </c>
      <c r="H937" s="13" t="str">
        <f t="shared" si="87"/>
        <v/>
      </c>
      <c r="I937" t="str">
        <f>IFERROR(INDEX(Analysis!$D$116:$N$137, MATCH(B937, Analysis!$C$116:$C$137, 0), MATCH(C937, Analysis!$D$115:$N$115, 0)), "")</f>
        <v/>
      </c>
      <c r="J937" t="str">
        <f t="shared" si="88"/>
        <v/>
      </c>
      <c r="K937" s="28" t="str">
        <f t="shared" si="85"/>
        <v/>
      </c>
      <c r="L937" s="46" t="str">
        <f t="shared" si="89"/>
        <v/>
      </c>
      <c r="M937" t="str" cm="1">
        <f t="array" ref="M937">IF(L937="","",_xlfn.IFS(
  AND(L937&gt;=TIME(9,0,0), L937&lt;TIME(16,0,0)),"Morning",
  AND(L937&gt;=TIME(16,0,0), L937&lt;TIME(23,59,0)),"Evening",
  L937&gt;=TIME(23,59,0),"Night",
  L937&lt;TIME(9,0,0),"Night"
))</f>
        <v/>
      </c>
      <c r="O937" t="str">
        <f t="shared" si="86"/>
        <v/>
      </c>
    </row>
    <row r="938" spans="1:15" x14ac:dyDescent="0.25">
      <c r="A938" s="49"/>
      <c r="G938" t="str">
        <f t="shared" si="84"/>
        <v/>
      </c>
      <c r="H938" s="13" t="str">
        <f t="shared" si="87"/>
        <v/>
      </c>
      <c r="I938" t="str">
        <f>IFERROR(INDEX(Analysis!$D$116:$N$137, MATCH(B938, Analysis!$C$116:$C$137, 0), MATCH(C938, Analysis!$D$115:$N$115, 0)), "")</f>
        <v/>
      </c>
      <c r="J938" t="str">
        <f t="shared" si="88"/>
        <v/>
      </c>
      <c r="K938" s="28" t="str">
        <f t="shared" si="85"/>
        <v/>
      </c>
      <c r="L938" s="46" t="str">
        <f t="shared" si="89"/>
        <v/>
      </c>
      <c r="M938" t="str" cm="1">
        <f t="array" ref="M938">IF(L938="","",_xlfn.IFS(
  AND(L938&gt;=TIME(9,0,0), L938&lt;TIME(16,0,0)),"Morning",
  AND(L938&gt;=TIME(16,0,0), L938&lt;TIME(23,59,0)),"Evening",
  L938&gt;=TIME(23,59,0),"Night",
  L938&lt;TIME(9,0,0),"Night"
))</f>
        <v/>
      </c>
      <c r="O938" t="str">
        <f t="shared" si="86"/>
        <v/>
      </c>
    </row>
    <row r="939" spans="1:15" x14ac:dyDescent="0.25">
      <c r="A939" s="49"/>
      <c r="G939" t="str">
        <f t="shared" si="84"/>
        <v/>
      </c>
      <c r="H939" s="13" t="str">
        <f t="shared" si="87"/>
        <v/>
      </c>
      <c r="I939" t="str">
        <f>IFERROR(INDEX(Analysis!$D$116:$N$137, MATCH(B939, Analysis!$C$116:$C$137, 0), MATCH(C939, Analysis!$D$115:$N$115, 0)), "")</f>
        <v/>
      </c>
      <c r="J939" t="str">
        <f t="shared" si="88"/>
        <v/>
      </c>
      <c r="K939" s="28" t="str">
        <f t="shared" si="85"/>
        <v/>
      </c>
      <c r="L939" s="46" t="str">
        <f t="shared" si="89"/>
        <v/>
      </c>
      <c r="M939" t="str" cm="1">
        <f t="array" ref="M939">IF(L939="","",_xlfn.IFS(
  AND(L939&gt;=TIME(9,0,0), L939&lt;TIME(16,0,0)),"Morning",
  AND(L939&gt;=TIME(16,0,0), L939&lt;TIME(23,59,0)),"Evening",
  L939&gt;=TIME(23,59,0),"Night",
  L939&lt;TIME(9,0,0),"Night"
))</f>
        <v/>
      </c>
      <c r="O939" t="str">
        <f t="shared" si="86"/>
        <v/>
      </c>
    </row>
    <row r="940" spans="1:15" x14ac:dyDescent="0.25">
      <c r="A940" s="49"/>
      <c r="G940" t="str">
        <f t="shared" si="84"/>
        <v/>
      </c>
      <c r="H940" s="13" t="str">
        <f t="shared" si="87"/>
        <v/>
      </c>
      <c r="I940" t="str">
        <f>IFERROR(INDEX(Analysis!$D$116:$N$137, MATCH(B940, Analysis!$C$116:$C$137, 0), MATCH(C940, Analysis!$D$115:$N$115, 0)), "")</f>
        <v/>
      </c>
      <c r="J940" t="str">
        <f t="shared" si="88"/>
        <v/>
      </c>
      <c r="K940" s="28" t="str">
        <f t="shared" si="85"/>
        <v/>
      </c>
      <c r="L940" s="46" t="str">
        <f t="shared" si="89"/>
        <v/>
      </c>
      <c r="M940" t="str" cm="1">
        <f t="array" ref="M940">IF(L940="","",_xlfn.IFS(
  AND(L940&gt;=TIME(9,0,0), L940&lt;TIME(16,0,0)),"Morning",
  AND(L940&gt;=TIME(16,0,0), L940&lt;TIME(23,59,0)),"Evening",
  L940&gt;=TIME(23,59,0),"Night",
  L940&lt;TIME(9,0,0),"Night"
))</f>
        <v/>
      </c>
      <c r="O940" t="str">
        <f t="shared" si="86"/>
        <v/>
      </c>
    </row>
    <row r="941" spans="1:15" x14ac:dyDescent="0.25">
      <c r="A941" s="49"/>
      <c r="G941" t="str">
        <f t="shared" si="84"/>
        <v/>
      </c>
      <c r="H941" s="13" t="str">
        <f t="shared" si="87"/>
        <v/>
      </c>
      <c r="I941" t="str">
        <f>IFERROR(INDEX(Analysis!$D$116:$N$137, MATCH(B941, Analysis!$C$116:$C$137, 0), MATCH(C941, Analysis!$D$115:$N$115, 0)), "")</f>
        <v/>
      </c>
      <c r="J941" t="str">
        <f t="shared" si="88"/>
        <v/>
      </c>
      <c r="K941" s="28" t="str">
        <f t="shared" si="85"/>
        <v/>
      </c>
      <c r="L941" s="46" t="str">
        <f t="shared" si="89"/>
        <v/>
      </c>
      <c r="M941" t="str" cm="1">
        <f t="array" ref="M941">IF(L941="","",_xlfn.IFS(
  AND(L941&gt;=TIME(9,0,0), L941&lt;TIME(16,0,0)),"Morning",
  AND(L941&gt;=TIME(16,0,0), L941&lt;TIME(23,59,0)),"Evening",
  L941&gt;=TIME(23,59,0),"Night",
  L941&lt;TIME(9,0,0),"Night"
))</f>
        <v/>
      </c>
      <c r="O941" t="str">
        <f t="shared" si="86"/>
        <v/>
      </c>
    </row>
    <row r="942" spans="1:15" x14ac:dyDescent="0.25">
      <c r="A942" s="49"/>
      <c r="G942" t="str">
        <f t="shared" si="84"/>
        <v/>
      </c>
      <c r="H942" s="13" t="str">
        <f t="shared" si="87"/>
        <v/>
      </c>
      <c r="I942" t="str">
        <f>IFERROR(INDEX(Analysis!$D$116:$N$137, MATCH(B942, Analysis!$C$116:$C$137, 0), MATCH(C942, Analysis!$D$115:$N$115, 0)), "")</f>
        <v/>
      </c>
      <c r="J942" t="str">
        <f t="shared" si="88"/>
        <v/>
      </c>
      <c r="K942" s="28" t="str">
        <f t="shared" si="85"/>
        <v/>
      </c>
      <c r="L942" s="46" t="str">
        <f t="shared" si="89"/>
        <v/>
      </c>
      <c r="M942" t="str" cm="1">
        <f t="array" ref="M942">IF(L942="","",_xlfn.IFS(
  AND(L942&gt;=TIME(9,0,0), L942&lt;TIME(16,0,0)),"Morning",
  AND(L942&gt;=TIME(16,0,0), L942&lt;TIME(23,59,0)),"Evening",
  L942&gt;=TIME(23,59,0),"Night",
  L942&lt;TIME(9,0,0),"Night"
))</f>
        <v/>
      </c>
      <c r="O942" t="str">
        <f t="shared" si="86"/>
        <v/>
      </c>
    </row>
    <row r="943" spans="1:15" x14ac:dyDescent="0.25">
      <c r="A943" s="49"/>
      <c r="G943" t="str">
        <f t="shared" si="84"/>
        <v/>
      </c>
      <c r="H943" s="13" t="str">
        <f t="shared" si="87"/>
        <v/>
      </c>
      <c r="I943" t="str">
        <f>IFERROR(INDEX(Analysis!$D$116:$N$137, MATCH(B943, Analysis!$C$116:$C$137, 0), MATCH(C943, Analysis!$D$115:$N$115, 0)), "")</f>
        <v/>
      </c>
      <c r="J943" t="str">
        <f t="shared" si="88"/>
        <v/>
      </c>
      <c r="K943" s="28" t="str">
        <f t="shared" si="85"/>
        <v/>
      </c>
      <c r="L943" s="46" t="str">
        <f t="shared" si="89"/>
        <v/>
      </c>
      <c r="M943" t="str" cm="1">
        <f t="array" ref="M943">IF(L943="","",_xlfn.IFS(
  AND(L943&gt;=TIME(9,0,0), L943&lt;TIME(16,0,0)),"Morning",
  AND(L943&gt;=TIME(16,0,0), L943&lt;TIME(23,59,0)),"Evening",
  L943&gt;=TIME(23,59,0),"Night",
  L943&lt;TIME(9,0,0),"Night"
))</f>
        <v/>
      </c>
      <c r="O943" t="str">
        <f t="shared" si="86"/>
        <v/>
      </c>
    </row>
    <row r="944" spans="1:15" x14ac:dyDescent="0.25">
      <c r="A944" s="49"/>
      <c r="G944" t="str">
        <f t="shared" si="84"/>
        <v/>
      </c>
      <c r="H944" s="13" t="str">
        <f t="shared" si="87"/>
        <v/>
      </c>
      <c r="I944" t="str">
        <f>IFERROR(INDEX(Analysis!$D$116:$N$137, MATCH(B944, Analysis!$C$116:$C$137, 0), MATCH(C944, Analysis!$D$115:$N$115, 0)), "")</f>
        <v/>
      </c>
      <c r="J944" t="str">
        <f t="shared" si="88"/>
        <v/>
      </c>
      <c r="K944" s="28" t="str">
        <f t="shared" si="85"/>
        <v/>
      </c>
      <c r="L944" s="46" t="str">
        <f t="shared" si="89"/>
        <v/>
      </c>
      <c r="M944" t="str" cm="1">
        <f t="array" ref="M944">IF(L944="","",_xlfn.IFS(
  AND(L944&gt;=TIME(9,0,0), L944&lt;TIME(16,0,0)),"Morning",
  AND(L944&gt;=TIME(16,0,0), L944&lt;TIME(23,59,0)),"Evening",
  L944&gt;=TIME(23,59,0),"Night",
  L944&lt;TIME(9,0,0),"Night"
))</f>
        <v/>
      </c>
      <c r="O944" t="str">
        <f t="shared" si="86"/>
        <v/>
      </c>
    </row>
    <row r="945" spans="1:15" x14ac:dyDescent="0.25">
      <c r="A945" s="49"/>
      <c r="G945" t="str">
        <f t="shared" si="84"/>
        <v/>
      </c>
      <c r="H945" s="13" t="str">
        <f t="shared" si="87"/>
        <v/>
      </c>
      <c r="I945" t="str">
        <f>IFERROR(INDEX(Analysis!$D$116:$N$137, MATCH(B945, Analysis!$C$116:$C$137, 0), MATCH(C945, Analysis!$D$115:$N$115, 0)), "")</f>
        <v/>
      </c>
      <c r="J945" t="str">
        <f t="shared" si="88"/>
        <v/>
      </c>
      <c r="K945" s="28" t="str">
        <f t="shared" si="85"/>
        <v/>
      </c>
      <c r="L945" s="46" t="str">
        <f t="shared" si="89"/>
        <v/>
      </c>
      <c r="M945" t="str" cm="1">
        <f t="array" ref="M945">IF(L945="","",_xlfn.IFS(
  AND(L945&gt;=TIME(9,0,0), L945&lt;TIME(16,0,0)),"Morning",
  AND(L945&gt;=TIME(16,0,0), L945&lt;TIME(23,59,0)),"Evening",
  L945&gt;=TIME(23,59,0),"Night",
  L945&lt;TIME(9,0,0),"Night"
))</f>
        <v/>
      </c>
      <c r="O945" t="str">
        <f t="shared" si="86"/>
        <v/>
      </c>
    </row>
    <row r="946" spans="1:15" x14ac:dyDescent="0.25">
      <c r="A946" s="49"/>
      <c r="G946" t="str">
        <f t="shared" si="84"/>
        <v/>
      </c>
      <c r="H946" s="13" t="str">
        <f t="shared" si="87"/>
        <v/>
      </c>
      <c r="I946" t="str">
        <f>IFERROR(INDEX(Analysis!$D$116:$N$137, MATCH(B946, Analysis!$C$116:$C$137, 0), MATCH(C946, Analysis!$D$115:$N$115, 0)), "")</f>
        <v/>
      </c>
      <c r="J946" t="str">
        <f t="shared" si="88"/>
        <v/>
      </c>
      <c r="K946" s="28" t="str">
        <f t="shared" si="85"/>
        <v/>
      </c>
      <c r="L946" s="46" t="str">
        <f t="shared" si="89"/>
        <v/>
      </c>
      <c r="M946" t="str" cm="1">
        <f t="array" ref="M946">IF(L946="","",_xlfn.IFS(
  AND(L946&gt;=TIME(9,0,0), L946&lt;TIME(16,0,0)),"Morning",
  AND(L946&gt;=TIME(16,0,0), L946&lt;TIME(23,59,0)),"Evening",
  L946&gt;=TIME(23,59,0),"Night",
  L946&lt;TIME(9,0,0),"Night"
))</f>
        <v/>
      </c>
      <c r="O946" t="str">
        <f t="shared" si="86"/>
        <v/>
      </c>
    </row>
    <row r="947" spans="1:15" x14ac:dyDescent="0.25">
      <c r="A947" s="49"/>
      <c r="G947" t="str">
        <f t="shared" si="84"/>
        <v/>
      </c>
      <c r="H947" s="13" t="str">
        <f t="shared" si="87"/>
        <v/>
      </c>
      <c r="I947" t="str">
        <f>IFERROR(INDEX(Analysis!$D$116:$N$137, MATCH(B947, Analysis!$C$116:$C$137, 0), MATCH(C947, Analysis!$D$115:$N$115, 0)), "")</f>
        <v/>
      </c>
      <c r="J947" t="str">
        <f t="shared" si="88"/>
        <v/>
      </c>
      <c r="K947" s="28" t="str">
        <f t="shared" si="85"/>
        <v/>
      </c>
      <c r="L947" s="46" t="str">
        <f t="shared" si="89"/>
        <v/>
      </c>
      <c r="M947" t="str" cm="1">
        <f t="array" ref="M947">IF(L947="","",_xlfn.IFS(
  AND(L947&gt;=TIME(9,0,0), L947&lt;TIME(16,0,0)),"Morning",
  AND(L947&gt;=TIME(16,0,0), L947&lt;TIME(23,59,0)),"Evening",
  L947&gt;=TIME(23,59,0),"Night",
  L947&lt;TIME(9,0,0),"Night"
))</f>
        <v/>
      </c>
      <c r="O947" t="str">
        <f t="shared" si="86"/>
        <v/>
      </c>
    </row>
    <row r="948" spans="1:15" x14ac:dyDescent="0.25">
      <c r="A948" s="49"/>
      <c r="G948" t="str">
        <f t="shared" si="84"/>
        <v/>
      </c>
      <c r="H948" s="13" t="str">
        <f t="shared" si="87"/>
        <v/>
      </c>
      <c r="I948" t="str">
        <f>IFERROR(INDEX(Analysis!$D$116:$N$137, MATCH(B948, Analysis!$C$116:$C$137, 0), MATCH(C948, Analysis!$D$115:$N$115, 0)), "")</f>
        <v/>
      </c>
      <c r="J948" t="str">
        <f t="shared" si="88"/>
        <v/>
      </c>
      <c r="K948" s="28" t="str">
        <f t="shared" si="85"/>
        <v/>
      </c>
      <c r="L948" s="46" t="str">
        <f t="shared" si="89"/>
        <v/>
      </c>
      <c r="M948" t="str" cm="1">
        <f t="array" ref="M948">IF(L948="","",_xlfn.IFS(
  AND(L948&gt;=TIME(9,0,0), L948&lt;TIME(16,0,0)),"Morning",
  AND(L948&gt;=TIME(16,0,0), L948&lt;TIME(23,59,0)),"Evening",
  L948&gt;=TIME(23,59,0),"Night",
  L948&lt;TIME(9,0,0),"Night"
))</f>
        <v/>
      </c>
      <c r="O948" t="str">
        <f t="shared" si="86"/>
        <v/>
      </c>
    </row>
    <row r="949" spans="1:15" x14ac:dyDescent="0.25">
      <c r="A949" s="49"/>
      <c r="G949" t="str">
        <f t="shared" si="84"/>
        <v/>
      </c>
      <c r="H949" s="13" t="str">
        <f t="shared" si="87"/>
        <v/>
      </c>
      <c r="I949" t="str">
        <f>IFERROR(INDEX(Analysis!$D$116:$N$137, MATCH(B949, Analysis!$C$116:$C$137, 0), MATCH(C949, Analysis!$D$115:$N$115, 0)), "")</f>
        <v/>
      </c>
      <c r="J949" t="str">
        <f t="shared" si="88"/>
        <v/>
      </c>
      <c r="K949" s="28" t="str">
        <f t="shared" si="85"/>
        <v/>
      </c>
      <c r="L949" s="46" t="str">
        <f t="shared" si="89"/>
        <v/>
      </c>
      <c r="M949" t="str" cm="1">
        <f t="array" ref="M949">IF(L949="","",_xlfn.IFS(
  AND(L949&gt;=TIME(9,0,0), L949&lt;TIME(16,0,0)),"Morning",
  AND(L949&gt;=TIME(16,0,0), L949&lt;TIME(23,59,0)),"Evening",
  L949&gt;=TIME(23,59,0),"Night",
  L949&lt;TIME(9,0,0),"Night"
))</f>
        <v/>
      </c>
      <c r="O949" t="str">
        <f t="shared" si="86"/>
        <v/>
      </c>
    </row>
    <row r="950" spans="1:15" x14ac:dyDescent="0.25">
      <c r="A950" s="49"/>
      <c r="G950" t="str">
        <f t="shared" si="84"/>
        <v/>
      </c>
      <c r="H950" s="13" t="str">
        <f t="shared" si="87"/>
        <v/>
      </c>
      <c r="I950" t="str">
        <f>IFERROR(INDEX(Analysis!$D$116:$N$137, MATCH(B950, Analysis!$C$116:$C$137, 0), MATCH(C950, Analysis!$D$115:$N$115, 0)), "")</f>
        <v/>
      </c>
      <c r="J950" t="str">
        <f t="shared" si="88"/>
        <v/>
      </c>
      <c r="K950" s="28" t="str">
        <f t="shared" si="85"/>
        <v/>
      </c>
      <c r="L950" s="46" t="str">
        <f t="shared" si="89"/>
        <v/>
      </c>
      <c r="M950" t="str" cm="1">
        <f t="array" ref="M950">IF(L950="","",_xlfn.IFS(
  AND(L950&gt;=TIME(9,0,0), L950&lt;TIME(16,0,0)),"Morning",
  AND(L950&gt;=TIME(16,0,0), L950&lt;TIME(23,59,0)),"Evening",
  L950&gt;=TIME(23,59,0),"Night",
  L950&lt;TIME(9,0,0),"Night"
))</f>
        <v/>
      </c>
      <c r="O950" t="str">
        <f t="shared" si="86"/>
        <v/>
      </c>
    </row>
    <row r="951" spans="1:15" x14ac:dyDescent="0.25">
      <c r="A951" s="49"/>
      <c r="G951" t="str">
        <f t="shared" si="84"/>
        <v/>
      </c>
      <c r="H951" s="13" t="str">
        <f t="shared" si="87"/>
        <v/>
      </c>
      <c r="I951" t="str">
        <f>IFERROR(INDEX(Analysis!$D$116:$N$137, MATCH(B951, Analysis!$C$116:$C$137, 0), MATCH(C951, Analysis!$D$115:$N$115, 0)), "")</f>
        <v/>
      </c>
      <c r="J951" t="str">
        <f t="shared" si="88"/>
        <v/>
      </c>
      <c r="K951" s="28" t="str">
        <f t="shared" si="85"/>
        <v/>
      </c>
      <c r="L951" s="46" t="str">
        <f t="shared" si="89"/>
        <v/>
      </c>
      <c r="M951" t="str" cm="1">
        <f t="array" ref="M951">IF(L951="","",_xlfn.IFS(
  AND(L951&gt;=TIME(9,0,0), L951&lt;TIME(16,0,0)),"Morning",
  AND(L951&gt;=TIME(16,0,0), L951&lt;TIME(23,59,0)),"Evening",
  L951&gt;=TIME(23,59,0),"Night",
  L951&lt;TIME(9,0,0),"Night"
))</f>
        <v/>
      </c>
      <c r="O951" t="str">
        <f t="shared" si="86"/>
        <v/>
      </c>
    </row>
    <row r="952" spans="1:15" x14ac:dyDescent="0.25">
      <c r="A952" s="49"/>
      <c r="G952" t="str">
        <f t="shared" si="84"/>
        <v/>
      </c>
      <c r="H952" s="13" t="str">
        <f t="shared" si="87"/>
        <v/>
      </c>
      <c r="I952" t="str">
        <f>IFERROR(INDEX(Analysis!$D$116:$N$137, MATCH(B952, Analysis!$C$116:$C$137, 0), MATCH(C952, Analysis!$D$115:$N$115, 0)), "")</f>
        <v/>
      </c>
      <c r="J952" t="str">
        <f t="shared" si="88"/>
        <v/>
      </c>
      <c r="K952" s="28" t="str">
        <f t="shared" si="85"/>
        <v/>
      </c>
      <c r="L952" s="46" t="str">
        <f t="shared" si="89"/>
        <v/>
      </c>
      <c r="M952" t="str" cm="1">
        <f t="array" ref="M952">IF(L952="","",_xlfn.IFS(
  AND(L952&gt;=TIME(9,0,0), L952&lt;TIME(16,0,0)),"Morning",
  AND(L952&gt;=TIME(16,0,0), L952&lt;TIME(23,59,0)),"Evening",
  L952&gt;=TIME(23,59,0),"Night",
  L952&lt;TIME(9,0,0),"Night"
))</f>
        <v/>
      </c>
      <c r="O952" t="str">
        <f t="shared" si="86"/>
        <v/>
      </c>
    </row>
    <row r="953" spans="1:15" x14ac:dyDescent="0.25">
      <c r="A953" s="49"/>
      <c r="G953" t="str">
        <f t="shared" si="84"/>
        <v/>
      </c>
      <c r="H953" s="13" t="str">
        <f t="shared" si="87"/>
        <v/>
      </c>
      <c r="I953" t="str">
        <f>IFERROR(INDEX(Analysis!$D$116:$N$137, MATCH(B953, Analysis!$C$116:$C$137, 0), MATCH(C953, Analysis!$D$115:$N$115, 0)), "")</f>
        <v/>
      </c>
      <c r="J953" t="str">
        <f t="shared" si="88"/>
        <v/>
      </c>
      <c r="K953" s="28" t="str">
        <f t="shared" si="85"/>
        <v/>
      </c>
      <c r="L953" s="46" t="str">
        <f t="shared" si="89"/>
        <v/>
      </c>
      <c r="M953" t="str" cm="1">
        <f t="array" ref="M953">IF(L953="","",_xlfn.IFS(
  AND(L953&gt;=TIME(9,0,0), L953&lt;TIME(16,0,0)),"Morning",
  AND(L953&gt;=TIME(16,0,0), L953&lt;TIME(23,59,0)),"Evening",
  L953&gt;=TIME(23,59,0),"Night",
  L953&lt;TIME(9,0,0),"Night"
))</f>
        <v/>
      </c>
      <c r="O953" t="str">
        <f t="shared" si="86"/>
        <v/>
      </c>
    </row>
    <row r="954" spans="1:15" x14ac:dyDescent="0.25">
      <c r="A954" s="49"/>
      <c r="G954" t="str">
        <f t="shared" si="84"/>
        <v/>
      </c>
      <c r="H954" s="13" t="str">
        <f t="shared" si="87"/>
        <v/>
      </c>
      <c r="I954" t="str">
        <f>IFERROR(INDEX(Analysis!$D$116:$N$137, MATCH(B954, Analysis!$C$116:$C$137, 0), MATCH(C954, Analysis!$D$115:$N$115, 0)), "")</f>
        <v/>
      </c>
      <c r="J954" t="str">
        <f t="shared" si="88"/>
        <v/>
      </c>
      <c r="K954" s="28" t="str">
        <f t="shared" si="85"/>
        <v/>
      </c>
      <c r="L954" s="46" t="str">
        <f t="shared" si="89"/>
        <v/>
      </c>
      <c r="M954" t="str" cm="1">
        <f t="array" ref="M954">IF(L954="","",_xlfn.IFS(
  AND(L954&gt;=TIME(9,0,0), L954&lt;TIME(16,0,0)),"Morning",
  AND(L954&gt;=TIME(16,0,0), L954&lt;TIME(23,59,0)),"Evening",
  L954&gt;=TIME(23,59,0),"Night",
  L954&lt;TIME(9,0,0),"Night"
))</f>
        <v/>
      </c>
      <c r="O954" t="str">
        <f t="shared" si="86"/>
        <v/>
      </c>
    </row>
    <row r="955" spans="1:15" x14ac:dyDescent="0.25">
      <c r="A955" s="49"/>
      <c r="G955" t="str">
        <f t="shared" si="84"/>
        <v/>
      </c>
      <c r="H955" s="13" t="str">
        <f t="shared" si="87"/>
        <v/>
      </c>
      <c r="I955" t="str">
        <f>IFERROR(INDEX(Analysis!$D$116:$N$137, MATCH(B955, Analysis!$C$116:$C$137, 0), MATCH(C955, Analysis!$D$115:$N$115, 0)), "")</f>
        <v/>
      </c>
      <c r="J955" t="str">
        <f t="shared" si="88"/>
        <v/>
      </c>
      <c r="K955" s="28" t="str">
        <f t="shared" si="85"/>
        <v/>
      </c>
      <c r="L955" s="46" t="str">
        <f t="shared" si="89"/>
        <v/>
      </c>
      <c r="M955" t="str" cm="1">
        <f t="array" ref="M955">IF(L955="","",_xlfn.IFS(
  AND(L955&gt;=TIME(9,0,0), L955&lt;TIME(16,0,0)),"Morning",
  AND(L955&gt;=TIME(16,0,0), L955&lt;TIME(23,59,0)),"Evening",
  L955&gt;=TIME(23,59,0),"Night",
  L955&lt;TIME(9,0,0),"Night"
))</f>
        <v/>
      </c>
      <c r="O955" t="str">
        <f t="shared" si="86"/>
        <v/>
      </c>
    </row>
    <row r="956" spans="1:15" x14ac:dyDescent="0.25">
      <c r="A956" s="49"/>
      <c r="G956" t="str">
        <f t="shared" si="84"/>
        <v/>
      </c>
      <c r="H956" s="13" t="str">
        <f t="shared" si="87"/>
        <v/>
      </c>
      <c r="I956" t="str">
        <f>IFERROR(INDEX(Analysis!$D$116:$N$137, MATCH(B956, Analysis!$C$116:$C$137, 0), MATCH(C956, Analysis!$D$115:$N$115, 0)), "")</f>
        <v/>
      </c>
      <c r="J956" t="str">
        <f t="shared" si="88"/>
        <v/>
      </c>
      <c r="K956" s="28" t="str">
        <f t="shared" si="85"/>
        <v/>
      </c>
      <c r="L956" s="46" t="str">
        <f t="shared" si="89"/>
        <v/>
      </c>
      <c r="M956" t="str" cm="1">
        <f t="array" ref="M956">IF(L956="","",_xlfn.IFS(
  AND(L956&gt;=TIME(9,0,0), L956&lt;TIME(16,0,0)),"Morning",
  AND(L956&gt;=TIME(16,0,0), L956&lt;TIME(23,59,0)),"Evening",
  L956&gt;=TIME(23,59,0),"Night",
  L956&lt;TIME(9,0,0),"Night"
))</f>
        <v/>
      </c>
      <c r="O956" t="str">
        <f t="shared" si="86"/>
        <v/>
      </c>
    </row>
    <row r="957" spans="1:15" x14ac:dyDescent="0.25">
      <c r="A957" s="49"/>
      <c r="G957" t="str">
        <f t="shared" si="84"/>
        <v/>
      </c>
      <c r="H957" s="13" t="str">
        <f t="shared" si="87"/>
        <v/>
      </c>
      <c r="I957" t="str">
        <f>IFERROR(INDEX(Analysis!$D$116:$N$137, MATCH(B957, Analysis!$C$116:$C$137, 0), MATCH(C957, Analysis!$D$115:$N$115, 0)), "")</f>
        <v/>
      </c>
      <c r="J957" t="str">
        <f t="shared" si="88"/>
        <v/>
      </c>
      <c r="K957" s="28" t="str">
        <f t="shared" si="85"/>
        <v/>
      </c>
      <c r="L957" s="46" t="str">
        <f t="shared" si="89"/>
        <v/>
      </c>
      <c r="M957" t="str" cm="1">
        <f t="array" ref="M957">IF(L957="","",_xlfn.IFS(
  AND(L957&gt;=TIME(9,0,0), L957&lt;TIME(16,0,0)),"Morning",
  AND(L957&gt;=TIME(16,0,0), L957&lt;TIME(23,59,0)),"Evening",
  L957&gt;=TIME(23,59,0),"Night",
  L957&lt;TIME(9,0,0),"Night"
))</f>
        <v/>
      </c>
      <c r="O957" t="str">
        <f t="shared" si="86"/>
        <v/>
      </c>
    </row>
    <row r="958" spans="1:15" x14ac:dyDescent="0.25">
      <c r="A958" s="49"/>
      <c r="G958" t="str">
        <f t="shared" si="84"/>
        <v/>
      </c>
      <c r="H958" s="13" t="str">
        <f t="shared" si="87"/>
        <v/>
      </c>
      <c r="I958" t="str">
        <f>IFERROR(INDEX(Analysis!$D$116:$N$137, MATCH(B958, Analysis!$C$116:$C$137, 0), MATCH(C958, Analysis!$D$115:$N$115, 0)), "")</f>
        <v/>
      </c>
      <c r="J958" t="str">
        <f t="shared" si="88"/>
        <v/>
      </c>
      <c r="K958" s="28" t="str">
        <f t="shared" si="85"/>
        <v/>
      </c>
      <c r="L958" s="46" t="str">
        <f t="shared" si="89"/>
        <v/>
      </c>
      <c r="M958" t="str" cm="1">
        <f t="array" ref="M958">IF(L958="","",_xlfn.IFS(
  AND(L958&gt;=TIME(9,0,0), L958&lt;TIME(16,0,0)),"Morning",
  AND(L958&gt;=TIME(16,0,0), L958&lt;TIME(23,59,0)),"Evening",
  L958&gt;=TIME(23,59,0),"Night",
  L958&lt;TIME(9,0,0),"Night"
))</f>
        <v/>
      </c>
      <c r="O958" t="str">
        <f t="shared" si="86"/>
        <v/>
      </c>
    </row>
    <row r="959" spans="1:15" x14ac:dyDescent="0.25">
      <c r="A959" s="49"/>
      <c r="G959" t="str">
        <f t="shared" si="84"/>
        <v/>
      </c>
      <c r="H959" s="13" t="str">
        <f t="shared" si="87"/>
        <v/>
      </c>
      <c r="I959" t="str">
        <f>IFERROR(INDEX(Analysis!$D$116:$N$137, MATCH(B959, Analysis!$C$116:$C$137, 0), MATCH(C959, Analysis!$D$115:$N$115, 0)), "")</f>
        <v/>
      </c>
      <c r="J959" t="str">
        <f t="shared" si="88"/>
        <v/>
      </c>
      <c r="K959" s="28" t="str">
        <f t="shared" si="85"/>
        <v/>
      </c>
      <c r="L959" s="46" t="str">
        <f t="shared" si="89"/>
        <v/>
      </c>
      <c r="M959" t="str" cm="1">
        <f t="array" ref="M959">IF(L959="","",_xlfn.IFS(
  AND(L959&gt;=TIME(9,0,0), L959&lt;TIME(16,0,0)),"Morning",
  AND(L959&gt;=TIME(16,0,0), L959&lt;TIME(23,59,0)),"Evening",
  L959&gt;=TIME(23,59,0),"Night",
  L959&lt;TIME(9,0,0),"Night"
))</f>
        <v/>
      </c>
      <c r="O959" t="str">
        <f t="shared" si="86"/>
        <v/>
      </c>
    </row>
    <row r="960" spans="1:15" x14ac:dyDescent="0.25">
      <c r="A960" s="49"/>
      <c r="G960" t="str">
        <f t="shared" si="84"/>
        <v/>
      </c>
      <c r="H960" s="13" t="str">
        <f t="shared" si="87"/>
        <v/>
      </c>
      <c r="I960" t="str">
        <f>IFERROR(INDEX(Analysis!$D$116:$N$137, MATCH(B960, Analysis!$C$116:$C$137, 0), MATCH(C960, Analysis!$D$115:$N$115, 0)), "")</f>
        <v/>
      </c>
      <c r="J960" t="str">
        <f t="shared" si="88"/>
        <v/>
      </c>
      <c r="K960" s="28" t="str">
        <f t="shared" si="85"/>
        <v/>
      </c>
      <c r="L960" s="46" t="str">
        <f t="shared" si="89"/>
        <v/>
      </c>
      <c r="M960" t="str" cm="1">
        <f t="array" ref="M960">IF(L960="","",_xlfn.IFS(
  AND(L960&gt;=TIME(9,0,0), L960&lt;TIME(16,0,0)),"Morning",
  AND(L960&gt;=TIME(16,0,0), L960&lt;TIME(23,59,0)),"Evening",
  L960&gt;=TIME(23,59,0),"Night",
  L960&lt;TIME(9,0,0),"Night"
))</f>
        <v/>
      </c>
      <c r="O960" t="str">
        <f t="shared" si="86"/>
        <v/>
      </c>
    </row>
    <row r="961" spans="1:15" x14ac:dyDescent="0.25">
      <c r="A961" s="49"/>
      <c r="G961" t="str">
        <f t="shared" si="84"/>
        <v/>
      </c>
      <c r="H961" s="13" t="str">
        <f t="shared" si="87"/>
        <v/>
      </c>
      <c r="I961" t="str">
        <f>IFERROR(INDEX(Analysis!$D$116:$N$137, MATCH(B961, Analysis!$C$116:$C$137, 0), MATCH(C961, Analysis!$D$115:$N$115, 0)), "")</f>
        <v/>
      </c>
      <c r="J961" t="str">
        <f t="shared" si="88"/>
        <v/>
      </c>
      <c r="K961" s="28" t="str">
        <f t="shared" si="85"/>
        <v/>
      </c>
      <c r="L961" s="46" t="str">
        <f t="shared" si="89"/>
        <v/>
      </c>
      <c r="M961" t="str" cm="1">
        <f t="array" ref="M961">IF(L961="","",_xlfn.IFS(
  AND(L961&gt;=TIME(9,0,0), L961&lt;TIME(16,0,0)),"Morning",
  AND(L961&gt;=TIME(16,0,0), L961&lt;TIME(23,59,0)),"Evening",
  L961&gt;=TIME(23,59,0),"Night",
  L961&lt;TIME(9,0,0),"Night"
))</f>
        <v/>
      </c>
      <c r="O961" t="str">
        <f t="shared" si="86"/>
        <v/>
      </c>
    </row>
    <row r="962" spans="1:15" x14ac:dyDescent="0.25">
      <c r="A962" s="49"/>
      <c r="G962" t="str">
        <f t="shared" ref="G962:G1025" si="90">IF(ISBLANK(A962), "", IF(ISBLANK(F962), 0, F962))</f>
        <v/>
      </c>
      <c r="H962" s="13" t="str">
        <f t="shared" si="87"/>
        <v/>
      </c>
      <c r="I962" t="str">
        <f>IFERROR(INDEX(Analysis!$D$116:$N$137, MATCH(B962, Analysis!$C$116:$C$137, 0), MATCH(C962, Analysis!$D$115:$N$115, 0)), "")</f>
        <v/>
      </c>
      <c r="J962" t="str">
        <f t="shared" si="88"/>
        <v/>
      </c>
      <c r="K962" s="28" t="str">
        <f t="shared" ref="K962:K1025" si="91">IF(ISBLANK(A962),"",DATE(YEAR(A962),MONTH(A962),DAY(A962)))</f>
        <v/>
      </c>
      <c r="L962" s="46" t="str">
        <f t="shared" si="89"/>
        <v/>
      </c>
      <c r="M962" t="str" cm="1">
        <f t="array" ref="M962">IF(L962="","",_xlfn.IFS(
  AND(L962&gt;=TIME(9,0,0), L962&lt;TIME(16,0,0)),"Morning",
  AND(L962&gt;=TIME(16,0,0), L962&lt;TIME(23,59,0)),"Evening",
  L962&gt;=TIME(23,59,0),"Night",
  L962&lt;TIME(9,0,0),"Night"
))</f>
        <v/>
      </c>
      <c r="O962" t="str">
        <f t="shared" ref="O962:O1025" si="92">IF(N962="ON", _xlfn.IMAGE(E962, 1), "")</f>
        <v/>
      </c>
    </row>
    <row r="963" spans="1:15" x14ac:dyDescent="0.25">
      <c r="A963" s="49"/>
      <c r="G963" t="str">
        <f t="shared" si="90"/>
        <v/>
      </c>
      <c r="H963" s="13" t="str">
        <f t="shared" ref="H963:H1026" si="93">IF(ISBLANK(E963),"",HYPERLINK(E963,"Click here"))</f>
        <v/>
      </c>
      <c r="I963" t="str">
        <f>IFERROR(INDEX(Analysis!$D$116:$N$137, MATCH(B963, Analysis!$C$116:$C$137, 0), MATCH(C963, Analysis!$D$115:$N$115, 0)), "")</f>
        <v/>
      </c>
      <c r="J963" t="str">
        <f t="shared" ref="J963:J1026" si="94">IF(ISBLANK(A963),"",WEEKNUM(A963))</f>
        <v/>
      </c>
      <c r="K963" s="28" t="str">
        <f t="shared" si="91"/>
        <v/>
      </c>
      <c r="L963" s="46" t="str">
        <f t="shared" ref="L963:L1026" si="95">IF(A963="", "", A963 - INT(A963))</f>
        <v/>
      </c>
      <c r="M963" t="str" cm="1">
        <f t="array" ref="M963">IF(L963="","",_xlfn.IFS(
  AND(L963&gt;=TIME(9,0,0), L963&lt;TIME(16,0,0)),"Morning",
  AND(L963&gt;=TIME(16,0,0), L963&lt;TIME(23,59,0)),"Evening",
  L963&gt;=TIME(23,59,0),"Night",
  L963&lt;TIME(9,0,0),"Night"
))</f>
        <v/>
      </c>
      <c r="O963" t="str">
        <f t="shared" si="92"/>
        <v/>
      </c>
    </row>
    <row r="964" spans="1:15" x14ac:dyDescent="0.25">
      <c r="A964" s="49"/>
      <c r="G964" t="str">
        <f t="shared" si="90"/>
        <v/>
      </c>
      <c r="H964" s="13" t="str">
        <f t="shared" si="93"/>
        <v/>
      </c>
      <c r="I964" t="str">
        <f>IFERROR(INDEX(Analysis!$D$116:$N$137, MATCH(B964, Analysis!$C$116:$C$137, 0), MATCH(C964, Analysis!$D$115:$N$115, 0)), "")</f>
        <v/>
      </c>
      <c r="J964" t="str">
        <f t="shared" si="94"/>
        <v/>
      </c>
      <c r="K964" s="28" t="str">
        <f t="shared" si="91"/>
        <v/>
      </c>
      <c r="L964" s="46" t="str">
        <f t="shared" si="95"/>
        <v/>
      </c>
      <c r="M964" t="str" cm="1">
        <f t="array" ref="M964">IF(L964="","",_xlfn.IFS(
  AND(L964&gt;=TIME(9,0,0), L964&lt;TIME(16,0,0)),"Morning",
  AND(L964&gt;=TIME(16,0,0), L964&lt;TIME(23,59,0)),"Evening",
  L964&gt;=TIME(23,59,0),"Night",
  L964&lt;TIME(9,0,0),"Night"
))</f>
        <v/>
      </c>
      <c r="O964" t="str">
        <f t="shared" si="92"/>
        <v/>
      </c>
    </row>
    <row r="965" spans="1:15" x14ac:dyDescent="0.25">
      <c r="A965" s="49"/>
      <c r="G965" t="str">
        <f t="shared" si="90"/>
        <v/>
      </c>
      <c r="H965" s="13" t="str">
        <f t="shared" si="93"/>
        <v/>
      </c>
      <c r="I965" t="str">
        <f>IFERROR(INDEX(Analysis!$D$116:$N$137, MATCH(B965, Analysis!$C$116:$C$137, 0), MATCH(C965, Analysis!$D$115:$N$115, 0)), "")</f>
        <v/>
      </c>
      <c r="J965" t="str">
        <f t="shared" si="94"/>
        <v/>
      </c>
      <c r="K965" s="28" t="str">
        <f t="shared" si="91"/>
        <v/>
      </c>
      <c r="L965" s="46" t="str">
        <f t="shared" si="95"/>
        <v/>
      </c>
      <c r="M965" t="str" cm="1">
        <f t="array" ref="M965">IF(L965="","",_xlfn.IFS(
  AND(L965&gt;=TIME(9,0,0), L965&lt;TIME(16,0,0)),"Morning",
  AND(L965&gt;=TIME(16,0,0), L965&lt;TIME(23,59,0)),"Evening",
  L965&gt;=TIME(23,59,0),"Night",
  L965&lt;TIME(9,0,0),"Night"
))</f>
        <v/>
      </c>
      <c r="O965" t="str">
        <f t="shared" si="92"/>
        <v/>
      </c>
    </row>
    <row r="966" spans="1:15" x14ac:dyDescent="0.25">
      <c r="A966" s="49"/>
      <c r="G966" t="str">
        <f t="shared" si="90"/>
        <v/>
      </c>
      <c r="H966" s="13" t="str">
        <f t="shared" si="93"/>
        <v/>
      </c>
      <c r="I966" t="str">
        <f>IFERROR(INDEX(Analysis!$D$116:$N$137, MATCH(B966, Analysis!$C$116:$C$137, 0), MATCH(C966, Analysis!$D$115:$N$115, 0)), "")</f>
        <v/>
      </c>
      <c r="J966" t="str">
        <f t="shared" si="94"/>
        <v/>
      </c>
      <c r="K966" s="28" t="str">
        <f t="shared" si="91"/>
        <v/>
      </c>
      <c r="L966" s="46" t="str">
        <f t="shared" si="95"/>
        <v/>
      </c>
      <c r="M966" t="str" cm="1">
        <f t="array" ref="M966">IF(L966="","",_xlfn.IFS(
  AND(L966&gt;=TIME(9,0,0), L966&lt;TIME(16,0,0)),"Morning",
  AND(L966&gt;=TIME(16,0,0), L966&lt;TIME(23,59,0)),"Evening",
  L966&gt;=TIME(23,59,0),"Night",
  L966&lt;TIME(9,0,0),"Night"
))</f>
        <v/>
      </c>
      <c r="O966" t="str">
        <f t="shared" si="92"/>
        <v/>
      </c>
    </row>
    <row r="967" spans="1:15" x14ac:dyDescent="0.25">
      <c r="A967" s="49"/>
      <c r="G967" t="str">
        <f t="shared" si="90"/>
        <v/>
      </c>
      <c r="H967" s="13" t="str">
        <f t="shared" si="93"/>
        <v/>
      </c>
      <c r="I967" t="str">
        <f>IFERROR(INDEX(Analysis!$D$116:$N$137, MATCH(B967, Analysis!$C$116:$C$137, 0), MATCH(C967, Analysis!$D$115:$N$115, 0)), "")</f>
        <v/>
      </c>
      <c r="J967" t="str">
        <f t="shared" si="94"/>
        <v/>
      </c>
      <c r="K967" s="28" t="str">
        <f t="shared" si="91"/>
        <v/>
      </c>
      <c r="L967" s="46" t="str">
        <f t="shared" si="95"/>
        <v/>
      </c>
      <c r="M967" t="str" cm="1">
        <f t="array" ref="M967">IF(L967="","",_xlfn.IFS(
  AND(L967&gt;=TIME(9,0,0), L967&lt;TIME(16,0,0)),"Morning",
  AND(L967&gt;=TIME(16,0,0), L967&lt;TIME(23,59,0)),"Evening",
  L967&gt;=TIME(23,59,0),"Night",
  L967&lt;TIME(9,0,0),"Night"
))</f>
        <v/>
      </c>
      <c r="O967" t="str">
        <f t="shared" si="92"/>
        <v/>
      </c>
    </row>
    <row r="968" spans="1:15" x14ac:dyDescent="0.25">
      <c r="A968" s="49"/>
      <c r="G968" t="str">
        <f t="shared" si="90"/>
        <v/>
      </c>
      <c r="H968" s="13" t="str">
        <f t="shared" si="93"/>
        <v/>
      </c>
      <c r="I968" t="str">
        <f>IFERROR(INDEX(Analysis!$D$116:$N$137, MATCH(B968, Analysis!$C$116:$C$137, 0), MATCH(C968, Analysis!$D$115:$N$115, 0)), "")</f>
        <v/>
      </c>
      <c r="J968" t="str">
        <f t="shared" si="94"/>
        <v/>
      </c>
      <c r="K968" s="28" t="str">
        <f t="shared" si="91"/>
        <v/>
      </c>
      <c r="L968" s="46" t="str">
        <f t="shared" si="95"/>
        <v/>
      </c>
      <c r="M968" t="str" cm="1">
        <f t="array" ref="M968">IF(L968="","",_xlfn.IFS(
  AND(L968&gt;=TIME(9,0,0), L968&lt;TIME(16,0,0)),"Morning",
  AND(L968&gt;=TIME(16,0,0), L968&lt;TIME(23,59,0)),"Evening",
  L968&gt;=TIME(23,59,0),"Night",
  L968&lt;TIME(9,0,0),"Night"
))</f>
        <v/>
      </c>
      <c r="O968" t="str">
        <f t="shared" si="92"/>
        <v/>
      </c>
    </row>
    <row r="969" spans="1:15" x14ac:dyDescent="0.25">
      <c r="A969" s="49"/>
      <c r="G969" t="str">
        <f t="shared" si="90"/>
        <v/>
      </c>
      <c r="H969" s="13" t="str">
        <f t="shared" si="93"/>
        <v/>
      </c>
      <c r="I969" t="str">
        <f>IFERROR(INDEX(Analysis!$D$116:$N$137, MATCH(B969, Analysis!$C$116:$C$137, 0), MATCH(C969, Analysis!$D$115:$N$115, 0)), "")</f>
        <v/>
      </c>
      <c r="J969" t="str">
        <f t="shared" si="94"/>
        <v/>
      </c>
      <c r="K969" s="28" t="str">
        <f t="shared" si="91"/>
        <v/>
      </c>
      <c r="L969" s="46" t="str">
        <f t="shared" si="95"/>
        <v/>
      </c>
      <c r="M969" t="str" cm="1">
        <f t="array" ref="M969">IF(L969="","",_xlfn.IFS(
  AND(L969&gt;=TIME(9,0,0), L969&lt;TIME(16,0,0)),"Morning",
  AND(L969&gt;=TIME(16,0,0), L969&lt;TIME(23,59,0)),"Evening",
  L969&gt;=TIME(23,59,0),"Night",
  L969&lt;TIME(9,0,0),"Night"
))</f>
        <v/>
      </c>
      <c r="O969" t="str">
        <f t="shared" si="92"/>
        <v/>
      </c>
    </row>
    <row r="970" spans="1:15" x14ac:dyDescent="0.25">
      <c r="A970" s="49"/>
      <c r="G970" t="str">
        <f t="shared" si="90"/>
        <v/>
      </c>
      <c r="H970" s="13" t="str">
        <f t="shared" si="93"/>
        <v/>
      </c>
      <c r="I970" t="str">
        <f>IFERROR(INDEX(Analysis!$D$116:$N$137, MATCH(B970, Analysis!$C$116:$C$137, 0), MATCH(C970, Analysis!$D$115:$N$115, 0)), "")</f>
        <v/>
      </c>
      <c r="J970" t="str">
        <f t="shared" si="94"/>
        <v/>
      </c>
      <c r="K970" s="28" t="str">
        <f t="shared" si="91"/>
        <v/>
      </c>
      <c r="L970" s="46" t="str">
        <f t="shared" si="95"/>
        <v/>
      </c>
      <c r="M970" t="str" cm="1">
        <f t="array" ref="M970">IF(L970="","",_xlfn.IFS(
  AND(L970&gt;=TIME(9,0,0), L970&lt;TIME(16,0,0)),"Morning",
  AND(L970&gt;=TIME(16,0,0), L970&lt;TIME(23,59,0)),"Evening",
  L970&gt;=TIME(23,59,0),"Night",
  L970&lt;TIME(9,0,0),"Night"
))</f>
        <v/>
      </c>
      <c r="O970" t="str">
        <f t="shared" si="92"/>
        <v/>
      </c>
    </row>
    <row r="971" spans="1:15" x14ac:dyDescent="0.25">
      <c r="A971" s="49"/>
      <c r="G971" t="str">
        <f t="shared" si="90"/>
        <v/>
      </c>
      <c r="H971" s="13" t="str">
        <f t="shared" si="93"/>
        <v/>
      </c>
      <c r="I971" t="str">
        <f>IFERROR(INDEX(Analysis!$D$116:$N$137, MATCH(B971, Analysis!$C$116:$C$137, 0), MATCH(C971, Analysis!$D$115:$N$115, 0)), "")</f>
        <v/>
      </c>
      <c r="J971" t="str">
        <f t="shared" si="94"/>
        <v/>
      </c>
      <c r="K971" s="28" t="str">
        <f t="shared" si="91"/>
        <v/>
      </c>
      <c r="L971" s="46" t="str">
        <f t="shared" si="95"/>
        <v/>
      </c>
      <c r="M971" t="str" cm="1">
        <f t="array" ref="M971">IF(L971="","",_xlfn.IFS(
  AND(L971&gt;=TIME(9,0,0), L971&lt;TIME(16,0,0)),"Morning",
  AND(L971&gt;=TIME(16,0,0), L971&lt;TIME(23,59,0)),"Evening",
  L971&gt;=TIME(23,59,0),"Night",
  L971&lt;TIME(9,0,0),"Night"
))</f>
        <v/>
      </c>
      <c r="O971" t="str">
        <f t="shared" si="92"/>
        <v/>
      </c>
    </row>
    <row r="972" spans="1:15" x14ac:dyDescent="0.25">
      <c r="A972" s="49"/>
      <c r="G972" t="str">
        <f t="shared" si="90"/>
        <v/>
      </c>
      <c r="H972" s="13" t="str">
        <f t="shared" si="93"/>
        <v/>
      </c>
      <c r="I972" t="str">
        <f>IFERROR(INDEX(Analysis!$D$116:$N$137, MATCH(B972, Analysis!$C$116:$C$137, 0), MATCH(C972, Analysis!$D$115:$N$115, 0)), "")</f>
        <v/>
      </c>
      <c r="J972" t="str">
        <f t="shared" si="94"/>
        <v/>
      </c>
      <c r="K972" s="28" t="str">
        <f t="shared" si="91"/>
        <v/>
      </c>
      <c r="L972" s="46" t="str">
        <f t="shared" si="95"/>
        <v/>
      </c>
      <c r="M972" t="str" cm="1">
        <f t="array" ref="M972">IF(L972="","",_xlfn.IFS(
  AND(L972&gt;=TIME(9,0,0), L972&lt;TIME(16,0,0)),"Morning",
  AND(L972&gt;=TIME(16,0,0), L972&lt;TIME(23,59,0)),"Evening",
  L972&gt;=TIME(23,59,0),"Night",
  L972&lt;TIME(9,0,0),"Night"
))</f>
        <v/>
      </c>
      <c r="O972" t="str">
        <f t="shared" si="92"/>
        <v/>
      </c>
    </row>
    <row r="973" spans="1:15" x14ac:dyDescent="0.25">
      <c r="A973" s="49"/>
      <c r="G973" t="str">
        <f t="shared" si="90"/>
        <v/>
      </c>
      <c r="H973" s="13" t="str">
        <f t="shared" si="93"/>
        <v/>
      </c>
      <c r="I973" t="str">
        <f>IFERROR(INDEX(Analysis!$D$116:$N$137, MATCH(B973, Analysis!$C$116:$C$137, 0), MATCH(C973, Analysis!$D$115:$N$115, 0)), "")</f>
        <v/>
      </c>
      <c r="J973" t="str">
        <f t="shared" si="94"/>
        <v/>
      </c>
      <c r="K973" s="28" t="str">
        <f t="shared" si="91"/>
        <v/>
      </c>
      <c r="L973" s="46" t="str">
        <f t="shared" si="95"/>
        <v/>
      </c>
      <c r="M973" t="str" cm="1">
        <f t="array" ref="M973">IF(L973="","",_xlfn.IFS(
  AND(L973&gt;=TIME(9,0,0), L973&lt;TIME(16,0,0)),"Morning",
  AND(L973&gt;=TIME(16,0,0), L973&lt;TIME(23,59,0)),"Evening",
  L973&gt;=TIME(23,59,0),"Night",
  L973&lt;TIME(9,0,0),"Night"
))</f>
        <v/>
      </c>
      <c r="O973" t="str">
        <f t="shared" si="92"/>
        <v/>
      </c>
    </row>
    <row r="974" spans="1:15" x14ac:dyDescent="0.25">
      <c r="A974" s="49"/>
      <c r="G974" t="str">
        <f t="shared" si="90"/>
        <v/>
      </c>
      <c r="H974" s="13" t="str">
        <f t="shared" si="93"/>
        <v/>
      </c>
      <c r="I974" t="str">
        <f>IFERROR(INDEX(Analysis!$D$116:$N$137, MATCH(B974, Analysis!$C$116:$C$137, 0), MATCH(C974, Analysis!$D$115:$N$115, 0)), "")</f>
        <v/>
      </c>
      <c r="J974" t="str">
        <f t="shared" si="94"/>
        <v/>
      </c>
      <c r="K974" s="28" t="str">
        <f t="shared" si="91"/>
        <v/>
      </c>
      <c r="L974" s="46" t="str">
        <f t="shared" si="95"/>
        <v/>
      </c>
      <c r="M974" t="str" cm="1">
        <f t="array" ref="M974">IF(L974="","",_xlfn.IFS(
  AND(L974&gt;=TIME(9,0,0), L974&lt;TIME(16,0,0)),"Morning",
  AND(L974&gt;=TIME(16,0,0), L974&lt;TIME(23,59,0)),"Evening",
  L974&gt;=TIME(23,59,0),"Night",
  L974&lt;TIME(9,0,0),"Night"
))</f>
        <v/>
      </c>
      <c r="O974" t="str">
        <f t="shared" si="92"/>
        <v/>
      </c>
    </row>
    <row r="975" spans="1:15" x14ac:dyDescent="0.25">
      <c r="A975" s="49"/>
      <c r="G975" t="str">
        <f t="shared" si="90"/>
        <v/>
      </c>
      <c r="H975" s="13" t="str">
        <f t="shared" si="93"/>
        <v/>
      </c>
      <c r="I975" t="str">
        <f>IFERROR(INDEX(Analysis!$D$116:$N$137, MATCH(B975, Analysis!$C$116:$C$137, 0), MATCH(C975, Analysis!$D$115:$N$115, 0)), "")</f>
        <v/>
      </c>
      <c r="J975" t="str">
        <f t="shared" si="94"/>
        <v/>
      </c>
      <c r="K975" s="28" t="str">
        <f t="shared" si="91"/>
        <v/>
      </c>
      <c r="L975" s="46" t="str">
        <f t="shared" si="95"/>
        <v/>
      </c>
      <c r="M975" t="str" cm="1">
        <f t="array" ref="M975">IF(L975="","",_xlfn.IFS(
  AND(L975&gt;=TIME(9,0,0), L975&lt;TIME(16,0,0)),"Morning",
  AND(L975&gt;=TIME(16,0,0), L975&lt;TIME(23,59,0)),"Evening",
  L975&gt;=TIME(23,59,0),"Night",
  L975&lt;TIME(9,0,0),"Night"
))</f>
        <v/>
      </c>
      <c r="O975" t="str">
        <f t="shared" si="92"/>
        <v/>
      </c>
    </row>
    <row r="976" spans="1:15" x14ac:dyDescent="0.25">
      <c r="A976" s="49"/>
      <c r="G976" t="str">
        <f t="shared" si="90"/>
        <v/>
      </c>
      <c r="H976" s="13" t="str">
        <f t="shared" si="93"/>
        <v/>
      </c>
      <c r="I976" t="str">
        <f>IFERROR(INDEX(Analysis!$D$116:$N$137, MATCH(B976, Analysis!$C$116:$C$137, 0), MATCH(C976, Analysis!$D$115:$N$115, 0)), "")</f>
        <v/>
      </c>
      <c r="J976" t="str">
        <f t="shared" si="94"/>
        <v/>
      </c>
      <c r="K976" s="28" t="str">
        <f t="shared" si="91"/>
        <v/>
      </c>
      <c r="L976" s="46" t="str">
        <f t="shared" si="95"/>
        <v/>
      </c>
      <c r="M976" t="str" cm="1">
        <f t="array" ref="M976">IF(L976="","",_xlfn.IFS(
  AND(L976&gt;=TIME(9,0,0), L976&lt;TIME(16,0,0)),"Morning",
  AND(L976&gt;=TIME(16,0,0), L976&lt;TIME(23,59,0)),"Evening",
  L976&gt;=TIME(23,59,0),"Night",
  L976&lt;TIME(9,0,0),"Night"
))</f>
        <v/>
      </c>
      <c r="O976" t="str">
        <f t="shared" si="92"/>
        <v/>
      </c>
    </row>
    <row r="977" spans="1:15" x14ac:dyDescent="0.25">
      <c r="A977" s="49"/>
      <c r="G977" t="str">
        <f t="shared" si="90"/>
        <v/>
      </c>
      <c r="H977" s="13" t="str">
        <f t="shared" si="93"/>
        <v/>
      </c>
      <c r="I977" t="str">
        <f>IFERROR(INDEX(Analysis!$D$116:$N$137, MATCH(B977, Analysis!$C$116:$C$137, 0), MATCH(C977, Analysis!$D$115:$N$115, 0)), "")</f>
        <v/>
      </c>
      <c r="J977" t="str">
        <f t="shared" si="94"/>
        <v/>
      </c>
      <c r="K977" s="28" t="str">
        <f t="shared" si="91"/>
        <v/>
      </c>
      <c r="L977" s="46" t="str">
        <f t="shared" si="95"/>
        <v/>
      </c>
      <c r="M977" t="str" cm="1">
        <f t="array" ref="M977">IF(L977="","",_xlfn.IFS(
  AND(L977&gt;=TIME(9,0,0), L977&lt;TIME(16,0,0)),"Morning",
  AND(L977&gt;=TIME(16,0,0), L977&lt;TIME(23,59,0)),"Evening",
  L977&gt;=TIME(23,59,0),"Night",
  L977&lt;TIME(9,0,0),"Night"
))</f>
        <v/>
      </c>
      <c r="O977" t="str">
        <f t="shared" si="92"/>
        <v/>
      </c>
    </row>
    <row r="978" spans="1:15" x14ac:dyDescent="0.25">
      <c r="A978" s="49"/>
      <c r="G978" t="str">
        <f t="shared" si="90"/>
        <v/>
      </c>
      <c r="H978" s="13" t="str">
        <f t="shared" si="93"/>
        <v/>
      </c>
      <c r="I978" t="str">
        <f>IFERROR(INDEX(Analysis!$D$116:$N$137, MATCH(B978, Analysis!$C$116:$C$137, 0), MATCH(C978, Analysis!$D$115:$N$115, 0)), "")</f>
        <v/>
      </c>
      <c r="J978" t="str">
        <f t="shared" si="94"/>
        <v/>
      </c>
      <c r="K978" s="28" t="str">
        <f t="shared" si="91"/>
        <v/>
      </c>
      <c r="L978" s="46" t="str">
        <f t="shared" si="95"/>
        <v/>
      </c>
      <c r="M978" t="str" cm="1">
        <f t="array" ref="M978">IF(L978="","",_xlfn.IFS(
  AND(L978&gt;=TIME(9,0,0), L978&lt;TIME(16,0,0)),"Morning",
  AND(L978&gt;=TIME(16,0,0), L978&lt;TIME(23,59,0)),"Evening",
  L978&gt;=TIME(23,59,0),"Night",
  L978&lt;TIME(9,0,0),"Night"
))</f>
        <v/>
      </c>
      <c r="O978" t="str">
        <f t="shared" si="92"/>
        <v/>
      </c>
    </row>
    <row r="979" spans="1:15" x14ac:dyDescent="0.25">
      <c r="A979" s="49"/>
      <c r="G979" t="str">
        <f t="shared" si="90"/>
        <v/>
      </c>
      <c r="H979" s="13" t="str">
        <f t="shared" si="93"/>
        <v/>
      </c>
      <c r="I979" t="str">
        <f>IFERROR(INDEX(Analysis!$D$116:$N$137, MATCH(B979, Analysis!$C$116:$C$137, 0), MATCH(C979, Analysis!$D$115:$N$115, 0)), "")</f>
        <v/>
      </c>
      <c r="J979" t="str">
        <f t="shared" si="94"/>
        <v/>
      </c>
      <c r="K979" s="28" t="str">
        <f t="shared" si="91"/>
        <v/>
      </c>
      <c r="L979" s="46" t="str">
        <f t="shared" si="95"/>
        <v/>
      </c>
      <c r="M979" t="str" cm="1">
        <f t="array" ref="M979">IF(L979="","",_xlfn.IFS(
  AND(L979&gt;=TIME(9,0,0), L979&lt;TIME(16,0,0)),"Morning",
  AND(L979&gt;=TIME(16,0,0), L979&lt;TIME(23,59,0)),"Evening",
  L979&gt;=TIME(23,59,0),"Night",
  L979&lt;TIME(9,0,0),"Night"
))</f>
        <v/>
      </c>
      <c r="O979" t="str">
        <f t="shared" si="92"/>
        <v/>
      </c>
    </row>
    <row r="980" spans="1:15" x14ac:dyDescent="0.25">
      <c r="A980" s="49"/>
      <c r="G980" t="str">
        <f t="shared" si="90"/>
        <v/>
      </c>
      <c r="H980" s="13" t="str">
        <f t="shared" si="93"/>
        <v/>
      </c>
      <c r="I980" t="str">
        <f>IFERROR(INDEX(Analysis!$D$116:$N$137, MATCH(B980, Analysis!$C$116:$C$137, 0), MATCH(C980, Analysis!$D$115:$N$115, 0)), "")</f>
        <v/>
      </c>
      <c r="J980" t="str">
        <f t="shared" si="94"/>
        <v/>
      </c>
      <c r="K980" s="28" t="str">
        <f t="shared" si="91"/>
        <v/>
      </c>
      <c r="L980" s="46" t="str">
        <f t="shared" si="95"/>
        <v/>
      </c>
      <c r="M980" t="str" cm="1">
        <f t="array" ref="M980">IF(L980="","",_xlfn.IFS(
  AND(L980&gt;=TIME(9,0,0), L980&lt;TIME(16,0,0)),"Morning",
  AND(L980&gt;=TIME(16,0,0), L980&lt;TIME(23,59,0)),"Evening",
  L980&gt;=TIME(23,59,0),"Night",
  L980&lt;TIME(9,0,0),"Night"
))</f>
        <v/>
      </c>
      <c r="O980" t="str">
        <f t="shared" si="92"/>
        <v/>
      </c>
    </row>
    <row r="981" spans="1:15" x14ac:dyDescent="0.25">
      <c r="A981" s="49"/>
      <c r="G981" t="str">
        <f t="shared" si="90"/>
        <v/>
      </c>
      <c r="H981" s="13" t="str">
        <f t="shared" si="93"/>
        <v/>
      </c>
      <c r="I981" t="str">
        <f>IFERROR(INDEX(Analysis!$D$116:$N$137, MATCH(B981, Analysis!$C$116:$C$137, 0), MATCH(C981, Analysis!$D$115:$N$115, 0)), "")</f>
        <v/>
      </c>
      <c r="J981" t="str">
        <f t="shared" si="94"/>
        <v/>
      </c>
      <c r="K981" s="28" t="str">
        <f t="shared" si="91"/>
        <v/>
      </c>
      <c r="L981" s="46" t="str">
        <f t="shared" si="95"/>
        <v/>
      </c>
      <c r="M981" t="str" cm="1">
        <f t="array" ref="M981">IF(L981="","",_xlfn.IFS(
  AND(L981&gt;=TIME(9,0,0), L981&lt;TIME(16,0,0)),"Morning",
  AND(L981&gt;=TIME(16,0,0), L981&lt;TIME(23,59,0)),"Evening",
  L981&gt;=TIME(23,59,0),"Night",
  L981&lt;TIME(9,0,0),"Night"
))</f>
        <v/>
      </c>
      <c r="O981" t="str">
        <f t="shared" si="92"/>
        <v/>
      </c>
    </row>
    <row r="982" spans="1:15" x14ac:dyDescent="0.25">
      <c r="A982" s="49"/>
      <c r="G982" t="str">
        <f t="shared" si="90"/>
        <v/>
      </c>
      <c r="H982" s="13" t="str">
        <f t="shared" si="93"/>
        <v/>
      </c>
      <c r="I982" t="str">
        <f>IFERROR(INDEX(Analysis!$D$116:$N$137, MATCH(B982, Analysis!$C$116:$C$137, 0), MATCH(C982, Analysis!$D$115:$N$115, 0)), "")</f>
        <v/>
      </c>
      <c r="J982" t="str">
        <f t="shared" si="94"/>
        <v/>
      </c>
      <c r="K982" s="28" t="str">
        <f t="shared" si="91"/>
        <v/>
      </c>
      <c r="L982" s="46" t="str">
        <f t="shared" si="95"/>
        <v/>
      </c>
      <c r="M982" t="str" cm="1">
        <f t="array" ref="M982">IF(L982="","",_xlfn.IFS(
  AND(L982&gt;=TIME(9,0,0), L982&lt;TIME(16,0,0)),"Morning",
  AND(L982&gt;=TIME(16,0,0), L982&lt;TIME(23,59,0)),"Evening",
  L982&gt;=TIME(23,59,0),"Night",
  L982&lt;TIME(9,0,0),"Night"
))</f>
        <v/>
      </c>
      <c r="O982" t="str">
        <f t="shared" si="92"/>
        <v/>
      </c>
    </row>
    <row r="983" spans="1:15" x14ac:dyDescent="0.25">
      <c r="A983" s="49"/>
      <c r="G983" t="str">
        <f t="shared" si="90"/>
        <v/>
      </c>
      <c r="H983" s="13" t="str">
        <f t="shared" si="93"/>
        <v/>
      </c>
      <c r="I983" t="str">
        <f>IFERROR(INDEX(Analysis!$D$116:$N$137, MATCH(B983, Analysis!$C$116:$C$137, 0), MATCH(C983, Analysis!$D$115:$N$115, 0)), "")</f>
        <v/>
      </c>
      <c r="J983" t="str">
        <f t="shared" si="94"/>
        <v/>
      </c>
      <c r="K983" s="28" t="str">
        <f t="shared" si="91"/>
        <v/>
      </c>
      <c r="L983" s="46" t="str">
        <f t="shared" si="95"/>
        <v/>
      </c>
      <c r="M983" t="str" cm="1">
        <f t="array" ref="M983">IF(L983="","",_xlfn.IFS(
  AND(L983&gt;=TIME(9,0,0), L983&lt;TIME(16,0,0)),"Morning",
  AND(L983&gt;=TIME(16,0,0), L983&lt;TIME(23,59,0)),"Evening",
  L983&gt;=TIME(23,59,0),"Night",
  L983&lt;TIME(9,0,0),"Night"
))</f>
        <v/>
      </c>
      <c r="O983" t="str">
        <f t="shared" si="92"/>
        <v/>
      </c>
    </row>
    <row r="984" spans="1:15" x14ac:dyDescent="0.25">
      <c r="A984" s="49"/>
      <c r="G984" t="str">
        <f t="shared" si="90"/>
        <v/>
      </c>
      <c r="H984" s="13" t="str">
        <f t="shared" si="93"/>
        <v/>
      </c>
      <c r="I984" t="str">
        <f>IFERROR(INDEX(Analysis!$D$116:$N$137, MATCH(B984, Analysis!$C$116:$C$137, 0), MATCH(C984, Analysis!$D$115:$N$115, 0)), "")</f>
        <v/>
      </c>
      <c r="J984" t="str">
        <f t="shared" si="94"/>
        <v/>
      </c>
      <c r="K984" s="28" t="str">
        <f t="shared" si="91"/>
        <v/>
      </c>
      <c r="L984" s="46" t="str">
        <f t="shared" si="95"/>
        <v/>
      </c>
      <c r="M984" t="str" cm="1">
        <f t="array" ref="M984">IF(L984="","",_xlfn.IFS(
  AND(L984&gt;=TIME(9,0,0), L984&lt;TIME(16,0,0)),"Morning",
  AND(L984&gt;=TIME(16,0,0), L984&lt;TIME(23,59,0)),"Evening",
  L984&gt;=TIME(23,59,0),"Night",
  L984&lt;TIME(9,0,0),"Night"
))</f>
        <v/>
      </c>
      <c r="O984" t="str">
        <f t="shared" si="92"/>
        <v/>
      </c>
    </row>
    <row r="985" spans="1:15" x14ac:dyDescent="0.25">
      <c r="A985" s="49"/>
      <c r="G985" t="str">
        <f t="shared" si="90"/>
        <v/>
      </c>
      <c r="H985" s="13" t="str">
        <f t="shared" si="93"/>
        <v/>
      </c>
      <c r="I985" t="str">
        <f>IFERROR(INDEX(Analysis!$D$116:$N$137, MATCH(B985, Analysis!$C$116:$C$137, 0), MATCH(C985, Analysis!$D$115:$N$115, 0)), "")</f>
        <v/>
      </c>
      <c r="J985" t="str">
        <f t="shared" si="94"/>
        <v/>
      </c>
      <c r="K985" s="28" t="str">
        <f t="shared" si="91"/>
        <v/>
      </c>
      <c r="L985" s="46" t="str">
        <f t="shared" si="95"/>
        <v/>
      </c>
      <c r="M985" t="str" cm="1">
        <f t="array" ref="M985">IF(L985="","",_xlfn.IFS(
  AND(L985&gt;=TIME(9,0,0), L985&lt;TIME(16,0,0)),"Morning",
  AND(L985&gt;=TIME(16,0,0), L985&lt;TIME(23,59,0)),"Evening",
  L985&gt;=TIME(23,59,0),"Night",
  L985&lt;TIME(9,0,0),"Night"
))</f>
        <v/>
      </c>
      <c r="O985" t="str">
        <f t="shared" si="92"/>
        <v/>
      </c>
    </row>
    <row r="986" spans="1:15" x14ac:dyDescent="0.25">
      <c r="A986" s="49"/>
      <c r="G986" t="str">
        <f t="shared" si="90"/>
        <v/>
      </c>
      <c r="H986" s="13" t="str">
        <f t="shared" si="93"/>
        <v/>
      </c>
      <c r="I986" t="str">
        <f>IFERROR(INDEX(Analysis!$D$116:$N$137, MATCH(B986, Analysis!$C$116:$C$137, 0), MATCH(C986, Analysis!$D$115:$N$115, 0)), "")</f>
        <v/>
      </c>
      <c r="J986" t="str">
        <f t="shared" si="94"/>
        <v/>
      </c>
      <c r="K986" s="28" t="str">
        <f t="shared" si="91"/>
        <v/>
      </c>
      <c r="L986" s="46" t="str">
        <f t="shared" si="95"/>
        <v/>
      </c>
      <c r="M986" t="str" cm="1">
        <f t="array" ref="M986">IF(L986="","",_xlfn.IFS(
  AND(L986&gt;=TIME(9,0,0), L986&lt;TIME(16,0,0)),"Morning",
  AND(L986&gt;=TIME(16,0,0), L986&lt;TIME(23,59,0)),"Evening",
  L986&gt;=TIME(23,59,0),"Night",
  L986&lt;TIME(9,0,0),"Night"
))</f>
        <v/>
      </c>
      <c r="O986" t="str">
        <f t="shared" si="92"/>
        <v/>
      </c>
    </row>
    <row r="987" spans="1:15" x14ac:dyDescent="0.25">
      <c r="A987" s="49"/>
      <c r="G987" t="str">
        <f t="shared" si="90"/>
        <v/>
      </c>
      <c r="H987" s="13" t="str">
        <f t="shared" si="93"/>
        <v/>
      </c>
      <c r="I987" t="str">
        <f>IFERROR(INDEX(Analysis!$D$116:$N$137, MATCH(B987, Analysis!$C$116:$C$137, 0), MATCH(C987, Analysis!$D$115:$N$115, 0)), "")</f>
        <v/>
      </c>
      <c r="J987" t="str">
        <f t="shared" si="94"/>
        <v/>
      </c>
      <c r="K987" s="28" t="str">
        <f t="shared" si="91"/>
        <v/>
      </c>
      <c r="L987" s="46" t="str">
        <f t="shared" si="95"/>
        <v/>
      </c>
      <c r="M987" t="str" cm="1">
        <f t="array" ref="M987">IF(L987="","",_xlfn.IFS(
  AND(L987&gt;=TIME(9,0,0), L987&lt;TIME(16,0,0)),"Morning",
  AND(L987&gt;=TIME(16,0,0), L987&lt;TIME(23,59,0)),"Evening",
  L987&gt;=TIME(23,59,0),"Night",
  L987&lt;TIME(9,0,0),"Night"
))</f>
        <v/>
      </c>
      <c r="O987" t="str">
        <f t="shared" si="92"/>
        <v/>
      </c>
    </row>
    <row r="988" spans="1:15" x14ac:dyDescent="0.25">
      <c r="A988" s="49"/>
      <c r="G988" t="str">
        <f t="shared" si="90"/>
        <v/>
      </c>
      <c r="H988" s="13" t="str">
        <f t="shared" si="93"/>
        <v/>
      </c>
      <c r="I988" t="str">
        <f>IFERROR(INDEX(Analysis!$D$116:$N$137, MATCH(B988, Analysis!$C$116:$C$137, 0), MATCH(C988, Analysis!$D$115:$N$115, 0)), "")</f>
        <v/>
      </c>
      <c r="J988" t="str">
        <f t="shared" si="94"/>
        <v/>
      </c>
      <c r="K988" s="28" t="str">
        <f t="shared" si="91"/>
        <v/>
      </c>
      <c r="L988" s="46" t="str">
        <f t="shared" si="95"/>
        <v/>
      </c>
      <c r="M988" t="str" cm="1">
        <f t="array" ref="M988">IF(L988="","",_xlfn.IFS(
  AND(L988&gt;=TIME(9,0,0), L988&lt;TIME(16,0,0)),"Morning",
  AND(L988&gt;=TIME(16,0,0), L988&lt;TIME(23,59,0)),"Evening",
  L988&gt;=TIME(23,59,0),"Night",
  L988&lt;TIME(9,0,0),"Night"
))</f>
        <v/>
      </c>
      <c r="O988" t="str">
        <f t="shared" si="92"/>
        <v/>
      </c>
    </row>
    <row r="989" spans="1:15" x14ac:dyDescent="0.25">
      <c r="A989" s="49"/>
      <c r="G989" t="str">
        <f t="shared" si="90"/>
        <v/>
      </c>
      <c r="H989" s="13" t="str">
        <f t="shared" si="93"/>
        <v/>
      </c>
      <c r="I989" t="str">
        <f>IFERROR(INDEX(Analysis!$D$116:$N$137, MATCH(B989, Analysis!$C$116:$C$137, 0), MATCH(C989, Analysis!$D$115:$N$115, 0)), "")</f>
        <v/>
      </c>
      <c r="J989" t="str">
        <f t="shared" si="94"/>
        <v/>
      </c>
      <c r="K989" s="28" t="str">
        <f t="shared" si="91"/>
        <v/>
      </c>
      <c r="L989" s="46" t="str">
        <f t="shared" si="95"/>
        <v/>
      </c>
      <c r="M989" t="str" cm="1">
        <f t="array" ref="M989">IF(L989="","",_xlfn.IFS(
  AND(L989&gt;=TIME(9,0,0), L989&lt;TIME(16,0,0)),"Morning",
  AND(L989&gt;=TIME(16,0,0), L989&lt;TIME(23,59,0)),"Evening",
  L989&gt;=TIME(23,59,0),"Night",
  L989&lt;TIME(9,0,0),"Night"
))</f>
        <v/>
      </c>
      <c r="O989" t="str">
        <f t="shared" si="92"/>
        <v/>
      </c>
    </row>
    <row r="990" spans="1:15" x14ac:dyDescent="0.25">
      <c r="A990" s="49"/>
      <c r="G990" t="str">
        <f t="shared" si="90"/>
        <v/>
      </c>
      <c r="H990" s="13" t="str">
        <f t="shared" si="93"/>
        <v/>
      </c>
      <c r="I990" t="str">
        <f>IFERROR(INDEX(Analysis!$D$116:$N$137, MATCH(B990, Analysis!$C$116:$C$137, 0), MATCH(C990, Analysis!$D$115:$N$115, 0)), "")</f>
        <v/>
      </c>
      <c r="J990" t="str">
        <f t="shared" si="94"/>
        <v/>
      </c>
      <c r="K990" s="28" t="str">
        <f t="shared" si="91"/>
        <v/>
      </c>
      <c r="L990" s="46" t="str">
        <f t="shared" si="95"/>
        <v/>
      </c>
      <c r="M990" t="str" cm="1">
        <f t="array" ref="M990">IF(L990="","",_xlfn.IFS(
  AND(L990&gt;=TIME(9,0,0), L990&lt;TIME(16,0,0)),"Morning",
  AND(L990&gt;=TIME(16,0,0), L990&lt;TIME(23,59,0)),"Evening",
  L990&gt;=TIME(23,59,0),"Night",
  L990&lt;TIME(9,0,0),"Night"
))</f>
        <v/>
      </c>
      <c r="O990" t="str">
        <f t="shared" si="92"/>
        <v/>
      </c>
    </row>
    <row r="991" spans="1:15" x14ac:dyDescent="0.25">
      <c r="A991" s="49"/>
      <c r="G991" t="str">
        <f t="shared" si="90"/>
        <v/>
      </c>
      <c r="H991" s="13" t="str">
        <f t="shared" si="93"/>
        <v/>
      </c>
      <c r="I991" t="str">
        <f>IFERROR(INDEX(Analysis!$D$116:$N$137, MATCH(B991, Analysis!$C$116:$C$137, 0), MATCH(C991, Analysis!$D$115:$N$115, 0)), "")</f>
        <v/>
      </c>
      <c r="J991" t="str">
        <f t="shared" si="94"/>
        <v/>
      </c>
      <c r="K991" s="28" t="str">
        <f t="shared" si="91"/>
        <v/>
      </c>
      <c r="L991" s="46" t="str">
        <f t="shared" si="95"/>
        <v/>
      </c>
      <c r="M991" t="str" cm="1">
        <f t="array" ref="M991">IF(L991="","",_xlfn.IFS(
  AND(L991&gt;=TIME(9,0,0), L991&lt;TIME(16,0,0)),"Morning",
  AND(L991&gt;=TIME(16,0,0), L991&lt;TIME(23,59,0)),"Evening",
  L991&gt;=TIME(23,59,0),"Night",
  L991&lt;TIME(9,0,0),"Night"
))</f>
        <v/>
      </c>
      <c r="O991" t="str">
        <f t="shared" si="92"/>
        <v/>
      </c>
    </row>
    <row r="992" spans="1:15" x14ac:dyDescent="0.25">
      <c r="A992" s="49"/>
      <c r="G992" t="str">
        <f t="shared" si="90"/>
        <v/>
      </c>
      <c r="H992" s="13" t="str">
        <f t="shared" si="93"/>
        <v/>
      </c>
      <c r="I992" t="str">
        <f>IFERROR(INDEX(Analysis!$D$116:$N$137, MATCH(B992, Analysis!$C$116:$C$137, 0), MATCH(C992, Analysis!$D$115:$N$115, 0)), "")</f>
        <v/>
      </c>
      <c r="J992" t="str">
        <f t="shared" si="94"/>
        <v/>
      </c>
      <c r="K992" s="28" t="str">
        <f t="shared" si="91"/>
        <v/>
      </c>
      <c r="L992" s="46" t="str">
        <f t="shared" si="95"/>
        <v/>
      </c>
      <c r="M992" t="str" cm="1">
        <f t="array" ref="M992">IF(L992="","",_xlfn.IFS(
  AND(L992&gt;=TIME(9,0,0), L992&lt;TIME(16,0,0)),"Morning",
  AND(L992&gt;=TIME(16,0,0), L992&lt;TIME(23,59,0)),"Evening",
  L992&gt;=TIME(23,59,0),"Night",
  L992&lt;TIME(9,0,0),"Night"
))</f>
        <v/>
      </c>
      <c r="O992" t="str">
        <f t="shared" si="92"/>
        <v/>
      </c>
    </row>
    <row r="993" spans="1:15" x14ac:dyDescent="0.25">
      <c r="A993" s="49"/>
      <c r="G993" t="str">
        <f t="shared" si="90"/>
        <v/>
      </c>
      <c r="H993" s="13" t="str">
        <f t="shared" si="93"/>
        <v/>
      </c>
      <c r="I993" t="str">
        <f>IFERROR(INDEX(Analysis!$D$116:$N$137, MATCH(B993, Analysis!$C$116:$C$137, 0), MATCH(C993, Analysis!$D$115:$N$115, 0)), "")</f>
        <v/>
      </c>
      <c r="J993" t="str">
        <f t="shared" si="94"/>
        <v/>
      </c>
      <c r="K993" s="28" t="str">
        <f t="shared" si="91"/>
        <v/>
      </c>
      <c r="L993" s="46" t="str">
        <f t="shared" si="95"/>
        <v/>
      </c>
      <c r="M993" t="str" cm="1">
        <f t="array" ref="M993">IF(L993="","",_xlfn.IFS(
  AND(L993&gt;=TIME(9,0,0), L993&lt;TIME(16,0,0)),"Morning",
  AND(L993&gt;=TIME(16,0,0), L993&lt;TIME(23,59,0)),"Evening",
  L993&gt;=TIME(23,59,0),"Night",
  L993&lt;TIME(9,0,0),"Night"
))</f>
        <v/>
      </c>
      <c r="O993" t="str">
        <f t="shared" si="92"/>
        <v/>
      </c>
    </row>
    <row r="994" spans="1:15" x14ac:dyDescent="0.25">
      <c r="A994" s="49"/>
      <c r="G994" t="str">
        <f t="shared" si="90"/>
        <v/>
      </c>
      <c r="H994" s="13" t="str">
        <f t="shared" si="93"/>
        <v/>
      </c>
      <c r="I994" t="str">
        <f>IFERROR(INDEX(Analysis!$D$116:$N$137, MATCH(B994, Analysis!$C$116:$C$137, 0), MATCH(C994, Analysis!$D$115:$N$115, 0)), "")</f>
        <v/>
      </c>
      <c r="J994" t="str">
        <f t="shared" si="94"/>
        <v/>
      </c>
      <c r="K994" s="28" t="str">
        <f t="shared" si="91"/>
        <v/>
      </c>
      <c r="L994" s="46" t="str">
        <f t="shared" si="95"/>
        <v/>
      </c>
      <c r="M994" t="str" cm="1">
        <f t="array" ref="M994">IF(L994="","",_xlfn.IFS(
  AND(L994&gt;=TIME(9,0,0), L994&lt;TIME(16,0,0)),"Morning",
  AND(L994&gt;=TIME(16,0,0), L994&lt;TIME(23,59,0)),"Evening",
  L994&gt;=TIME(23,59,0),"Night",
  L994&lt;TIME(9,0,0),"Night"
))</f>
        <v/>
      </c>
      <c r="O994" t="str">
        <f t="shared" si="92"/>
        <v/>
      </c>
    </row>
    <row r="995" spans="1:15" x14ac:dyDescent="0.25">
      <c r="A995" s="49"/>
      <c r="G995" t="str">
        <f t="shared" si="90"/>
        <v/>
      </c>
      <c r="H995" s="13" t="str">
        <f t="shared" si="93"/>
        <v/>
      </c>
      <c r="I995" t="str">
        <f>IFERROR(INDEX(Analysis!$D$116:$N$137, MATCH(B995, Analysis!$C$116:$C$137, 0), MATCH(C995, Analysis!$D$115:$N$115, 0)), "")</f>
        <v/>
      </c>
      <c r="J995" t="str">
        <f t="shared" si="94"/>
        <v/>
      </c>
      <c r="K995" s="28" t="str">
        <f t="shared" si="91"/>
        <v/>
      </c>
      <c r="L995" s="46" t="str">
        <f t="shared" si="95"/>
        <v/>
      </c>
      <c r="M995" t="str" cm="1">
        <f t="array" ref="M995">IF(L995="","",_xlfn.IFS(
  AND(L995&gt;=TIME(9,0,0), L995&lt;TIME(16,0,0)),"Morning",
  AND(L995&gt;=TIME(16,0,0), L995&lt;TIME(23,59,0)),"Evening",
  L995&gt;=TIME(23,59,0),"Night",
  L995&lt;TIME(9,0,0),"Night"
))</f>
        <v/>
      </c>
      <c r="O995" t="str">
        <f t="shared" si="92"/>
        <v/>
      </c>
    </row>
    <row r="996" spans="1:15" x14ac:dyDescent="0.25">
      <c r="A996" s="49"/>
      <c r="G996" t="str">
        <f t="shared" si="90"/>
        <v/>
      </c>
      <c r="H996" s="13" t="str">
        <f t="shared" si="93"/>
        <v/>
      </c>
      <c r="I996" t="str">
        <f>IFERROR(INDEX(Analysis!$D$116:$N$137, MATCH(B996, Analysis!$C$116:$C$137, 0), MATCH(C996, Analysis!$D$115:$N$115, 0)), "")</f>
        <v/>
      </c>
      <c r="J996" t="str">
        <f t="shared" si="94"/>
        <v/>
      </c>
      <c r="K996" s="28" t="str">
        <f t="shared" si="91"/>
        <v/>
      </c>
      <c r="L996" s="46" t="str">
        <f t="shared" si="95"/>
        <v/>
      </c>
      <c r="M996" t="str" cm="1">
        <f t="array" ref="M996">IF(L996="","",_xlfn.IFS(
  AND(L996&gt;=TIME(9,0,0), L996&lt;TIME(16,0,0)),"Morning",
  AND(L996&gt;=TIME(16,0,0), L996&lt;TIME(23,59,0)),"Evening",
  L996&gt;=TIME(23,59,0),"Night",
  L996&lt;TIME(9,0,0),"Night"
))</f>
        <v/>
      </c>
      <c r="O996" t="str">
        <f t="shared" si="92"/>
        <v/>
      </c>
    </row>
    <row r="997" spans="1:15" x14ac:dyDescent="0.25">
      <c r="A997" s="49"/>
      <c r="G997" t="str">
        <f t="shared" si="90"/>
        <v/>
      </c>
      <c r="H997" s="13" t="str">
        <f t="shared" si="93"/>
        <v/>
      </c>
      <c r="I997" t="str">
        <f>IFERROR(INDEX(Analysis!$D$116:$N$137, MATCH(B997, Analysis!$C$116:$C$137, 0), MATCH(C997, Analysis!$D$115:$N$115, 0)), "")</f>
        <v/>
      </c>
      <c r="J997" t="str">
        <f t="shared" si="94"/>
        <v/>
      </c>
      <c r="K997" s="28" t="str">
        <f t="shared" si="91"/>
        <v/>
      </c>
      <c r="L997" s="46" t="str">
        <f t="shared" si="95"/>
        <v/>
      </c>
      <c r="M997" t="str" cm="1">
        <f t="array" ref="M997">IF(L997="","",_xlfn.IFS(
  AND(L997&gt;=TIME(9,0,0), L997&lt;TIME(16,0,0)),"Morning",
  AND(L997&gt;=TIME(16,0,0), L997&lt;TIME(23,59,0)),"Evening",
  L997&gt;=TIME(23,59,0),"Night",
  L997&lt;TIME(9,0,0),"Night"
))</f>
        <v/>
      </c>
      <c r="O997" t="str">
        <f t="shared" si="92"/>
        <v/>
      </c>
    </row>
    <row r="998" spans="1:15" x14ac:dyDescent="0.25">
      <c r="A998" s="49"/>
      <c r="G998" t="str">
        <f t="shared" si="90"/>
        <v/>
      </c>
      <c r="H998" s="13" t="str">
        <f t="shared" si="93"/>
        <v/>
      </c>
      <c r="I998" t="str">
        <f>IFERROR(INDEX(Analysis!$D$116:$N$137, MATCH(B998, Analysis!$C$116:$C$137, 0), MATCH(C998, Analysis!$D$115:$N$115, 0)), "")</f>
        <v/>
      </c>
      <c r="J998" t="str">
        <f t="shared" si="94"/>
        <v/>
      </c>
      <c r="K998" s="28" t="str">
        <f t="shared" si="91"/>
        <v/>
      </c>
      <c r="L998" s="46" t="str">
        <f t="shared" si="95"/>
        <v/>
      </c>
      <c r="M998" t="str" cm="1">
        <f t="array" ref="M998">IF(L998="","",_xlfn.IFS(
  AND(L998&gt;=TIME(9,0,0), L998&lt;TIME(16,0,0)),"Morning",
  AND(L998&gt;=TIME(16,0,0), L998&lt;TIME(23,59,0)),"Evening",
  L998&gt;=TIME(23,59,0),"Night",
  L998&lt;TIME(9,0,0),"Night"
))</f>
        <v/>
      </c>
      <c r="O998" t="str">
        <f t="shared" si="92"/>
        <v/>
      </c>
    </row>
    <row r="999" spans="1:15" x14ac:dyDescent="0.25">
      <c r="A999" s="49"/>
      <c r="G999" t="str">
        <f t="shared" si="90"/>
        <v/>
      </c>
      <c r="H999" s="13" t="str">
        <f t="shared" si="93"/>
        <v/>
      </c>
      <c r="I999" t="str">
        <f>IFERROR(INDEX(Analysis!$D$116:$N$137, MATCH(B999, Analysis!$C$116:$C$137, 0), MATCH(C999, Analysis!$D$115:$N$115, 0)), "")</f>
        <v/>
      </c>
      <c r="J999" t="str">
        <f t="shared" si="94"/>
        <v/>
      </c>
      <c r="K999" s="28" t="str">
        <f t="shared" si="91"/>
        <v/>
      </c>
      <c r="L999" s="46" t="str">
        <f t="shared" si="95"/>
        <v/>
      </c>
      <c r="M999" t="str" cm="1">
        <f t="array" ref="M999">IF(L999="","",_xlfn.IFS(
  AND(L999&gt;=TIME(9,0,0), L999&lt;TIME(16,0,0)),"Morning",
  AND(L999&gt;=TIME(16,0,0), L999&lt;TIME(23,59,0)),"Evening",
  L999&gt;=TIME(23,59,0),"Night",
  L999&lt;TIME(9,0,0),"Night"
))</f>
        <v/>
      </c>
      <c r="O999" t="str">
        <f t="shared" si="92"/>
        <v/>
      </c>
    </row>
    <row r="1000" spans="1:15" x14ac:dyDescent="0.25">
      <c r="A1000" s="49"/>
      <c r="G1000" t="str">
        <f t="shared" si="90"/>
        <v/>
      </c>
      <c r="H1000" s="13" t="str">
        <f t="shared" si="93"/>
        <v/>
      </c>
      <c r="I1000" t="str">
        <f>IFERROR(INDEX(Analysis!$D$116:$N$137, MATCH(B1000, Analysis!$C$116:$C$137, 0), MATCH(C1000, Analysis!$D$115:$N$115, 0)), "")</f>
        <v/>
      </c>
      <c r="J1000" t="str">
        <f t="shared" si="94"/>
        <v/>
      </c>
      <c r="K1000" s="28" t="str">
        <f t="shared" si="91"/>
        <v/>
      </c>
      <c r="L1000" s="46" t="str">
        <f t="shared" si="95"/>
        <v/>
      </c>
      <c r="M1000" t="str" cm="1">
        <f t="array" ref="M1000">IF(L1000="","",_xlfn.IFS(
  AND(L1000&gt;=TIME(9,0,0), L1000&lt;TIME(16,0,0)),"Morning",
  AND(L1000&gt;=TIME(16,0,0), L1000&lt;TIME(23,59,0)),"Evening",
  L1000&gt;=TIME(23,59,0),"Night",
  L1000&lt;TIME(9,0,0),"Night"
))</f>
        <v/>
      </c>
      <c r="O1000" t="str">
        <f t="shared" si="92"/>
        <v/>
      </c>
    </row>
    <row r="1001" spans="1:15" x14ac:dyDescent="0.25">
      <c r="A1001" s="49"/>
      <c r="G1001" t="str">
        <f t="shared" si="90"/>
        <v/>
      </c>
      <c r="H1001" s="13" t="str">
        <f t="shared" si="93"/>
        <v/>
      </c>
      <c r="I1001" t="str">
        <f>IFERROR(INDEX(Analysis!$D$116:$N$137, MATCH(B1001, Analysis!$C$116:$C$137, 0), MATCH(C1001, Analysis!$D$115:$N$115, 0)), "")</f>
        <v/>
      </c>
      <c r="J1001" t="str">
        <f t="shared" si="94"/>
        <v/>
      </c>
      <c r="K1001" s="28" t="str">
        <f t="shared" si="91"/>
        <v/>
      </c>
      <c r="L1001" s="46" t="str">
        <f t="shared" si="95"/>
        <v/>
      </c>
      <c r="M1001" t="str" cm="1">
        <f t="array" ref="M1001">IF(L1001="","",_xlfn.IFS(
  AND(L1001&gt;=TIME(9,0,0), L1001&lt;TIME(16,0,0)),"Morning",
  AND(L1001&gt;=TIME(16,0,0), L1001&lt;TIME(23,59,0)),"Evening",
  L1001&gt;=TIME(23,59,0),"Night",
  L1001&lt;TIME(9,0,0),"Night"
))</f>
        <v/>
      </c>
      <c r="O1001" t="str">
        <f t="shared" si="92"/>
        <v/>
      </c>
    </row>
    <row r="1002" spans="1:15" x14ac:dyDescent="0.25">
      <c r="A1002" s="49"/>
      <c r="G1002" t="str">
        <f t="shared" si="90"/>
        <v/>
      </c>
      <c r="H1002" s="13" t="str">
        <f t="shared" si="93"/>
        <v/>
      </c>
      <c r="I1002" t="str">
        <f>IFERROR(INDEX(Analysis!$D$116:$N$137, MATCH(B1002, Analysis!$C$116:$C$137, 0), MATCH(C1002, Analysis!$D$115:$N$115, 0)), "")</f>
        <v/>
      </c>
      <c r="J1002" t="str">
        <f t="shared" si="94"/>
        <v/>
      </c>
      <c r="K1002" s="28" t="str">
        <f t="shared" si="91"/>
        <v/>
      </c>
      <c r="L1002" s="46" t="str">
        <f t="shared" si="95"/>
        <v/>
      </c>
      <c r="M1002" t="str" cm="1">
        <f t="array" ref="M1002">IF(L1002="","",_xlfn.IFS(
  AND(L1002&gt;=TIME(9,0,0), L1002&lt;TIME(16,0,0)),"Morning",
  AND(L1002&gt;=TIME(16,0,0), L1002&lt;TIME(23,59,0)),"Evening",
  L1002&gt;=TIME(23,59,0),"Night",
  L1002&lt;TIME(9,0,0),"Night"
))</f>
        <v/>
      </c>
      <c r="O1002" t="str">
        <f t="shared" si="92"/>
        <v/>
      </c>
    </row>
    <row r="1003" spans="1:15" x14ac:dyDescent="0.25">
      <c r="A1003" s="49"/>
      <c r="G1003" t="str">
        <f t="shared" si="90"/>
        <v/>
      </c>
      <c r="H1003" s="13" t="str">
        <f t="shared" si="93"/>
        <v/>
      </c>
      <c r="I1003" t="str">
        <f>IFERROR(INDEX(Analysis!$D$116:$N$137, MATCH(B1003, Analysis!$C$116:$C$137, 0), MATCH(C1003, Analysis!$D$115:$N$115, 0)), "")</f>
        <v/>
      </c>
      <c r="J1003" t="str">
        <f t="shared" si="94"/>
        <v/>
      </c>
      <c r="K1003" s="28" t="str">
        <f t="shared" si="91"/>
        <v/>
      </c>
      <c r="L1003" s="46" t="str">
        <f t="shared" si="95"/>
        <v/>
      </c>
      <c r="M1003" t="str" cm="1">
        <f t="array" ref="M1003">IF(L1003="","",_xlfn.IFS(
  AND(L1003&gt;=TIME(9,0,0), L1003&lt;TIME(16,0,0)),"Morning",
  AND(L1003&gt;=TIME(16,0,0), L1003&lt;TIME(23,59,0)),"Evening",
  L1003&gt;=TIME(23,59,0),"Night",
  L1003&lt;TIME(9,0,0),"Night"
))</f>
        <v/>
      </c>
      <c r="O1003" t="str">
        <f t="shared" si="92"/>
        <v/>
      </c>
    </row>
    <row r="1004" spans="1:15" x14ac:dyDescent="0.25">
      <c r="A1004" s="49"/>
      <c r="G1004" t="str">
        <f t="shared" si="90"/>
        <v/>
      </c>
      <c r="H1004" s="13" t="str">
        <f t="shared" si="93"/>
        <v/>
      </c>
      <c r="I1004" t="str">
        <f>IFERROR(INDEX(Analysis!$D$116:$N$137, MATCH(B1004, Analysis!$C$116:$C$137, 0), MATCH(C1004, Analysis!$D$115:$N$115, 0)), "")</f>
        <v/>
      </c>
      <c r="J1004" t="str">
        <f t="shared" si="94"/>
        <v/>
      </c>
      <c r="K1004" s="28" t="str">
        <f t="shared" si="91"/>
        <v/>
      </c>
      <c r="L1004" s="46" t="str">
        <f t="shared" si="95"/>
        <v/>
      </c>
      <c r="M1004" t="str" cm="1">
        <f t="array" ref="M1004">IF(L1004="","",_xlfn.IFS(
  AND(L1004&gt;=TIME(9,0,0), L1004&lt;TIME(16,0,0)),"Morning",
  AND(L1004&gt;=TIME(16,0,0), L1004&lt;TIME(23,59,0)),"Evening",
  L1004&gt;=TIME(23,59,0),"Night",
  L1004&lt;TIME(9,0,0),"Night"
))</f>
        <v/>
      </c>
      <c r="O1004" t="str">
        <f t="shared" si="92"/>
        <v/>
      </c>
    </row>
    <row r="1005" spans="1:15" x14ac:dyDescent="0.25">
      <c r="A1005" s="49"/>
      <c r="G1005" t="str">
        <f t="shared" si="90"/>
        <v/>
      </c>
      <c r="H1005" s="13" t="str">
        <f t="shared" si="93"/>
        <v/>
      </c>
      <c r="I1005" t="str">
        <f>IFERROR(INDEX(Analysis!$D$116:$N$137, MATCH(B1005, Analysis!$C$116:$C$137, 0), MATCH(C1005, Analysis!$D$115:$N$115, 0)), "")</f>
        <v/>
      </c>
      <c r="J1005" t="str">
        <f t="shared" si="94"/>
        <v/>
      </c>
      <c r="K1005" s="28" t="str">
        <f t="shared" si="91"/>
        <v/>
      </c>
      <c r="L1005" s="46" t="str">
        <f t="shared" si="95"/>
        <v/>
      </c>
      <c r="M1005" t="str" cm="1">
        <f t="array" ref="M1005">IF(L1005="","",_xlfn.IFS(
  AND(L1005&gt;=TIME(9,0,0), L1005&lt;TIME(16,0,0)),"Morning",
  AND(L1005&gt;=TIME(16,0,0), L1005&lt;TIME(23,59,0)),"Evening",
  L1005&gt;=TIME(23,59,0),"Night",
  L1005&lt;TIME(9,0,0),"Night"
))</f>
        <v/>
      </c>
      <c r="O1005" t="str">
        <f t="shared" si="92"/>
        <v/>
      </c>
    </row>
    <row r="1006" spans="1:15" x14ac:dyDescent="0.25">
      <c r="A1006" s="49"/>
      <c r="G1006" t="str">
        <f t="shared" si="90"/>
        <v/>
      </c>
      <c r="H1006" s="13" t="str">
        <f t="shared" si="93"/>
        <v/>
      </c>
      <c r="I1006" t="str">
        <f>IFERROR(INDEX(Analysis!$D$116:$N$137, MATCH(B1006, Analysis!$C$116:$C$137, 0), MATCH(C1006, Analysis!$D$115:$N$115, 0)), "")</f>
        <v/>
      </c>
      <c r="J1006" t="str">
        <f t="shared" si="94"/>
        <v/>
      </c>
      <c r="K1006" s="28" t="str">
        <f t="shared" si="91"/>
        <v/>
      </c>
      <c r="L1006" s="46" t="str">
        <f t="shared" si="95"/>
        <v/>
      </c>
      <c r="M1006" t="str" cm="1">
        <f t="array" ref="M1006">IF(L1006="","",_xlfn.IFS(
  AND(L1006&gt;=TIME(9,0,0), L1006&lt;TIME(16,0,0)),"Morning",
  AND(L1006&gt;=TIME(16,0,0), L1006&lt;TIME(23,59,0)),"Evening",
  L1006&gt;=TIME(23,59,0),"Night",
  L1006&lt;TIME(9,0,0),"Night"
))</f>
        <v/>
      </c>
      <c r="O1006" t="str">
        <f t="shared" si="92"/>
        <v/>
      </c>
    </row>
    <row r="1007" spans="1:15" x14ac:dyDescent="0.25">
      <c r="A1007" s="49"/>
      <c r="G1007" t="str">
        <f t="shared" si="90"/>
        <v/>
      </c>
      <c r="H1007" s="13" t="str">
        <f t="shared" si="93"/>
        <v/>
      </c>
      <c r="I1007" t="str">
        <f>IFERROR(INDEX(Analysis!$D$116:$N$137, MATCH(B1007, Analysis!$C$116:$C$137, 0), MATCH(C1007, Analysis!$D$115:$N$115, 0)), "")</f>
        <v/>
      </c>
      <c r="J1007" t="str">
        <f t="shared" si="94"/>
        <v/>
      </c>
      <c r="K1007" s="28" t="str">
        <f t="shared" si="91"/>
        <v/>
      </c>
      <c r="L1007" s="46" t="str">
        <f t="shared" si="95"/>
        <v/>
      </c>
      <c r="M1007" t="str" cm="1">
        <f t="array" ref="M1007">IF(L1007="","",_xlfn.IFS(
  AND(L1007&gt;=TIME(9,0,0), L1007&lt;TIME(16,0,0)),"Morning",
  AND(L1007&gt;=TIME(16,0,0), L1007&lt;TIME(23,59,0)),"Evening",
  L1007&gt;=TIME(23,59,0),"Night",
  L1007&lt;TIME(9,0,0),"Night"
))</f>
        <v/>
      </c>
      <c r="O1007" t="str">
        <f t="shared" si="92"/>
        <v/>
      </c>
    </row>
    <row r="1008" spans="1:15" x14ac:dyDescent="0.25">
      <c r="A1008" s="49"/>
      <c r="G1008" t="str">
        <f t="shared" si="90"/>
        <v/>
      </c>
      <c r="H1008" s="13" t="str">
        <f t="shared" si="93"/>
        <v/>
      </c>
      <c r="I1008" t="str">
        <f>IFERROR(INDEX(Analysis!$D$116:$N$137, MATCH(B1008, Analysis!$C$116:$C$137, 0), MATCH(C1008, Analysis!$D$115:$N$115, 0)), "")</f>
        <v/>
      </c>
      <c r="J1008" t="str">
        <f t="shared" si="94"/>
        <v/>
      </c>
      <c r="K1008" s="28" t="str">
        <f t="shared" si="91"/>
        <v/>
      </c>
      <c r="L1008" s="46" t="str">
        <f t="shared" si="95"/>
        <v/>
      </c>
      <c r="M1008" t="str" cm="1">
        <f t="array" ref="M1008">IF(L1008="","",_xlfn.IFS(
  AND(L1008&gt;=TIME(9,0,0), L1008&lt;TIME(16,0,0)),"Morning",
  AND(L1008&gt;=TIME(16,0,0), L1008&lt;TIME(23,59,0)),"Evening",
  L1008&gt;=TIME(23,59,0),"Night",
  L1008&lt;TIME(9,0,0),"Night"
))</f>
        <v/>
      </c>
      <c r="O1008" t="str">
        <f t="shared" si="92"/>
        <v/>
      </c>
    </row>
    <row r="1009" spans="1:15" x14ac:dyDescent="0.25">
      <c r="A1009" s="49"/>
      <c r="G1009" t="str">
        <f t="shared" si="90"/>
        <v/>
      </c>
      <c r="H1009" s="13" t="str">
        <f t="shared" si="93"/>
        <v/>
      </c>
      <c r="I1009" t="str">
        <f>IFERROR(INDEX(Analysis!$D$116:$N$137, MATCH(B1009, Analysis!$C$116:$C$137, 0), MATCH(C1009, Analysis!$D$115:$N$115, 0)), "")</f>
        <v/>
      </c>
      <c r="J1009" t="str">
        <f t="shared" si="94"/>
        <v/>
      </c>
      <c r="K1009" s="28" t="str">
        <f t="shared" si="91"/>
        <v/>
      </c>
      <c r="L1009" s="46" t="str">
        <f t="shared" si="95"/>
        <v/>
      </c>
      <c r="M1009" t="str" cm="1">
        <f t="array" ref="M1009">IF(L1009="","",_xlfn.IFS(
  AND(L1009&gt;=TIME(9,0,0), L1009&lt;TIME(16,0,0)),"Morning",
  AND(L1009&gt;=TIME(16,0,0), L1009&lt;TIME(23,59,0)),"Evening",
  L1009&gt;=TIME(23,59,0),"Night",
  L1009&lt;TIME(9,0,0),"Night"
))</f>
        <v/>
      </c>
      <c r="O1009" t="str">
        <f t="shared" si="92"/>
        <v/>
      </c>
    </row>
    <row r="1010" spans="1:15" x14ac:dyDescent="0.25">
      <c r="A1010" s="49"/>
      <c r="G1010" t="str">
        <f t="shared" si="90"/>
        <v/>
      </c>
      <c r="H1010" s="13" t="str">
        <f t="shared" si="93"/>
        <v/>
      </c>
      <c r="I1010" t="str">
        <f>IFERROR(INDEX(Analysis!$D$116:$N$137, MATCH(B1010, Analysis!$C$116:$C$137, 0), MATCH(C1010, Analysis!$D$115:$N$115, 0)), "")</f>
        <v/>
      </c>
      <c r="J1010" t="str">
        <f t="shared" si="94"/>
        <v/>
      </c>
      <c r="K1010" s="28" t="str">
        <f t="shared" si="91"/>
        <v/>
      </c>
      <c r="L1010" s="46" t="str">
        <f t="shared" si="95"/>
        <v/>
      </c>
      <c r="M1010" t="str" cm="1">
        <f t="array" ref="M1010">IF(L1010="","",_xlfn.IFS(
  AND(L1010&gt;=TIME(9,0,0), L1010&lt;TIME(16,0,0)),"Morning",
  AND(L1010&gt;=TIME(16,0,0), L1010&lt;TIME(23,59,0)),"Evening",
  L1010&gt;=TIME(23,59,0),"Night",
  L1010&lt;TIME(9,0,0),"Night"
))</f>
        <v/>
      </c>
      <c r="O1010" t="str">
        <f t="shared" si="92"/>
        <v/>
      </c>
    </row>
    <row r="1011" spans="1:15" x14ac:dyDescent="0.25">
      <c r="A1011" s="49"/>
      <c r="G1011" t="str">
        <f t="shared" si="90"/>
        <v/>
      </c>
      <c r="H1011" s="13" t="str">
        <f t="shared" si="93"/>
        <v/>
      </c>
      <c r="I1011" t="str">
        <f>IFERROR(INDEX(Analysis!$D$116:$N$137, MATCH(B1011, Analysis!$C$116:$C$137, 0), MATCH(C1011, Analysis!$D$115:$N$115, 0)), "")</f>
        <v/>
      </c>
      <c r="J1011" t="str">
        <f t="shared" si="94"/>
        <v/>
      </c>
      <c r="K1011" s="28" t="str">
        <f t="shared" si="91"/>
        <v/>
      </c>
      <c r="L1011" s="46" t="str">
        <f t="shared" si="95"/>
        <v/>
      </c>
      <c r="M1011" t="str" cm="1">
        <f t="array" ref="M1011">IF(L1011="","",_xlfn.IFS(
  AND(L1011&gt;=TIME(9,0,0), L1011&lt;TIME(16,0,0)),"Morning",
  AND(L1011&gt;=TIME(16,0,0), L1011&lt;TIME(23,59,0)),"Evening",
  L1011&gt;=TIME(23,59,0),"Night",
  L1011&lt;TIME(9,0,0),"Night"
))</f>
        <v/>
      </c>
      <c r="O1011" t="str">
        <f t="shared" si="92"/>
        <v/>
      </c>
    </row>
    <row r="1012" spans="1:15" x14ac:dyDescent="0.25">
      <c r="A1012" s="49"/>
      <c r="G1012" t="str">
        <f t="shared" si="90"/>
        <v/>
      </c>
      <c r="H1012" s="13" t="str">
        <f t="shared" si="93"/>
        <v/>
      </c>
      <c r="I1012" t="str">
        <f>IFERROR(INDEX(Analysis!$D$116:$N$137, MATCH(B1012, Analysis!$C$116:$C$137, 0), MATCH(C1012, Analysis!$D$115:$N$115, 0)), "")</f>
        <v/>
      </c>
      <c r="J1012" t="str">
        <f t="shared" si="94"/>
        <v/>
      </c>
      <c r="K1012" s="28" t="str">
        <f t="shared" si="91"/>
        <v/>
      </c>
      <c r="L1012" s="46" t="str">
        <f t="shared" si="95"/>
        <v/>
      </c>
      <c r="M1012" t="str" cm="1">
        <f t="array" ref="M1012">IF(L1012="","",_xlfn.IFS(
  AND(L1012&gt;=TIME(9,0,0), L1012&lt;TIME(16,0,0)),"Morning",
  AND(L1012&gt;=TIME(16,0,0), L1012&lt;TIME(23,59,0)),"Evening",
  L1012&gt;=TIME(23,59,0),"Night",
  L1012&lt;TIME(9,0,0),"Night"
))</f>
        <v/>
      </c>
      <c r="O1012" t="str">
        <f t="shared" si="92"/>
        <v/>
      </c>
    </row>
    <row r="1013" spans="1:15" x14ac:dyDescent="0.25">
      <c r="A1013" s="49"/>
      <c r="G1013" t="str">
        <f t="shared" si="90"/>
        <v/>
      </c>
      <c r="H1013" s="13" t="str">
        <f t="shared" si="93"/>
        <v/>
      </c>
      <c r="I1013" t="str">
        <f>IFERROR(INDEX(Analysis!$D$116:$N$137, MATCH(B1013, Analysis!$C$116:$C$137, 0), MATCH(C1013, Analysis!$D$115:$N$115, 0)), "")</f>
        <v/>
      </c>
      <c r="J1013" t="str">
        <f t="shared" si="94"/>
        <v/>
      </c>
      <c r="K1013" s="28" t="str">
        <f t="shared" si="91"/>
        <v/>
      </c>
      <c r="L1013" s="46" t="str">
        <f t="shared" si="95"/>
        <v/>
      </c>
      <c r="M1013" t="str" cm="1">
        <f t="array" ref="M1013">IF(L1013="","",_xlfn.IFS(
  AND(L1013&gt;=TIME(9,0,0), L1013&lt;TIME(16,0,0)),"Morning",
  AND(L1013&gt;=TIME(16,0,0), L1013&lt;TIME(23,59,0)),"Evening",
  L1013&gt;=TIME(23,59,0),"Night",
  L1013&lt;TIME(9,0,0),"Night"
))</f>
        <v/>
      </c>
      <c r="O1013" t="str">
        <f t="shared" si="92"/>
        <v/>
      </c>
    </row>
    <row r="1014" spans="1:15" x14ac:dyDescent="0.25">
      <c r="A1014" s="49"/>
      <c r="G1014" t="str">
        <f t="shared" si="90"/>
        <v/>
      </c>
      <c r="H1014" s="13" t="str">
        <f t="shared" si="93"/>
        <v/>
      </c>
      <c r="I1014" t="str">
        <f>IFERROR(INDEX(Analysis!$D$116:$N$137, MATCH(B1014, Analysis!$C$116:$C$137, 0), MATCH(C1014, Analysis!$D$115:$N$115, 0)), "")</f>
        <v/>
      </c>
      <c r="J1014" t="str">
        <f t="shared" si="94"/>
        <v/>
      </c>
      <c r="K1014" s="28" t="str">
        <f t="shared" si="91"/>
        <v/>
      </c>
      <c r="L1014" s="46" t="str">
        <f t="shared" si="95"/>
        <v/>
      </c>
      <c r="M1014" t="str" cm="1">
        <f t="array" ref="M1014">IF(L1014="","",_xlfn.IFS(
  AND(L1014&gt;=TIME(9,0,0), L1014&lt;TIME(16,0,0)),"Morning",
  AND(L1014&gt;=TIME(16,0,0), L1014&lt;TIME(23,59,0)),"Evening",
  L1014&gt;=TIME(23,59,0),"Night",
  L1014&lt;TIME(9,0,0),"Night"
))</f>
        <v/>
      </c>
      <c r="O1014" t="str">
        <f t="shared" si="92"/>
        <v/>
      </c>
    </row>
    <row r="1015" spans="1:15" x14ac:dyDescent="0.25">
      <c r="A1015" s="49"/>
      <c r="G1015" t="str">
        <f t="shared" si="90"/>
        <v/>
      </c>
      <c r="H1015" s="13" t="str">
        <f t="shared" si="93"/>
        <v/>
      </c>
      <c r="I1015" t="str">
        <f>IFERROR(INDEX(Analysis!$D$116:$N$137, MATCH(B1015, Analysis!$C$116:$C$137, 0), MATCH(C1015, Analysis!$D$115:$N$115, 0)), "")</f>
        <v/>
      </c>
      <c r="J1015" t="str">
        <f t="shared" si="94"/>
        <v/>
      </c>
      <c r="K1015" s="28" t="str">
        <f t="shared" si="91"/>
        <v/>
      </c>
      <c r="L1015" s="46" t="str">
        <f t="shared" si="95"/>
        <v/>
      </c>
      <c r="M1015" t="str" cm="1">
        <f t="array" ref="M1015">IF(L1015="","",_xlfn.IFS(
  AND(L1015&gt;=TIME(9,0,0), L1015&lt;TIME(16,0,0)),"Morning",
  AND(L1015&gt;=TIME(16,0,0), L1015&lt;TIME(23,59,0)),"Evening",
  L1015&gt;=TIME(23,59,0),"Night",
  L1015&lt;TIME(9,0,0),"Night"
))</f>
        <v/>
      </c>
      <c r="O1015" t="str">
        <f t="shared" si="92"/>
        <v/>
      </c>
    </row>
    <row r="1016" spans="1:15" x14ac:dyDescent="0.25">
      <c r="A1016" s="49"/>
      <c r="G1016" t="str">
        <f t="shared" si="90"/>
        <v/>
      </c>
      <c r="H1016" s="13" t="str">
        <f t="shared" si="93"/>
        <v/>
      </c>
      <c r="I1016" t="str">
        <f>IFERROR(INDEX(Analysis!$D$116:$N$137, MATCH(B1016, Analysis!$C$116:$C$137, 0), MATCH(C1016, Analysis!$D$115:$N$115, 0)), "")</f>
        <v/>
      </c>
      <c r="J1016" t="str">
        <f t="shared" si="94"/>
        <v/>
      </c>
      <c r="K1016" s="28" t="str">
        <f t="shared" si="91"/>
        <v/>
      </c>
      <c r="L1016" s="46" t="str">
        <f t="shared" si="95"/>
        <v/>
      </c>
      <c r="M1016" t="str" cm="1">
        <f t="array" ref="M1016">IF(L1016="","",_xlfn.IFS(
  AND(L1016&gt;=TIME(9,0,0), L1016&lt;TIME(16,0,0)),"Morning",
  AND(L1016&gt;=TIME(16,0,0), L1016&lt;TIME(23,59,0)),"Evening",
  L1016&gt;=TIME(23,59,0),"Night",
  L1016&lt;TIME(9,0,0),"Night"
))</f>
        <v/>
      </c>
      <c r="O1016" t="str">
        <f t="shared" si="92"/>
        <v/>
      </c>
    </row>
    <row r="1017" spans="1:15" x14ac:dyDescent="0.25">
      <c r="A1017" s="49"/>
      <c r="G1017" t="str">
        <f t="shared" si="90"/>
        <v/>
      </c>
      <c r="H1017" s="13" t="str">
        <f t="shared" si="93"/>
        <v/>
      </c>
      <c r="I1017" t="str">
        <f>IFERROR(INDEX(Analysis!$D$116:$N$137, MATCH(B1017, Analysis!$C$116:$C$137, 0), MATCH(C1017, Analysis!$D$115:$N$115, 0)), "")</f>
        <v/>
      </c>
      <c r="J1017" t="str">
        <f t="shared" si="94"/>
        <v/>
      </c>
      <c r="K1017" s="28" t="str">
        <f t="shared" si="91"/>
        <v/>
      </c>
      <c r="L1017" s="46" t="str">
        <f t="shared" si="95"/>
        <v/>
      </c>
      <c r="M1017" t="str" cm="1">
        <f t="array" ref="M1017">IF(L1017="","",_xlfn.IFS(
  AND(L1017&gt;=TIME(9,0,0), L1017&lt;TIME(16,0,0)),"Morning",
  AND(L1017&gt;=TIME(16,0,0), L1017&lt;TIME(23,59,0)),"Evening",
  L1017&gt;=TIME(23,59,0),"Night",
  L1017&lt;TIME(9,0,0),"Night"
))</f>
        <v/>
      </c>
      <c r="O1017" t="str">
        <f t="shared" si="92"/>
        <v/>
      </c>
    </row>
    <row r="1018" spans="1:15" x14ac:dyDescent="0.25">
      <c r="A1018" s="49"/>
      <c r="G1018" t="str">
        <f t="shared" si="90"/>
        <v/>
      </c>
      <c r="H1018" s="13" t="str">
        <f t="shared" si="93"/>
        <v/>
      </c>
      <c r="I1018" t="str">
        <f>IFERROR(INDEX(Analysis!$D$116:$N$137, MATCH(B1018, Analysis!$C$116:$C$137, 0), MATCH(C1018, Analysis!$D$115:$N$115, 0)), "")</f>
        <v/>
      </c>
      <c r="J1018" t="str">
        <f t="shared" si="94"/>
        <v/>
      </c>
      <c r="K1018" s="28" t="str">
        <f t="shared" si="91"/>
        <v/>
      </c>
      <c r="L1018" s="46" t="str">
        <f t="shared" si="95"/>
        <v/>
      </c>
      <c r="M1018" t="str" cm="1">
        <f t="array" ref="M1018">IF(L1018="","",_xlfn.IFS(
  AND(L1018&gt;=TIME(9,0,0), L1018&lt;TIME(16,0,0)),"Morning",
  AND(L1018&gt;=TIME(16,0,0), L1018&lt;TIME(23,59,0)),"Evening",
  L1018&gt;=TIME(23,59,0),"Night",
  L1018&lt;TIME(9,0,0),"Night"
))</f>
        <v/>
      </c>
      <c r="O1018" t="str">
        <f t="shared" si="92"/>
        <v/>
      </c>
    </row>
    <row r="1019" spans="1:15" x14ac:dyDescent="0.25">
      <c r="A1019" s="49"/>
      <c r="G1019" t="str">
        <f t="shared" si="90"/>
        <v/>
      </c>
      <c r="H1019" s="13" t="str">
        <f t="shared" si="93"/>
        <v/>
      </c>
      <c r="I1019" t="str">
        <f>IFERROR(INDEX(Analysis!$D$116:$N$137, MATCH(B1019, Analysis!$C$116:$C$137, 0), MATCH(C1019, Analysis!$D$115:$N$115, 0)), "")</f>
        <v/>
      </c>
      <c r="J1019" t="str">
        <f t="shared" si="94"/>
        <v/>
      </c>
      <c r="K1019" s="28" t="str">
        <f t="shared" si="91"/>
        <v/>
      </c>
      <c r="L1019" s="46" t="str">
        <f t="shared" si="95"/>
        <v/>
      </c>
      <c r="M1019" t="str" cm="1">
        <f t="array" ref="M1019">IF(L1019="","",_xlfn.IFS(
  AND(L1019&gt;=TIME(9,0,0), L1019&lt;TIME(16,0,0)),"Morning",
  AND(L1019&gt;=TIME(16,0,0), L1019&lt;TIME(23,59,0)),"Evening",
  L1019&gt;=TIME(23,59,0),"Night",
  L1019&lt;TIME(9,0,0),"Night"
))</f>
        <v/>
      </c>
      <c r="O1019" t="str">
        <f t="shared" si="92"/>
        <v/>
      </c>
    </row>
    <row r="1020" spans="1:15" x14ac:dyDescent="0.25">
      <c r="A1020" s="49"/>
      <c r="G1020" t="str">
        <f t="shared" si="90"/>
        <v/>
      </c>
      <c r="H1020" s="13" t="str">
        <f t="shared" si="93"/>
        <v/>
      </c>
      <c r="I1020" t="str">
        <f>IFERROR(INDEX(Analysis!$D$116:$N$137, MATCH(B1020, Analysis!$C$116:$C$137, 0), MATCH(C1020, Analysis!$D$115:$N$115, 0)), "")</f>
        <v/>
      </c>
      <c r="J1020" t="str">
        <f t="shared" si="94"/>
        <v/>
      </c>
      <c r="K1020" s="28" t="str">
        <f t="shared" si="91"/>
        <v/>
      </c>
      <c r="L1020" s="46" t="str">
        <f t="shared" si="95"/>
        <v/>
      </c>
      <c r="M1020" t="str" cm="1">
        <f t="array" ref="M1020">IF(L1020="","",_xlfn.IFS(
  AND(L1020&gt;=TIME(9,0,0), L1020&lt;TIME(16,0,0)),"Morning",
  AND(L1020&gt;=TIME(16,0,0), L1020&lt;TIME(23,59,0)),"Evening",
  L1020&gt;=TIME(23,59,0),"Night",
  L1020&lt;TIME(9,0,0),"Night"
))</f>
        <v/>
      </c>
      <c r="O1020" t="str">
        <f t="shared" si="92"/>
        <v/>
      </c>
    </row>
    <row r="1021" spans="1:15" x14ac:dyDescent="0.25">
      <c r="A1021" s="49"/>
      <c r="G1021" t="str">
        <f t="shared" si="90"/>
        <v/>
      </c>
      <c r="H1021" s="13" t="str">
        <f t="shared" si="93"/>
        <v/>
      </c>
      <c r="I1021" t="str">
        <f>IFERROR(INDEX(Analysis!$D$116:$N$137, MATCH(B1021, Analysis!$C$116:$C$137, 0), MATCH(C1021, Analysis!$D$115:$N$115, 0)), "")</f>
        <v/>
      </c>
      <c r="J1021" t="str">
        <f t="shared" si="94"/>
        <v/>
      </c>
      <c r="K1021" s="28" t="str">
        <f t="shared" si="91"/>
        <v/>
      </c>
      <c r="L1021" s="46" t="str">
        <f t="shared" si="95"/>
        <v/>
      </c>
      <c r="M1021" t="str" cm="1">
        <f t="array" ref="M1021">IF(L1021="","",_xlfn.IFS(
  AND(L1021&gt;=TIME(9,0,0), L1021&lt;TIME(16,0,0)),"Morning",
  AND(L1021&gt;=TIME(16,0,0), L1021&lt;TIME(23,59,0)),"Evening",
  L1021&gt;=TIME(23,59,0),"Night",
  L1021&lt;TIME(9,0,0),"Night"
))</f>
        <v/>
      </c>
      <c r="O1021" t="str">
        <f t="shared" si="92"/>
        <v/>
      </c>
    </row>
    <row r="1022" spans="1:15" x14ac:dyDescent="0.25">
      <c r="A1022" s="49"/>
      <c r="G1022" t="str">
        <f t="shared" si="90"/>
        <v/>
      </c>
      <c r="H1022" s="13" t="str">
        <f t="shared" si="93"/>
        <v/>
      </c>
      <c r="I1022" t="str">
        <f>IFERROR(INDEX(Analysis!$D$116:$N$137, MATCH(B1022, Analysis!$C$116:$C$137, 0), MATCH(C1022, Analysis!$D$115:$N$115, 0)), "")</f>
        <v/>
      </c>
      <c r="J1022" t="str">
        <f t="shared" si="94"/>
        <v/>
      </c>
      <c r="K1022" s="28" t="str">
        <f t="shared" si="91"/>
        <v/>
      </c>
      <c r="L1022" s="46" t="str">
        <f t="shared" si="95"/>
        <v/>
      </c>
      <c r="M1022" t="str" cm="1">
        <f t="array" ref="M1022">IF(L1022="","",_xlfn.IFS(
  AND(L1022&gt;=TIME(9,0,0), L1022&lt;TIME(16,0,0)),"Morning",
  AND(L1022&gt;=TIME(16,0,0), L1022&lt;TIME(23,59,0)),"Evening",
  L1022&gt;=TIME(23,59,0),"Night",
  L1022&lt;TIME(9,0,0),"Night"
))</f>
        <v/>
      </c>
      <c r="O1022" t="str">
        <f t="shared" si="92"/>
        <v/>
      </c>
    </row>
    <row r="1023" spans="1:15" x14ac:dyDescent="0.25">
      <c r="A1023" s="49"/>
      <c r="G1023" t="str">
        <f t="shared" si="90"/>
        <v/>
      </c>
      <c r="H1023" s="13" t="str">
        <f t="shared" si="93"/>
        <v/>
      </c>
      <c r="I1023" t="str">
        <f>IFERROR(INDEX(Analysis!$D$116:$N$137, MATCH(B1023, Analysis!$C$116:$C$137, 0), MATCH(C1023, Analysis!$D$115:$N$115, 0)), "")</f>
        <v/>
      </c>
      <c r="J1023" t="str">
        <f t="shared" si="94"/>
        <v/>
      </c>
      <c r="K1023" s="28" t="str">
        <f t="shared" si="91"/>
        <v/>
      </c>
      <c r="L1023" s="46" t="str">
        <f t="shared" si="95"/>
        <v/>
      </c>
      <c r="M1023" t="str" cm="1">
        <f t="array" ref="M1023">IF(L1023="","",_xlfn.IFS(
  AND(L1023&gt;=TIME(9,0,0), L1023&lt;TIME(16,0,0)),"Morning",
  AND(L1023&gt;=TIME(16,0,0), L1023&lt;TIME(23,59,0)),"Evening",
  L1023&gt;=TIME(23,59,0),"Night",
  L1023&lt;TIME(9,0,0),"Night"
))</f>
        <v/>
      </c>
      <c r="O1023" t="str">
        <f t="shared" si="92"/>
        <v/>
      </c>
    </row>
    <row r="1024" spans="1:15" x14ac:dyDescent="0.25">
      <c r="A1024" s="49"/>
      <c r="G1024" t="str">
        <f t="shared" si="90"/>
        <v/>
      </c>
      <c r="H1024" s="13" t="str">
        <f t="shared" si="93"/>
        <v/>
      </c>
      <c r="I1024" t="str">
        <f>IFERROR(INDEX(Analysis!$D$116:$N$137, MATCH(B1024, Analysis!$C$116:$C$137, 0), MATCH(C1024, Analysis!$D$115:$N$115, 0)), "")</f>
        <v/>
      </c>
      <c r="J1024" t="str">
        <f t="shared" si="94"/>
        <v/>
      </c>
      <c r="K1024" s="28" t="str">
        <f t="shared" si="91"/>
        <v/>
      </c>
      <c r="L1024" s="46" t="str">
        <f t="shared" si="95"/>
        <v/>
      </c>
      <c r="M1024" t="str" cm="1">
        <f t="array" ref="M1024">IF(L1024="","",_xlfn.IFS(
  AND(L1024&gt;=TIME(9,0,0), L1024&lt;TIME(16,0,0)),"Morning",
  AND(L1024&gt;=TIME(16,0,0), L1024&lt;TIME(23,59,0)),"Evening",
  L1024&gt;=TIME(23,59,0),"Night",
  L1024&lt;TIME(9,0,0),"Night"
))</f>
        <v/>
      </c>
      <c r="O1024" t="str">
        <f t="shared" si="92"/>
        <v/>
      </c>
    </row>
    <row r="1025" spans="1:15" x14ac:dyDescent="0.25">
      <c r="A1025" s="49"/>
      <c r="G1025" t="str">
        <f t="shared" si="90"/>
        <v/>
      </c>
      <c r="H1025" s="13" t="str">
        <f t="shared" si="93"/>
        <v/>
      </c>
      <c r="I1025" t="str">
        <f>IFERROR(INDEX(Analysis!$D$116:$N$137, MATCH(B1025, Analysis!$C$116:$C$137, 0), MATCH(C1025, Analysis!$D$115:$N$115, 0)), "")</f>
        <v/>
      </c>
      <c r="J1025" t="str">
        <f t="shared" si="94"/>
        <v/>
      </c>
      <c r="K1025" s="28" t="str">
        <f t="shared" si="91"/>
        <v/>
      </c>
      <c r="L1025" s="46" t="str">
        <f t="shared" si="95"/>
        <v/>
      </c>
      <c r="M1025" t="str" cm="1">
        <f t="array" ref="M1025">IF(L1025="","",_xlfn.IFS(
  AND(L1025&gt;=TIME(9,0,0), L1025&lt;TIME(16,0,0)),"Morning",
  AND(L1025&gt;=TIME(16,0,0), L1025&lt;TIME(23,59,0)),"Evening",
  L1025&gt;=TIME(23,59,0),"Night",
  L1025&lt;TIME(9,0,0),"Night"
))</f>
        <v/>
      </c>
      <c r="O1025" t="str">
        <f t="shared" si="92"/>
        <v/>
      </c>
    </row>
    <row r="1026" spans="1:15" x14ac:dyDescent="0.25">
      <c r="A1026" s="49"/>
      <c r="G1026" t="str">
        <f t="shared" ref="G1026:G1089" si="96">IF(ISBLANK(A1026), "", IF(ISBLANK(F1026), 0, F1026))</f>
        <v/>
      </c>
      <c r="H1026" s="13" t="str">
        <f t="shared" si="93"/>
        <v/>
      </c>
      <c r="I1026" t="str">
        <f>IFERROR(INDEX(Analysis!$D$116:$N$137, MATCH(B1026, Analysis!$C$116:$C$137, 0), MATCH(C1026, Analysis!$D$115:$N$115, 0)), "")</f>
        <v/>
      </c>
      <c r="J1026" t="str">
        <f t="shared" si="94"/>
        <v/>
      </c>
      <c r="K1026" s="28" t="str">
        <f t="shared" ref="K1026:K1089" si="97">IF(ISBLANK(A1026),"",DATE(YEAR(A1026),MONTH(A1026),DAY(A1026)))</f>
        <v/>
      </c>
      <c r="L1026" s="46" t="str">
        <f t="shared" si="95"/>
        <v/>
      </c>
      <c r="M1026" t="str" cm="1">
        <f t="array" ref="M1026">IF(L1026="","",_xlfn.IFS(
  AND(L1026&gt;=TIME(9,0,0), L1026&lt;TIME(16,0,0)),"Morning",
  AND(L1026&gt;=TIME(16,0,0), L1026&lt;TIME(23,59,0)),"Evening",
  L1026&gt;=TIME(23,59,0),"Night",
  L1026&lt;TIME(9,0,0),"Night"
))</f>
        <v/>
      </c>
      <c r="O1026" t="str">
        <f t="shared" ref="O1026:O1089" si="98">IF(N1026="ON", _xlfn.IMAGE(E1026, 1), "")</f>
        <v/>
      </c>
    </row>
    <row r="1027" spans="1:15" x14ac:dyDescent="0.25">
      <c r="A1027" s="49"/>
      <c r="G1027" t="str">
        <f t="shared" si="96"/>
        <v/>
      </c>
      <c r="H1027" s="13" t="str">
        <f t="shared" ref="H1027:H1090" si="99">IF(ISBLANK(E1027),"",HYPERLINK(E1027,"Click here"))</f>
        <v/>
      </c>
      <c r="I1027" t="str">
        <f>IFERROR(INDEX(Analysis!$D$116:$N$137, MATCH(B1027, Analysis!$C$116:$C$137, 0), MATCH(C1027, Analysis!$D$115:$N$115, 0)), "")</f>
        <v/>
      </c>
      <c r="J1027" t="str">
        <f t="shared" ref="J1027:J1090" si="100">IF(ISBLANK(A1027),"",WEEKNUM(A1027))</f>
        <v/>
      </c>
      <c r="K1027" s="28" t="str">
        <f t="shared" si="97"/>
        <v/>
      </c>
      <c r="L1027" s="46" t="str">
        <f t="shared" ref="L1027:L1090" si="101">IF(A1027="", "", A1027 - INT(A1027))</f>
        <v/>
      </c>
      <c r="M1027" t="str" cm="1">
        <f t="array" ref="M1027">IF(L1027="","",_xlfn.IFS(
  AND(L1027&gt;=TIME(9,0,0), L1027&lt;TIME(16,0,0)),"Morning",
  AND(L1027&gt;=TIME(16,0,0), L1027&lt;TIME(23,59,0)),"Evening",
  L1027&gt;=TIME(23,59,0),"Night",
  L1027&lt;TIME(9,0,0),"Night"
))</f>
        <v/>
      </c>
      <c r="O1027" t="str">
        <f t="shared" si="98"/>
        <v/>
      </c>
    </row>
    <row r="1028" spans="1:15" x14ac:dyDescent="0.25">
      <c r="A1028" s="49"/>
      <c r="G1028" t="str">
        <f t="shared" si="96"/>
        <v/>
      </c>
      <c r="H1028" s="13" t="str">
        <f t="shared" si="99"/>
        <v/>
      </c>
      <c r="I1028" t="str">
        <f>IFERROR(INDEX(Analysis!$D$116:$N$137, MATCH(B1028, Analysis!$C$116:$C$137, 0), MATCH(C1028, Analysis!$D$115:$N$115, 0)), "")</f>
        <v/>
      </c>
      <c r="J1028" t="str">
        <f t="shared" si="100"/>
        <v/>
      </c>
      <c r="K1028" s="28" t="str">
        <f t="shared" si="97"/>
        <v/>
      </c>
      <c r="L1028" s="46" t="str">
        <f t="shared" si="101"/>
        <v/>
      </c>
      <c r="M1028" t="str" cm="1">
        <f t="array" ref="M1028">IF(L1028="","",_xlfn.IFS(
  AND(L1028&gt;=TIME(9,0,0), L1028&lt;TIME(16,0,0)),"Morning",
  AND(L1028&gt;=TIME(16,0,0), L1028&lt;TIME(23,59,0)),"Evening",
  L1028&gt;=TIME(23,59,0),"Night",
  L1028&lt;TIME(9,0,0),"Night"
))</f>
        <v/>
      </c>
      <c r="O1028" t="str">
        <f t="shared" si="98"/>
        <v/>
      </c>
    </row>
    <row r="1029" spans="1:15" x14ac:dyDescent="0.25">
      <c r="A1029" s="49"/>
      <c r="G1029" t="str">
        <f t="shared" si="96"/>
        <v/>
      </c>
      <c r="H1029" s="13" t="str">
        <f t="shared" si="99"/>
        <v/>
      </c>
      <c r="I1029" t="str">
        <f>IFERROR(INDEX(Analysis!$D$116:$N$137, MATCH(B1029, Analysis!$C$116:$C$137, 0), MATCH(C1029, Analysis!$D$115:$N$115, 0)), "")</f>
        <v/>
      </c>
      <c r="J1029" t="str">
        <f t="shared" si="100"/>
        <v/>
      </c>
      <c r="K1029" s="28" t="str">
        <f t="shared" si="97"/>
        <v/>
      </c>
      <c r="L1029" s="46" t="str">
        <f t="shared" si="101"/>
        <v/>
      </c>
      <c r="M1029" t="str" cm="1">
        <f t="array" ref="M1029">IF(L1029="","",_xlfn.IFS(
  AND(L1029&gt;=TIME(9,0,0), L1029&lt;TIME(16,0,0)),"Morning",
  AND(L1029&gt;=TIME(16,0,0), L1029&lt;TIME(23,59,0)),"Evening",
  L1029&gt;=TIME(23,59,0),"Night",
  L1029&lt;TIME(9,0,0),"Night"
))</f>
        <v/>
      </c>
      <c r="O1029" t="str">
        <f t="shared" si="98"/>
        <v/>
      </c>
    </row>
    <row r="1030" spans="1:15" x14ac:dyDescent="0.25">
      <c r="A1030" s="49"/>
      <c r="G1030" t="str">
        <f t="shared" si="96"/>
        <v/>
      </c>
      <c r="H1030" s="13" t="str">
        <f t="shared" si="99"/>
        <v/>
      </c>
      <c r="I1030" t="str">
        <f>IFERROR(INDEX(Analysis!$D$116:$N$137, MATCH(B1030, Analysis!$C$116:$C$137, 0), MATCH(C1030, Analysis!$D$115:$N$115, 0)), "")</f>
        <v/>
      </c>
      <c r="J1030" t="str">
        <f t="shared" si="100"/>
        <v/>
      </c>
      <c r="K1030" s="28" t="str">
        <f t="shared" si="97"/>
        <v/>
      </c>
      <c r="L1030" s="46" t="str">
        <f t="shared" si="101"/>
        <v/>
      </c>
      <c r="M1030" t="str" cm="1">
        <f t="array" ref="M1030">IF(L1030="","",_xlfn.IFS(
  AND(L1030&gt;=TIME(9,0,0), L1030&lt;TIME(16,0,0)),"Morning",
  AND(L1030&gt;=TIME(16,0,0), L1030&lt;TIME(23,59,0)),"Evening",
  L1030&gt;=TIME(23,59,0),"Night",
  L1030&lt;TIME(9,0,0),"Night"
))</f>
        <v/>
      </c>
      <c r="O1030" t="str">
        <f t="shared" si="98"/>
        <v/>
      </c>
    </row>
    <row r="1031" spans="1:15" x14ac:dyDescent="0.25">
      <c r="A1031" s="49"/>
      <c r="G1031" t="str">
        <f t="shared" si="96"/>
        <v/>
      </c>
      <c r="H1031" s="13" t="str">
        <f t="shared" si="99"/>
        <v/>
      </c>
      <c r="I1031" t="str">
        <f>IFERROR(INDEX(Analysis!$D$116:$N$137, MATCH(B1031, Analysis!$C$116:$C$137, 0), MATCH(C1031, Analysis!$D$115:$N$115, 0)), "")</f>
        <v/>
      </c>
      <c r="J1031" t="str">
        <f t="shared" si="100"/>
        <v/>
      </c>
      <c r="K1031" s="28" t="str">
        <f t="shared" si="97"/>
        <v/>
      </c>
      <c r="L1031" s="46" t="str">
        <f t="shared" si="101"/>
        <v/>
      </c>
      <c r="M1031" t="str" cm="1">
        <f t="array" ref="M1031">IF(L1031="","",_xlfn.IFS(
  AND(L1031&gt;=TIME(9,0,0), L1031&lt;TIME(16,0,0)),"Morning",
  AND(L1031&gt;=TIME(16,0,0), L1031&lt;TIME(23,59,0)),"Evening",
  L1031&gt;=TIME(23,59,0),"Night",
  L1031&lt;TIME(9,0,0),"Night"
))</f>
        <v/>
      </c>
      <c r="O1031" t="str">
        <f t="shared" si="98"/>
        <v/>
      </c>
    </row>
    <row r="1032" spans="1:15" x14ac:dyDescent="0.25">
      <c r="A1032" s="49"/>
      <c r="G1032" t="str">
        <f t="shared" si="96"/>
        <v/>
      </c>
      <c r="H1032" s="13" t="str">
        <f t="shared" si="99"/>
        <v/>
      </c>
      <c r="I1032" t="str">
        <f>IFERROR(INDEX(Analysis!$D$116:$N$137, MATCH(B1032, Analysis!$C$116:$C$137, 0), MATCH(C1032, Analysis!$D$115:$N$115, 0)), "")</f>
        <v/>
      </c>
      <c r="J1032" t="str">
        <f t="shared" si="100"/>
        <v/>
      </c>
      <c r="K1032" s="28" t="str">
        <f t="shared" si="97"/>
        <v/>
      </c>
      <c r="L1032" s="46" t="str">
        <f t="shared" si="101"/>
        <v/>
      </c>
      <c r="M1032" t="str" cm="1">
        <f t="array" ref="M1032">IF(L1032="","",_xlfn.IFS(
  AND(L1032&gt;=TIME(9,0,0), L1032&lt;TIME(16,0,0)),"Morning",
  AND(L1032&gt;=TIME(16,0,0), L1032&lt;TIME(23,59,0)),"Evening",
  L1032&gt;=TIME(23,59,0),"Night",
  L1032&lt;TIME(9,0,0),"Night"
))</f>
        <v/>
      </c>
      <c r="O1032" t="str">
        <f t="shared" si="98"/>
        <v/>
      </c>
    </row>
    <row r="1033" spans="1:15" x14ac:dyDescent="0.25">
      <c r="A1033" s="49"/>
      <c r="G1033" t="str">
        <f t="shared" si="96"/>
        <v/>
      </c>
      <c r="H1033" s="13" t="str">
        <f t="shared" si="99"/>
        <v/>
      </c>
      <c r="I1033" t="str">
        <f>IFERROR(INDEX(Analysis!$D$116:$N$137, MATCH(B1033, Analysis!$C$116:$C$137, 0), MATCH(C1033, Analysis!$D$115:$N$115, 0)), "")</f>
        <v/>
      </c>
      <c r="J1033" t="str">
        <f t="shared" si="100"/>
        <v/>
      </c>
      <c r="K1033" s="28" t="str">
        <f t="shared" si="97"/>
        <v/>
      </c>
      <c r="L1033" s="46" t="str">
        <f t="shared" si="101"/>
        <v/>
      </c>
      <c r="M1033" t="str" cm="1">
        <f t="array" ref="M1033">IF(L1033="","",_xlfn.IFS(
  AND(L1033&gt;=TIME(9,0,0), L1033&lt;TIME(16,0,0)),"Morning",
  AND(L1033&gt;=TIME(16,0,0), L1033&lt;TIME(23,59,0)),"Evening",
  L1033&gt;=TIME(23,59,0),"Night",
  L1033&lt;TIME(9,0,0),"Night"
))</f>
        <v/>
      </c>
      <c r="O1033" t="str">
        <f t="shared" si="98"/>
        <v/>
      </c>
    </row>
    <row r="1034" spans="1:15" x14ac:dyDescent="0.25">
      <c r="A1034" s="49"/>
      <c r="G1034" t="str">
        <f t="shared" si="96"/>
        <v/>
      </c>
      <c r="H1034" s="13" t="str">
        <f t="shared" si="99"/>
        <v/>
      </c>
      <c r="I1034" t="str">
        <f>IFERROR(INDEX(Analysis!$D$116:$N$137, MATCH(B1034, Analysis!$C$116:$C$137, 0), MATCH(C1034, Analysis!$D$115:$N$115, 0)), "")</f>
        <v/>
      </c>
      <c r="J1034" t="str">
        <f t="shared" si="100"/>
        <v/>
      </c>
      <c r="K1034" s="28" t="str">
        <f t="shared" si="97"/>
        <v/>
      </c>
      <c r="L1034" s="46" t="str">
        <f t="shared" si="101"/>
        <v/>
      </c>
      <c r="M1034" t="str" cm="1">
        <f t="array" ref="M1034">IF(L1034="","",_xlfn.IFS(
  AND(L1034&gt;=TIME(9,0,0), L1034&lt;TIME(16,0,0)),"Morning",
  AND(L1034&gt;=TIME(16,0,0), L1034&lt;TIME(23,59,0)),"Evening",
  L1034&gt;=TIME(23,59,0),"Night",
  L1034&lt;TIME(9,0,0),"Night"
))</f>
        <v/>
      </c>
      <c r="O1034" t="str">
        <f t="shared" si="98"/>
        <v/>
      </c>
    </row>
    <row r="1035" spans="1:15" x14ac:dyDescent="0.25">
      <c r="A1035" s="49"/>
      <c r="G1035" t="str">
        <f t="shared" si="96"/>
        <v/>
      </c>
      <c r="H1035" s="13" t="str">
        <f t="shared" si="99"/>
        <v/>
      </c>
      <c r="I1035" t="str">
        <f>IFERROR(INDEX(Analysis!$D$116:$N$137, MATCH(B1035, Analysis!$C$116:$C$137, 0), MATCH(C1035, Analysis!$D$115:$N$115, 0)), "")</f>
        <v/>
      </c>
      <c r="J1035" t="str">
        <f t="shared" si="100"/>
        <v/>
      </c>
      <c r="K1035" s="28" t="str">
        <f t="shared" si="97"/>
        <v/>
      </c>
      <c r="L1035" s="46" t="str">
        <f t="shared" si="101"/>
        <v/>
      </c>
      <c r="M1035" t="str" cm="1">
        <f t="array" ref="M1035">IF(L1035="","",_xlfn.IFS(
  AND(L1035&gt;=TIME(9,0,0), L1035&lt;TIME(16,0,0)),"Morning",
  AND(L1035&gt;=TIME(16,0,0), L1035&lt;TIME(23,59,0)),"Evening",
  L1035&gt;=TIME(23,59,0),"Night",
  L1035&lt;TIME(9,0,0),"Night"
))</f>
        <v/>
      </c>
      <c r="O1035" t="str">
        <f t="shared" si="98"/>
        <v/>
      </c>
    </row>
    <row r="1036" spans="1:15" x14ac:dyDescent="0.25">
      <c r="A1036" s="49"/>
      <c r="G1036" t="str">
        <f t="shared" si="96"/>
        <v/>
      </c>
      <c r="H1036" s="13" t="str">
        <f t="shared" si="99"/>
        <v/>
      </c>
      <c r="I1036" t="str">
        <f>IFERROR(INDEX(Analysis!$D$116:$N$137, MATCH(B1036, Analysis!$C$116:$C$137, 0), MATCH(C1036, Analysis!$D$115:$N$115, 0)), "")</f>
        <v/>
      </c>
      <c r="J1036" t="str">
        <f t="shared" si="100"/>
        <v/>
      </c>
      <c r="K1036" s="28" t="str">
        <f t="shared" si="97"/>
        <v/>
      </c>
      <c r="L1036" s="46" t="str">
        <f t="shared" si="101"/>
        <v/>
      </c>
      <c r="M1036" t="str" cm="1">
        <f t="array" ref="M1036">IF(L1036="","",_xlfn.IFS(
  AND(L1036&gt;=TIME(9,0,0), L1036&lt;TIME(16,0,0)),"Morning",
  AND(L1036&gt;=TIME(16,0,0), L1036&lt;TIME(23,59,0)),"Evening",
  L1036&gt;=TIME(23,59,0),"Night",
  L1036&lt;TIME(9,0,0),"Night"
))</f>
        <v/>
      </c>
      <c r="O1036" t="str">
        <f t="shared" si="98"/>
        <v/>
      </c>
    </row>
    <row r="1037" spans="1:15" x14ac:dyDescent="0.25">
      <c r="A1037" s="49"/>
      <c r="G1037" t="str">
        <f t="shared" si="96"/>
        <v/>
      </c>
      <c r="H1037" s="13" t="str">
        <f t="shared" si="99"/>
        <v/>
      </c>
      <c r="I1037" t="str">
        <f>IFERROR(INDEX(Analysis!$D$116:$N$137, MATCH(B1037, Analysis!$C$116:$C$137, 0), MATCH(C1037, Analysis!$D$115:$N$115, 0)), "")</f>
        <v/>
      </c>
      <c r="J1037" t="str">
        <f t="shared" si="100"/>
        <v/>
      </c>
      <c r="K1037" s="28" t="str">
        <f t="shared" si="97"/>
        <v/>
      </c>
      <c r="L1037" s="46" t="str">
        <f t="shared" si="101"/>
        <v/>
      </c>
      <c r="M1037" t="str" cm="1">
        <f t="array" ref="M1037">IF(L1037="","",_xlfn.IFS(
  AND(L1037&gt;=TIME(9,0,0), L1037&lt;TIME(16,0,0)),"Morning",
  AND(L1037&gt;=TIME(16,0,0), L1037&lt;TIME(23,59,0)),"Evening",
  L1037&gt;=TIME(23,59,0),"Night",
  L1037&lt;TIME(9,0,0),"Night"
))</f>
        <v/>
      </c>
      <c r="O1037" t="str">
        <f t="shared" si="98"/>
        <v/>
      </c>
    </row>
    <row r="1038" spans="1:15" x14ac:dyDescent="0.25">
      <c r="A1038" s="49"/>
      <c r="G1038" t="str">
        <f t="shared" si="96"/>
        <v/>
      </c>
      <c r="H1038" s="13" t="str">
        <f t="shared" si="99"/>
        <v/>
      </c>
      <c r="I1038" t="str">
        <f>IFERROR(INDEX(Analysis!$D$116:$N$137, MATCH(B1038, Analysis!$C$116:$C$137, 0), MATCH(C1038, Analysis!$D$115:$N$115, 0)), "")</f>
        <v/>
      </c>
      <c r="J1038" t="str">
        <f t="shared" si="100"/>
        <v/>
      </c>
      <c r="K1038" s="28" t="str">
        <f t="shared" si="97"/>
        <v/>
      </c>
      <c r="L1038" s="46" t="str">
        <f t="shared" si="101"/>
        <v/>
      </c>
      <c r="M1038" t="str" cm="1">
        <f t="array" ref="M1038">IF(L1038="","",_xlfn.IFS(
  AND(L1038&gt;=TIME(9,0,0), L1038&lt;TIME(16,0,0)),"Morning",
  AND(L1038&gt;=TIME(16,0,0), L1038&lt;TIME(23,59,0)),"Evening",
  L1038&gt;=TIME(23,59,0),"Night",
  L1038&lt;TIME(9,0,0),"Night"
))</f>
        <v/>
      </c>
      <c r="O1038" t="str">
        <f t="shared" si="98"/>
        <v/>
      </c>
    </row>
    <row r="1039" spans="1:15" x14ac:dyDescent="0.25">
      <c r="A1039" s="49"/>
      <c r="G1039" t="str">
        <f t="shared" si="96"/>
        <v/>
      </c>
      <c r="H1039" s="13" t="str">
        <f t="shared" si="99"/>
        <v/>
      </c>
      <c r="I1039" t="str">
        <f>IFERROR(INDEX(Analysis!$D$116:$N$137, MATCH(B1039, Analysis!$C$116:$C$137, 0), MATCH(C1039, Analysis!$D$115:$N$115, 0)), "")</f>
        <v/>
      </c>
      <c r="J1039" t="str">
        <f t="shared" si="100"/>
        <v/>
      </c>
      <c r="K1039" s="28" t="str">
        <f t="shared" si="97"/>
        <v/>
      </c>
      <c r="L1039" s="46" t="str">
        <f t="shared" si="101"/>
        <v/>
      </c>
      <c r="M1039" t="str" cm="1">
        <f t="array" ref="M1039">IF(L1039="","",_xlfn.IFS(
  AND(L1039&gt;=TIME(9,0,0), L1039&lt;TIME(16,0,0)),"Morning",
  AND(L1039&gt;=TIME(16,0,0), L1039&lt;TIME(23,59,0)),"Evening",
  L1039&gt;=TIME(23,59,0),"Night",
  L1039&lt;TIME(9,0,0),"Night"
))</f>
        <v/>
      </c>
      <c r="O1039" t="str">
        <f t="shared" si="98"/>
        <v/>
      </c>
    </row>
    <row r="1040" spans="1:15" x14ac:dyDescent="0.25">
      <c r="A1040" s="49"/>
      <c r="G1040" t="str">
        <f t="shared" si="96"/>
        <v/>
      </c>
      <c r="H1040" s="13" t="str">
        <f t="shared" si="99"/>
        <v/>
      </c>
      <c r="I1040" t="str">
        <f>IFERROR(INDEX(Analysis!$D$116:$N$137, MATCH(B1040, Analysis!$C$116:$C$137, 0), MATCH(C1040, Analysis!$D$115:$N$115, 0)), "")</f>
        <v/>
      </c>
      <c r="J1040" t="str">
        <f t="shared" si="100"/>
        <v/>
      </c>
      <c r="K1040" s="28" t="str">
        <f t="shared" si="97"/>
        <v/>
      </c>
      <c r="L1040" s="46" t="str">
        <f t="shared" si="101"/>
        <v/>
      </c>
      <c r="M1040" t="str" cm="1">
        <f t="array" ref="M1040">IF(L1040="","",_xlfn.IFS(
  AND(L1040&gt;=TIME(9,0,0), L1040&lt;TIME(16,0,0)),"Morning",
  AND(L1040&gt;=TIME(16,0,0), L1040&lt;TIME(23,59,0)),"Evening",
  L1040&gt;=TIME(23,59,0),"Night",
  L1040&lt;TIME(9,0,0),"Night"
))</f>
        <v/>
      </c>
      <c r="O1040" t="str">
        <f t="shared" si="98"/>
        <v/>
      </c>
    </row>
    <row r="1041" spans="1:15" x14ac:dyDescent="0.25">
      <c r="A1041" s="49"/>
      <c r="G1041" t="str">
        <f t="shared" si="96"/>
        <v/>
      </c>
      <c r="H1041" s="13" t="str">
        <f t="shared" si="99"/>
        <v/>
      </c>
      <c r="I1041" t="str">
        <f>IFERROR(INDEX(Analysis!$D$116:$N$137, MATCH(B1041, Analysis!$C$116:$C$137, 0), MATCH(C1041, Analysis!$D$115:$N$115, 0)), "")</f>
        <v/>
      </c>
      <c r="J1041" t="str">
        <f t="shared" si="100"/>
        <v/>
      </c>
      <c r="K1041" s="28" t="str">
        <f t="shared" si="97"/>
        <v/>
      </c>
      <c r="L1041" s="46" t="str">
        <f t="shared" si="101"/>
        <v/>
      </c>
      <c r="M1041" t="str" cm="1">
        <f t="array" ref="M1041">IF(L1041="","",_xlfn.IFS(
  AND(L1041&gt;=TIME(9,0,0), L1041&lt;TIME(16,0,0)),"Morning",
  AND(L1041&gt;=TIME(16,0,0), L1041&lt;TIME(23,59,0)),"Evening",
  L1041&gt;=TIME(23,59,0),"Night",
  L1041&lt;TIME(9,0,0),"Night"
))</f>
        <v/>
      </c>
      <c r="O1041" t="str">
        <f t="shared" si="98"/>
        <v/>
      </c>
    </row>
    <row r="1042" spans="1:15" x14ac:dyDescent="0.25">
      <c r="A1042" s="49"/>
      <c r="G1042" t="str">
        <f t="shared" si="96"/>
        <v/>
      </c>
      <c r="H1042" s="13" t="str">
        <f t="shared" si="99"/>
        <v/>
      </c>
      <c r="I1042" t="str">
        <f>IFERROR(INDEX(Analysis!$D$116:$N$137, MATCH(B1042, Analysis!$C$116:$C$137, 0), MATCH(C1042, Analysis!$D$115:$N$115, 0)), "")</f>
        <v/>
      </c>
      <c r="J1042" t="str">
        <f t="shared" si="100"/>
        <v/>
      </c>
      <c r="K1042" s="28" t="str">
        <f t="shared" si="97"/>
        <v/>
      </c>
      <c r="L1042" s="46" t="str">
        <f t="shared" si="101"/>
        <v/>
      </c>
      <c r="M1042" t="str" cm="1">
        <f t="array" ref="M1042">IF(L1042="","",_xlfn.IFS(
  AND(L1042&gt;=TIME(9,0,0), L1042&lt;TIME(16,0,0)),"Morning",
  AND(L1042&gt;=TIME(16,0,0), L1042&lt;TIME(23,59,0)),"Evening",
  L1042&gt;=TIME(23,59,0),"Night",
  L1042&lt;TIME(9,0,0),"Night"
))</f>
        <v/>
      </c>
      <c r="O1042" t="str">
        <f t="shared" si="98"/>
        <v/>
      </c>
    </row>
    <row r="1043" spans="1:15" x14ac:dyDescent="0.25">
      <c r="A1043" s="49"/>
      <c r="G1043" t="str">
        <f t="shared" si="96"/>
        <v/>
      </c>
      <c r="H1043" s="13" t="str">
        <f t="shared" si="99"/>
        <v/>
      </c>
      <c r="I1043" t="str">
        <f>IFERROR(INDEX(Analysis!$D$116:$N$137, MATCH(B1043, Analysis!$C$116:$C$137, 0), MATCH(C1043, Analysis!$D$115:$N$115, 0)), "")</f>
        <v/>
      </c>
      <c r="J1043" t="str">
        <f t="shared" si="100"/>
        <v/>
      </c>
      <c r="K1043" s="28" t="str">
        <f t="shared" si="97"/>
        <v/>
      </c>
      <c r="L1043" s="46" t="str">
        <f t="shared" si="101"/>
        <v/>
      </c>
      <c r="M1043" t="str" cm="1">
        <f t="array" ref="M1043">IF(L1043="","",_xlfn.IFS(
  AND(L1043&gt;=TIME(9,0,0), L1043&lt;TIME(16,0,0)),"Morning",
  AND(L1043&gt;=TIME(16,0,0), L1043&lt;TIME(23,59,0)),"Evening",
  L1043&gt;=TIME(23,59,0),"Night",
  L1043&lt;TIME(9,0,0),"Night"
))</f>
        <v/>
      </c>
      <c r="O1043" t="str">
        <f t="shared" si="98"/>
        <v/>
      </c>
    </row>
    <row r="1044" spans="1:15" x14ac:dyDescent="0.25">
      <c r="A1044" s="49"/>
      <c r="G1044" t="str">
        <f t="shared" si="96"/>
        <v/>
      </c>
      <c r="H1044" s="13" t="str">
        <f t="shared" si="99"/>
        <v/>
      </c>
      <c r="I1044" t="str">
        <f>IFERROR(INDEX(Analysis!$D$116:$N$137, MATCH(B1044, Analysis!$C$116:$C$137, 0), MATCH(C1044, Analysis!$D$115:$N$115, 0)), "")</f>
        <v/>
      </c>
      <c r="J1044" t="str">
        <f t="shared" si="100"/>
        <v/>
      </c>
      <c r="K1044" s="28" t="str">
        <f t="shared" si="97"/>
        <v/>
      </c>
      <c r="L1044" s="46" t="str">
        <f t="shared" si="101"/>
        <v/>
      </c>
      <c r="M1044" t="str" cm="1">
        <f t="array" ref="M1044">IF(L1044="","",_xlfn.IFS(
  AND(L1044&gt;=TIME(9,0,0), L1044&lt;TIME(16,0,0)),"Morning",
  AND(L1044&gt;=TIME(16,0,0), L1044&lt;TIME(23,59,0)),"Evening",
  L1044&gt;=TIME(23,59,0),"Night",
  L1044&lt;TIME(9,0,0),"Night"
))</f>
        <v/>
      </c>
      <c r="O1044" t="str">
        <f t="shared" si="98"/>
        <v/>
      </c>
    </row>
    <row r="1045" spans="1:15" x14ac:dyDescent="0.25">
      <c r="A1045" s="49"/>
      <c r="G1045" t="str">
        <f t="shared" si="96"/>
        <v/>
      </c>
      <c r="H1045" s="13" t="str">
        <f t="shared" si="99"/>
        <v/>
      </c>
      <c r="I1045" t="str">
        <f>IFERROR(INDEX(Analysis!$D$116:$N$137, MATCH(B1045, Analysis!$C$116:$C$137, 0), MATCH(C1045, Analysis!$D$115:$N$115, 0)), "")</f>
        <v/>
      </c>
      <c r="J1045" t="str">
        <f t="shared" si="100"/>
        <v/>
      </c>
      <c r="K1045" s="28" t="str">
        <f t="shared" si="97"/>
        <v/>
      </c>
      <c r="L1045" s="46" t="str">
        <f t="shared" si="101"/>
        <v/>
      </c>
      <c r="M1045" t="str" cm="1">
        <f t="array" ref="M1045">IF(L1045="","",_xlfn.IFS(
  AND(L1045&gt;=TIME(9,0,0), L1045&lt;TIME(16,0,0)),"Morning",
  AND(L1045&gt;=TIME(16,0,0), L1045&lt;TIME(23,59,0)),"Evening",
  L1045&gt;=TIME(23,59,0),"Night",
  L1045&lt;TIME(9,0,0),"Night"
))</f>
        <v/>
      </c>
      <c r="O1045" t="str">
        <f t="shared" si="98"/>
        <v/>
      </c>
    </row>
    <row r="1046" spans="1:15" x14ac:dyDescent="0.25">
      <c r="A1046" s="49"/>
      <c r="G1046" t="str">
        <f t="shared" si="96"/>
        <v/>
      </c>
      <c r="H1046" s="13" t="str">
        <f t="shared" si="99"/>
        <v/>
      </c>
      <c r="I1046" t="str">
        <f>IFERROR(INDEX(Analysis!$D$116:$N$137, MATCH(B1046, Analysis!$C$116:$C$137, 0), MATCH(C1046, Analysis!$D$115:$N$115, 0)), "")</f>
        <v/>
      </c>
      <c r="J1046" t="str">
        <f t="shared" si="100"/>
        <v/>
      </c>
      <c r="K1046" s="28" t="str">
        <f t="shared" si="97"/>
        <v/>
      </c>
      <c r="L1046" s="46" t="str">
        <f t="shared" si="101"/>
        <v/>
      </c>
      <c r="M1046" t="str" cm="1">
        <f t="array" ref="M1046">IF(L1046="","",_xlfn.IFS(
  AND(L1046&gt;=TIME(9,0,0), L1046&lt;TIME(16,0,0)),"Morning",
  AND(L1046&gt;=TIME(16,0,0), L1046&lt;TIME(23,59,0)),"Evening",
  L1046&gt;=TIME(23,59,0),"Night",
  L1046&lt;TIME(9,0,0),"Night"
))</f>
        <v/>
      </c>
      <c r="O1046" t="str">
        <f t="shared" si="98"/>
        <v/>
      </c>
    </row>
    <row r="1047" spans="1:15" x14ac:dyDescent="0.25">
      <c r="A1047" s="49"/>
      <c r="G1047" t="str">
        <f t="shared" si="96"/>
        <v/>
      </c>
      <c r="H1047" s="13" t="str">
        <f t="shared" si="99"/>
        <v/>
      </c>
      <c r="I1047" t="str">
        <f>IFERROR(INDEX(Analysis!$D$116:$N$137, MATCH(B1047, Analysis!$C$116:$C$137, 0), MATCH(C1047, Analysis!$D$115:$N$115, 0)), "")</f>
        <v/>
      </c>
      <c r="J1047" t="str">
        <f t="shared" si="100"/>
        <v/>
      </c>
      <c r="K1047" s="28" t="str">
        <f t="shared" si="97"/>
        <v/>
      </c>
      <c r="L1047" s="46" t="str">
        <f t="shared" si="101"/>
        <v/>
      </c>
      <c r="M1047" t="str" cm="1">
        <f t="array" ref="M1047">IF(L1047="","",_xlfn.IFS(
  AND(L1047&gt;=TIME(9,0,0), L1047&lt;TIME(16,0,0)),"Morning",
  AND(L1047&gt;=TIME(16,0,0), L1047&lt;TIME(23,59,0)),"Evening",
  L1047&gt;=TIME(23,59,0),"Night",
  L1047&lt;TIME(9,0,0),"Night"
))</f>
        <v/>
      </c>
      <c r="O1047" t="str">
        <f t="shared" si="98"/>
        <v/>
      </c>
    </row>
    <row r="1048" spans="1:15" x14ac:dyDescent="0.25">
      <c r="A1048" s="49"/>
      <c r="G1048" t="str">
        <f t="shared" si="96"/>
        <v/>
      </c>
      <c r="H1048" s="13" t="str">
        <f t="shared" si="99"/>
        <v/>
      </c>
      <c r="I1048" t="str">
        <f>IFERROR(INDEX(Analysis!$D$116:$N$137, MATCH(B1048, Analysis!$C$116:$C$137, 0), MATCH(C1048, Analysis!$D$115:$N$115, 0)), "")</f>
        <v/>
      </c>
      <c r="J1048" t="str">
        <f t="shared" si="100"/>
        <v/>
      </c>
      <c r="K1048" s="28" t="str">
        <f t="shared" si="97"/>
        <v/>
      </c>
      <c r="L1048" s="46" t="str">
        <f t="shared" si="101"/>
        <v/>
      </c>
      <c r="M1048" t="str" cm="1">
        <f t="array" ref="M1048">IF(L1048="","",_xlfn.IFS(
  AND(L1048&gt;=TIME(9,0,0), L1048&lt;TIME(16,0,0)),"Morning",
  AND(L1048&gt;=TIME(16,0,0), L1048&lt;TIME(23,59,0)),"Evening",
  L1048&gt;=TIME(23,59,0),"Night",
  L1048&lt;TIME(9,0,0),"Night"
))</f>
        <v/>
      </c>
      <c r="O1048" t="str">
        <f t="shared" si="98"/>
        <v/>
      </c>
    </row>
    <row r="1049" spans="1:15" x14ac:dyDescent="0.25">
      <c r="A1049" s="49"/>
      <c r="G1049" t="str">
        <f t="shared" si="96"/>
        <v/>
      </c>
      <c r="H1049" s="13" t="str">
        <f t="shared" si="99"/>
        <v/>
      </c>
      <c r="I1049" t="str">
        <f>IFERROR(INDEX(Analysis!$D$116:$N$137, MATCH(B1049, Analysis!$C$116:$C$137, 0), MATCH(C1049, Analysis!$D$115:$N$115, 0)), "")</f>
        <v/>
      </c>
      <c r="J1049" t="str">
        <f t="shared" si="100"/>
        <v/>
      </c>
      <c r="K1049" s="28" t="str">
        <f t="shared" si="97"/>
        <v/>
      </c>
      <c r="L1049" s="46" t="str">
        <f t="shared" si="101"/>
        <v/>
      </c>
      <c r="M1049" t="str" cm="1">
        <f t="array" ref="M1049">IF(L1049="","",_xlfn.IFS(
  AND(L1049&gt;=TIME(9,0,0), L1049&lt;TIME(16,0,0)),"Morning",
  AND(L1049&gt;=TIME(16,0,0), L1049&lt;TIME(23,59,0)),"Evening",
  L1049&gt;=TIME(23,59,0),"Night",
  L1049&lt;TIME(9,0,0),"Night"
))</f>
        <v/>
      </c>
      <c r="O1049" t="str">
        <f t="shared" si="98"/>
        <v/>
      </c>
    </row>
    <row r="1050" spans="1:15" x14ac:dyDescent="0.25">
      <c r="A1050" s="49"/>
      <c r="G1050" t="str">
        <f t="shared" si="96"/>
        <v/>
      </c>
      <c r="H1050" s="13" t="str">
        <f t="shared" si="99"/>
        <v/>
      </c>
      <c r="I1050" t="str">
        <f>IFERROR(INDEX(Analysis!$D$116:$N$137, MATCH(B1050, Analysis!$C$116:$C$137, 0), MATCH(C1050, Analysis!$D$115:$N$115, 0)), "")</f>
        <v/>
      </c>
      <c r="J1050" t="str">
        <f t="shared" si="100"/>
        <v/>
      </c>
      <c r="K1050" s="28" t="str">
        <f t="shared" si="97"/>
        <v/>
      </c>
      <c r="L1050" s="46" t="str">
        <f t="shared" si="101"/>
        <v/>
      </c>
      <c r="M1050" t="str" cm="1">
        <f t="array" ref="M1050">IF(L1050="","",_xlfn.IFS(
  AND(L1050&gt;=TIME(9,0,0), L1050&lt;TIME(16,0,0)),"Morning",
  AND(L1050&gt;=TIME(16,0,0), L1050&lt;TIME(23,59,0)),"Evening",
  L1050&gt;=TIME(23,59,0),"Night",
  L1050&lt;TIME(9,0,0),"Night"
))</f>
        <v/>
      </c>
      <c r="O1050" t="str">
        <f t="shared" si="98"/>
        <v/>
      </c>
    </row>
    <row r="1051" spans="1:15" x14ac:dyDescent="0.25">
      <c r="A1051" s="49"/>
      <c r="G1051" t="str">
        <f t="shared" si="96"/>
        <v/>
      </c>
      <c r="H1051" s="13" t="str">
        <f t="shared" si="99"/>
        <v/>
      </c>
      <c r="I1051" t="str">
        <f>IFERROR(INDEX(Analysis!$D$116:$N$137, MATCH(B1051, Analysis!$C$116:$C$137, 0), MATCH(C1051, Analysis!$D$115:$N$115, 0)), "")</f>
        <v/>
      </c>
      <c r="J1051" t="str">
        <f t="shared" si="100"/>
        <v/>
      </c>
      <c r="K1051" s="28" t="str">
        <f t="shared" si="97"/>
        <v/>
      </c>
      <c r="L1051" s="46" t="str">
        <f t="shared" si="101"/>
        <v/>
      </c>
      <c r="M1051" t="str" cm="1">
        <f t="array" ref="M1051">IF(L1051="","",_xlfn.IFS(
  AND(L1051&gt;=TIME(9,0,0), L1051&lt;TIME(16,0,0)),"Morning",
  AND(L1051&gt;=TIME(16,0,0), L1051&lt;TIME(23,59,0)),"Evening",
  L1051&gt;=TIME(23,59,0),"Night",
  L1051&lt;TIME(9,0,0),"Night"
))</f>
        <v/>
      </c>
      <c r="O1051" t="str">
        <f t="shared" si="98"/>
        <v/>
      </c>
    </row>
    <row r="1052" spans="1:15" x14ac:dyDescent="0.25">
      <c r="A1052" s="49"/>
      <c r="G1052" t="str">
        <f t="shared" si="96"/>
        <v/>
      </c>
      <c r="H1052" s="13" t="str">
        <f t="shared" si="99"/>
        <v/>
      </c>
      <c r="I1052" t="str">
        <f>IFERROR(INDEX(Analysis!$D$116:$N$137, MATCH(B1052, Analysis!$C$116:$C$137, 0), MATCH(C1052, Analysis!$D$115:$N$115, 0)), "")</f>
        <v/>
      </c>
      <c r="J1052" t="str">
        <f t="shared" si="100"/>
        <v/>
      </c>
      <c r="K1052" s="28" t="str">
        <f t="shared" si="97"/>
        <v/>
      </c>
      <c r="L1052" s="46" t="str">
        <f t="shared" si="101"/>
        <v/>
      </c>
      <c r="M1052" t="str" cm="1">
        <f t="array" ref="M1052">IF(L1052="","",_xlfn.IFS(
  AND(L1052&gt;=TIME(9,0,0), L1052&lt;TIME(16,0,0)),"Morning",
  AND(L1052&gt;=TIME(16,0,0), L1052&lt;TIME(23,59,0)),"Evening",
  L1052&gt;=TIME(23,59,0),"Night",
  L1052&lt;TIME(9,0,0),"Night"
))</f>
        <v/>
      </c>
      <c r="O1052" t="str">
        <f t="shared" si="98"/>
        <v/>
      </c>
    </row>
    <row r="1053" spans="1:15" x14ac:dyDescent="0.25">
      <c r="A1053" s="49"/>
      <c r="G1053" t="str">
        <f t="shared" si="96"/>
        <v/>
      </c>
      <c r="H1053" s="13" t="str">
        <f t="shared" si="99"/>
        <v/>
      </c>
      <c r="I1053" t="str">
        <f>IFERROR(INDEX(Analysis!$D$116:$N$137, MATCH(B1053, Analysis!$C$116:$C$137, 0), MATCH(C1053, Analysis!$D$115:$N$115, 0)), "")</f>
        <v/>
      </c>
      <c r="J1053" t="str">
        <f t="shared" si="100"/>
        <v/>
      </c>
      <c r="K1053" s="28" t="str">
        <f t="shared" si="97"/>
        <v/>
      </c>
      <c r="L1053" s="46" t="str">
        <f t="shared" si="101"/>
        <v/>
      </c>
      <c r="M1053" t="str" cm="1">
        <f t="array" ref="M1053">IF(L1053="","",_xlfn.IFS(
  AND(L1053&gt;=TIME(9,0,0), L1053&lt;TIME(16,0,0)),"Morning",
  AND(L1053&gt;=TIME(16,0,0), L1053&lt;TIME(23,59,0)),"Evening",
  L1053&gt;=TIME(23,59,0),"Night",
  L1053&lt;TIME(9,0,0),"Night"
))</f>
        <v/>
      </c>
      <c r="O1053" t="str">
        <f t="shared" si="98"/>
        <v/>
      </c>
    </row>
    <row r="1054" spans="1:15" x14ac:dyDescent="0.25">
      <c r="A1054" s="49"/>
      <c r="G1054" t="str">
        <f t="shared" si="96"/>
        <v/>
      </c>
      <c r="H1054" s="13" t="str">
        <f t="shared" si="99"/>
        <v/>
      </c>
      <c r="I1054" t="str">
        <f>IFERROR(INDEX(Analysis!$D$116:$N$137, MATCH(B1054, Analysis!$C$116:$C$137, 0), MATCH(C1054, Analysis!$D$115:$N$115, 0)), "")</f>
        <v/>
      </c>
      <c r="J1054" t="str">
        <f t="shared" si="100"/>
        <v/>
      </c>
      <c r="K1054" s="28" t="str">
        <f t="shared" si="97"/>
        <v/>
      </c>
      <c r="L1054" s="46" t="str">
        <f t="shared" si="101"/>
        <v/>
      </c>
      <c r="M1054" t="str" cm="1">
        <f t="array" ref="M1054">IF(L1054="","",_xlfn.IFS(
  AND(L1054&gt;=TIME(9,0,0), L1054&lt;TIME(16,0,0)),"Morning",
  AND(L1054&gt;=TIME(16,0,0), L1054&lt;TIME(23,59,0)),"Evening",
  L1054&gt;=TIME(23,59,0),"Night",
  L1054&lt;TIME(9,0,0),"Night"
))</f>
        <v/>
      </c>
      <c r="O1054" t="str">
        <f t="shared" si="98"/>
        <v/>
      </c>
    </row>
    <row r="1055" spans="1:15" x14ac:dyDescent="0.25">
      <c r="A1055" s="49"/>
      <c r="G1055" t="str">
        <f t="shared" si="96"/>
        <v/>
      </c>
      <c r="H1055" s="13" t="str">
        <f t="shared" si="99"/>
        <v/>
      </c>
      <c r="I1055" t="str">
        <f>IFERROR(INDEX(Analysis!$D$116:$N$137, MATCH(B1055, Analysis!$C$116:$C$137, 0), MATCH(C1055, Analysis!$D$115:$N$115, 0)), "")</f>
        <v/>
      </c>
      <c r="J1055" t="str">
        <f t="shared" si="100"/>
        <v/>
      </c>
      <c r="K1055" s="28" t="str">
        <f t="shared" si="97"/>
        <v/>
      </c>
      <c r="L1055" s="46" t="str">
        <f t="shared" si="101"/>
        <v/>
      </c>
      <c r="M1055" t="str" cm="1">
        <f t="array" ref="M1055">IF(L1055="","",_xlfn.IFS(
  AND(L1055&gt;=TIME(9,0,0), L1055&lt;TIME(16,0,0)),"Morning",
  AND(L1055&gt;=TIME(16,0,0), L1055&lt;TIME(23,59,0)),"Evening",
  L1055&gt;=TIME(23,59,0),"Night",
  L1055&lt;TIME(9,0,0),"Night"
))</f>
        <v/>
      </c>
      <c r="O1055" t="str">
        <f t="shared" si="98"/>
        <v/>
      </c>
    </row>
    <row r="1056" spans="1:15" x14ac:dyDescent="0.25">
      <c r="A1056" s="49"/>
      <c r="G1056" t="str">
        <f t="shared" si="96"/>
        <v/>
      </c>
      <c r="H1056" s="13" t="str">
        <f t="shared" si="99"/>
        <v/>
      </c>
      <c r="I1056" t="str">
        <f>IFERROR(INDEX(Analysis!$D$116:$N$137, MATCH(B1056, Analysis!$C$116:$C$137, 0), MATCH(C1056, Analysis!$D$115:$N$115, 0)), "")</f>
        <v/>
      </c>
      <c r="J1056" t="str">
        <f t="shared" si="100"/>
        <v/>
      </c>
      <c r="K1056" s="28" t="str">
        <f t="shared" si="97"/>
        <v/>
      </c>
      <c r="L1056" s="46" t="str">
        <f t="shared" si="101"/>
        <v/>
      </c>
      <c r="M1056" t="str" cm="1">
        <f t="array" ref="M1056">IF(L1056="","",_xlfn.IFS(
  AND(L1056&gt;=TIME(9,0,0), L1056&lt;TIME(16,0,0)),"Morning",
  AND(L1056&gt;=TIME(16,0,0), L1056&lt;TIME(23,59,0)),"Evening",
  L1056&gt;=TIME(23,59,0),"Night",
  L1056&lt;TIME(9,0,0),"Night"
))</f>
        <v/>
      </c>
      <c r="O1056" t="str">
        <f t="shared" si="98"/>
        <v/>
      </c>
    </row>
    <row r="1057" spans="1:15" x14ac:dyDescent="0.25">
      <c r="A1057" s="49"/>
      <c r="G1057" t="str">
        <f t="shared" si="96"/>
        <v/>
      </c>
      <c r="H1057" s="13" t="str">
        <f t="shared" si="99"/>
        <v/>
      </c>
      <c r="I1057" t="str">
        <f>IFERROR(INDEX(Analysis!$D$116:$N$137, MATCH(B1057, Analysis!$C$116:$C$137, 0), MATCH(C1057, Analysis!$D$115:$N$115, 0)), "")</f>
        <v/>
      </c>
      <c r="J1057" t="str">
        <f t="shared" si="100"/>
        <v/>
      </c>
      <c r="K1057" s="28" t="str">
        <f t="shared" si="97"/>
        <v/>
      </c>
      <c r="L1057" s="46" t="str">
        <f t="shared" si="101"/>
        <v/>
      </c>
      <c r="M1057" t="str" cm="1">
        <f t="array" ref="M1057">IF(L1057="","",_xlfn.IFS(
  AND(L1057&gt;=TIME(9,0,0), L1057&lt;TIME(16,0,0)),"Morning",
  AND(L1057&gt;=TIME(16,0,0), L1057&lt;TIME(23,59,0)),"Evening",
  L1057&gt;=TIME(23,59,0),"Night",
  L1057&lt;TIME(9,0,0),"Night"
))</f>
        <v/>
      </c>
      <c r="O1057" t="str">
        <f t="shared" si="98"/>
        <v/>
      </c>
    </row>
    <row r="1058" spans="1:15" x14ac:dyDescent="0.25">
      <c r="A1058" s="49"/>
      <c r="G1058" t="str">
        <f t="shared" si="96"/>
        <v/>
      </c>
      <c r="H1058" s="13" t="str">
        <f t="shared" si="99"/>
        <v/>
      </c>
      <c r="I1058" t="str">
        <f>IFERROR(INDEX(Analysis!$D$116:$N$137, MATCH(B1058, Analysis!$C$116:$C$137, 0), MATCH(C1058, Analysis!$D$115:$N$115, 0)), "")</f>
        <v/>
      </c>
      <c r="J1058" t="str">
        <f t="shared" si="100"/>
        <v/>
      </c>
      <c r="K1058" s="28" t="str">
        <f t="shared" si="97"/>
        <v/>
      </c>
      <c r="L1058" s="46" t="str">
        <f t="shared" si="101"/>
        <v/>
      </c>
      <c r="M1058" t="str" cm="1">
        <f t="array" ref="M1058">IF(L1058="","",_xlfn.IFS(
  AND(L1058&gt;=TIME(9,0,0), L1058&lt;TIME(16,0,0)),"Morning",
  AND(L1058&gt;=TIME(16,0,0), L1058&lt;TIME(23,59,0)),"Evening",
  L1058&gt;=TIME(23,59,0),"Night",
  L1058&lt;TIME(9,0,0),"Night"
))</f>
        <v/>
      </c>
      <c r="O1058" t="str">
        <f t="shared" si="98"/>
        <v/>
      </c>
    </row>
    <row r="1059" spans="1:15" x14ac:dyDescent="0.25">
      <c r="A1059" s="49"/>
      <c r="G1059" t="str">
        <f t="shared" si="96"/>
        <v/>
      </c>
      <c r="H1059" s="13" t="str">
        <f t="shared" si="99"/>
        <v/>
      </c>
      <c r="I1059" t="str">
        <f>IFERROR(INDEX(Analysis!$D$116:$N$137, MATCH(B1059, Analysis!$C$116:$C$137, 0), MATCH(C1059, Analysis!$D$115:$N$115, 0)), "")</f>
        <v/>
      </c>
      <c r="J1059" t="str">
        <f t="shared" si="100"/>
        <v/>
      </c>
      <c r="K1059" s="28" t="str">
        <f t="shared" si="97"/>
        <v/>
      </c>
      <c r="L1059" s="46" t="str">
        <f t="shared" si="101"/>
        <v/>
      </c>
      <c r="M1059" t="str" cm="1">
        <f t="array" ref="M1059">IF(L1059="","",_xlfn.IFS(
  AND(L1059&gt;=TIME(9,0,0), L1059&lt;TIME(16,0,0)),"Morning",
  AND(L1059&gt;=TIME(16,0,0), L1059&lt;TIME(23,59,0)),"Evening",
  L1059&gt;=TIME(23,59,0),"Night",
  L1059&lt;TIME(9,0,0),"Night"
))</f>
        <v/>
      </c>
      <c r="O1059" t="str">
        <f t="shared" si="98"/>
        <v/>
      </c>
    </row>
    <row r="1060" spans="1:15" x14ac:dyDescent="0.25">
      <c r="A1060" s="49"/>
      <c r="G1060" t="str">
        <f t="shared" si="96"/>
        <v/>
      </c>
      <c r="H1060" s="13" t="str">
        <f t="shared" si="99"/>
        <v/>
      </c>
      <c r="I1060" t="str">
        <f>IFERROR(INDEX(Analysis!$D$116:$N$137, MATCH(B1060, Analysis!$C$116:$C$137, 0), MATCH(C1060, Analysis!$D$115:$N$115, 0)), "")</f>
        <v/>
      </c>
      <c r="J1060" t="str">
        <f t="shared" si="100"/>
        <v/>
      </c>
      <c r="K1060" s="28" t="str">
        <f t="shared" si="97"/>
        <v/>
      </c>
      <c r="L1060" s="46" t="str">
        <f t="shared" si="101"/>
        <v/>
      </c>
      <c r="M1060" t="str" cm="1">
        <f t="array" ref="M1060">IF(L1060="","",_xlfn.IFS(
  AND(L1060&gt;=TIME(9,0,0), L1060&lt;TIME(16,0,0)),"Morning",
  AND(L1060&gt;=TIME(16,0,0), L1060&lt;TIME(23,59,0)),"Evening",
  L1060&gt;=TIME(23,59,0),"Night",
  L1060&lt;TIME(9,0,0),"Night"
))</f>
        <v/>
      </c>
      <c r="O1060" t="str">
        <f t="shared" si="98"/>
        <v/>
      </c>
    </row>
    <row r="1061" spans="1:15" x14ac:dyDescent="0.25">
      <c r="A1061" s="49"/>
      <c r="G1061" t="str">
        <f t="shared" si="96"/>
        <v/>
      </c>
      <c r="H1061" s="13" t="str">
        <f t="shared" si="99"/>
        <v/>
      </c>
      <c r="I1061" t="str">
        <f>IFERROR(INDEX(Analysis!$D$116:$N$137, MATCH(B1061, Analysis!$C$116:$C$137, 0), MATCH(C1061, Analysis!$D$115:$N$115, 0)), "")</f>
        <v/>
      </c>
      <c r="J1061" t="str">
        <f t="shared" si="100"/>
        <v/>
      </c>
      <c r="K1061" s="28" t="str">
        <f t="shared" si="97"/>
        <v/>
      </c>
      <c r="L1061" s="46" t="str">
        <f t="shared" si="101"/>
        <v/>
      </c>
      <c r="M1061" t="str" cm="1">
        <f t="array" ref="M1061">IF(L1061="","",_xlfn.IFS(
  AND(L1061&gt;=TIME(9,0,0), L1061&lt;TIME(16,0,0)),"Morning",
  AND(L1061&gt;=TIME(16,0,0), L1061&lt;TIME(23,59,0)),"Evening",
  L1061&gt;=TIME(23,59,0),"Night",
  L1061&lt;TIME(9,0,0),"Night"
))</f>
        <v/>
      </c>
      <c r="O1061" t="str">
        <f t="shared" si="98"/>
        <v/>
      </c>
    </row>
    <row r="1062" spans="1:15" x14ac:dyDescent="0.25">
      <c r="A1062" s="49"/>
      <c r="G1062" t="str">
        <f t="shared" si="96"/>
        <v/>
      </c>
      <c r="H1062" s="13" t="str">
        <f t="shared" si="99"/>
        <v/>
      </c>
      <c r="I1062" t="str">
        <f>IFERROR(INDEX(Analysis!$D$116:$N$137, MATCH(B1062, Analysis!$C$116:$C$137, 0), MATCH(C1062, Analysis!$D$115:$N$115, 0)), "")</f>
        <v/>
      </c>
      <c r="J1062" t="str">
        <f t="shared" si="100"/>
        <v/>
      </c>
      <c r="K1062" s="28" t="str">
        <f t="shared" si="97"/>
        <v/>
      </c>
      <c r="L1062" s="46" t="str">
        <f t="shared" si="101"/>
        <v/>
      </c>
      <c r="M1062" t="str" cm="1">
        <f t="array" ref="M1062">IF(L1062="","",_xlfn.IFS(
  AND(L1062&gt;=TIME(9,0,0), L1062&lt;TIME(16,0,0)),"Morning",
  AND(L1062&gt;=TIME(16,0,0), L1062&lt;TIME(23,59,0)),"Evening",
  L1062&gt;=TIME(23,59,0),"Night",
  L1062&lt;TIME(9,0,0),"Night"
))</f>
        <v/>
      </c>
      <c r="O1062" t="str">
        <f t="shared" si="98"/>
        <v/>
      </c>
    </row>
    <row r="1063" spans="1:15" x14ac:dyDescent="0.25">
      <c r="A1063" s="49"/>
      <c r="G1063" t="str">
        <f t="shared" si="96"/>
        <v/>
      </c>
      <c r="H1063" s="13" t="str">
        <f t="shared" si="99"/>
        <v/>
      </c>
      <c r="I1063" t="str">
        <f>IFERROR(INDEX(Analysis!$D$116:$N$137, MATCH(B1063, Analysis!$C$116:$C$137, 0), MATCH(C1063, Analysis!$D$115:$N$115, 0)), "")</f>
        <v/>
      </c>
      <c r="J1063" t="str">
        <f t="shared" si="100"/>
        <v/>
      </c>
      <c r="K1063" s="28" t="str">
        <f t="shared" si="97"/>
        <v/>
      </c>
      <c r="L1063" s="46" t="str">
        <f t="shared" si="101"/>
        <v/>
      </c>
      <c r="M1063" t="str" cm="1">
        <f t="array" ref="M1063">IF(L1063="","",_xlfn.IFS(
  AND(L1063&gt;=TIME(9,0,0), L1063&lt;TIME(16,0,0)),"Morning",
  AND(L1063&gt;=TIME(16,0,0), L1063&lt;TIME(23,59,0)),"Evening",
  L1063&gt;=TIME(23,59,0),"Night",
  L1063&lt;TIME(9,0,0),"Night"
))</f>
        <v/>
      </c>
      <c r="O1063" t="str">
        <f t="shared" si="98"/>
        <v/>
      </c>
    </row>
    <row r="1064" spans="1:15" x14ac:dyDescent="0.25">
      <c r="A1064" s="49"/>
      <c r="G1064" t="str">
        <f t="shared" si="96"/>
        <v/>
      </c>
      <c r="H1064" s="13" t="str">
        <f t="shared" si="99"/>
        <v/>
      </c>
      <c r="I1064" t="str">
        <f>IFERROR(INDEX(Analysis!$D$116:$N$137, MATCH(B1064, Analysis!$C$116:$C$137, 0), MATCH(C1064, Analysis!$D$115:$N$115, 0)), "")</f>
        <v/>
      </c>
      <c r="J1064" t="str">
        <f t="shared" si="100"/>
        <v/>
      </c>
      <c r="K1064" s="28" t="str">
        <f t="shared" si="97"/>
        <v/>
      </c>
      <c r="L1064" s="46" t="str">
        <f t="shared" si="101"/>
        <v/>
      </c>
      <c r="M1064" t="str" cm="1">
        <f t="array" ref="M1064">IF(L1064="","",_xlfn.IFS(
  AND(L1064&gt;=TIME(9,0,0), L1064&lt;TIME(16,0,0)),"Morning",
  AND(L1064&gt;=TIME(16,0,0), L1064&lt;TIME(23,59,0)),"Evening",
  L1064&gt;=TIME(23,59,0),"Night",
  L1064&lt;TIME(9,0,0),"Night"
))</f>
        <v/>
      </c>
      <c r="O1064" t="str">
        <f t="shared" si="98"/>
        <v/>
      </c>
    </row>
    <row r="1065" spans="1:15" x14ac:dyDescent="0.25">
      <c r="A1065" s="49"/>
      <c r="G1065" t="str">
        <f t="shared" si="96"/>
        <v/>
      </c>
      <c r="H1065" s="13" t="str">
        <f t="shared" si="99"/>
        <v/>
      </c>
      <c r="I1065" t="str">
        <f>IFERROR(INDEX(Analysis!$D$116:$N$137, MATCH(B1065, Analysis!$C$116:$C$137, 0), MATCH(C1065, Analysis!$D$115:$N$115, 0)), "")</f>
        <v/>
      </c>
      <c r="J1065" t="str">
        <f t="shared" si="100"/>
        <v/>
      </c>
      <c r="K1065" s="28" t="str">
        <f t="shared" si="97"/>
        <v/>
      </c>
      <c r="L1065" s="46" t="str">
        <f t="shared" si="101"/>
        <v/>
      </c>
      <c r="M1065" t="str" cm="1">
        <f t="array" ref="M1065">IF(L1065="","",_xlfn.IFS(
  AND(L1065&gt;=TIME(9,0,0), L1065&lt;TIME(16,0,0)),"Morning",
  AND(L1065&gt;=TIME(16,0,0), L1065&lt;TIME(23,59,0)),"Evening",
  L1065&gt;=TIME(23,59,0),"Night",
  L1065&lt;TIME(9,0,0),"Night"
))</f>
        <v/>
      </c>
      <c r="O1065" t="str">
        <f t="shared" si="98"/>
        <v/>
      </c>
    </row>
    <row r="1066" spans="1:15" x14ac:dyDescent="0.25">
      <c r="A1066" s="49"/>
      <c r="G1066" t="str">
        <f t="shared" si="96"/>
        <v/>
      </c>
      <c r="H1066" s="13" t="str">
        <f t="shared" si="99"/>
        <v/>
      </c>
      <c r="I1066" t="str">
        <f>IFERROR(INDEX(Analysis!$D$116:$N$137, MATCH(B1066, Analysis!$C$116:$C$137, 0), MATCH(C1066, Analysis!$D$115:$N$115, 0)), "")</f>
        <v/>
      </c>
      <c r="J1066" t="str">
        <f t="shared" si="100"/>
        <v/>
      </c>
      <c r="K1066" s="28" t="str">
        <f t="shared" si="97"/>
        <v/>
      </c>
      <c r="L1066" s="46" t="str">
        <f t="shared" si="101"/>
        <v/>
      </c>
      <c r="M1066" t="str" cm="1">
        <f t="array" ref="M1066">IF(L1066="","",_xlfn.IFS(
  AND(L1066&gt;=TIME(9,0,0), L1066&lt;TIME(16,0,0)),"Morning",
  AND(L1066&gt;=TIME(16,0,0), L1066&lt;TIME(23,59,0)),"Evening",
  L1066&gt;=TIME(23,59,0),"Night",
  L1066&lt;TIME(9,0,0),"Night"
))</f>
        <v/>
      </c>
      <c r="O1066" t="str">
        <f t="shared" si="98"/>
        <v/>
      </c>
    </row>
    <row r="1067" spans="1:15" x14ac:dyDescent="0.25">
      <c r="A1067" s="49"/>
      <c r="G1067" t="str">
        <f t="shared" si="96"/>
        <v/>
      </c>
      <c r="H1067" s="13" t="str">
        <f t="shared" si="99"/>
        <v/>
      </c>
      <c r="I1067" t="str">
        <f>IFERROR(INDEX(Analysis!$D$116:$N$137, MATCH(B1067, Analysis!$C$116:$C$137, 0), MATCH(C1067, Analysis!$D$115:$N$115, 0)), "")</f>
        <v/>
      </c>
      <c r="J1067" t="str">
        <f t="shared" si="100"/>
        <v/>
      </c>
      <c r="K1067" s="28" t="str">
        <f t="shared" si="97"/>
        <v/>
      </c>
      <c r="L1067" s="46" t="str">
        <f t="shared" si="101"/>
        <v/>
      </c>
      <c r="M1067" t="str" cm="1">
        <f t="array" ref="M1067">IF(L1067="","",_xlfn.IFS(
  AND(L1067&gt;=TIME(9,0,0), L1067&lt;TIME(16,0,0)),"Morning",
  AND(L1067&gt;=TIME(16,0,0), L1067&lt;TIME(23,59,0)),"Evening",
  L1067&gt;=TIME(23,59,0),"Night",
  L1067&lt;TIME(9,0,0),"Night"
))</f>
        <v/>
      </c>
      <c r="O1067" t="str">
        <f t="shared" si="98"/>
        <v/>
      </c>
    </row>
    <row r="1068" spans="1:15" x14ac:dyDescent="0.25">
      <c r="A1068" s="49"/>
      <c r="G1068" t="str">
        <f t="shared" si="96"/>
        <v/>
      </c>
      <c r="H1068" s="13" t="str">
        <f t="shared" si="99"/>
        <v/>
      </c>
      <c r="I1068" t="str">
        <f>IFERROR(INDEX(Analysis!$D$116:$N$137, MATCH(B1068, Analysis!$C$116:$C$137, 0), MATCH(C1068, Analysis!$D$115:$N$115, 0)), "")</f>
        <v/>
      </c>
      <c r="J1068" t="str">
        <f t="shared" si="100"/>
        <v/>
      </c>
      <c r="K1068" s="28" t="str">
        <f t="shared" si="97"/>
        <v/>
      </c>
      <c r="L1068" s="46" t="str">
        <f t="shared" si="101"/>
        <v/>
      </c>
      <c r="M1068" t="str" cm="1">
        <f t="array" ref="M1068">IF(L1068="","",_xlfn.IFS(
  AND(L1068&gt;=TIME(9,0,0), L1068&lt;TIME(16,0,0)),"Morning",
  AND(L1068&gt;=TIME(16,0,0), L1068&lt;TIME(23,59,0)),"Evening",
  L1068&gt;=TIME(23,59,0),"Night",
  L1068&lt;TIME(9,0,0),"Night"
))</f>
        <v/>
      </c>
      <c r="O1068" t="str">
        <f t="shared" si="98"/>
        <v/>
      </c>
    </row>
    <row r="1069" spans="1:15" x14ac:dyDescent="0.25">
      <c r="A1069" s="49"/>
      <c r="G1069" t="str">
        <f t="shared" si="96"/>
        <v/>
      </c>
      <c r="H1069" s="13" t="str">
        <f t="shared" si="99"/>
        <v/>
      </c>
      <c r="I1069" t="str">
        <f>IFERROR(INDEX(Analysis!$D$116:$N$137, MATCH(B1069, Analysis!$C$116:$C$137, 0), MATCH(C1069, Analysis!$D$115:$N$115, 0)), "")</f>
        <v/>
      </c>
      <c r="J1069" t="str">
        <f t="shared" si="100"/>
        <v/>
      </c>
      <c r="K1069" s="28" t="str">
        <f t="shared" si="97"/>
        <v/>
      </c>
      <c r="L1069" s="46" t="str">
        <f t="shared" si="101"/>
        <v/>
      </c>
      <c r="M1069" t="str" cm="1">
        <f t="array" ref="M1069">IF(L1069="","",_xlfn.IFS(
  AND(L1069&gt;=TIME(9,0,0), L1069&lt;TIME(16,0,0)),"Morning",
  AND(L1069&gt;=TIME(16,0,0), L1069&lt;TIME(23,59,0)),"Evening",
  L1069&gt;=TIME(23,59,0),"Night",
  L1069&lt;TIME(9,0,0),"Night"
))</f>
        <v/>
      </c>
      <c r="O1069" t="str">
        <f t="shared" si="98"/>
        <v/>
      </c>
    </row>
    <row r="1070" spans="1:15" x14ac:dyDescent="0.25">
      <c r="A1070" s="49"/>
      <c r="G1070" t="str">
        <f t="shared" si="96"/>
        <v/>
      </c>
      <c r="H1070" s="13" t="str">
        <f t="shared" si="99"/>
        <v/>
      </c>
      <c r="I1070" t="str">
        <f>IFERROR(INDEX(Analysis!$D$116:$N$137, MATCH(B1070, Analysis!$C$116:$C$137, 0), MATCH(C1070, Analysis!$D$115:$N$115, 0)), "")</f>
        <v/>
      </c>
      <c r="J1070" t="str">
        <f t="shared" si="100"/>
        <v/>
      </c>
      <c r="K1070" s="28" t="str">
        <f t="shared" si="97"/>
        <v/>
      </c>
      <c r="L1070" s="46" t="str">
        <f t="shared" si="101"/>
        <v/>
      </c>
      <c r="M1070" t="str" cm="1">
        <f t="array" ref="M1070">IF(L1070="","",_xlfn.IFS(
  AND(L1070&gt;=TIME(9,0,0), L1070&lt;TIME(16,0,0)),"Morning",
  AND(L1070&gt;=TIME(16,0,0), L1070&lt;TIME(23,59,0)),"Evening",
  L1070&gt;=TIME(23,59,0),"Night",
  L1070&lt;TIME(9,0,0),"Night"
))</f>
        <v/>
      </c>
      <c r="O1070" t="str">
        <f t="shared" si="98"/>
        <v/>
      </c>
    </row>
    <row r="1071" spans="1:15" x14ac:dyDescent="0.25">
      <c r="A1071" s="49"/>
      <c r="G1071" t="str">
        <f t="shared" si="96"/>
        <v/>
      </c>
      <c r="H1071" s="13" t="str">
        <f t="shared" si="99"/>
        <v/>
      </c>
      <c r="I1071" t="str">
        <f>IFERROR(INDEX(Analysis!$D$116:$N$137, MATCH(B1071, Analysis!$C$116:$C$137, 0), MATCH(C1071, Analysis!$D$115:$N$115, 0)), "")</f>
        <v/>
      </c>
      <c r="J1071" t="str">
        <f t="shared" si="100"/>
        <v/>
      </c>
      <c r="K1071" s="28" t="str">
        <f t="shared" si="97"/>
        <v/>
      </c>
      <c r="L1071" s="46" t="str">
        <f t="shared" si="101"/>
        <v/>
      </c>
      <c r="M1071" t="str" cm="1">
        <f t="array" ref="M1071">IF(L1071="","",_xlfn.IFS(
  AND(L1071&gt;=TIME(9,0,0), L1071&lt;TIME(16,0,0)),"Morning",
  AND(L1071&gt;=TIME(16,0,0), L1071&lt;TIME(23,59,0)),"Evening",
  L1071&gt;=TIME(23,59,0),"Night",
  L1071&lt;TIME(9,0,0),"Night"
))</f>
        <v/>
      </c>
      <c r="O1071" t="str">
        <f t="shared" si="98"/>
        <v/>
      </c>
    </row>
    <row r="1072" spans="1:15" x14ac:dyDescent="0.25">
      <c r="A1072" s="49"/>
      <c r="G1072" t="str">
        <f t="shared" si="96"/>
        <v/>
      </c>
      <c r="H1072" s="13" t="str">
        <f t="shared" si="99"/>
        <v/>
      </c>
      <c r="I1072" t="str">
        <f>IFERROR(INDEX(Analysis!$D$116:$N$137, MATCH(B1072, Analysis!$C$116:$C$137, 0), MATCH(C1072, Analysis!$D$115:$N$115, 0)), "")</f>
        <v/>
      </c>
      <c r="J1072" t="str">
        <f t="shared" si="100"/>
        <v/>
      </c>
      <c r="K1072" s="28" t="str">
        <f t="shared" si="97"/>
        <v/>
      </c>
      <c r="L1072" s="46" t="str">
        <f t="shared" si="101"/>
        <v/>
      </c>
      <c r="M1072" t="str" cm="1">
        <f t="array" ref="M1072">IF(L1072="","",_xlfn.IFS(
  AND(L1072&gt;=TIME(9,0,0), L1072&lt;TIME(16,0,0)),"Morning",
  AND(L1072&gt;=TIME(16,0,0), L1072&lt;TIME(23,59,0)),"Evening",
  L1072&gt;=TIME(23,59,0),"Night",
  L1072&lt;TIME(9,0,0),"Night"
))</f>
        <v/>
      </c>
      <c r="O1072" t="str">
        <f t="shared" si="98"/>
        <v/>
      </c>
    </row>
    <row r="1073" spans="1:15" x14ac:dyDescent="0.25">
      <c r="A1073" s="49"/>
      <c r="G1073" t="str">
        <f t="shared" si="96"/>
        <v/>
      </c>
      <c r="H1073" s="13" t="str">
        <f t="shared" si="99"/>
        <v/>
      </c>
      <c r="I1073" t="str">
        <f>IFERROR(INDEX(Analysis!$D$116:$N$137, MATCH(B1073, Analysis!$C$116:$C$137, 0), MATCH(C1073, Analysis!$D$115:$N$115, 0)), "")</f>
        <v/>
      </c>
      <c r="J1073" t="str">
        <f t="shared" si="100"/>
        <v/>
      </c>
      <c r="K1073" s="28" t="str">
        <f t="shared" si="97"/>
        <v/>
      </c>
      <c r="L1073" s="46" t="str">
        <f t="shared" si="101"/>
        <v/>
      </c>
      <c r="M1073" t="str" cm="1">
        <f t="array" ref="M1073">IF(L1073="","",_xlfn.IFS(
  AND(L1073&gt;=TIME(9,0,0), L1073&lt;TIME(16,0,0)),"Morning",
  AND(L1073&gt;=TIME(16,0,0), L1073&lt;TIME(23,59,0)),"Evening",
  L1073&gt;=TIME(23,59,0),"Night",
  L1073&lt;TIME(9,0,0),"Night"
))</f>
        <v/>
      </c>
      <c r="O1073" t="str">
        <f t="shared" si="98"/>
        <v/>
      </c>
    </row>
    <row r="1074" spans="1:15" x14ac:dyDescent="0.25">
      <c r="A1074" s="49"/>
      <c r="G1074" t="str">
        <f t="shared" si="96"/>
        <v/>
      </c>
      <c r="H1074" s="13" t="str">
        <f t="shared" si="99"/>
        <v/>
      </c>
      <c r="I1074" t="str">
        <f>IFERROR(INDEX(Analysis!$D$116:$N$137, MATCH(B1074, Analysis!$C$116:$C$137, 0), MATCH(C1074, Analysis!$D$115:$N$115, 0)), "")</f>
        <v/>
      </c>
      <c r="J1074" t="str">
        <f t="shared" si="100"/>
        <v/>
      </c>
      <c r="K1074" s="28" t="str">
        <f t="shared" si="97"/>
        <v/>
      </c>
      <c r="L1074" s="46" t="str">
        <f t="shared" si="101"/>
        <v/>
      </c>
      <c r="M1074" t="str" cm="1">
        <f t="array" ref="M1074">IF(L1074="","",_xlfn.IFS(
  AND(L1074&gt;=TIME(9,0,0), L1074&lt;TIME(16,0,0)),"Morning",
  AND(L1074&gt;=TIME(16,0,0), L1074&lt;TIME(23,59,0)),"Evening",
  L1074&gt;=TIME(23,59,0),"Night",
  L1074&lt;TIME(9,0,0),"Night"
))</f>
        <v/>
      </c>
      <c r="O1074" t="str">
        <f t="shared" si="98"/>
        <v/>
      </c>
    </row>
    <row r="1075" spans="1:15" x14ac:dyDescent="0.25">
      <c r="A1075" s="49"/>
      <c r="G1075" t="str">
        <f t="shared" si="96"/>
        <v/>
      </c>
      <c r="H1075" s="13" t="str">
        <f t="shared" si="99"/>
        <v/>
      </c>
      <c r="I1075" t="str">
        <f>IFERROR(INDEX(Analysis!$D$116:$N$137, MATCH(B1075, Analysis!$C$116:$C$137, 0), MATCH(C1075, Analysis!$D$115:$N$115, 0)), "")</f>
        <v/>
      </c>
      <c r="J1075" t="str">
        <f t="shared" si="100"/>
        <v/>
      </c>
      <c r="K1075" s="28" t="str">
        <f t="shared" si="97"/>
        <v/>
      </c>
      <c r="L1075" s="46" t="str">
        <f t="shared" si="101"/>
        <v/>
      </c>
      <c r="M1075" t="str" cm="1">
        <f t="array" ref="M1075">IF(L1075="","",_xlfn.IFS(
  AND(L1075&gt;=TIME(9,0,0), L1075&lt;TIME(16,0,0)),"Morning",
  AND(L1075&gt;=TIME(16,0,0), L1075&lt;TIME(23,59,0)),"Evening",
  L1075&gt;=TIME(23,59,0),"Night",
  L1075&lt;TIME(9,0,0),"Night"
))</f>
        <v/>
      </c>
      <c r="O1075" t="str">
        <f t="shared" si="98"/>
        <v/>
      </c>
    </row>
    <row r="1076" spans="1:15" x14ac:dyDescent="0.25">
      <c r="A1076" s="49"/>
      <c r="G1076" t="str">
        <f t="shared" si="96"/>
        <v/>
      </c>
      <c r="H1076" s="13" t="str">
        <f t="shared" si="99"/>
        <v/>
      </c>
      <c r="I1076" t="str">
        <f>IFERROR(INDEX(Analysis!$D$116:$N$137, MATCH(B1076, Analysis!$C$116:$C$137, 0), MATCH(C1076, Analysis!$D$115:$N$115, 0)), "")</f>
        <v/>
      </c>
      <c r="J1076" t="str">
        <f t="shared" si="100"/>
        <v/>
      </c>
      <c r="K1076" s="28" t="str">
        <f t="shared" si="97"/>
        <v/>
      </c>
      <c r="L1076" s="46" t="str">
        <f t="shared" si="101"/>
        <v/>
      </c>
      <c r="M1076" t="str" cm="1">
        <f t="array" ref="M1076">IF(L1076="","",_xlfn.IFS(
  AND(L1076&gt;=TIME(9,0,0), L1076&lt;TIME(16,0,0)),"Morning",
  AND(L1076&gt;=TIME(16,0,0), L1076&lt;TIME(23,59,0)),"Evening",
  L1076&gt;=TIME(23,59,0),"Night",
  L1076&lt;TIME(9,0,0),"Night"
))</f>
        <v/>
      </c>
      <c r="O1076" t="str">
        <f t="shared" si="98"/>
        <v/>
      </c>
    </row>
    <row r="1077" spans="1:15" x14ac:dyDescent="0.25">
      <c r="A1077" s="49"/>
      <c r="G1077" t="str">
        <f t="shared" si="96"/>
        <v/>
      </c>
      <c r="H1077" s="13" t="str">
        <f t="shared" si="99"/>
        <v/>
      </c>
      <c r="I1077" t="str">
        <f>IFERROR(INDEX(Analysis!$D$116:$N$137, MATCH(B1077, Analysis!$C$116:$C$137, 0), MATCH(C1077, Analysis!$D$115:$N$115, 0)), "")</f>
        <v/>
      </c>
      <c r="J1077" t="str">
        <f t="shared" si="100"/>
        <v/>
      </c>
      <c r="K1077" s="28" t="str">
        <f t="shared" si="97"/>
        <v/>
      </c>
      <c r="L1077" s="46" t="str">
        <f t="shared" si="101"/>
        <v/>
      </c>
      <c r="M1077" t="str" cm="1">
        <f t="array" ref="M1077">IF(L1077="","",_xlfn.IFS(
  AND(L1077&gt;=TIME(9,0,0), L1077&lt;TIME(16,0,0)),"Morning",
  AND(L1077&gt;=TIME(16,0,0), L1077&lt;TIME(23,59,0)),"Evening",
  L1077&gt;=TIME(23,59,0),"Night",
  L1077&lt;TIME(9,0,0),"Night"
))</f>
        <v/>
      </c>
      <c r="O1077" t="str">
        <f t="shared" si="98"/>
        <v/>
      </c>
    </row>
    <row r="1078" spans="1:15" x14ac:dyDescent="0.25">
      <c r="A1078" s="49"/>
      <c r="G1078" t="str">
        <f t="shared" si="96"/>
        <v/>
      </c>
      <c r="H1078" s="13" t="str">
        <f t="shared" si="99"/>
        <v/>
      </c>
      <c r="I1078" t="str">
        <f>IFERROR(INDEX(Analysis!$D$116:$N$137, MATCH(B1078, Analysis!$C$116:$C$137, 0), MATCH(C1078, Analysis!$D$115:$N$115, 0)), "")</f>
        <v/>
      </c>
      <c r="J1078" t="str">
        <f t="shared" si="100"/>
        <v/>
      </c>
      <c r="K1078" s="28" t="str">
        <f t="shared" si="97"/>
        <v/>
      </c>
      <c r="L1078" s="46" t="str">
        <f t="shared" si="101"/>
        <v/>
      </c>
      <c r="M1078" t="str" cm="1">
        <f t="array" ref="M1078">IF(L1078="","",_xlfn.IFS(
  AND(L1078&gt;=TIME(9,0,0), L1078&lt;TIME(16,0,0)),"Morning",
  AND(L1078&gt;=TIME(16,0,0), L1078&lt;TIME(23,59,0)),"Evening",
  L1078&gt;=TIME(23,59,0),"Night",
  L1078&lt;TIME(9,0,0),"Night"
))</f>
        <v/>
      </c>
      <c r="O1078" t="str">
        <f t="shared" si="98"/>
        <v/>
      </c>
    </row>
    <row r="1079" spans="1:15" x14ac:dyDescent="0.25">
      <c r="A1079" s="49"/>
      <c r="G1079" t="str">
        <f t="shared" si="96"/>
        <v/>
      </c>
      <c r="H1079" s="13" t="str">
        <f t="shared" si="99"/>
        <v/>
      </c>
      <c r="I1079" t="str">
        <f>IFERROR(INDEX(Analysis!$D$116:$N$137, MATCH(B1079, Analysis!$C$116:$C$137, 0), MATCH(C1079, Analysis!$D$115:$N$115, 0)), "")</f>
        <v/>
      </c>
      <c r="J1079" t="str">
        <f t="shared" si="100"/>
        <v/>
      </c>
      <c r="K1079" s="28" t="str">
        <f t="shared" si="97"/>
        <v/>
      </c>
      <c r="L1079" s="46" t="str">
        <f t="shared" si="101"/>
        <v/>
      </c>
      <c r="M1079" t="str" cm="1">
        <f t="array" ref="M1079">IF(L1079="","",_xlfn.IFS(
  AND(L1079&gt;=TIME(9,0,0), L1079&lt;TIME(16,0,0)),"Morning",
  AND(L1079&gt;=TIME(16,0,0), L1079&lt;TIME(23,59,0)),"Evening",
  L1079&gt;=TIME(23,59,0),"Night",
  L1079&lt;TIME(9,0,0),"Night"
))</f>
        <v/>
      </c>
      <c r="O1079" t="str">
        <f t="shared" si="98"/>
        <v/>
      </c>
    </row>
    <row r="1080" spans="1:15" x14ac:dyDescent="0.25">
      <c r="A1080" s="49"/>
      <c r="G1080" t="str">
        <f t="shared" si="96"/>
        <v/>
      </c>
      <c r="H1080" s="13" t="str">
        <f t="shared" si="99"/>
        <v/>
      </c>
      <c r="I1080" t="str">
        <f>IFERROR(INDEX(Analysis!$D$116:$N$137, MATCH(B1080, Analysis!$C$116:$C$137, 0), MATCH(C1080, Analysis!$D$115:$N$115, 0)), "")</f>
        <v/>
      </c>
      <c r="J1080" t="str">
        <f t="shared" si="100"/>
        <v/>
      </c>
      <c r="K1080" s="28" t="str">
        <f t="shared" si="97"/>
        <v/>
      </c>
      <c r="L1080" s="46" t="str">
        <f t="shared" si="101"/>
        <v/>
      </c>
      <c r="M1080" t="str" cm="1">
        <f t="array" ref="M1080">IF(L1080="","",_xlfn.IFS(
  AND(L1080&gt;=TIME(9,0,0), L1080&lt;TIME(16,0,0)),"Morning",
  AND(L1080&gt;=TIME(16,0,0), L1080&lt;TIME(23,59,0)),"Evening",
  L1080&gt;=TIME(23,59,0),"Night",
  L1080&lt;TIME(9,0,0),"Night"
))</f>
        <v/>
      </c>
      <c r="O1080" t="str">
        <f t="shared" si="98"/>
        <v/>
      </c>
    </row>
    <row r="1081" spans="1:15" x14ac:dyDescent="0.25">
      <c r="A1081" s="49"/>
      <c r="G1081" t="str">
        <f t="shared" si="96"/>
        <v/>
      </c>
      <c r="H1081" s="13" t="str">
        <f t="shared" si="99"/>
        <v/>
      </c>
      <c r="I1081" t="str">
        <f>IFERROR(INDEX(Analysis!$D$116:$N$137, MATCH(B1081, Analysis!$C$116:$C$137, 0), MATCH(C1081, Analysis!$D$115:$N$115, 0)), "")</f>
        <v/>
      </c>
      <c r="J1081" t="str">
        <f t="shared" si="100"/>
        <v/>
      </c>
      <c r="K1081" s="28" t="str">
        <f t="shared" si="97"/>
        <v/>
      </c>
      <c r="L1081" s="46" t="str">
        <f t="shared" si="101"/>
        <v/>
      </c>
      <c r="M1081" t="str" cm="1">
        <f t="array" ref="M1081">IF(L1081="","",_xlfn.IFS(
  AND(L1081&gt;=TIME(9,0,0), L1081&lt;TIME(16,0,0)),"Morning",
  AND(L1081&gt;=TIME(16,0,0), L1081&lt;TIME(23,59,0)),"Evening",
  L1081&gt;=TIME(23,59,0),"Night",
  L1081&lt;TIME(9,0,0),"Night"
))</f>
        <v/>
      </c>
      <c r="O1081" t="str">
        <f t="shared" si="98"/>
        <v/>
      </c>
    </row>
    <row r="1082" spans="1:15" x14ac:dyDescent="0.25">
      <c r="A1082" s="49"/>
      <c r="G1082" t="str">
        <f t="shared" si="96"/>
        <v/>
      </c>
      <c r="H1082" s="13" t="str">
        <f t="shared" si="99"/>
        <v/>
      </c>
      <c r="I1082" t="str">
        <f>IFERROR(INDEX(Analysis!$D$116:$N$137, MATCH(B1082, Analysis!$C$116:$C$137, 0), MATCH(C1082, Analysis!$D$115:$N$115, 0)), "")</f>
        <v/>
      </c>
      <c r="J1082" t="str">
        <f t="shared" si="100"/>
        <v/>
      </c>
      <c r="K1082" s="28" t="str">
        <f t="shared" si="97"/>
        <v/>
      </c>
      <c r="L1082" s="46" t="str">
        <f t="shared" si="101"/>
        <v/>
      </c>
      <c r="M1082" t="str" cm="1">
        <f t="array" ref="M1082">IF(L1082="","",_xlfn.IFS(
  AND(L1082&gt;=TIME(9,0,0), L1082&lt;TIME(16,0,0)),"Morning",
  AND(L1082&gt;=TIME(16,0,0), L1082&lt;TIME(23,59,0)),"Evening",
  L1082&gt;=TIME(23,59,0),"Night",
  L1082&lt;TIME(9,0,0),"Night"
))</f>
        <v/>
      </c>
      <c r="O1082" t="str">
        <f t="shared" si="98"/>
        <v/>
      </c>
    </row>
    <row r="1083" spans="1:15" x14ac:dyDescent="0.25">
      <c r="A1083" s="49"/>
      <c r="G1083" t="str">
        <f t="shared" si="96"/>
        <v/>
      </c>
      <c r="H1083" s="13" t="str">
        <f t="shared" si="99"/>
        <v/>
      </c>
      <c r="I1083" t="str">
        <f>IFERROR(INDEX(Analysis!$D$116:$N$137, MATCH(B1083, Analysis!$C$116:$C$137, 0), MATCH(C1083, Analysis!$D$115:$N$115, 0)), "")</f>
        <v/>
      </c>
      <c r="J1083" t="str">
        <f t="shared" si="100"/>
        <v/>
      </c>
      <c r="K1083" s="28" t="str">
        <f t="shared" si="97"/>
        <v/>
      </c>
      <c r="L1083" s="46" t="str">
        <f t="shared" si="101"/>
        <v/>
      </c>
      <c r="M1083" t="str" cm="1">
        <f t="array" ref="M1083">IF(L1083="","",_xlfn.IFS(
  AND(L1083&gt;=TIME(9,0,0), L1083&lt;TIME(16,0,0)),"Morning",
  AND(L1083&gt;=TIME(16,0,0), L1083&lt;TIME(23,59,0)),"Evening",
  L1083&gt;=TIME(23,59,0),"Night",
  L1083&lt;TIME(9,0,0),"Night"
))</f>
        <v/>
      </c>
      <c r="O1083" t="str">
        <f t="shared" si="98"/>
        <v/>
      </c>
    </row>
    <row r="1084" spans="1:15" x14ac:dyDescent="0.25">
      <c r="A1084" s="49"/>
      <c r="G1084" t="str">
        <f t="shared" si="96"/>
        <v/>
      </c>
      <c r="H1084" s="13" t="str">
        <f t="shared" si="99"/>
        <v/>
      </c>
      <c r="I1084" t="str">
        <f>IFERROR(INDEX(Analysis!$D$116:$N$137, MATCH(B1084, Analysis!$C$116:$C$137, 0), MATCH(C1084, Analysis!$D$115:$N$115, 0)), "")</f>
        <v/>
      </c>
      <c r="J1084" t="str">
        <f t="shared" si="100"/>
        <v/>
      </c>
      <c r="K1084" s="28" t="str">
        <f t="shared" si="97"/>
        <v/>
      </c>
      <c r="L1084" s="46" t="str">
        <f t="shared" si="101"/>
        <v/>
      </c>
      <c r="M1084" t="str" cm="1">
        <f t="array" ref="M1084">IF(L1084="","",_xlfn.IFS(
  AND(L1084&gt;=TIME(9,0,0), L1084&lt;TIME(16,0,0)),"Morning",
  AND(L1084&gt;=TIME(16,0,0), L1084&lt;TIME(23,59,0)),"Evening",
  L1084&gt;=TIME(23,59,0),"Night",
  L1084&lt;TIME(9,0,0),"Night"
))</f>
        <v/>
      </c>
      <c r="O1084" t="str">
        <f t="shared" si="98"/>
        <v/>
      </c>
    </row>
    <row r="1085" spans="1:15" x14ac:dyDescent="0.25">
      <c r="A1085" s="49"/>
      <c r="G1085" t="str">
        <f t="shared" si="96"/>
        <v/>
      </c>
      <c r="H1085" s="13" t="str">
        <f t="shared" si="99"/>
        <v/>
      </c>
      <c r="I1085" t="str">
        <f>IFERROR(INDEX(Analysis!$D$116:$N$137, MATCH(B1085, Analysis!$C$116:$C$137, 0), MATCH(C1085, Analysis!$D$115:$N$115, 0)), "")</f>
        <v/>
      </c>
      <c r="J1085" t="str">
        <f t="shared" si="100"/>
        <v/>
      </c>
      <c r="K1085" s="28" t="str">
        <f t="shared" si="97"/>
        <v/>
      </c>
      <c r="L1085" s="46" t="str">
        <f t="shared" si="101"/>
        <v/>
      </c>
      <c r="M1085" t="str" cm="1">
        <f t="array" ref="M1085">IF(L1085="","",_xlfn.IFS(
  AND(L1085&gt;=TIME(9,0,0), L1085&lt;TIME(16,0,0)),"Morning",
  AND(L1085&gt;=TIME(16,0,0), L1085&lt;TIME(23,59,0)),"Evening",
  L1085&gt;=TIME(23,59,0),"Night",
  L1085&lt;TIME(9,0,0),"Night"
))</f>
        <v/>
      </c>
      <c r="O1085" t="str">
        <f t="shared" si="98"/>
        <v/>
      </c>
    </row>
    <row r="1086" spans="1:15" x14ac:dyDescent="0.25">
      <c r="A1086" s="49"/>
      <c r="G1086" t="str">
        <f t="shared" si="96"/>
        <v/>
      </c>
      <c r="H1086" s="13" t="str">
        <f t="shared" si="99"/>
        <v/>
      </c>
      <c r="I1086" t="str">
        <f>IFERROR(INDEX(Analysis!$D$116:$N$137, MATCH(B1086, Analysis!$C$116:$C$137, 0), MATCH(C1086, Analysis!$D$115:$N$115, 0)), "")</f>
        <v/>
      </c>
      <c r="J1086" t="str">
        <f t="shared" si="100"/>
        <v/>
      </c>
      <c r="K1086" s="28" t="str">
        <f t="shared" si="97"/>
        <v/>
      </c>
      <c r="L1086" s="46" t="str">
        <f t="shared" si="101"/>
        <v/>
      </c>
      <c r="M1086" t="str" cm="1">
        <f t="array" ref="M1086">IF(L1086="","",_xlfn.IFS(
  AND(L1086&gt;=TIME(9,0,0), L1086&lt;TIME(16,0,0)),"Morning",
  AND(L1086&gt;=TIME(16,0,0), L1086&lt;TIME(23,59,0)),"Evening",
  L1086&gt;=TIME(23,59,0),"Night",
  L1086&lt;TIME(9,0,0),"Night"
))</f>
        <v/>
      </c>
      <c r="O1086" t="str">
        <f t="shared" si="98"/>
        <v/>
      </c>
    </row>
    <row r="1087" spans="1:15" x14ac:dyDescent="0.25">
      <c r="A1087" s="49"/>
      <c r="G1087" t="str">
        <f t="shared" si="96"/>
        <v/>
      </c>
      <c r="H1087" s="13" t="str">
        <f t="shared" si="99"/>
        <v/>
      </c>
      <c r="I1087" t="str">
        <f>IFERROR(INDEX(Analysis!$D$116:$N$137, MATCH(B1087, Analysis!$C$116:$C$137, 0), MATCH(C1087, Analysis!$D$115:$N$115, 0)), "")</f>
        <v/>
      </c>
      <c r="J1087" t="str">
        <f t="shared" si="100"/>
        <v/>
      </c>
      <c r="K1087" s="28" t="str">
        <f t="shared" si="97"/>
        <v/>
      </c>
      <c r="L1087" s="46" t="str">
        <f t="shared" si="101"/>
        <v/>
      </c>
      <c r="M1087" t="str" cm="1">
        <f t="array" ref="M1087">IF(L1087="","",_xlfn.IFS(
  AND(L1087&gt;=TIME(9,0,0), L1087&lt;TIME(16,0,0)),"Morning",
  AND(L1087&gt;=TIME(16,0,0), L1087&lt;TIME(23,59,0)),"Evening",
  L1087&gt;=TIME(23,59,0),"Night",
  L1087&lt;TIME(9,0,0),"Night"
))</f>
        <v/>
      </c>
      <c r="O1087" t="str">
        <f t="shared" si="98"/>
        <v/>
      </c>
    </row>
    <row r="1088" spans="1:15" x14ac:dyDescent="0.25">
      <c r="A1088" s="49"/>
      <c r="G1088" t="str">
        <f t="shared" si="96"/>
        <v/>
      </c>
      <c r="H1088" s="13" t="str">
        <f t="shared" si="99"/>
        <v/>
      </c>
      <c r="I1088" t="str">
        <f>IFERROR(INDEX(Analysis!$D$116:$N$137, MATCH(B1088, Analysis!$C$116:$C$137, 0), MATCH(C1088, Analysis!$D$115:$N$115, 0)), "")</f>
        <v/>
      </c>
      <c r="J1088" t="str">
        <f t="shared" si="100"/>
        <v/>
      </c>
      <c r="K1088" s="28" t="str">
        <f t="shared" si="97"/>
        <v/>
      </c>
      <c r="L1088" s="46" t="str">
        <f t="shared" si="101"/>
        <v/>
      </c>
      <c r="M1088" t="str" cm="1">
        <f t="array" ref="M1088">IF(L1088="","",_xlfn.IFS(
  AND(L1088&gt;=TIME(9,0,0), L1088&lt;TIME(16,0,0)),"Morning",
  AND(L1088&gt;=TIME(16,0,0), L1088&lt;TIME(23,59,0)),"Evening",
  L1088&gt;=TIME(23,59,0),"Night",
  L1088&lt;TIME(9,0,0),"Night"
))</f>
        <v/>
      </c>
      <c r="O1088" t="str">
        <f t="shared" si="98"/>
        <v/>
      </c>
    </row>
    <row r="1089" spans="1:15" x14ac:dyDescent="0.25">
      <c r="A1089" s="49"/>
      <c r="G1089" t="str">
        <f t="shared" si="96"/>
        <v/>
      </c>
      <c r="H1089" s="13" t="str">
        <f t="shared" si="99"/>
        <v/>
      </c>
      <c r="I1089" t="str">
        <f>IFERROR(INDEX(Analysis!$D$116:$N$137, MATCH(B1089, Analysis!$C$116:$C$137, 0), MATCH(C1089, Analysis!$D$115:$N$115, 0)), "")</f>
        <v/>
      </c>
      <c r="J1089" t="str">
        <f t="shared" si="100"/>
        <v/>
      </c>
      <c r="K1089" s="28" t="str">
        <f t="shared" si="97"/>
        <v/>
      </c>
      <c r="L1089" s="46" t="str">
        <f t="shared" si="101"/>
        <v/>
      </c>
      <c r="M1089" t="str" cm="1">
        <f t="array" ref="M1089">IF(L1089="","",_xlfn.IFS(
  AND(L1089&gt;=TIME(9,0,0), L1089&lt;TIME(16,0,0)),"Morning",
  AND(L1089&gt;=TIME(16,0,0), L1089&lt;TIME(23,59,0)),"Evening",
  L1089&gt;=TIME(23,59,0),"Night",
  L1089&lt;TIME(9,0,0),"Night"
))</f>
        <v/>
      </c>
      <c r="O1089" t="str">
        <f t="shared" si="98"/>
        <v/>
      </c>
    </row>
    <row r="1090" spans="1:15" x14ac:dyDescent="0.25">
      <c r="A1090" s="49"/>
      <c r="G1090" t="str">
        <f t="shared" ref="G1090:G1153" si="102">IF(ISBLANK(A1090), "", IF(ISBLANK(F1090), 0, F1090))</f>
        <v/>
      </c>
      <c r="H1090" s="13" t="str">
        <f t="shared" si="99"/>
        <v/>
      </c>
      <c r="I1090" t="str">
        <f>IFERROR(INDEX(Analysis!$D$116:$N$137, MATCH(B1090, Analysis!$C$116:$C$137, 0), MATCH(C1090, Analysis!$D$115:$N$115, 0)), "")</f>
        <v/>
      </c>
      <c r="J1090" t="str">
        <f t="shared" si="100"/>
        <v/>
      </c>
      <c r="K1090" s="28" t="str">
        <f t="shared" ref="K1090:K1153" si="103">IF(ISBLANK(A1090),"",DATE(YEAR(A1090),MONTH(A1090),DAY(A1090)))</f>
        <v/>
      </c>
      <c r="L1090" s="46" t="str">
        <f t="shared" si="101"/>
        <v/>
      </c>
      <c r="M1090" t="str" cm="1">
        <f t="array" ref="M1090">IF(L1090="","",_xlfn.IFS(
  AND(L1090&gt;=TIME(9,0,0), L1090&lt;TIME(16,0,0)),"Morning",
  AND(L1090&gt;=TIME(16,0,0), L1090&lt;TIME(23,59,0)),"Evening",
  L1090&gt;=TIME(23,59,0),"Night",
  L1090&lt;TIME(9,0,0),"Night"
))</f>
        <v/>
      </c>
      <c r="O1090" t="str">
        <f t="shared" ref="O1090:O1153" si="104">IF(N1090="ON", _xlfn.IMAGE(E1090, 1), "")</f>
        <v/>
      </c>
    </row>
    <row r="1091" spans="1:15" x14ac:dyDescent="0.25">
      <c r="A1091" s="49"/>
      <c r="G1091" t="str">
        <f t="shared" si="102"/>
        <v/>
      </c>
      <c r="H1091" s="13" t="str">
        <f t="shared" ref="H1091:H1154" si="105">IF(ISBLANK(E1091),"",HYPERLINK(E1091,"Click here"))</f>
        <v/>
      </c>
      <c r="I1091" t="str">
        <f>IFERROR(INDEX(Analysis!$D$116:$N$137, MATCH(B1091, Analysis!$C$116:$C$137, 0), MATCH(C1091, Analysis!$D$115:$N$115, 0)), "")</f>
        <v/>
      </c>
      <c r="J1091" t="str">
        <f t="shared" ref="J1091:J1154" si="106">IF(ISBLANK(A1091),"",WEEKNUM(A1091))</f>
        <v/>
      </c>
      <c r="K1091" s="28" t="str">
        <f t="shared" si="103"/>
        <v/>
      </c>
      <c r="L1091" s="46" t="str">
        <f t="shared" ref="L1091:L1154" si="107">IF(A1091="", "", A1091 - INT(A1091))</f>
        <v/>
      </c>
      <c r="M1091" t="str" cm="1">
        <f t="array" ref="M1091">IF(L1091="","",_xlfn.IFS(
  AND(L1091&gt;=TIME(9,0,0), L1091&lt;TIME(16,0,0)),"Morning",
  AND(L1091&gt;=TIME(16,0,0), L1091&lt;TIME(23,59,0)),"Evening",
  L1091&gt;=TIME(23,59,0),"Night",
  L1091&lt;TIME(9,0,0),"Night"
))</f>
        <v/>
      </c>
      <c r="O1091" t="str">
        <f t="shared" si="104"/>
        <v/>
      </c>
    </row>
    <row r="1092" spans="1:15" x14ac:dyDescent="0.25">
      <c r="A1092" s="49"/>
      <c r="G1092" t="str">
        <f t="shared" si="102"/>
        <v/>
      </c>
      <c r="H1092" s="13" t="str">
        <f t="shared" si="105"/>
        <v/>
      </c>
      <c r="I1092" t="str">
        <f>IFERROR(INDEX(Analysis!$D$116:$N$137, MATCH(B1092, Analysis!$C$116:$C$137, 0), MATCH(C1092, Analysis!$D$115:$N$115, 0)), "")</f>
        <v/>
      </c>
      <c r="J1092" t="str">
        <f t="shared" si="106"/>
        <v/>
      </c>
      <c r="K1092" s="28" t="str">
        <f t="shared" si="103"/>
        <v/>
      </c>
      <c r="L1092" s="46" t="str">
        <f t="shared" si="107"/>
        <v/>
      </c>
      <c r="M1092" t="str" cm="1">
        <f t="array" ref="M1092">IF(L1092="","",_xlfn.IFS(
  AND(L1092&gt;=TIME(9,0,0), L1092&lt;TIME(16,0,0)),"Morning",
  AND(L1092&gt;=TIME(16,0,0), L1092&lt;TIME(23,59,0)),"Evening",
  L1092&gt;=TIME(23,59,0),"Night",
  L1092&lt;TIME(9,0,0),"Night"
))</f>
        <v/>
      </c>
      <c r="O1092" t="str">
        <f t="shared" si="104"/>
        <v/>
      </c>
    </row>
    <row r="1093" spans="1:15" x14ac:dyDescent="0.25">
      <c r="A1093" s="49"/>
      <c r="G1093" t="str">
        <f t="shared" si="102"/>
        <v/>
      </c>
      <c r="H1093" s="13" t="str">
        <f t="shared" si="105"/>
        <v/>
      </c>
      <c r="I1093" t="str">
        <f>IFERROR(INDEX(Analysis!$D$116:$N$137, MATCH(B1093, Analysis!$C$116:$C$137, 0), MATCH(C1093, Analysis!$D$115:$N$115, 0)), "")</f>
        <v/>
      </c>
      <c r="J1093" t="str">
        <f t="shared" si="106"/>
        <v/>
      </c>
      <c r="K1093" s="28" t="str">
        <f t="shared" si="103"/>
        <v/>
      </c>
      <c r="L1093" s="46" t="str">
        <f t="shared" si="107"/>
        <v/>
      </c>
      <c r="M1093" t="str" cm="1">
        <f t="array" ref="M1093">IF(L1093="","",_xlfn.IFS(
  AND(L1093&gt;=TIME(9,0,0), L1093&lt;TIME(16,0,0)),"Morning",
  AND(L1093&gt;=TIME(16,0,0), L1093&lt;TIME(23,59,0)),"Evening",
  L1093&gt;=TIME(23,59,0),"Night",
  L1093&lt;TIME(9,0,0),"Night"
))</f>
        <v/>
      </c>
      <c r="O1093" t="str">
        <f t="shared" si="104"/>
        <v/>
      </c>
    </row>
    <row r="1094" spans="1:15" x14ac:dyDescent="0.25">
      <c r="A1094" s="49"/>
      <c r="G1094" t="str">
        <f t="shared" si="102"/>
        <v/>
      </c>
      <c r="H1094" s="13" t="str">
        <f t="shared" si="105"/>
        <v/>
      </c>
      <c r="I1094" t="str">
        <f>IFERROR(INDEX(Analysis!$D$116:$N$137, MATCH(B1094, Analysis!$C$116:$C$137, 0), MATCH(C1094, Analysis!$D$115:$N$115, 0)), "")</f>
        <v/>
      </c>
      <c r="J1094" t="str">
        <f t="shared" si="106"/>
        <v/>
      </c>
      <c r="K1094" s="28" t="str">
        <f t="shared" si="103"/>
        <v/>
      </c>
      <c r="L1094" s="46" t="str">
        <f t="shared" si="107"/>
        <v/>
      </c>
      <c r="M1094" t="str" cm="1">
        <f t="array" ref="M1094">IF(L1094="","",_xlfn.IFS(
  AND(L1094&gt;=TIME(9,0,0), L1094&lt;TIME(16,0,0)),"Morning",
  AND(L1094&gt;=TIME(16,0,0), L1094&lt;TIME(23,59,0)),"Evening",
  L1094&gt;=TIME(23,59,0),"Night",
  L1094&lt;TIME(9,0,0),"Night"
))</f>
        <v/>
      </c>
      <c r="O1094" t="str">
        <f t="shared" si="104"/>
        <v/>
      </c>
    </row>
    <row r="1095" spans="1:15" x14ac:dyDescent="0.25">
      <c r="A1095" s="49"/>
      <c r="G1095" t="str">
        <f t="shared" si="102"/>
        <v/>
      </c>
      <c r="H1095" s="13" t="str">
        <f t="shared" si="105"/>
        <v/>
      </c>
      <c r="I1095" t="str">
        <f>IFERROR(INDEX(Analysis!$D$116:$N$137, MATCH(B1095, Analysis!$C$116:$C$137, 0), MATCH(C1095, Analysis!$D$115:$N$115, 0)), "")</f>
        <v/>
      </c>
      <c r="J1095" t="str">
        <f t="shared" si="106"/>
        <v/>
      </c>
      <c r="K1095" s="28" t="str">
        <f t="shared" si="103"/>
        <v/>
      </c>
      <c r="L1095" s="46" t="str">
        <f t="shared" si="107"/>
        <v/>
      </c>
      <c r="M1095" t="str" cm="1">
        <f t="array" ref="M1095">IF(L1095="","",_xlfn.IFS(
  AND(L1095&gt;=TIME(9,0,0), L1095&lt;TIME(16,0,0)),"Morning",
  AND(L1095&gt;=TIME(16,0,0), L1095&lt;TIME(23,59,0)),"Evening",
  L1095&gt;=TIME(23,59,0),"Night",
  L1095&lt;TIME(9,0,0),"Night"
))</f>
        <v/>
      </c>
      <c r="O1095" t="str">
        <f t="shared" si="104"/>
        <v/>
      </c>
    </row>
    <row r="1096" spans="1:15" x14ac:dyDescent="0.25">
      <c r="A1096" s="49"/>
      <c r="G1096" t="str">
        <f t="shared" si="102"/>
        <v/>
      </c>
      <c r="H1096" s="13" t="str">
        <f t="shared" si="105"/>
        <v/>
      </c>
      <c r="I1096" t="str">
        <f>IFERROR(INDEX(Analysis!$D$116:$N$137, MATCH(B1096, Analysis!$C$116:$C$137, 0), MATCH(C1096, Analysis!$D$115:$N$115, 0)), "")</f>
        <v/>
      </c>
      <c r="J1096" t="str">
        <f t="shared" si="106"/>
        <v/>
      </c>
      <c r="K1096" s="28" t="str">
        <f t="shared" si="103"/>
        <v/>
      </c>
      <c r="L1096" s="46" t="str">
        <f t="shared" si="107"/>
        <v/>
      </c>
      <c r="M1096" t="str" cm="1">
        <f t="array" ref="M1096">IF(L1096="","",_xlfn.IFS(
  AND(L1096&gt;=TIME(9,0,0), L1096&lt;TIME(16,0,0)),"Morning",
  AND(L1096&gt;=TIME(16,0,0), L1096&lt;TIME(23,59,0)),"Evening",
  L1096&gt;=TIME(23,59,0),"Night",
  L1096&lt;TIME(9,0,0),"Night"
))</f>
        <v/>
      </c>
      <c r="O1096" t="str">
        <f t="shared" si="104"/>
        <v/>
      </c>
    </row>
    <row r="1097" spans="1:15" x14ac:dyDescent="0.25">
      <c r="A1097" s="49"/>
      <c r="G1097" t="str">
        <f t="shared" si="102"/>
        <v/>
      </c>
      <c r="H1097" s="13" t="str">
        <f t="shared" si="105"/>
        <v/>
      </c>
      <c r="I1097" t="str">
        <f>IFERROR(INDEX(Analysis!$D$116:$N$137, MATCH(B1097, Analysis!$C$116:$C$137, 0), MATCH(C1097, Analysis!$D$115:$N$115, 0)), "")</f>
        <v/>
      </c>
      <c r="J1097" t="str">
        <f t="shared" si="106"/>
        <v/>
      </c>
      <c r="K1097" s="28" t="str">
        <f t="shared" si="103"/>
        <v/>
      </c>
      <c r="L1097" s="46" t="str">
        <f t="shared" si="107"/>
        <v/>
      </c>
      <c r="M1097" t="str" cm="1">
        <f t="array" ref="M1097">IF(L1097="","",_xlfn.IFS(
  AND(L1097&gt;=TIME(9,0,0), L1097&lt;TIME(16,0,0)),"Morning",
  AND(L1097&gt;=TIME(16,0,0), L1097&lt;TIME(23,59,0)),"Evening",
  L1097&gt;=TIME(23,59,0),"Night",
  L1097&lt;TIME(9,0,0),"Night"
))</f>
        <v/>
      </c>
      <c r="O1097" t="str">
        <f t="shared" si="104"/>
        <v/>
      </c>
    </row>
    <row r="1098" spans="1:15" x14ac:dyDescent="0.25">
      <c r="A1098" s="49"/>
      <c r="G1098" t="str">
        <f t="shared" si="102"/>
        <v/>
      </c>
      <c r="H1098" s="13" t="str">
        <f t="shared" si="105"/>
        <v/>
      </c>
      <c r="I1098" t="str">
        <f>IFERROR(INDEX(Analysis!$D$116:$N$137, MATCH(B1098, Analysis!$C$116:$C$137, 0), MATCH(C1098, Analysis!$D$115:$N$115, 0)), "")</f>
        <v/>
      </c>
      <c r="J1098" t="str">
        <f t="shared" si="106"/>
        <v/>
      </c>
      <c r="K1098" s="28" t="str">
        <f t="shared" si="103"/>
        <v/>
      </c>
      <c r="L1098" s="46" t="str">
        <f t="shared" si="107"/>
        <v/>
      </c>
      <c r="M1098" t="str" cm="1">
        <f t="array" ref="M1098">IF(L1098="","",_xlfn.IFS(
  AND(L1098&gt;=TIME(9,0,0), L1098&lt;TIME(16,0,0)),"Morning",
  AND(L1098&gt;=TIME(16,0,0), L1098&lt;TIME(23,59,0)),"Evening",
  L1098&gt;=TIME(23,59,0),"Night",
  L1098&lt;TIME(9,0,0),"Night"
))</f>
        <v/>
      </c>
      <c r="O1098" t="str">
        <f t="shared" si="104"/>
        <v/>
      </c>
    </row>
    <row r="1099" spans="1:15" x14ac:dyDescent="0.25">
      <c r="A1099" s="49"/>
      <c r="G1099" t="str">
        <f t="shared" si="102"/>
        <v/>
      </c>
      <c r="H1099" s="13" t="str">
        <f t="shared" si="105"/>
        <v/>
      </c>
      <c r="I1099" t="str">
        <f>IFERROR(INDEX(Analysis!$D$116:$N$137, MATCH(B1099, Analysis!$C$116:$C$137, 0), MATCH(C1099, Analysis!$D$115:$N$115, 0)), "")</f>
        <v/>
      </c>
      <c r="J1099" t="str">
        <f t="shared" si="106"/>
        <v/>
      </c>
      <c r="K1099" s="28" t="str">
        <f t="shared" si="103"/>
        <v/>
      </c>
      <c r="L1099" s="46" t="str">
        <f t="shared" si="107"/>
        <v/>
      </c>
      <c r="M1099" t="str" cm="1">
        <f t="array" ref="M1099">IF(L1099="","",_xlfn.IFS(
  AND(L1099&gt;=TIME(9,0,0), L1099&lt;TIME(16,0,0)),"Morning",
  AND(L1099&gt;=TIME(16,0,0), L1099&lt;TIME(23,59,0)),"Evening",
  L1099&gt;=TIME(23,59,0),"Night",
  L1099&lt;TIME(9,0,0),"Night"
))</f>
        <v/>
      </c>
      <c r="O1099" t="str">
        <f t="shared" si="104"/>
        <v/>
      </c>
    </row>
    <row r="1100" spans="1:15" x14ac:dyDescent="0.25">
      <c r="A1100" s="49"/>
      <c r="G1100" t="str">
        <f t="shared" si="102"/>
        <v/>
      </c>
      <c r="H1100" s="13" t="str">
        <f t="shared" si="105"/>
        <v/>
      </c>
      <c r="I1100" t="str">
        <f>IFERROR(INDEX(Analysis!$D$116:$N$137, MATCH(B1100, Analysis!$C$116:$C$137, 0), MATCH(C1100, Analysis!$D$115:$N$115, 0)), "")</f>
        <v/>
      </c>
      <c r="J1100" t="str">
        <f t="shared" si="106"/>
        <v/>
      </c>
      <c r="K1100" s="28" t="str">
        <f t="shared" si="103"/>
        <v/>
      </c>
      <c r="L1100" s="46" t="str">
        <f t="shared" si="107"/>
        <v/>
      </c>
      <c r="M1100" t="str" cm="1">
        <f t="array" ref="M1100">IF(L1100="","",_xlfn.IFS(
  AND(L1100&gt;=TIME(9,0,0), L1100&lt;TIME(16,0,0)),"Morning",
  AND(L1100&gt;=TIME(16,0,0), L1100&lt;TIME(23,59,0)),"Evening",
  L1100&gt;=TIME(23,59,0),"Night",
  L1100&lt;TIME(9,0,0),"Night"
))</f>
        <v/>
      </c>
      <c r="O1100" t="str">
        <f t="shared" si="104"/>
        <v/>
      </c>
    </row>
    <row r="1101" spans="1:15" x14ac:dyDescent="0.25">
      <c r="A1101" s="49"/>
      <c r="G1101" t="str">
        <f t="shared" si="102"/>
        <v/>
      </c>
      <c r="H1101" s="13" t="str">
        <f t="shared" si="105"/>
        <v/>
      </c>
      <c r="I1101" t="str">
        <f>IFERROR(INDEX(Analysis!$D$116:$N$137, MATCH(B1101, Analysis!$C$116:$C$137, 0), MATCH(C1101, Analysis!$D$115:$N$115, 0)), "")</f>
        <v/>
      </c>
      <c r="J1101" t="str">
        <f t="shared" si="106"/>
        <v/>
      </c>
      <c r="K1101" s="28" t="str">
        <f t="shared" si="103"/>
        <v/>
      </c>
      <c r="L1101" s="46" t="str">
        <f t="shared" si="107"/>
        <v/>
      </c>
      <c r="M1101" t="str" cm="1">
        <f t="array" ref="M1101">IF(L1101="","",_xlfn.IFS(
  AND(L1101&gt;=TIME(9,0,0), L1101&lt;TIME(16,0,0)),"Morning",
  AND(L1101&gt;=TIME(16,0,0), L1101&lt;TIME(23,59,0)),"Evening",
  L1101&gt;=TIME(23,59,0),"Night",
  L1101&lt;TIME(9,0,0),"Night"
))</f>
        <v/>
      </c>
      <c r="O1101" t="str">
        <f t="shared" si="104"/>
        <v/>
      </c>
    </row>
    <row r="1102" spans="1:15" x14ac:dyDescent="0.25">
      <c r="A1102" s="49"/>
      <c r="G1102" t="str">
        <f t="shared" si="102"/>
        <v/>
      </c>
      <c r="H1102" s="13" t="str">
        <f t="shared" si="105"/>
        <v/>
      </c>
      <c r="I1102" t="str">
        <f>IFERROR(INDEX(Analysis!$D$116:$N$137, MATCH(B1102, Analysis!$C$116:$C$137, 0), MATCH(C1102, Analysis!$D$115:$N$115, 0)), "")</f>
        <v/>
      </c>
      <c r="J1102" t="str">
        <f t="shared" si="106"/>
        <v/>
      </c>
      <c r="K1102" s="28" t="str">
        <f t="shared" si="103"/>
        <v/>
      </c>
      <c r="L1102" s="46" t="str">
        <f t="shared" si="107"/>
        <v/>
      </c>
      <c r="M1102" t="str" cm="1">
        <f t="array" ref="M1102">IF(L1102="","",_xlfn.IFS(
  AND(L1102&gt;=TIME(9,0,0), L1102&lt;TIME(16,0,0)),"Morning",
  AND(L1102&gt;=TIME(16,0,0), L1102&lt;TIME(23,59,0)),"Evening",
  L1102&gt;=TIME(23,59,0),"Night",
  L1102&lt;TIME(9,0,0),"Night"
))</f>
        <v/>
      </c>
      <c r="O1102" t="str">
        <f t="shared" si="104"/>
        <v/>
      </c>
    </row>
    <row r="1103" spans="1:15" x14ac:dyDescent="0.25">
      <c r="A1103" s="49"/>
      <c r="G1103" t="str">
        <f t="shared" si="102"/>
        <v/>
      </c>
      <c r="H1103" s="13" t="str">
        <f t="shared" si="105"/>
        <v/>
      </c>
      <c r="I1103" t="str">
        <f>IFERROR(INDEX(Analysis!$D$116:$N$137, MATCH(B1103, Analysis!$C$116:$C$137, 0), MATCH(C1103, Analysis!$D$115:$N$115, 0)), "")</f>
        <v/>
      </c>
      <c r="J1103" t="str">
        <f t="shared" si="106"/>
        <v/>
      </c>
      <c r="K1103" s="28" t="str">
        <f t="shared" si="103"/>
        <v/>
      </c>
      <c r="L1103" s="46" t="str">
        <f t="shared" si="107"/>
        <v/>
      </c>
      <c r="M1103" t="str" cm="1">
        <f t="array" ref="M1103">IF(L1103="","",_xlfn.IFS(
  AND(L1103&gt;=TIME(9,0,0), L1103&lt;TIME(16,0,0)),"Morning",
  AND(L1103&gt;=TIME(16,0,0), L1103&lt;TIME(23,59,0)),"Evening",
  L1103&gt;=TIME(23,59,0),"Night",
  L1103&lt;TIME(9,0,0),"Night"
))</f>
        <v/>
      </c>
      <c r="O1103" t="str">
        <f t="shared" si="104"/>
        <v/>
      </c>
    </row>
    <row r="1104" spans="1:15" x14ac:dyDescent="0.25">
      <c r="A1104" s="49"/>
      <c r="G1104" t="str">
        <f t="shared" si="102"/>
        <v/>
      </c>
      <c r="H1104" s="13" t="str">
        <f t="shared" si="105"/>
        <v/>
      </c>
      <c r="I1104" t="str">
        <f>IFERROR(INDEX(Analysis!$D$116:$N$137, MATCH(B1104, Analysis!$C$116:$C$137, 0), MATCH(C1104, Analysis!$D$115:$N$115, 0)), "")</f>
        <v/>
      </c>
      <c r="J1104" t="str">
        <f t="shared" si="106"/>
        <v/>
      </c>
      <c r="K1104" s="28" t="str">
        <f t="shared" si="103"/>
        <v/>
      </c>
      <c r="L1104" s="46" t="str">
        <f t="shared" si="107"/>
        <v/>
      </c>
      <c r="M1104" t="str" cm="1">
        <f t="array" ref="M1104">IF(L1104="","",_xlfn.IFS(
  AND(L1104&gt;=TIME(9,0,0), L1104&lt;TIME(16,0,0)),"Morning",
  AND(L1104&gt;=TIME(16,0,0), L1104&lt;TIME(23,59,0)),"Evening",
  L1104&gt;=TIME(23,59,0),"Night",
  L1104&lt;TIME(9,0,0),"Night"
))</f>
        <v/>
      </c>
      <c r="O1104" t="str">
        <f t="shared" si="104"/>
        <v/>
      </c>
    </row>
    <row r="1105" spans="1:15" x14ac:dyDescent="0.25">
      <c r="A1105" s="49"/>
      <c r="G1105" t="str">
        <f t="shared" si="102"/>
        <v/>
      </c>
      <c r="H1105" s="13" t="str">
        <f t="shared" si="105"/>
        <v/>
      </c>
      <c r="I1105" t="str">
        <f>IFERROR(INDEX(Analysis!$D$116:$N$137, MATCH(B1105, Analysis!$C$116:$C$137, 0), MATCH(C1105, Analysis!$D$115:$N$115, 0)), "")</f>
        <v/>
      </c>
      <c r="J1105" t="str">
        <f t="shared" si="106"/>
        <v/>
      </c>
      <c r="K1105" s="28" t="str">
        <f t="shared" si="103"/>
        <v/>
      </c>
      <c r="L1105" s="46" t="str">
        <f t="shared" si="107"/>
        <v/>
      </c>
      <c r="M1105" t="str" cm="1">
        <f t="array" ref="M1105">IF(L1105="","",_xlfn.IFS(
  AND(L1105&gt;=TIME(9,0,0), L1105&lt;TIME(16,0,0)),"Morning",
  AND(L1105&gt;=TIME(16,0,0), L1105&lt;TIME(23,59,0)),"Evening",
  L1105&gt;=TIME(23,59,0),"Night",
  L1105&lt;TIME(9,0,0),"Night"
))</f>
        <v/>
      </c>
      <c r="O1105" t="str">
        <f t="shared" si="104"/>
        <v/>
      </c>
    </row>
    <row r="1106" spans="1:15" x14ac:dyDescent="0.25">
      <c r="A1106" s="49"/>
      <c r="G1106" t="str">
        <f t="shared" si="102"/>
        <v/>
      </c>
      <c r="H1106" s="13" t="str">
        <f t="shared" si="105"/>
        <v/>
      </c>
      <c r="I1106" t="str">
        <f>IFERROR(INDEX(Analysis!$D$116:$N$137, MATCH(B1106, Analysis!$C$116:$C$137, 0), MATCH(C1106, Analysis!$D$115:$N$115, 0)), "")</f>
        <v/>
      </c>
      <c r="J1106" t="str">
        <f t="shared" si="106"/>
        <v/>
      </c>
      <c r="K1106" s="28" t="str">
        <f t="shared" si="103"/>
        <v/>
      </c>
      <c r="L1106" s="46" t="str">
        <f t="shared" si="107"/>
        <v/>
      </c>
      <c r="M1106" t="str" cm="1">
        <f t="array" ref="M1106">IF(L1106="","",_xlfn.IFS(
  AND(L1106&gt;=TIME(9,0,0), L1106&lt;TIME(16,0,0)),"Morning",
  AND(L1106&gt;=TIME(16,0,0), L1106&lt;TIME(23,59,0)),"Evening",
  L1106&gt;=TIME(23,59,0),"Night",
  L1106&lt;TIME(9,0,0),"Night"
))</f>
        <v/>
      </c>
      <c r="O1106" t="str">
        <f t="shared" si="104"/>
        <v/>
      </c>
    </row>
    <row r="1107" spans="1:15" x14ac:dyDescent="0.25">
      <c r="A1107" s="49"/>
      <c r="G1107" t="str">
        <f t="shared" si="102"/>
        <v/>
      </c>
      <c r="H1107" s="13" t="str">
        <f t="shared" si="105"/>
        <v/>
      </c>
      <c r="I1107" t="str">
        <f>IFERROR(INDEX(Analysis!$D$116:$N$137, MATCH(B1107, Analysis!$C$116:$C$137, 0), MATCH(C1107, Analysis!$D$115:$N$115, 0)), "")</f>
        <v/>
      </c>
      <c r="J1107" t="str">
        <f t="shared" si="106"/>
        <v/>
      </c>
      <c r="K1107" s="28" t="str">
        <f t="shared" si="103"/>
        <v/>
      </c>
      <c r="L1107" s="46" t="str">
        <f t="shared" si="107"/>
        <v/>
      </c>
      <c r="M1107" t="str" cm="1">
        <f t="array" ref="M1107">IF(L1107="","",_xlfn.IFS(
  AND(L1107&gt;=TIME(9,0,0), L1107&lt;TIME(16,0,0)),"Morning",
  AND(L1107&gt;=TIME(16,0,0), L1107&lt;TIME(23,59,0)),"Evening",
  L1107&gt;=TIME(23,59,0),"Night",
  L1107&lt;TIME(9,0,0),"Night"
))</f>
        <v/>
      </c>
      <c r="O1107" t="str">
        <f t="shared" si="104"/>
        <v/>
      </c>
    </row>
    <row r="1108" spans="1:15" x14ac:dyDescent="0.25">
      <c r="A1108" s="49"/>
      <c r="G1108" t="str">
        <f t="shared" si="102"/>
        <v/>
      </c>
      <c r="H1108" s="13" t="str">
        <f t="shared" si="105"/>
        <v/>
      </c>
      <c r="I1108" t="str">
        <f>IFERROR(INDEX(Analysis!$D$116:$N$137, MATCH(B1108, Analysis!$C$116:$C$137, 0), MATCH(C1108, Analysis!$D$115:$N$115, 0)), "")</f>
        <v/>
      </c>
      <c r="J1108" t="str">
        <f t="shared" si="106"/>
        <v/>
      </c>
      <c r="K1108" s="28" t="str">
        <f t="shared" si="103"/>
        <v/>
      </c>
      <c r="L1108" s="46" t="str">
        <f t="shared" si="107"/>
        <v/>
      </c>
      <c r="M1108" t="str" cm="1">
        <f t="array" ref="M1108">IF(L1108="","",_xlfn.IFS(
  AND(L1108&gt;=TIME(9,0,0), L1108&lt;TIME(16,0,0)),"Morning",
  AND(L1108&gt;=TIME(16,0,0), L1108&lt;TIME(23,59,0)),"Evening",
  L1108&gt;=TIME(23,59,0),"Night",
  L1108&lt;TIME(9,0,0),"Night"
))</f>
        <v/>
      </c>
      <c r="O1108" t="str">
        <f t="shared" si="104"/>
        <v/>
      </c>
    </row>
    <row r="1109" spans="1:15" x14ac:dyDescent="0.25">
      <c r="A1109" s="49"/>
      <c r="G1109" t="str">
        <f t="shared" si="102"/>
        <v/>
      </c>
      <c r="H1109" s="13" t="str">
        <f t="shared" si="105"/>
        <v/>
      </c>
      <c r="I1109" t="str">
        <f>IFERROR(INDEX(Analysis!$D$116:$N$137, MATCH(B1109, Analysis!$C$116:$C$137, 0), MATCH(C1109, Analysis!$D$115:$N$115, 0)), "")</f>
        <v/>
      </c>
      <c r="J1109" t="str">
        <f t="shared" si="106"/>
        <v/>
      </c>
      <c r="K1109" s="28" t="str">
        <f t="shared" si="103"/>
        <v/>
      </c>
      <c r="L1109" s="46" t="str">
        <f t="shared" si="107"/>
        <v/>
      </c>
      <c r="M1109" t="str" cm="1">
        <f t="array" ref="M1109">IF(L1109="","",_xlfn.IFS(
  AND(L1109&gt;=TIME(9,0,0), L1109&lt;TIME(16,0,0)),"Morning",
  AND(L1109&gt;=TIME(16,0,0), L1109&lt;TIME(23,59,0)),"Evening",
  L1109&gt;=TIME(23,59,0),"Night",
  L1109&lt;TIME(9,0,0),"Night"
))</f>
        <v/>
      </c>
      <c r="O1109" t="str">
        <f t="shared" si="104"/>
        <v/>
      </c>
    </row>
    <row r="1110" spans="1:15" x14ac:dyDescent="0.25">
      <c r="A1110" s="49"/>
      <c r="G1110" t="str">
        <f t="shared" si="102"/>
        <v/>
      </c>
      <c r="H1110" s="13" t="str">
        <f t="shared" si="105"/>
        <v/>
      </c>
      <c r="I1110" t="str">
        <f>IFERROR(INDEX(Analysis!$D$116:$N$137, MATCH(B1110, Analysis!$C$116:$C$137, 0), MATCH(C1110, Analysis!$D$115:$N$115, 0)), "")</f>
        <v/>
      </c>
      <c r="J1110" t="str">
        <f t="shared" si="106"/>
        <v/>
      </c>
      <c r="K1110" s="28" t="str">
        <f t="shared" si="103"/>
        <v/>
      </c>
      <c r="L1110" s="46" t="str">
        <f t="shared" si="107"/>
        <v/>
      </c>
      <c r="M1110" t="str" cm="1">
        <f t="array" ref="M1110">IF(L1110="","",_xlfn.IFS(
  AND(L1110&gt;=TIME(9,0,0), L1110&lt;TIME(16,0,0)),"Morning",
  AND(L1110&gt;=TIME(16,0,0), L1110&lt;TIME(23,59,0)),"Evening",
  L1110&gt;=TIME(23,59,0),"Night",
  L1110&lt;TIME(9,0,0),"Night"
))</f>
        <v/>
      </c>
      <c r="O1110" t="str">
        <f t="shared" si="104"/>
        <v/>
      </c>
    </row>
    <row r="1111" spans="1:15" x14ac:dyDescent="0.25">
      <c r="A1111" s="49"/>
      <c r="G1111" t="str">
        <f t="shared" si="102"/>
        <v/>
      </c>
      <c r="H1111" s="13" t="str">
        <f t="shared" si="105"/>
        <v/>
      </c>
      <c r="I1111" t="str">
        <f>IFERROR(INDEX(Analysis!$D$116:$N$137, MATCH(B1111, Analysis!$C$116:$C$137, 0), MATCH(C1111, Analysis!$D$115:$N$115, 0)), "")</f>
        <v/>
      </c>
      <c r="J1111" t="str">
        <f t="shared" si="106"/>
        <v/>
      </c>
      <c r="K1111" s="28" t="str">
        <f t="shared" si="103"/>
        <v/>
      </c>
      <c r="L1111" s="46" t="str">
        <f t="shared" si="107"/>
        <v/>
      </c>
      <c r="M1111" t="str" cm="1">
        <f t="array" ref="M1111">IF(L1111="","",_xlfn.IFS(
  AND(L1111&gt;=TIME(9,0,0), L1111&lt;TIME(16,0,0)),"Morning",
  AND(L1111&gt;=TIME(16,0,0), L1111&lt;TIME(23,59,0)),"Evening",
  L1111&gt;=TIME(23,59,0),"Night",
  L1111&lt;TIME(9,0,0),"Night"
))</f>
        <v/>
      </c>
      <c r="O1111" t="str">
        <f t="shared" si="104"/>
        <v/>
      </c>
    </row>
    <row r="1112" spans="1:15" x14ac:dyDescent="0.25">
      <c r="A1112" s="49"/>
      <c r="G1112" t="str">
        <f t="shared" si="102"/>
        <v/>
      </c>
      <c r="H1112" s="13" t="str">
        <f t="shared" si="105"/>
        <v/>
      </c>
      <c r="I1112" t="str">
        <f>IFERROR(INDEX(Analysis!$D$116:$N$137, MATCH(B1112, Analysis!$C$116:$C$137, 0), MATCH(C1112, Analysis!$D$115:$N$115, 0)), "")</f>
        <v/>
      </c>
      <c r="J1112" t="str">
        <f t="shared" si="106"/>
        <v/>
      </c>
      <c r="K1112" s="28" t="str">
        <f t="shared" si="103"/>
        <v/>
      </c>
      <c r="L1112" s="46" t="str">
        <f t="shared" si="107"/>
        <v/>
      </c>
      <c r="M1112" t="str" cm="1">
        <f t="array" ref="M1112">IF(L1112="","",_xlfn.IFS(
  AND(L1112&gt;=TIME(9,0,0), L1112&lt;TIME(16,0,0)),"Morning",
  AND(L1112&gt;=TIME(16,0,0), L1112&lt;TIME(23,59,0)),"Evening",
  L1112&gt;=TIME(23,59,0),"Night",
  L1112&lt;TIME(9,0,0),"Night"
))</f>
        <v/>
      </c>
      <c r="O1112" t="str">
        <f t="shared" si="104"/>
        <v/>
      </c>
    </row>
    <row r="1113" spans="1:15" x14ac:dyDescent="0.25">
      <c r="A1113" s="49"/>
      <c r="G1113" t="str">
        <f t="shared" si="102"/>
        <v/>
      </c>
      <c r="H1113" s="13" t="str">
        <f t="shared" si="105"/>
        <v/>
      </c>
      <c r="I1113" t="str">
        <f>IFERROR(INDEX(Analysis!$D$116:$N$137, MATCH(B1113, Analysis!$C$116:$C$137, 0), MATCH(C1113, Analysis!$D$115:$N$115, 0)), "")</f>
        <v/>
      </c>
      <c r="J1113" t="str">
        <f t="shared" si="106"/>
        <v/>
      </c>
      <c r="K1113" s="28" t="str">
        <f t="shared" si="103"/>
        <v/>
      </c>
      <c r="L1113" s="46" t="str">
        <f t="shared" si="107"/>
        <v/>
      </c>
      <c r="M1113" t="str" cm="1">
        <f t="array" ref="M1113">IF(L1113="","",_xlfn.IFS(
  AND(L1113&gt;=TIME(9,0,0), L1113&lt;TIME(16,0,0)),"Morning",
  AND(L1113&gt;=TIME(16,0,0), L1113&lt;TIME(23,59,0)),"Evening",
  L1113&gt;=TIME(23,59,0),"Night",
  L1113&lt;TIME(9,0,0),"Night"
))</f>
        <v/>
      </c>
      <c r="O1113" t="str">
        <f t="shared" si="104"/>
        <v/>
      </c>
    </row>
    <row r="1114" spans="1:15" x14ac:dyDescent="0.25">
      <c r="A1114" s="49"/>
      <c r="G1114" t="str">
        <f t="shared" si="102"/>
        <v/>
      </c>
      <c r="H1114" s="13" t="str">
        <f t="shared" si="105"/>
        <v/>
      </c>
      <c r="I1114" t="str">
        <f>IFERROR(INDEX(Analysis!$D$116:$N$137, MATCH(B1114, Analysis!$C$116:$C$137, 0), MATCH(C1114, Analysis!$D$115:$N$115, 0)), "")</f>
        <v/>
      </c>
      <c r="J1114" t="str">
        <f t="shared" si="106"/>
        <v/>
      </c>
      <c r="K1114" s="28" t="str">
        <f t="shared" si="103"/>
        <v/>
      </c>
      <c r="L1114" s="46" t="str">
        <f t="shared" si="107"/>
        <v/>
      </c>
      <c r="M1114" t="str" cm="1">
        <f t="array" ref="M1114">IF(L1114="","",_xlfn.IFS(
  AND(L1114&gt;=TIME(9,0,0), L1114&lt;TIME(16,0,0)),"Morning",
  AND(L1114&gt;=TIME(16,0,0), L1114&lt;TIME(23,59,0)),"Evening",
  L1114&gt;=TIME(23,59,0),"Night",
  L1114&lt;TIME(9,0,0),"Night"
))</f>
        <v/>
      </c>
      <c r="O1114" t="str">
        <f t="shared" si="104"/>
        <v/>
      </c>
    </row>
    <row r="1115" spans="1:15" x14ac:dyDescent="0.25">
      <c r="A1115" s="49"/>
      <c r="G1115" t="str">
        <f t="shared" si="102"/>
        <v/>
      </c>
      <c r="H1115" s="13" t="str">
        <f t="shared" si="105"/>
        <v/>
      </c>
      <c r="I1115" t="str">
        <f>IFERROR(INDEX(Analysis!$D$116:$N$137, MATCH(B1115, Analysis!$C$116:$C$137, 0), MATCH(C1115, Analysis!$D$115:$N$115, 0)), "")</f>
        <v/>
      </c>
      <c r="J1115" t="str">
        <f t="shared" si="106"/>
        <v/>
      </c>
      <c r="K1115" s="28" t="str">
        <f t="shared" si="103"/>
        <v/>
      </c>
      <c r="L1115" s="46" t="str">
        <f t="shared" si="107"/>
        <v/>
      </c>
      <c r="M1115" t="str" cm="1">
        <f t="array" ref="M1115">IF(L1115="","",_xlfn.IFS(
  AND(L1115&gt;=TIME(9,0,0), L1115&lt;TIME(16,0,0)),"Morning",
  AND(L1115&gt;=TIME(16,0,0), L1115&lt;TIME(23,59,0)),"Evening",
  L1115&gt;=TIME(23,59,0),"Night",
  L1115&lt;TIME(9,0,0),"Night"
))</f>
        <v/>
      </c>
      <c r="O1115" t="str">
        <f t="shared" si="104"/>
        <v/>
      </c>
    </row>
    <row r="1116" spans="1:15" x14ac:dyDescent="0.25">
      <c r="A1116" s="49"/>
      <c r="G1116" t="str">
        <f t="shared" si="102"/>
        <v/>
      </c>
      <c r="H1116" s="13" t="str">
        <f t="shared" si="105"/>
        <v/>
      </c>
      <c r="I1116" t="str">
        <f>IFERROR(INDEX(Analysis!$D$116:$N$137, MATCH(B1116, Analysis!$C$116:$C$137, 0), MATCH(C1116, Analysis!$D$115:$N$115, 0)), "")</f>
        <v/>
      </c>
      <c r="J1116" t="str">
        <f t="shared" si="106"/>
        <v/>
      </c>
      <c r="K1116" s="28" t="str">
        <f t="shared" si="103"/>
        <v/>
      </c>
      <c r="L1116" s="46" t="str">
        <f t="shared" si="107"/>
        <v/>
      </c>
      <c r="M1116" t="str" cm="1">
        <f t="array" ref="M1116">IF(L1116="","",_xlfn.IFS(
  AND(L1116&gt;=TIME(9,0,0), L1116&lt;TIME(16,0,0)),"Morning",
  AND(L1116&gt;=TIME(16,0,0), L1116&lt;TIME(23,59,0)),"Evening",
  L1116&gt;=TIME(23,59,0),"Night",
  L1116&lt;TIME(9,0,0),"Night"
))</f>
        <v/>
      </c>
      <c r="O1116" t="str">
        <f t="shared" si="104"/>
        <v/>
      </c>
    </row>
    <row r="1117" spans="1:15" x14ac:dyDescent="0.25">
      <c r="A1117" s="49"/>
      <c r="G1117" t="str">
        <f t="shared" si="102"/>
        <v/>
      </c>
      <c r="H1117" s="13" t="str">
        <f t="shared" si="105"/>
        <v/>
      </c>
      <c r="I1117" t="str">
        <f>IFERROR(INDEX(Analysis!$D$116:$N$137, MATCH(B1117, Analysis!$C$116:$C$137, 0), MATCH(C1117, Analysis!$D$115:$N$115, 0)), "")</f>
        <v/>
      </c>
      <c r="J1117" t="str">
        <f t="shared" si="106"/>
        <v/>
      </c>
      <c r="K1117" s="28" t="str">
        <f t="shared" si="103"/>
        <v/>
      </c>
      <c r="L1117" s="46" t="str">
        <f t="shared" si="107"/>
        <v/>
      </c>
      <c r="M1117" t="str" cm="1">
        <f t="array" ref="M1117">IF(L1117="","",_xlfn.IFS(
  AND(L1117&gt;=TIME(9,0,0), L1117&lt;TIME(16,0,0)),"Morning",
  AND(L1117&gt;=TIME(16,0,0), L1117&lt;TIME(23,59,0)),"Evening",
  L1117&gt;=TIME(23,59,0),"Night",
  L1117&lt;TIME(9,0,0),"Night"
))</f>
        <v/>
      </c>
      <c r="O1117" t="str">
        <f t="shared" si="104"/>
        <v/>
      </c>
    </row>
    <row r="1118" spans="1:15" x14ac:dyDescent="0.25">
      <c r="A1118" s="49"/>
      <c r="G1118" t="str">
        <f t="shared" si="102"/>
        <v/>
      </c>
      <c r="H1118" s="13" t="str">
        <f t="shared" si="105"/>
        <v/>
      </c>
      <c r="I1118" t="str">
        <f>IFERROR(INDEX(Analysis!$D$116:$N$137, MATCH(B1118, Analysis!$C$116:$C$137, 0), MATCH(C1118, Analysis!$D$115:$N$115, 0)), "")</f>
        <v/>
      </c>
      <c r="J1118" t="str">
        <f t="shared" si="106"/>
        <v/>
      </c>
      <c r="K1118" s="28" t="str">
        <f t="shared" si="103"/>
        <v/>
      </c>
      <c r="L1118" s="46" t="str">
        <f t="shared" si="107"/>
        <v/>
      </c>
      <c r="M1118" t="str" cm="1">
        <f t="array" ref="M1118">IF(L1118="","",_xlfn.IFS(
  AND(L1118&gt;=TIME(9,0,0), L1118&lt;TIME(16,0,0)),"Morning",
  AND(L1118&gt;=TIME(16,0,0), L1118&lt;TIME(23,59,0)),"Evening",
  L1118&gt;=TIME(23,59,0),"Night",
  L1118&lt;TIME(9,0,0),"Night"
))</f>
        <v/>
      </c>
      <c r="O1118" t="str">
        <f t="shared" si="104"/>
        <v/>
      </c>
    </row>
    <row r="1119" spans="1:15" x14ac:dyDescent="0.25">
      <c r="A1119" s="49"/>
      <c r="G1119" t="str">
        <f t="shared" si="102"/>
        <v/>
      </c>
      <c r="H1119" s="13" t="str">
        <f t="shared" si="105"/>
        <v/>
      </c>
      <c r="I1119" t="str">
        <f>IFERROR(INDEX(Analysis!$D$116:$N$137, MATCH(B1119, Analysis!$C$116:$C$137, 0), MATCH(C1119, Analysis!$D$115:$N$115, 0)), "")</f>
        <v/>
      </c>
      <c r="J1119" t="str">
        <f t="shared" si="106"/>
        <v/>
      </c>
      <c r="K1119" s="28" t="str">
        <f t="shared" si="103"/>
        <v/>
      </c>
      <c r="L1119" s="46" t="str">
        <f t="shared" si="107"/>
        <v/>
      </c>
      <c r="M1119" t="str" cm="1">
        <f t="array" ref="M1119">IF(L1119="","",_xlfn.IFS(
  AND(L1119&gt;=TIME(9,0,0), L1119&lt;TIME(16,0,0)),"Morning",
  AND(L1119&gt;=TIME(16,0,0), L1119&lt;TIME(23,59,0)),"Evening",
  L1119&gt;=TIME(23,59,0),"Night",
  L1119&lt;TIME(9,0,0),"Night"
))</f>
        <v/>
      </c>
      <c r="O1119" t="str">
        <f t="shared" si="104"/>
        <v/>
      </c>
    </row>
    <row r="1120" spans="1:15" x14ac:dyDescent="0.25">
      <c r="A1120" s="49"/>
      <c r="G1120" t="str">
        <f t="shared" si="102"/>
        <v/>
      </c>
      <c r="H1120" s="13" t="str">
        <f t="shared" si="105"/>
        <v/>
      </c>
      <c r="I1120" t="str">
        <f>IFERROR(INDEX(Analysis!$D$116:$N$137, MATCH(B1120, Analysis!$C$116:$C$137, 0), MATCH(C1120, Analysis!$D$115:$N$115, 0)), "")</f>
        <v/>
      </c>
      <c r="J1120" t="str">
        <f t="shared" si="106"/>
        <v/>
      </c>
      <c r="K1120" s="28" t="str">
        <f t="shared" si="103"/>
        <v/>
      </c>
      <c r="L1120" s="46" t="str">
        <f t="shared" si="107"/>
        <v/>
      </c>
      <c r="M1120" t="str" cm="1">
        <f t="array" ref="M1120">IF(L1120="","",_xlfn.IFS(
  AND(L1120&gt;=TIME(9,0,0), L1120&lt;TIME(16,0,0)),"Morning",
  AND(L1120&gt;=TIME(16,0,0), L1120&lt;TIME(23,59,0)),"Evening",
  L1120&gt;=TIME(23,59,0),"Night",
  L1120&lt;TIME(9,0,0),"Night"
))</f>
        <v/>
      </c>
      <c r="O1120" t="str">
        <f t="shared" si="104"/>
        <v/>
      </c>
    </row>
    <row r="1121" spans="1:15" x14ac:dyDescent="0.25">
      <c r="A1121" s="49"/>
      <c r="G1121" t="str">
        <f t="shared" si="102"/>
        <v/>
      </c>
      <c r="H1121" s="13" t="str">
        <f t="shared" si="105"/>
        <v/>
      </c>
      <c r="I1121" t="str">
        <f>IFERROR(INDEX(Analysis!$D$116:$N$137, MATCH(B1121, Analysis!$C$116:$C$137, 0), MATCH(C1121, Analysis!$D$115:$N$115, 0)), "")</f>
        <v/>
      </c>
      <c r="J1121" t="str">
        <f t="shared" si="106"/>
        <v/>
      </c>
      <c r="K1121" s="28" t="str">
        <f t="shared" si="103"/>
        <v/>
      </c>
      <c r="L1121" s="46" t="str">
        <f t="shared" si="107"/>
        <v/>
      </c>
      <c r="M1121" t="str" cm="1">
        <f t="array" ref="M1121">IF(L1121="","",_xlfn.IFS(
  AND(L1121&gt;=TIME(9,0,0), L1121&lt;TIME(16,0,0)),"Morning",
  AND(L1121&gt;=TIME(16,0,0), L1121&lt;TIME(23,59,0)),"Evening",
  L1121&gt;=TIME(23,59,0),"Night",
  L1121&lt;TIME(9,0,0),"Night"
))</f>
        <v/>
      </c>
      <c r="O1121" t="str">
        <f t="shared" si="104"/>
        <v/>
      </c>
    </row>
    <row r="1122" spans="1:15" x14ac:dyDescent="0.25">
      <c r="A1122" s="49"/>
      <c r="G1122" t="str">
        <f t="shared" si="102"/>
        <v/>
      </c>
      <c r="H1122" s="13" t="str">
        <f t="shared" si="105"/>
        <v/>
      </c>
      <c r="I1122" t="str">
        <f>IFERROR(INDEX(Analysis!$D$116:$N$137, MATCH(B1122, Analysis!$C$116:$C$137, 0), MATCH(C1122, Analysis!$D$115:$N$115, 0)), "")</f>
        <v/>
      </c>
      <c r="J1122" t="str">
        <f t="shared" si="106"/>
        <v/>
      </c>
      <c r="K1122" s="28" t="str">
        <f t="shared" si="103"/>
        <v/>
      </c>
      <c r="L1122" s="46" t="str">
        <f t="shared" si="107"/>
        <v/>
      </c>
      <c r="M1122" t="str" cm="1">
        <f t="array" ref="M1122">IF(L1122="","",_xlfn.IFS(
  AND(L1122&gt;=TIME(9,0,0), L1122&lt;TIME(16,0,0)),"Morning",
  AND(L1122&gt;=TIME(16,0,0), L1122&lt;TIME(23,59,0)),"Evening",
  L1122&gt;=TIME(23,59,0),"Night",
  L1122&lt;TIME(9,0,0),"Night"
))</f>
        <v/>
      </c>
      <c r="O1122" t="str">
        <f t="shared" si="104"/>
        <v/>
      </c>
    </row>
    <row r="1123" spans="1:15" x14ac:dyDescent="0.25">
      <c r="A1123" s="49"/>
      <c r="G1123" t="str">
        <f t="shared" si="102"/>
        <v/>
      </c>
      <c r="H1123" s="13" t="str">
        <f t="shared" si="105"/>
        <v/>
      </c>
      <c r="I1123" t="str">
        <f>IFERROR(INDEX(Analysis!$D$116:$N$137, MATCH(B1123, Analysis!$C$116:$C$137, 0), MATCH(C1123, Analysis!$D$115:$N$115, 0)), "")</f>
        <v/>
      </c>
      <c r="J1123" t="str">
        <f t="shared" si="106"/>
        <v/>
      </c>
      <c r="K1123" s="28" t="str">
        <f t="shared" si="103"/>
        <v/>
      </c>
      <c r="L1123" s="46" t="str">
        <f t="shared" si="107"/>
        <v/>
      </c>
      <c r="M1123" t="str" cm="1">
        <f t="array" ref="M1123">IF(L1123="","",_xlfn.IFS(
  AND(L1123&gt;=TIME(9,0,0), L1123&lt;TIME(16,0,0)),"Morning",
  AND(L1123&gt;=TIME(16,0,0), L1123&lt;TIME(23,59,0)),"Evening",
  L1123&gt;=TIME(23,59,0),"Night",
  L1123&lt;TIME(9,0,0),"Night"
))</f>
        <v/>
      </c>
      <c r="O1123" t="str">
        <f t="shared" si="104"/>
        <v/>
      </c>
    </row>
    <row r="1124" spans="1:15" x14ac:dyDescent="0.25">
      <c r="A1124" s="49"/>
      <c r="G1124" t="str">
        <f t="shared" si="102"/>
        <v/>
      </c>
      <c r="H1124" s="13" t="str">
        <f t="shared" si="105"/>
        <v/>
      </c>
      <c r="I1124" t="str">
        <f>IFERROR(INDEX(Analysis!$D$116:$N$137, MATCH(B1124, Analysis!$C$116:$C$137, 0), MATCH(C1124, Analysis!$D$115:$N$115, 0)), "")</f>
        <v/>
      </c>
      <c r="J1124" t="str">
        <f t="shared" si="106"/>
        <v/>
      </c>
      <c r="K1124" s="28" t="str">
        <f t="shared" si="103"/>
        <v/>
      </c>
      <c r="L1124" s="46" t="str">
        <f t="shared" si="107"/>
        <v/>
      </c>
      <c r="M1124" t="str" cm="1">
        <f t="array" ref="M1124">IF(L1124="","",_xlfn.IFS(
  AND(L1124&gt;=TIME(9,0,0), L1124&lt;TIME(16,0,0)),"Morning",
  AND(L1124&gt;=TIME(16,0,0), L1124&lt;TIME(23,59,0)),"Evening",
  L1124&gt;=TIME(23,59,0),"Night",
  L1124&lt;TIME(9,0,0),"Night"
))</f>
        <v/>
      </c>
      <c r="O1124" t="str">
        <f t="shared" si="104"/>
        <v/>
      </c>
    </row>
    <row r="1125" spans="1:15" x14ac:dyDescent="0.25">
      <c r="A1125" s="49"/>
      <c r="G1125" t="str">
        <f t="shared" si="102"/>
        <v/>
      </c>
      <c r="H1125" s="13" t="str">
        <f t="shared" si="105"/>
        <v/>
      </c>
      <c r="I1125" t="str">
        <f>IFERROR(INDEX(Analysis!$D$116:$N$137, MATCH(B1125, Analysis!$C$116:$C$137, 0), MATCH(C1125, Analysis!$D$115:$N$115, 0)), "")</f>
        <v/>
      </c>
      <c r="J1125" t="str">
        <f t="shared" si="106"/>
        <v/>
      </c>
      <c r="K1125" s="28" t="str">
        <f t="shared" si="103"/>
        <v/>
      </c>
      <c r="L1125" s="46" t="str">
        <f t="shared" si="107"/>
        <v/>
      </c>
      <c r="M1125" t="str" cm="1">
        <f t="array" ref="M1125">IF(L1125="","",_xlfn.IFS(
  AND(L1125&gt;=TIME(9,0,0), L1125&lt;TIME(16,0,0)),"Morning",
  AND(L1125&gt;=TIME(16,0,0), L1125&lt;TIME(23,59,0)),"Evening",
  L1125&gt;=TIME(23,59,0),"Night",
  L1125&lt;TIME(9,0,0),"Night"
))</f>
        <v/>
      </c>
      <c r="O1125" t="str">
        <f t="shared" si="104"/>
        <v/>
      </c>
    </row>
    <row r="1126" spans="1:15" x14ac:dyDescent="0.25">
      <c r="A1126" s="49"/>
      <c r="G1126" t="str">
        <f t="shared" si="102"/>
        <v/>
      </c>
      <c r="H1126" s="13" t="str">
        <f t="shared" si="105"/>
        <v/>
      </c>
      <c r="I1126" t="str">
        <f>IFERROR(INDEX(Analysis!$D$116:$N$137, MATCH(B1126, Analysis!$C$116:$C$137, 0), MATCH(C1126, Analysis!$D$115:$N$115, 0)), "")</f>
        <v/>
      </c>
      <c r="J1126" t="str">
        <f t="shared" si="106"/>
        <v/>
      </c>
      <c r="K1126" s="28" t="str">
        <f t="shared" si="103"/>
        <v/>
      </c>
      <c r="L1126" s="46" t="str">
        <f t="shared" si="107"/>
        <v/>
      </c>
      <c r="M1126" t="str" cm="1">
        <f t="array" ref="M1126">IF(L1126="","",_xlfn.IFS(
  AND(L1126&gt;=TIME(9,0,0), L1126&lt;TIME(16,0,0)),"Morning",
  AND(L1126&gt;=TIME(16,0,0), L1126&lt;TIME(23,59,0)),"Evening",
  L1126&gt;=TIME(23,59,0),"Night",
  L1126&lt;TIME(9,0,0),"Night"
))</f>
        <v/>
      </c>
      <c r="O1126" t="str">
        <f t="shared" si="104"/>
        <v/>
      </c>
    </row>
    <row r="1127" spans="1:15" x14ac:dyDescent="0.25">
      <c r="A1127" s="49"/>
      <c r="G1127" t="str">
        <f t="shared" si="102"/>
        <v/>
      </c>
      <c r="H1127" s="13" t="str">
        <f t="shared" si="105"/>
        <v/>
      </c>
      <c r="I1127" t="str">
        <f>IFERROR(INDEX(Analysis!$D$116:$N$137, MATCH(B1127, Analysis!$C$116:$C$137, 0), MATCH(C1127, Analysis!$D$115:$N$115, 0)), "")</f>
        <v/>
      </c>
      <c r="J1127" t="str">
        <f t="shared" si="106"/>
        <v/>
      </c>
      <c r="K1127" s="28" t="str">
        <f t="shared" si="103"/>
        <v/>
      </c>
      <c r="L1127" s="46" t="str">
        <f t="shared" si="107"/>
        <v/>
      </c>
      <c r="M1127" t="str" cm="1">
        <f t="array" ref="M1127">IF(L1127="","",_xlfn.IFS(
  AND(L1127&gt;=TIME(9,0,0), L1127&lt;TIME(16,0,0)),"Morning",
  AND(L1127&gt;=TIME(16,0,0), L1127&lt;TIME(23,59,0)),"Evening",
  L1127&gt;=TIME(23,59,0),"Night",
  L1127&lt;TIME(9,0,0),"Night"
))</f>
        <v/>
      </c>
      <c r="O1127" t="str">
        <f t="shared" si="104"/>
        <v/>
      </c>
    </row>
    <row r="1128" spans="1:15" x14ac:dyDescent="0.25">
      <c r="A1128" s="49"/>
      <c r="G1128" t="str">
        <f t="shared" si="102"/>
        <v/>
      </c>
      <c r="H1128" s="13" t="str">
        <f t="shared" si="105"/>
        <v/>
      </c>
      <c r="I1128" t="str">
        <f>IFERROR(INDEX(Analysis!$D$116:$N$137, MATCH(B1128, Analysis!$C$116:$C$137, 0), MATCH(C1128, Analysis!$D$115:$N$115, 0)), "")</f>
        <v/>
      </c>
      <c r="J1128" t="str">
        <f t="shared" si="106"/>
        <v/>
      </c>
      <c r="K1128" s="28" t="str">
        <f t="shared" si="103"/>
        <v/>
      </c>
      <c r="L1128" s="46" t="str">
        <f t="shared" si="107"/>
        <v/>
      </c>
      <c r="M1128" t="str" cm="1">
        <f t="array" ref="M1128">IF(L1128="","",_xlfn.IFS(
  AND(L1128&gt;=TIME(9,0,0), L1128&lt;TIME(16,0,0)),"Morning",
  AND(L1128&gt;=TIME(16,0,0), L1128&lt;TIME(23,59,0)),"Evening",
  L1128&gt;=TIME(23,59,0),"Night",
  L1128&lt;TIME(9,0,0),"Night"
))</f>
        <v/>
      </c>
      <c r="O1128" t="str">
        <f t="shared" si="104"/>
        <v/>
      </c>
    </row>
    <row r="1129" spans="1:15" x14ac:dyDescent="0.25">
      <c r="A1129" s="49"/>
      <c r="G1129" t="str">
        <f t="shared" si="102"/>
        <v/>
      </c>
      <c r="H1129" s="13" t="str">
        <f t="shared" si="105"/>
        <v/>
      </c>
      <c r="I1129" t="str">
        <f>IFERROR(INDEX(Analysis!$D$116:$N$137, MATCH(B1129, Analysis!$C$116:$C$137, 0), MATCH(C1129, Analysis!$D$115:$N$115, 0)), "")</f>
        <v/>
      </c>
      <c r="J1129" t="str">
        <f t="shared" si="106"/>
        <v/>
      </c>
      <c r="K1129" s="28" t="str">
        <f t="shared" si="103"/>
        <v/>
      </c>
      <c r="L1129" s="46" t="str">
        <f t="shared" si="107"/>
        <v/>
      </c>
      <c r="M1129" t="str" cm="1">
        <f t="array" ref="M1129">IF(L1129="","",_xlfn.IFS(
  AND(L1129&gt;=TIME(9,0,0), L1129&lt;TIME(16,0,0)),"Morning",
  AND(L1129&gt;=TIME(16,0,0), L1129&lt;TIME(23,59,0)),"Evening",
  L1129&gt;=TIME(23,59,0),"Night",
  L1129&lt;TIME(9,0,0),"Night"
))</f>
        <v/>
      </c>
      <c r="O1129" t="str">
        <f t="shared" si="104"/>
        <v/>
      </c>
    </row>
    <row r="1130" spans="1:15" x14ac:dyDescent="0.25">
      <c r="A1130" s="49"/>
      <c r="G1130" t="str">
        <f t="shared" si="102"/>
        <v/>
      </c>
      <c r="H1130" s="13" t="str">
        <f t="shared" si="105"/>
        <v/>
      </c>
      <c r="I1130" t="str">
        <f>IFERROR(INDEX(Analysis!$D$116:$N$137, MATCH(B1130, Analysis!$C$116:$C$137, 0), MATCH(C1130, Analysis!$D$115:$N$115, 0)), "")</f>
        <v/>
      </c>
      <c r="J1130" t="str">
        <f t="shared" si="106"/>
        <v/>
      </c>
      <c r="K1130" s="28" t="str">
        <f t="shared" si="103"/>
        <v/>
      </c>
      <c r="L1130" s="46" t="str">
        <f t="shared" si="107"/>
        <v/>
      </c>
      <c r="M1130" t="str" cm="1">
        <f t="array" ref="M1130">IF(L1130="","",_xlfn.IFS(
  AND(L1130&gt;=TIME(9,0,0), L1130&lt;TIME(16,0,0)),"Morning",
  AND(L1130&gt;=TIME(16,0,0), L1130&lt;TIME(23,59,0)),"Evening",
  L1130&gt;=TIME(23,59,0),"Night",
  L1130&lt;TIME(9,0,0),"Night"
))</f>
        <v/>
      </c>
      <c r="O1130" t="str">
        <f t="shared" si="104"/>
        <v/>
      </c>
    </row>
    <row r="1131" spans="1:15" x14ac:dyDescent="0.25">
      <c r="A1131" s="49"/>
      <c r="G1131" t="str">
        <f t="shared" si="102"/>
        <v/>
      </c>
      <c r="H1131" s="13" t="str">
        <f t="shared" si="105"/>
        <v/>
      </c>
      <c r="I1131" t="str">
        <f>IFERROR(INDEX(Analysis!$D$116:$N$137, MATCH(B1131, Analysis!$C$116:$C$137, 0), MATCH(C1131, Analysis!$D$115:$N$115, 0)), "")</f>
        <v/>
      </c>
      <c r="J1131" t="str">
        <f t="shared" si="106"/>
        <v/>
      </c>
      <c r="K1131" s="28" t="str">
        <f t="shared" si="103"/>
        <v/>
      </c>
      <c r="L1131" s="46" t="str">
        <f t="shared" si="107"/>
        <v/>
      </c>
      <c r="M1131" t="str" cm="1">
        <f t="array" ref="M1131">IF(L1131="","",_xlfn.IFS(
  AND(L1131&gt;=TIME(9,0,0), L1131&lt;TIME(16,0,0)),"Morning",
  AND(L1131&gt;=TIME(16,0,0), L1131&lt;TIME(23,59,0)),"Evening",
  L1131&gt;=TIME(23,59,0),"Night",
  L1131&lt;TIME(9,0,0),"Night"
))</f>
        <v/>
      </c>
      <c r="O1131" t="str">
        <f t="shared" si="104"/>
        <v/>
      </c>
    </row>
    <row r="1132" spans="1:15" x14ac:dyDescent="0.25">
      <c r="A1132" s="49"/>
      <c r="G1132" t="str">
        <f t="shared" si="102"/>
        <v/>
      </c>
      <c r="H1132" s="13" t="str">
        <f t="shared" si="105"/>
        <v/>
      </c>
      <c r="I1132" t="str">
        <f>IFERROR(INDEX(Analysis!$D$116:$N$137, MATCH(B1132, Analysis!$C$116:$C$137, 0), MATCH(C1132, Analysis!$D$115:$N$115, 0)), "")</f>
        <v/>
      </c>
      <c r="J1132" t="str">
        <f t="shared" si="106"/>
        <v/>
      </c>
      <c r="K1132" s="28" t="str">
        <f t="shared" si="103"/>
        <v/>
      </c>
      <c r="L1132" s="46" t="str">
        <f t="shared" si="107"/>
        <v/>
      </c>
      <c r="M1132" t="str" cm="1">
        <f t="array" ref="M1132">IF(L1132="","",_xlfn.IFS(
  AND(L1132&gt;=TIME(9,0,0), L1132&lt;TIME(16,0,0)),"Morning",
  AND(L1132&gt;=TIME(16,0,0), L1132&lt;TIME(23,59,0)),"Evening",
  L1132&gt;=TIME(23,59,0),"Night",
  L1132&lt;TIME(9,0,0),"Night"
))</f>
        <v/>
      </c>
      <c r="O1132" t="str">
        <f t="shared" si="104"/>
        <v/>
      </c>
    </row>
    <row r="1133" spans="1:15" x14ac:dyDescent="0.25">
      <c r="A1133" s="49"/>
      <c r="G1133" t="str">
        <f t="shared" si="102"/>
        <v/>
      </c>
      <c r="H1133" s="13" t="str">
        <f t="shared" si="105"/>
        <v/>
      </c>
      <c r="I1133" t="str">
        <f>IFERROR(INDEX(Analysis!$D$116:$N$137, MATCH(B1133, Analysis!$C$116:$C$137, 0), MATCH(C1133, Analysis!$D$115:$N$115, 0)), "")</f>
        <v/>
      </c>
      <c r="J1133" t="str">
        <f t="shared" si="106"/>
        <v/>
      </c>
      <c r="K1133" s="28" t="str">
        <f t="shared" si="103"/>
        <v/>
      </c>
      <c r="L1133" s="46" t="str">
        <f t="shared" si="107"/>
        <v/>
      </c>
      <c r="M1133" t="str" cm="1">
        <f t="array" ref="M1133">IF(L1133="","",_xlfn.IFS(
  AND(L1133&gt;=TIME(9,0,0), L1133&lt;TIME(16,0,0)),"Morning",
  AND(L1133&gt;=TIME(16,0,0), L1133&lt;TIME(23,59,0)),"Evening",
  L1133&gt;=TIME(23,59,0),"Night",
  L1133&lt;TIME(9,0,0),"Night"
))</f>
        <v/>
      </c>
      <c r="O1133" t="str">
        <f t="shared" si="104"/>
        <v/>
      </c>
    </row>
    <row r="1134" spans="1:15" x14ac:dyDescent="0.25">
      <c r="A1134" s="49"/>
      <c r="G1134" t="str">
        <f t="shared" si="102"/>
        <v/>
      </c>
      <c r="H1134" s="13" t="str">
        <f t="shared" si="105"/>
        <v/>
      </c>
      <c r="I1134" t="str">
        <f>IFERROR(INDEX(Analysis!$D$116:$N$137, MATCH(B1134, Analysis!$C$116:$C$137, 0), MATCH(C1134, Analysis!$D$115:$N$115, 0)), "")</f>
        <v/>
      </c>
      <c r="J1134" t="str">
        <f t="shared" si="106"/>
        <v/>
      </c>
      <c r="K1134" s="28" t="str">
        <f t="shared" si="103"/>
        <v/>
      </c>
      <c r="L1134" s="46" t="str">
        <f t="shared" si="107"/>
        <v/>
      </c>
      <c r="M1134" t="str" cm="1">
        <f t="array" ref="M1134">IF(L1134="","",_xlfn.IFS(
  AND(L1134&gt;=TIME(9,0,0), L1134&lt;TIME(16,0,0)),"Morning",
  AND(L1134&gt;=TIME(16,0,0), L1134&lt;TIME(23,59,0)),"Evening",
  L1134&gt;=TIME(23,59,0),"Night",
  L1134&lt;TIME(9,0,0),"Night"
))</f>
        <v/>
      </c>
      <c r="O1134" t="str">
        <f t="shared" si="104"/>
        <v/>
      </c>
    </row>
    <row r="1135" spans="1:15" x14ac:dyDescent="0.25">
      <c r="A1135" s="49"/>
      <c r="G1135" t="str">
        <f t="shared" si="102"/>
        <v/>
      </c>
      <c r="H1135" s="13" t="str">
        <f t="shared" si="105"/>
        <v/>
      </c>
      <c r="I1135" t="str">
        <f>IFERROR(INDEX(Analysis!$D$116:$N$137, MATCH(B1135, Analysis!$C$116:$C$137, 0), MATCH(C1135, Analysis!$D$115:$N$115, 0)), "")</f>
        <v/>
      </c>
      <c r="J1135" t="str">
        <f t="shared" si="106"/>
        <v/>
      </c>
      <c r="K1135" s="28" t="str">
        <f t="shared" si="103"/>
        <v/>
      </c>
      <c r="L1135" s="46" t="str">
        <f t="shared" si="107"/>
        <v/>
      </c>
      <c r="M1135" t="str" cm="1">
        <f t="array" ref="M1135">IF(L1135="","",_xlfn.IFS(
  AND(L1135&gt;=TIME(9,0,0), L1135&lt;TIME(16,0,0)),"Morning",
  AND(L1135&gt;=TIME(16,0,0), L1135&lt;TIME(23,59,0)),"Evening",
  L1135&gt;=TIME(23,59,0),"Night",
  L1135&lt;TIME(9,0,0),"Night"
))</f>
        <v/>
      </c>
      <c r="O1135" t="str">
        <f t="shared" si="104"/>
        <v/>
      </c>
    </row>
    <row r="1136" spans="1:15" x14ac:dyDescent="0.25">
      <c r="A1136" s="49"/>
      <c r="G1136" t="str">
        <f t="shared" si="102"/>
        <v/>
      </c>
      <c r="H1136" s="13" t="str">
        <f t="shared" si="105"/>
        <v/>
      </c>
      <c r="I1136" t="str">
        <f>IFERROR(INDEX(Analysis!$D$116:$N$137, MATCH(B1136, Analysis!$C$116:$C$137, 0), MATCH(C1136, Analysis!$D$115:$N$115, 0)), "")</f>
        <v/>
      </c>
      <c r="J1136" t="str">
        <f t="shared" si="106"/>
        <v/>
      </c>
      <c r="K1136" s="28" t="str">
        <f t="shared" si="103"/>
        <v/>
      </c>
      <c r="L1136" s="46" t="str">
        <f t="shared" si="107"/>
        <v/>
      </c>
      <c r="M1136" t="str" cm="1">
        <f t="array" ref="M1136">IF(L1136="","",_xlfn.IFS(
  AND(L1136&gt;=TIME(9,0,0), L1136&lt;TIME(16,0,0)),"Morning",
  AND(L1136&gt;=TIME(16,0,0), L1136&lt;TIME(23,59,0)),"Evening",
  L1136&gt;=TIME(23,59,0),"Night",
  L1136&lt;TIME(9,0,0),"Night"
))</f>
        <v/>
      </c>
      <c r="O1136" t="str">
        <f t="shared" si="104"/>
        <v/>
      </c>
    </row>
    <row r="1137" spans="1:15" x14ac:dyDescent="0.25">
      <c r="A1137" s="49"/>
      <c r="G1137" t="str">
        <f t="shared" si="102"/>
        <v/>
      </c>
      <c r="H1137" s="13" t="str">
        <f t="shared" si="105"/>
        <v/>
      </c>
      <c r="I1137" t="str">
        <f>IFERROR(INDEX(Analysis!$D$116:$N$137, MATCH(B1137, Analysis!$C$116:$C$137, 0), MATCH(C1137, Analysis!$D$115:$N$115, 0)), "")</f>
        <v/>
      </c>
      <c r="J1137" t="str">
        <f t="shared" si="106"/>
        <v/>
      </c>
      <c r="K1137" s="28" t="str">
        <f t="shared" si="103"/>
        <v/>
      </c>
      <c r="L1137" s="46" t="str">
        <f t="shared" si="107"/>
        <v/>
      </c>
      <c r="M1137" t="str" cm="1">
        <f t="array" ref="M1137">IF(L1137="","",_xlfn.IFS(
  AND(L1137&gt;=TIME(9,0,0), L1137&lt;TIME(16,0,0)),"Morning",
  AND(L1137&gt;=TIME(16,0,0), L1137&lt;TIME(23,59,0)),"Evening",
  L1137&gt;=TIME(23,59,0),"Night",
  L1137&lt;TIME(9,0,0),"Night"
))</f>
        <v/>
      </c>
      <c r="O1137" t="str">
        <f t="shared" si="104"/>
        <v/>
      </c>
    </row>
    <row r="1138" spans="1:15" x14ac:dyDescent="0.25">
      <c r="A1138" s="49"/>
      <c r="G1138" t="str">
        <f t="shared" si="102"/>
        <v/>
      </c>
      <c r="H1138" s="13" t="str">
        <f t="shared" si="105"/>
        <v/>
      </c>
      <c r="I1138" t="str">
        <f>IFERROR(INDEX(Analysis!$D$116:$N$137, MATCH(B1138, Analysis!$C$116:$C$137, 0), MATCH(C1138, Analysis!$D$115:$N$115, 0)), "")</f>
        <v/>
      </c>
      <c r="J1138" t="str">
        <f t="shared" si="106"/>
        <v/>
      </c>
      <c r="K1138" s="28" t="str">
        <f t="shared" si="103"/>
        <v/>
      </c>
      <c r="L1138" s="46" t="str">
        <f t="shared" si="107"/>
        <v/>
      </c>
      <c r="M1138" t="str" cm="1">
        <f t="array" ref="M1138">IF(L1138="","",_xlfn.IFS(
  AND(L1138&gt;=TIME(9,0,0), L1138&lt;TIME(16,0,0)),"Morning",
  AND(L1138&gt;=TIME(16,0,0), L1138&lt;TIME(23,59,0)),"Evening",
  L1138&gt;=TIME(23,59,0),"Night",
  L1138&lt;TIME(9,0,0),"Night"
))</f>
        <v/>
      </c>
      <c r="O1138" t="str">
        <f t="shared" si="104"/>
        <v/>
      </c>
    </row>
    <row r="1139" spans="1:15" x14ac:dyDescent="0.25">
      <c r="A1139" s="49"/>
      <c r="G1139" t="str">
        <f t="shared" si="102"/>
        <v/>
      </c>
      <c r="H1139" s="13" t="str">
        <f t="shared" si="105"/>
        <v/>
      </c>
      <c r="I1139" t="str">
        <f>IFERROR(INDEX(Analysis!$D$116:$N$137, MATCH(B1139, Analysis!$C$116:$C$137, 0), MATCH(C1139, Analysis!$D$115:$N$115, 0)), "")</f>
        <v/>
      </c>
      <c r="J1139" t="str">
        <f t="shared" si="106"/>
        <v/>
      </c>
      <c r="K1139" s="28" t="str">
        <f t="shared" si="103"/>
        <v/>
      </c>
      <c r="L1139" s="46" t="str">
        <f t="shared" si="107"/>
        <v/>
      </c>
      <c r="M1139" t="str" cm="1">
        <f t="array" ref="M1139">IF(L1139="","",_xlfn.IFS(
  AND(L1139&gt;=TIME(9,0,0), L1139&lt;TIME(16,0,0)),"Morning",
  AND(L1139&gt;=TIME(16,0,0), L1139&lt;TIME(23,59,0)),"Evening",
  L1139&gt;=TIME(23,59,0),"Night",
  L1139&lt;TIME(9,0,0),"Night"
))</f>
        <v/>
      </c>
      <c r="O1139" t="str">
        <f t="shared" si="104"/>
        <v/>
      </c>
    </row>
    <row r="1140" spans="1:15" x14ac:dyDescent="0.25">
      <c r="A1140" s="49"/>
      <c r="G1140" t="str">
        <f t="shared" si="102"/>
        <v/>
      </c>
      <c r="H1140" s="13" t="str">
        <f t="shared" si="105"/>
        <v/>
      </c>
      <c r="I1140" t="str">
        <f>IFERROR(INDEX(Analysis!$D$116:$N$137, MATCH(B1140, Analysis!$C$116:$C$137, 0), MATCH(C1140, Analysis!$D$115:$N$115, 0)), "")</f>
        <v/>
      </c>
      <c r="J1140" t="str">
        <f t="shared" si="106"/>
        <v/>
      </c>
      <c r="K1140" s="28" t="str">
        <f t="shared" si="103"/>
        <v/>
      </c>
      <c r="L1140" s="46" t="str">
        <f t="shared" si="107"/>
        <v/>
      </c>
      <c r="M1140" t="str" cm="1">
        <f t="array" ref="M1140">IF(L1140="","",_xlfn.IFS(
  AND(L1140&gt;=TIME(9,0,0), L1140&lt;TIME(16,0,0)),"Morning",
  AND(L1140&gt;=TIME(16,0,0), L1140&lt;TIME(23,59,0)),"Evening",
  L1140&gt;=TIME(23,59,0),"Night",
  L1140&lt;TIME(9,0,0),"Night"
))</f>
        <v/>
      </c>
      <c r="O1140" t="str">
        <f t="shared" si="104"/>
        <v/>
      </c>
    </row>
    <row r="1141" spans="1:15" x14ac:dyDescent="0.25">
      <c r="A1141" s="49"/>
      <c r="G1141" t="str">
        <f t="shared" si="102"/>
        <v/>
      </c>
      <c r="H1141" s="13" t="str">
        <f t="shared" si="105"/>
        <v/>
      </c>
      <c r="I1141" t="str">
        <f>IFERROR(INDEX(Analysis!$D$116:$N$137, MATCH(B1141, Analysis!$C$116:$C$137, 0), MATCH(C1141, Analysis!$D$115:$N$115, 0)), "")</f>
        <v/>
      </c>
      <c r="J1141" t="str">
        <f t="shared" si="106"/>
        <v/>
      </c>
      <c r="K1141" s="28" t="str">
        <f t="shared" si="103"/>
        <v/>
      </c>
      <c r="L1141" s="46" t="str">
        <f t="shared" si="107"/>
        <v/>
      </c>
      <c r="M1141" t="str" cm="1">
        <f t="array" ref="M1141">IF(L1141="","",_xlfn.IFS(
  AND(L1141&gt;=TIME(9,0,0), L1141&lt;TIME(16,0,0)),"Morning",
  AND(L1141&gt;=TIME(16,0,0), L1141&lt;TIME(23,59,0)),"Evening",
  L1141&gt;=TIME(23,59,0),"Night",
  L1141&lt;TIME(9,0,0),"Night"
))</f>
        <v/>
      </c>
      <c r="O1141" t="str">
        <f t="shared" si="104"/>
        <v/>
      </c>
    </row>
    <row r="1142" spans="1:15" x14ac:dyDescent="0.25">
      <c r="A1142" s="49"/>
      <c r="G1142" t="str">
        <f t="shared" si="102"/>
        <v/>
      </c>
      <c r="H1142" s="13" t="str">
        <f t="shared" si="105"/>
        <v/>
      </c>
      <c r="I1142" t="str">
        <f>IFERROR(INDEX(Analysis!$D$116:$N$137, MATCH(B1142, Analysis!$C$116:$C$137, 0), MATCH(C1142, Analysis!$D$115:$N$115, 0)), "")</f>
        <v/>
      </c>
      <c r="J1142" t="str">
        <f t="shared" si="106"/>
        <v/>
      </c>
      <c r="K1142" s="28" t="str">
        <f t="shared" si="103"/>
        <v/>
      </c>
      <c r="L1142" s="46" t="str">
        <f t="shared" si="107"/>
        <v/>
      </c>
      <c r="M1142" t="str" cm="1">
        <f t="array" ref="M1142">IF(L1142="","",_xlfn.IFS(
  AND(L1142&gt;=TIME(9,0,0), L1142&lt;TIME(16,0,0)),"Morning",
  AND(L1142&gt;=TIME(16,0,0), L1142&lt;TIME(23,59,0)),"Evening",
  L1142&gt;=TIME(23,59,0),"Night",
  L1142&lt;TIME(9,0,0),"Night"
))</f>
        <v/>
      </c>
      <c r="O1142" t="str">
        <f t="shared" si="104"/>
        <v/>
      </c>
    </row>
    <row r="1143" spans="1:15" x14ac:dyDescent="0.25">
      <c r="A1143" s="49"/>
      <c r="G1143" t="str">
        <f t="shared" si="102"/>
        <v/>
      </c>
      <c r="H1143" s="13" t="str">
        <f t="shared" si="105"/>
        <v/>
      </c>
      <c r="I1143" t="str">
        <f>IFERROR(INDEX(Analysis!$D$116:$N$137, MATCH(B1143, Analysis!$C$116:$C$137, 0), MATCH(C1143, Analysis!$D$115:$N$115, 0)), "")</f>
        <v/>
      </c>
      <c r="J1143" t="str">
        <f t="shared" si="106"/>
        <v/>
      </c>
      <c r="K1143" s="28" t="str">
        <f t="shared" si="103"/>
        <v/>
      </c>
      <c r="L1143" s="46" t="str">
        <f t="shared" si="107"/>
        <v/>
      </c>
      <c r="M1143" t="str" cm="1">
        <f t="array" ref="M1143">IF(L1143="","",_xlfn.IFS(
  AND(L1143&gt;=TIME(9,0,0), L1143&lt;TIME(16,0,0)),"Morning",
  AND(L1143&gt;=TIME(16,0,0), L1143&lt;TIME(23,59,0)),"Evening",
  L1143&gt;=TIME(23,59,0),"Night",
  L1143&lt;TIME(9,0,0),"Night"
))</f>
        <v/>
      </c>
      <c r="O1143" t="str">
        <f t="shared" si="104"/>
        <v/>
      </c>
    </row>
    <row r="1144" spans="1:15" x14ac:dyDescent="0.25">
      <c r="A1144" s="49"/>
      <c r="G1144" t="str">
        <f t="shared" si="102"/>
        <v/>
      </c>
      <c r="H1144" s="13" t="str">
        <f t="shared" si="105"/>
        <v/>
      </c>
      <c r="I1144" t="str">
        <f>IFERROR(INDEX(Analysis!$D$116:$N$137, MATCH(B1144, Analysis!$C$116:$C$137, 0), MATCH(C1144, Analysis!$D$115:$N$115, 0)), "")</f>
        <v/>
      </c>
      <c r="J1144" t="str">
        <f t="shared" si="106"/>
        <v/>
      </c>
      <c r="K1144" s="28" t="str">
        <f t="shared" si="103"/>
        <v/>
      </c>
      <c r="L1144" s="46" t="str">
        <f t="shared" si="107"/>
        <v/>
      </c>
      <c r="M1144" t="str" cm="1">
        <f t="array" ref="M1144">IF(L1144="","",_xlfn.IFS(
  AND(L1144&gt;=TIME(9,0,0), L1144&lt;TIME(16,0,0)),"Morning",
  AND(L1144&gt;=TIME(16,0,0), L1144&lt;TIME(23,59,0)),"Evening",
  L1144&gt;=TIME(23,59,0),"Night",
  L1144&lt;TIME(9,0,0),"Night"
))</f>
        <v/>
      </c>
      <c r="O1144" t="str">
        <f t="shared" si="104"/>
        <v/>
      </c>
    </row>
    <row r="1145" spans="1:15" x14ac:dyDescent="0.25">
      <c r="A1145" s="49"/>
      <c r="G1145" t="str">
        <f t="shared" si="102"/>
        <v/>
      </c>
      <c r="H1145" s="13" t="str">
        <f t="shared" si="105"/>
        <v/>
      </c>
      <c r="I1145" t="str">
        <f>IFERROR(INDEX(Analysis!$D$116:$N$137, MATCH(B1145, Analysis!$C$116:$C$137, 0), MATCH(C1145, Analysis!$D$115:$N$115, 0)), "")</f>
        <v/>
      </c>
      <c r="J1145" t="str">
        <f t="shared" si="106"/>
        <v/>
      </c>
      <c r="K1145" s="28" t="str">
        <f t="shared" si="103"/>
        <v/>
      </c>
      <c r="L1145" s="46" t="str">
        <f t="shared" si="107"/>
        <v/>
      </c>
      <c r="M1145" t="str" cm="1">
        <f t="array" ref="M1145">IF(L1145="","",_xlfn.IFS(
  AND(L1145&gt;=TIME(9,0,0), L1145&lt;TIME(16,0,0)),"Morning",
  AND(L1145&gt;=TIME(16,0,0), L1145&lt;TIME(23,59,0)),"Evening",
  L1145&gt;=TIME(23,59,0),"Night",
  L1145&lt;TIME(9,0,0),"Night"
))</f>
        <v/>
      </c>
      <c r="O1145" t="str">
        <f t="shared" si="104"/>
        <v/>
      </c>
    </row>
    <row r="1146" spans="1:15" x14ac:dyDescent="0.25">
      <c r="A1146" s="49"/>
      <c r="G1146" t="str">
        <f t="shared" si="102"/>
        <v/>
      </c>
      <c r="H1146" s="13" t="str">
        <f t="shared" si="105"/>
        <v/>
      </c>
      <c r="I1146" t="str">
        <f>IFERROR(INDEX(Analysis!$D$116:$N$137, MATCH(B1146, Analysis!$C$116:$C$137, 0), MATCH(C1146, Analysis!$D$115:$N$115, 0)), "")</f>
        <v/>
      </c>
      <c r="J1146" t="str">
        <f t="shared" si="106"/>
        <v/>
      </c>
      <c r="K1146" s="28" t="str">
        <f t="shared" si="103"/>
        <v/>
      </c>
      <c r="L1146" s="46" t="str">
        <f t="shared" si="107"/>
        <v/>
      </c>
      <c r="M1146" t="str" cm="1">
        <f t="array" ref="M1146">IF(L1146="","",_xlfn.IFS(
  AND(L1146&gt;=TIME(9,0,0), L1146&lt;TIME(16,0,0)),"Morning",
  AND(L1146&gt;=TIME(16,0,0), L1146&lt;TIME(23,59,0)),"Evening",
  L1146&gt;=TIME(23,59,0),"Night",
  L1146&lt;TIME(9,0,0),"Night"
))</f>
        <v/>
      </c>
      <c r="O1146" t="str">
        <f t="shared" si="104"/>
        <v/>
      </c>
    </row>
    <row r="1147" spans="1:15" x14ac:dyDescent="0.25">
      <c r="A1147" s="49"/>
      <c r="G1147" t="str">
        <f t="shared" si="102"/>
        <v/>
      </c>
      <c r="H1147" s="13" t="str">
        <f t="shared" si="105"/>
        <v/>
      </c>
      <c r="I1147" t="str">
        <f>IFERROR(INDEX(Analysis!$D$116:$N$137, MATCH(B1147, Analysis!$C$116:$C$137, 0), MATCH(C1147, Analysis!$D$115:$N$115, 0)), "")</f>
        <v/>
      </c>
      <c r="J1147" t="str">
        <f t="shared" si="106"/>
        <v/>
      </c>
      <c r="K1147" s="28" t="str">
        <f t="shared" si="103"/>
        <v/>
      </c>
      <c r="L1147" s="46" t="str">
        <f t="shared" si="107"/>
        <v/>
      </c>
      <c r="M1147" t="str" cm="1">
        <f t="array" ref="M1147">IF(L1147="","",_xlfn.IFS(
  AND(L1147&gt;=TIME(9,0,0), L1147&lt;TIME(16,0,0)),"Morning",
  AND(L1147&gt;=TIME(16,0,0), L1147&lt;TIME(23,59,0)),"Evening",
  L1147&gt;=TIME(23,59,0),"Night",
  L1147&lt;TIME(9,0,0),"Night"
))</f>
        <v/>
      </c>
      <c r="O1147" t="str">
        <f t="shared" si="104"/>
        <v/>
      </c>
    </row>
    <row r="1148" spans="1:15" x14ac:dyDescent="0.25">
      <c r="A1148" s="49"/>
      <c r="G1148" t="str">
        <f t="shared" si="102"/>
        <v/>
      </c>
      <c r="H1148" s="13" t="str">
        <f t="shared" si="105"/>
        <v/>
      </c>
      <c r="I1148" t="str">
        <f>IFERROR(INDEX(Analysis!$D$116:$N$137, MATCH(B1148, Analysis!$C$116:$C$137, 0), MATCH(C1148, Analysis!$D$115:$N$115, 0)), "")</f>
        <v/>
      </c>
      <c r="J1148" t="str">
        <f t="shared" si="106"/>
        <v/>
      </c>
      <c r="K1148" s="28" t="str">
        <f t="shared" si="103"/>
        <v/>
      </c>
      <c r="L1148" s="46" t="str">
        <f t="shared" si="107"/>
        <v/>
      </c>
      <c r="M1148" t="str" cm="1">
        <f t="array" ref="M1148">IF(L1148="","",_xlfn.IFS(
  AND(L1148&gt;=TIME(9,0,0), L1148&lt;TIME(16,0,0)),"Morning",
  AND(L1148&gt;=TIME(16,0,0), L1148&lt;TIME(23,59,0)),"Evening",
  L1148&gt;=TIME(23,59,0),"Night",
  L1148&lt;TIME(9,0,0),"Night"
))</f>
        <v/>
      </c>
      <c r="O1148" t="str">
        <f t="shared" si="104"/>
        <v/>
      </c>
    </row>
    <row r="1149" spans="1:15" x14ac:dyDescent="0.25">
      <c r="A1149" s="49"/>
      <c r="G1149" t="str">
        <f t="shared" si="102"/>
        <v/>
      </c>
      <c r="H1149" s="13" t="str">
        <f t="shared" si="105"/>
        <v/>
      </c>
      <c r="I1149" t="str">
        <f>IFERROR(INDEX(Analysis!$D$116:$N$137, MATCH(B1149, Analysis!$C$116:$C$137, 0), MATCH(C1149, Analysis!$D$115:$N$115, 0)), "")</f>
        <v/>
      </c>
      <c r="J1149" t="str">
        <f t="shared" si="106"/>
        <v/>
      </c>
      <c r="K1149" s="28" t="str">
        <f t="shared" si="103"/>
        <v/>
      </c>
      <c r="L1149" s="46" t="str">
        <f t="shared" si="107"/>
        <v/>
      </c>
      <c r="M1149" t="str" cm="1">
        <f t="array" ref="M1149">IF(L1149="","",_xlfn.IFS(
  AND(L1149&gt;=TIME(9,0,0), L1149&lt;TIME(16,0,0)),"Morning",
  AND(L1149&gt;=TIME(16,0,0), L1149&lt;TIME(23,59,0)),"Evening",
  L1149&gt;=TIME(23,59,0),"Night",
  L1149&lt;TIME(9,0,0),"Night"
))</f>
        <v/>
      </c>
      <c r="O1149" t="str">
        <f t="shared" si="104"/>
        <v/>
      </c>
    </row>
    <row r="1150" spans="1:15" x14ac:dyDescent="0.25">
      <c r="A1150" s="49"/>
      <c r="G1150" t="str">
        <f t="shared" si="102"/>
        <v/>
      </c>
      <c r="H1150" s="13" t="str">
        <f t="shared" si="105"/>
        <v/>
      </c>
      <c r="I1150" t="str">
        <f>IFERROR(INDEX(Analysis!$D$116:$N$137, MATCH(B1150, Analysis!$C$116:$C$137, 0), MATCH(C1150, Analysis!$D$115:$N$115, 0)), "")</f>
        <v/>
      </c>
      <c r="J1150" t="str">
        <f t="shared" si="106"/>
        <v/>
      </c>
      <c r="K1150" s="28" t="str">
        <f t="shared" si="103"/>
        <v/>
      </c>
      <c r="L1150" s="46" t="str">
        <f t="shared" si="107"/>
        <v/>
      </c>
      <c r="M1150" t="str" cm="1">
        <f t="array" ref="M1150">IF(L1150="","",_xlfn.IFS(
  AND(L1150&gt;=TIME(9,0,0), L1150&lt;TIME(16,0,0)),"Morning",
  AND(L1150&gt;=TIME(16,0,0), L1150&lt;TIME(23,59,0)),"Evening",
  L1150&gt;=TIME(23,59,0),"Night",
  L1150&lt;TIME(9,0,0),"Night"
))</f>
        <v/>
      </c>
      <c r="O1150" t="str">
        <f t="shared" si="104"/>
        <v/>
      </c>
    </row>
    <row r="1151" spans="1:15" x14ac:dyDescent="0.25">
      <c r="A1151" s="49"/>
      <c r="G1151" t="str">
        <f t="shared" si="102"/>
        <v/>
      </c>
      <c r="H1151" s="13" t="str">
        <f t="shared" si="105"/>
        <v/>
      </c>
      <c r="I1151" t="str">
        <f>IFERROR(INDEX(Analysis!$D$116:$N$137, MATCH(B1151, Analysis!$C$116:$C$137, 0), MATCH(C1151, Analysis!$D$115:$N$115, 0)), "")</f>
        <v/>
      </c>
      <c r="J1151" t="str">
        <f t="shared" si="106"/>
        <v/>
      </c>
      <c r="K1151" s="28" t="str">
        <f t="shared" si="103"/>
        <v/>
      </c>
      <c r="L1151" s="46" t="str">
        <f t="shared" si="107"/>
        <v/>
      </c>
      <c r="M1151" t="str" cm="1">
        <f t="array" ref="M1151">IF(L1151="","",_xlfn.IFS(
  AND(L1151&gt;=TIME(9,0,0), L1151&lt;TIME(16,0,0)),"Morning",
  AND(L1151&gt;=TIME(16,0,0), L1151&lt;TIME(23,59,0)),"Evening",
  L1151&gt;=TIME(23,59,0),"Night",
  L1151&lt;TIME(9,0,0),"Night"
))</f>
        <v/>
      </c>
      <c r="O1151" t="str">
        <f t="shared" si="104"/>
        <v/>
      </c>
    </row>
    <row r="1152" spans="1:15" x14ac:dyDescent="0.25">
      <c r="A1152" s="49"/>
      <c r="G1152" t="str">
        <f t="shared" si="102"/>
        <v/>
      </c>
      <c r="H1152" s="13" t="str">
        <f t="shared" si="105"/>
        <v/>
      </c>
      <c r="I1152" t="str">
        <f>IFERROR(INDEX(Analysis!$D$116:$N$137, MATCH(B1152, Analysis!$C$116:$C$137, 0), MATCH(C1152, Analysis!$D$115:$N$115, 0)), "")</f>
        <v/>
      </c>
      <c r="J1152" t="str">
        <f t="shared" si="106"/>
        <v/>
      </c>
      <c r="K1152" s="28" t="str">
        <f t="shared" si="103"/>
        <v/>
      </c>
      <c r="L1152" s="46" t="str">
        <f t="shared" si="107"/>
        <v/>
      </c>
      <c r="M1152" t="str" cm="1">
        <f t="array" ref="M1152">IF(L1152="","",_xlfn.IFS(
  AND(L1152&gt;=TIME(9,0,0), L1152&lt;TIME(16,0,0)),"Morning",
  AND(L1152&gt;=TIME(16,0,0), L1152&lt;TIME(23,59,0)),"Evening",
  L1152&gt;=TIME(23,59,0),"Night",
  L1152&lt;TIME(9,0,0),"Night"
))</f>
        <v/>
      </c>
      <c r="O1152" t="str">
        <f t="shared" si="104"/>
        <v/>
      </c>
    </row>
    <row r="1153" spans="1:15" x14ac:dyDescent="0.25">
      <c r="A1153" s="49"/>
      <c r="G1153" t="str">
        <f t="shared" si="102"/>
        <v/>
      </c>
      <c r="H1153" s="13" t="str">
        <f t="shared" si="105"/>
        <v/>
      </c>
      <c r="I1153" t="str">
        <f>IFERROR(INDEX(Analysis!$D$116:$N$137, MATCH(B1153, Analysis!$C$116:$C$137, 0), MATCH(C1153, Analysis!$D$115:$N$115, 0)), "")</f>
        <v/>
      </c>
      <c r="J1153" t="str">
        <f t="shared" si="106"/>
        <v/>
      </c>
      <c r="K1153" s="28" t="str">
        <f t="shared" si="103"/>
        <v/>
      </c>
      <c r="L1153" s="46" t="str">
        <f t="shared" si="107"/>
        <v/>
      </c>
      <c r="M1153" t="str" cm="1">
        <f t="array" ref="M1153">IF(L1153="","",_xlfn.IFS(
  AND(L1153&gt;=TIME(9,0,0), L1153&lt;TIME(16,0,0)),"Morning",
  AND(L1153&gt;=TIME(16,0,0), L1153&lt;TIME(23,59,0)),"Evening",
  L1153&gt;=TIME(23,59,0),"Night",
  L1153&lt;TIME(9,0,0),"Night"
))</f>
        <v/>
      </c>
      <c r="O1153" t="str">
        <f t="shared" si="104"/>
        <v/>
      </c>
    </row>
    <row r="1154" spans="1:15" x14ac:dyDescent="0.25">
      <c r="A1154" s="49"/>
      <c r="G1154" t="str">
        <f t="shared" ref="G1154:G1217" si="108">IF(ISBLANK(A1154), "", IF(ISBLANK(F1154), 0, F1154))</f>
        <v/>
      </c>
      <c r="H1154" s="13" t="str">
        <f t="shared" si="105"/>
        <v/>
      </c>
      <c r="I1154" t="str">
        <f>IFERROR(INDEX(Analysis!$D$116:$N$137, MATCH(B1154, Analysis!$C$116:$C$137, 0), MATCH(C1154, Analysis!$D$115:$N$115, 0)), "")</f>
        <v/>
      </c>
      <c r="J1154" t="str">
        <f t="shared" si="106"/>
        <v/>
      </c>
      <c r="K1154" s="28" t="str">
        <f t="shared" ref="K1154:K1217" si="109">IF(ISBLANK(A1154),"",DATE(YEAR(A1154),MONTH(A1154),DAY(A1154)))</f>
        <v/>
      </c>
      <c r="L1154" s="46" t="str">
        <f t="shared" si="107"/>
        <v/>
      </c>
      <c r="M1154" t="str" cm="1">
        <f t="array" ref="M1154">IF(L1154="","",_xlfn.IFS(
  AND(L1154&gt;=TIME(9,0,0), L1154&lt;TIME(16,0,0)),"Morning",
  AND(L1154&gt;=TIME(16,0,0), L1154&lt;TIME(23,59,0)),"Evening",
  L1154&gt;=TIME(23,59,0),"Night",
  L1154&lt;TIME(9,0,0),"Night"
))</f>
        <v/>
      </c>
      <c r="O1154" t="str">
        <f t="shared" ref="O1154:O1217" si="110">IF(N1154="ON", _xlfn.IMAGE(E1154, 1), "")</f>
        <v/>
      </c>
    </row>
    <row r="1155" spans="1:15" x14ac:dyDescent="0.25">
      <c r="A1155" s="49"/>
      <c r="G1155" t="str">
        <f t="shared" si="108"/>
        <v/>
      </c>
      <c r="H1155" s="13" t="str">
        <f t="shared" ref="H1155:H1218" si="111">IF(ISBLANK(E1155),"",HYPERLINK(E1155,"Click here"))</f>
        <v/>
      </c>
      <c r="I1155" t="str">
        <f>IFERROR(INDEX(Analysis!$D$116:$N$137, MATCH(B1155, Analysis!$C$116:$C$137, 0), MATCH(C1155, Analysis!$D$115:$N$115, 0)), "")</f>
        <v/>
      </c>
      <c r="J1155" t="str">
        <f t="shared" ref="J1155:J1218" si="112">IF(ISBLANK(A1155),"",WEEKNUM(A1155))</f>
        <v/>
      </c>
      <c r="K1155" s="28" t="str">
        <f t="shared" si="109"/>
        <v/>
      </c>
      <c r="L1155" s="46" t="str">
        <f t="shared" ref="L1155:L1218" si="113">IF(A1155="", "", A1155 - INT(A1155))</f>
        <v/>
      </c>
      <c r="M1155" t="str" cm="1">
        <f t="array" ref="M1155">IF(L1155="","",_xlfn.IFS(
  AND(L1155&gt;=TIME(9,0,0), L1155&lt;TIME(16,0,0)),"Morning",
  AND(L1155&gt;=TIME(16,0,0), L1155&lt;TIME(23,59,0)),"Evening",
  L1155&gt;=TIME(23,59,0),"Night",
  L1155&lt;TIME(9,0,0),"Night"
))</f>
        <v/>
      </c>
      <c r="O1155" t="str">
        <f t="shared" si="110"/>
        <v/>
      </c>
    </row>
    <row r="1156" spans="1:15" x14ac:dyDescent="0.25">
      <c r="A1156" s="49"/>
      <c r="G1156" t="str">
        <f t="shared" si="108"/>
        <v/>
      </c>
      <c r="H1156" s="13" t="str">
        <f t="shared" si="111"/>
        <v/>
      </c>
      <c r="I1156" t="str">
        <f>IFERROR(INDEX(Analysis!$D$116:$N$137, MATCH(B1156, Analysis!$C$116:$C$137, 0), MATCH(C1156, Analysis!$D$115:$N$115, 0)), "")</f>
        <v/>
      </c>
      <c r="J1156" t="str">
        <f t="shared" si="112"/>
        <v/>
      </c>
      <c r="K1156" s="28" t="str">
        <f t="shared" si="109"/>
        <v/>
      </c>
      <c r="L1156" s="46" t="str">
        <f t="shared" si="113"/>
        <v/>
      </c>
      <c r="M1156" t="str" cm="1">
        <f t="array" ref="M1156">IF(L1156="","",_xlfn.IFS(
  AND(L1156&gt;=TIME(9,0,0), L1156&lt;TIME(16,0,0)),"Morning",
  AND(L1156&gt;=TIME(16,0,0), L1156&lt;TIME(23,59,0)),"Evening",
  L1156&gt;=TIME(23,59,0),"Night",
  L1156&lt;TIME(9,0,0),"Night"
))</f>
        <v/>
      </c>
      <c r="O1156" t="str">
        <f t="shared" si="110"/>
        <v/>
      </c>
    </row>
    <row r="1157" spans="1:15" x14ac:dyDescent="0.25">
      <c r="A1157" s="49"/>
      <c r="G1157" t="str">
        <f t="shared" si="108"/>
        <v/>
      </c>
      <c r="H1157" s="13" t="str">
        <f t="shared" si="111"/>
        <v/>
      </c>
      <c r="I1157" t="str">
        <f>IFERROR(INDEX(Analysis!$D$116:$N$137, MATCH(B1157, Analysis!$C$116:$C$137, 0), MATCH(C1157, Analysis!$D$115:$N$115, 0)), "")</f>
        <v/>
      </c>
      <c r="J1157" t="str">
        <f t="shared" si="112"/>
        <v/>
      </c>
      <c r="K1157" s="28" t="str">
        <f t="shared" si="109"/>
        <v/>
      </c>
      <c r="L1157" s="46" t="str">
        <f t="shared" si="113"/>
        <v/>
      </c>
      <c r="M1157" t="str" cm="1">
        <f t="array" ref="M1157">IF(L1157="","",_xlfn.IFS(
  AND(L1157&gt;=TIME(9,0,0), L1157&lt;TIME(16,0,0)),"Morning",
  AND(L1157&gt;=TIME(16,0,0), L1157&lt;TIME(23,59,0)),"Evening",
  L1157&gt;=TIME(23,59,0),"Night",
  L1157&lt;TIME(9,0,0),"Night"
))</f>
        <v/>
      </c>
      <c r="O1157" t="str">
        <f t="shared" si="110"/>
        <v/>
      </c>
    </row>
    <row r="1158" spans="1:15" x14ac:dyDescent="0.25">
      <c r="A1158" s="49"/>
      <c r="G1158" t="str">
        <f t="shared" si="108"/>
        <v/>
      </c>
      <c r="H1158" s="13" t="str">
        <f t="shared" si="111"/>
        <v/>
      </c>
      <c r="I1158" t="str">
        <f>IFERROR(INDEX(Analysis!$D$116:$N$137, MATCH(B1158, Analysis!$C$116:$C$137, 0), MATCH(C1158, Analysis!$D$115:$N$115, 0)), "")</f>
        <v/>
      </c>
      <c r="J1158" t="str">
        <f t="shared" si="112"/>
        <v/>
      </c>
      <c r="K1158" s="28" t="str">
        <f t="shared" si="109"/>
        <v/>
      </c>
      <c r="L1158" s="46" t="str">
        <f t="shared" si="113"/>
        <v/>
      </c>
      <c r="M1158" t="str" cm="1">
        <f t="array" ref="M1158">IF(L1158="","",_xlfn.IFS(
  AND(L1158&gt;=TIME(9,0,0), L1158&lt;TIME(16,0,0)),"Morning",
  AND(L1158&gt;=TIME(16,0,0), L1158&lt;TIME(23,59,0)),"Evening",
  L1158&gt;=TIME(23,59,0),"Night",
  L1158&lt;TIME(9,0,0),"Night"
))</f>
        <v/>
      </c>
      <c r="O1158" t="str">
        <f t="shared" si="110"/>
        <v/>
      </c>
    </row>
    <row r="1159" spans="1:15" x14ac:dyDescent="0.25">
      <c r="A1159" s="49"/>
      <c r="G1159" t="str">
        <f t="shared" si="108"/>
        <v/>
      </c>
      <c r="H1159" s="13" t="str">
        <f t="shared" si="111"/>
        <v/>
      </c>
      <c r="I1159" t="str">
        <f>IFERROR(INDEX(Analysis!$D$116:$N$137, MATCH(B1159, Analysis!$C$116:$C$137, 0), MATCH(C1159, Analysis!$D$115:$N$115, 0)), "")</f>
        <v/>
      </c>
      <c r="J1159" t="str">
        <f t="shared" si="112"/>
        <v/>
      </c>
      <c r="K1159" s="28" t="str">
        <f t="shared" si="109"/>
        <v/>
      </c>
      <c r="L1159" s="46" t="str">
        <f t="shared" si="113"/>
        <v/>
      </c>
      <c r="M1159" t="str" cm="1">
        <f t="array" ref="M1159">IF(L1159="","",_xlfn.IFS(
  AND(L1159&gt;=TIME(9,0,0), L1159&lt;TIME(16,0,0)),"Morning",
  AND(L1159&gt;=TIME(16,0,0), L1159&lt;TIME(23,59,0)),"Evening",
  L1159&gt;=TIME(23,59,0),"Night",
  L1159&lt;TIME(9,0,0),"Night"
))</f>
        <v/>
      </c>
      <c r="O1159" t="str">
        <f t="shared" si="110"/>
        <v/>
      </c>
    </row>
    <row r="1160" spans="1:15" x14ac:dyDescent="0.25">
      <c r="A1160" s="49"/>
      <c r="G1160" t="str">
        <f t="shared" si="108"/>
        <v/>
      </c>
      <c r="H1160" s="13" t="str">
        <f t="shared" si="111"/>
        <v/>
      </c>
      <c r="I1160" t="str">
        <f>IFERROR(INDEX(Analysis!$D$116:$N$137, MATCH(B1160, Analysis!$C$116:$C$137, 0), MATCH(C1160, Analysis!$D$115:$N$115, 0)), "")</f>
        <v/>
      </c>
      <c r="J1160" t="str">
        <f t="shared" si="112"/>
        <v/>
      </c>
      <c r="K1160" s="28" t="str">
        <f t="shared" si="109"/>
        <v/>
      </c>
      <c r="L1160" s="46" t="str">
        <f t="shared" si="113"/>
        <v/>
      </c>
      <c r="M1160" t="str" cm="1">
        <f t="array" ref="M1160">IF(L1160="","",_xlfn.IFS(
  AND(L1160&gt;=TIME(9,0,0), L1160&lt;TIME(16,0,0)),"Morning",
  AND(L1160&gt;=TIME(16,0,0), L1160&lt;TIME(23,59,0)),"Evening",
  L1160&gt;=TIME(23,59,0),"Night",
  L1160&lt;TIME(9,0,0),"Night"
))</f>
        <v/>
      </c>
      <c r="O1160" t="str">
        <f t="shared" si="110"/>
        <v/>
      </c>
    </row>
    <row r="1161" spans="1:15" x14ac:dyDescent="0.25">
      <c r="A1161" s="49"/>
      <c r="G1161" t="str">
        <f t="shared" si="108"/>
        <v/>
      </c>
      <c r="H1161" s="13" t="str">
        <f t="shared" si="111"/>
        <v/>
      </c>
      <c r="I1161" t="str">
        <f>IFERROR(INDEX(Analysis!$D$116:$N$137, MATCH(B1161, Analysis!$C$116:$C$137, 0), MATCH(C1161, Analysis!$D$115:$N$115, 0)), "")</f>
        <v/>
      </c>
      <c r="J1161" t="str">
        <f t="shared" si="112"/>
        <v/>
      </c>
      <c r="K1161" s="28" t="str">
        <f t="shared" si="109"/>
        <v/>
      </c>
      <c r="L1161" s="46" t="str">
        <f t="shared" si="113"/>
        <v/>
      </c>
      <c r="M1161" t="str" cm="1">
        <f t="array" ref="M1161">IF(L1161="","",_xlfn.IFS(
  AND(L1161&gt;=TIME(9,0,0), L1161&lt;TIME(16,0,0)),"Morning",
  AND(L1161&gt;=TIME(16,0,0), L1161&lt;TIME(23,59,0)),"Evening",
  L1161&gt;=TIME(23,59,0),"Night",
  L1161&lt;TIME(9,0,0),"Night"
))</f>
        <v/>
      </c>
      <c r="O1161" t="str">
        <f t="shared" si="110"/>
        <v/>
      </c>
    </row>
    <row r="1162" spans="1:15" x14ac:dyDescent="0.25">
      <c r="A1162" s="49"/>
      <c r="G1162" t="str">
        <f t="shared" si="108"/>
        <v/>
      </c>
      <c r="H1162" s="13" t="str">
        <f t="shared" si="111"/>
        <v/>
      </c>
      <c r="I1162" t="str">
        <f>IFERROR(INDEX(Analysis!$D$116:$N$137, MATCH(B1162, Analysis!$C$116:$C$137, 0), MATCH(C1162, Analysis!$D$115:$N$115, 0)), "")</f>
        <v/>
      </c>
      <c r="J1162" t="str">
        <f t="shared" si="112"/>
        <v/>
      </c>
      <c r="K1162" s="28" t="str">
        <f t="shared" si="109"/>
        <v/>
      </c>
      <c r="L1162" s="46" t="str">
        <f t="shared" si="113"/>
        <v/>
      </c>
      <c r="M1162" t="str" cm="1">
        <f t="array" ref="M1162">IF(L1162="","",_xlfn.IFS(
  AND(L1162&gt;=TIME(9,0,0), L1162&lt;TIME(16,0,0)),"Morning",
  AND(L1162&gt;=TIME(16,0,0), L1162&lt;TIME(23,59,0)),"Evening",
  L1162&gt;=TIME(23,59,0),"Night",
  L1162&lt;TIME(9,0,0),"Night"
))</f>
        <v/>
      </c>
      <c r="O1162" t="str">
        <f t="shared" si="110"/>
        <v/>
      </c>
    </row>
    <row r="1163" spans="1:15" x14ac:dyDescent="0.25">
      <c r="A1163" s="49"/>
      <c r="G1163" t="str">
        <f t="shared" si="108"/>
        <v/>
      </c>
      <c r="H1163" s="13" t="str">
        <f t="shared" si="111"/>
        <v/>
      </c>
      <c r="I1163" t="str">
        <f>IFERROR(INDEX(Analysis!$D$116:$N$137, MATCH(B1163, Analysis!$C$116:$C$137, 0), MATCH(C1163, Analysis!$D$115:$N$115, 0)), "")</f>
        <v/>
      </c>
      <c r="J1163" t="str">
        <f t="shared" si="112"/>
        <v/>
      </c>
      <c r="K1163" s="28" t="str">
        <f t="shared" si="109"/>
        <v/>
      </c>
      <c r="L1163" s="46" t="str">
        <f t="shared" si="113"/>
        <v/>
      </c>
      <c r="M1163" t="str" cm="1">
        <f t="array" ref="M1163">IF(L1163="","",_xlfn.IFS(
  AND(L1163&gt;=TIME(9,0,0), L1163&lt;TIME(16,0,0)),"Morning",
  AND(L1163&gt;=TIME(16,0,0), L1163&lt;TIME(23,59,0)),"Evening",
  L1163&gt;=TIME(23,59,0),"Night",
  L1163&lt;TIME(9,0,0),"Night"
))</f>
        <v/>
      </c>
      <c r="O1163" t="str">
        <f t="shared" si="110"/>
        <v/>
      </c>
    </row>
    <row r="1164" spans="1:15" x14ac:dyDescent="0.25">
      <c r="A1164" s="49"/>
      <c r="G1164" t="str">
        <f t="shared" si="108"/>
        <v/>
      </c>
      <c r="H1164" s="13" t="str">
        <f t="shared" si="111"/>
        <v/>
      </c>
      <c r="I1164" t="str">
        <f>IFERROR(INDEX(Analysis!$D$116:$N$137, MATCH(B1164, Analysis!$C$116:$C$137, 0), MATCH(C1164, Analysis!$D$115:$N$115, 0)), "")</f>
        <v/>
      </c>
      <c r="J1164" t="str">
        <f t="shared" si="112"/>
        <v/>
      </c>
      <c r="K1164" s="28" t="str">
        <f t="shared" si="109"/>
        <v/>
      </c>
      <c r="L1164" s="46" t="str">
        <f t="shared" si="113"/>
        <v/>
      </c>
      <c r="M1164" t="str" cm="1">
        <f t="array" ref="M1164">IF(L1164="","",_xlfn.IFS(
  AND(L1164&gt;=TIME(9,0,0), L1164&lt;TIME(16,0,0)),"Morning",
  AND(L1164&gt;=TIME(16,0,0), L1164&lt;TIME(23,59,0)),"Evening",
  L1164&gt;=TIME(23,59,0),"Night",
  L1164&lt;TIME(9,0,0),"Night"
))</f>
        <v/>
      </c>
      <c r="O1164" t="str">
        <f t="shared" si="110"/>
        <v/>
      </c>
    </row>
    <row r="1165" spans="1:15" x14ac:dyDescent="0.25">
      <c r="A1165" s="49"/>
      <c r="G1165" t="str">
        <f t="shared" si="108"/>
        <v/>
      </c>
      <c r="H1165" s="13" t="str">
        <f t="shared" si="111"/>
        <v/>
      </c>
      <c r="I1165" t="str">
        <f>IFERROR(INDEX(Analysis!$D$116:$N$137, MATCH(B1165, Analysis!$C$116:$C$137, 0), MATCH(C1165, Analysis!$D$115:$N$115, 0)), "")</f>
        <v/>
      </c>
      <c r="J1165" t="str">
        <f t="shared" si="112"/>
        <v/>
      </c>
      <c r="K1165" s="28" t="str">
        <f t="shared" si="109"/>
        <v/>
      </c>
      <c r="L1165" s="46" t="str">
        <f t="shared" si="113"/>
        <v/>
      </c>
      <c r="M1165" t="str" cm="1">
        <f t="array" ref="M1165">IF(L1165="","",_xlfn.IFS(
  AND(L1165&gt;=TIME(9,0,0), L1165&lt;TIME(16,0,0)),"Morning",
  AND(L1165&gt;=TIME(16,0,0), L1165&lt;TIME(23,59,0)),"Evening",
  L1165&gt;=TIME(23,59,0),"Night",
  L1165&lt;TIME(9,0,0),"Night"
))</f>
        <v/>
      </c>
      <c r="O1165" t="str">
        <f t="shared" si="110"/>
        <v/>
      </c>
    </row>
    <row r="1166" spans="1:15" x14ac:dyDescent="0.25">
      <c r="A1166" s="49"/>
      <c r="G1166" t="str">
        <f t="shared" si="108"/>
        <v/>
      </c>
      <c r="H1166" s="13" t="str">
        <f t="shared" si="111"/>
        <v/>
      </c>
      <c r="I1166" t="str">
        <f>IFERROR(INDEX(Analysis!$D$116:$N$137, MATCH(B1166, Analysis!$C$116:$C$137, 0), MATCH(C1166, Analysis!$D$115:$N$115, 0)), "")</f>
        <v/>
      </c>
      <c r="J1166" t="str">
        <f t="shared" si="112"/>
        <v/>
      </c>
      <c r="K1166" s="28" t="str">
        <f t="shared" si="109"/>
        <v/>
      </c>
      <c r="L1166" s="46" t="str">
        <f t="shared" si="113"/>
        <v/>
      </c>
      <c r="M1166" t="str" cm="1">
        <f t="array" ref="M1166">IF(L1166="","",_xlfn.IFS(
  AND(L1166&gt;=TIME(9,0,0), L1166&lt;TIME(16,0,0)),"Morning",
  AND(L1166&gt;=TIME(16,0,0), L1166&lt;TIME(23,59,0)),"Evening",
  L1166&gt;=TIME(23,59,0),"Night",
  L1166&lt;TIME(9,0,0),"Night"
))</f>
        <v/>
      </c>
      <c r="O1166" t="str">
        <f t="shared" si="110"/>
        <v/>
      </c>
    </row>
    <row r="1167" spans="1:15" x14ac:dyDescent="0.25">
      <c r="A1167" s="49"/>
      <c r="G1167" t="str">
        <f t="shared" si="108"/>
        <v/>
      </c>
      <c r="H1167" s="13" t="str">
        <f t="shared" si="111"/>
        <v/>
      </c>
      <c r="I1167" t="str">
        <f>IFERROR(INDEX(Analysis!$D$116:$N$137, MATCH(B1167, Analysis!$C$116:$C$137, 0), MATCH(C1167, Analysis!$D$115:$N$115, 0)), "")</f>
        <v/>
      </c>
      <c r="J1167" t="str">
        <f t="shared" si="112"/>
        <v/>
      </c>
      <c r="K1167" s="28" t="str">
        <f t="shared" si="109"/>
        <v/>
      </c>
      <c r="L1167" s="46" t="str">
        <f t="shared" si="113"/>
        <v/>
      </c>
      <c r="M1167" t="str" cm="1">
        <f t="array" ref="M1167">IF(L1167="","",_xlfn.IFS(
  AND(L1167&gt;=TIME(9,0,0), L1167&lt;TIME(16,0,0)),"Morning",
  AND(L1167&gt;=TIME(16,0,0), L1167&lt;TIME(23,59,0)),"Evening",
  L1167&gt;=TIME(23,59,0),"Night",
  L1167&lt;TIME(9,0,0),"Night"
))</f>
        <v/>
      </c>
      <c r="O1167" t="str">
        <f t="shared" si="110"/>
        <v/>
      </c>
    </row>
    <row r="1168" spans="1:15" x14ac:dyDescent="0.25">
      <c r="A1168" s="49"/>
      <c r="G1168" t="str">
        <f t="shared" si="108"/>
        <v/>
      </c>
      <c r="H1168" s="13" t="str">
        <f t="shared" si="111"/>
        <v/>
      </c>
      <c r="I1168" t="str">
        <f>IFERROR(INDEX(Analysis!$D$116:$N$137, MATCH(B1168, Analysis!$C$116:$C$137, 0), MATCH(C1168, Analysis!$D$115:$N$115, 0)), "")</f>
        <v/>
      </c>
      <c r="J1168" t="str">
        <f t="shared" si="112"/>
        <v/>
      </c>
      <c r="K1168" s="28" t="str">
        <f t="shared" si="109"/>
        <v/>
      </c>
      <c r="L1168" s="46" t="str">
        <f t="shared" si="113"/>
        <v/>
      </c>
      <c r="M1168" t="str" cm="1">
        <f t="array" ref="M1168">IF(L1168="","",_xlfn.IFS(
  AND(L1168&gt;=TIME(9,0,0), L1168&lt;TIME(16,0,0)),"Morning",
  AND(L1168&gt;=TIME(16,0,0), L1168&lt;TIME(23,59,0)),"Evening",
  L1168&gt;=TIME(23,59,0),"Night",
  L1168&lt;TIME(9,0,0),"Night"
))</f>
        <v/>
      </c>
      <c r="O1168" t="str">
        <f t="shared" si="110"/>
        <v/>
      </c>
    </row>
    <row r="1169" spans="1:15" x14ac:dyDescent="0.25">
      <c r="A1169" s="49"/>
      <c r="G1169" t="str">
        <f t="shared" si="108"/>
        <v/>
      </c>
      <c r="H1169" s="13" t="str">
        <f t="shared" si="111"/>
        <v/>
      </c>
      <c r="I1169" t="str">
        <f>IFERROR(INDEX(Analysis!$D$116:$N$137, MATCH(B1169, Analysis!$C$116:$C$137, 0), MATCH(C1169, Analysis!$D$115:$N$115, 0)), "")</f>
        <v/>
      </c>
      <c r="J1169" t="str">
        <f t="shared" si="112"/>
        <v/>
      </c>
      <c r="K1169" s="28" t="str">
        <f t="shared" si="109"/>
        <v/>
      </c>
      <c r="L1169" s="46" t="str">
        <f t="shared" si="113"/>
        <v/>
      </c>
      <c r="M1169" t="str" cm="1">
        <f t="array" ref="M1169">IF(L1169="","",_xlfn.IFS(
  AND(L1169&gt;=TIME(9,0,0), L1169&lt;TIME(16,0,0)),"Morning",
  AND(L1169&gt;=TIME(16,0,0), L1169&lt;TIME(23,59,0)),"Evening",
  L1169&gt;=TIME(23,59,0),"Night",
  L1169&lt;TIME(9,0,0),"Night"
))</f>
        <v/>
      </c>
      <c r="O1169" t="str">
        <f t="shared" si="110"/>
        <v/>
      </c>
    </row>
    <row r="1170" spans="1:15" x14ac:dyDescent="0.25">
      <c r="A1170" s="49"/>
      <c r="G1170" t="str">
        <f t="shared" si="108"/>
        <v/>
      </c>
      <c r="H1170" s="13" t="str">
        <f t="shared" si="111"/>
        <v/>
      </c>
      <c r="I1170" t="str">
        <f>IFERROR(INDEX(Analysis!$D$116:$N$137, MATCH(B1170, Analysis!$C$116:$C$137, 0), MATCH(C1170, Analysis!$D$115:$N$115, 0)), "")</f>
        <v/>
      </c>
      <c r="J1170" t="str">
        <f t="shared" si="112"/>
        <v/>
      </c>
      <c r="K1170" s="28" t="str">
        <f t="shared" si="109"/>
        <v/>
      </c>
      <c r="L1170" s="46" t="str">
        <f t="shared" si="113"/>
        <v/>
      </c>
      <c r="M1170" t="str" cm="1">
        <f t="array" ref="M1170">IF(L1170="","",_xlfn.IFS(
  AND(L1170&gt;=TIME(9,0,0), L1170&lt;TIME(16,0,0)),"Morning",
  AND(L1170&gt;=TIME(16,0,0), L1170&lt;TIME(23,59,0)),"Evening",
  L1170&gt;=TIME(23,59,0),"Night",
  L1170&lt;TIME(9,0,0),"Night"
))</f>
        <v/>
      </c>
      <c r="O1170" t="str">
        <f t="shared" si="110"/>
        <v/>
      </c>
    </row>
    <row r="1171" spans="1:15" x14ac:dyDescent="0.25">
      <c r="A1171" s="49"/>
      <c r="G1171" t="str">
        <f t="shared" si="108"/>
        <v/>
      </c>
      <c r="H1171" s="13" t="str">
        <f t="shared" si="111"/>
        <v/>
      </c>
      <c r="I1171" t="str">
        <f>IFERROR(INDEX(Analysis!$D$116:$N$137, MATCH(B1171, Analysis!$C$116:$C$137, 0), MATCH(C1171, Analysis!$D$115:$N$115, 0)), "")</f>
        <v/>
      </c>
      <c r="J1171" t="str">
        <f t="shared" si="112"/>
        <v/>
      </c>
      <c r="K1171" s="28" t="str">
        <f t="shared" si="109"/>
        <v/>
      </c>
      <c r="L1171" s="46" t="str">
        <f t="shared" si="113"/>
        <v/>
      </c>
      <c r="M1171" t="str" cm="1">
        <f t="array" ref="M1171">IF(L1171="","",_xlfn.IFS(
  AND(L1171&gt;=TIME(9,0,0), L1171&lt;TIME(16,0,0)),"Morning",
  AND(L1171&gt;=TIME(16,0,0), L1171&lt;TIME(23,59,0)),"Evening",
  L1171&gt;=TIME(23,59,0),"Night",
  L1171&lt;TIME(9,0,0),"Night"
))</f>
        <v/>
      </c>
      <c r="O1171" t="str">
        <f t="shared" si="110"/>
        <v/>
      </c>
    </row>
    <row r="1172" spans="1:15" x14ac:dyDescent="0.25">
      <c r="A1172" s="49"/>
      <c r="G1172" t="str">
        <f t="shared" si="108"/>
        <v/>
      </c>
      <c r="H1172" s="13" t="str">
        <f t="shared" si="111"/>
        <v/>
      </c>
      <c r="I1172" t="str">
        <f>IFERROR(INDEX(Analysis!$D$116:$N$137, MATCH(B1172, Analysis!$C$116:$C$137, 0), MATCH(C1172, Analysis!$D$115:$N$115, 0)), "")</f>
        <v/>
      </c>
      <c r="J1172" t="str">
        <f t="shared" si="112"/>
        <v/>
      </c>
      <c r="K1172" s="28" t="str">
        <f t="shared" si="109"/>
        <v/>
      </c>
      <c r="L1172" s="46" t="str">
        <f t="shared" si="113"/>
        <v/>
      </c>
      <c r="M1172" t="str" cm="1">
        <f t="array" ref="M1172">IF(L1172="","",_xlfn.IFS(
  AND(L1172&gt;=TIME(9,0,0), L1172&lt;TIME(16,0,0)),"Morning",
  AND(L1172&gt;=TIME(16,0,0), L1172&lt;TIME(23,59,0)),"Evening",
  L1172&gt;=TIME(23,59,0),"Night",
  L1172&lt;TIME(9,0,0),"Night"
))</f>
        <v/>
      </c>
      <c r="O1172" t="str">
        <f t="shared" si="110"/>
        <v/>
      </c>
    </row>
    <row r="1173" spans="1:15" x14ac:dyDescent="0.25">
      <c r="A1173" s="49"/>
      <c r="G1173" t="str">
        <f t="shared" si="108"/>
        <v/>
      </c>
      <c r="H1173" s="13" t="str">
        <f t="shared" si="111"/>
        <v/>
      </c>
      <c r="I1173" t="str">
        <f>IFERROR(INDEX(Analysis!$D$116:$N$137, MATCH(B1173, Analysis!$C$116:$C$137, 0), MATCH(C1173, Analysis!$D$115:$N$115, 0)), "")</f>
        <v/>
      </c>
      <c r="J1173" t="str">
        <f t="shared" si="112"/>
        <v/>
      </c>
      <c r="K1173" s="28" t="str">
        <f t="shared" si="109"/>
        <v/>
      </c>
      <c r="L1173" s="46" t="str">
        <f t="shared" si="113"/>
        <v/>
      </c>
      <c r="M1173" t="str" cm="1">
        <f t="array" ref="M1173">IF(L1173="","",_xlfn.IFS(
  AND(L1173&gt;=TIME(9,0,0), L1173&lt;TIME(16,0,0)),"Morning",
  AND(L1173&gt;=TIME(16,0,0), L1173&lt;TIME(23,59,0)),"Evening",
  L1173&gt;=TIME(23,59,0),"Night",
  L1173&lt;TIME(9,0,0),"Night"
))</f>
        <v/>
      </c>
      <c r="O1173" t="str">
        <f t="shared" si="110"/>
        <v/>
      </c>
    </row>
    <row r="1174" spans="1:15" x14ac:dyDescent="0.25">
      <c r="A1174" s="49"/>
      <c r="G1174" t="str">
        <f t="shared" si="108"/>
        <v/>
      </c>
      <c r="H1174" s="13" t="str">
        <f t="shared" si="111"/>
        <v/>
      </c>
      <c r="I1174" t="str">
        <f>IFERROR(INDEX(Analysis!$D$116:$N$137, MATCH(B1174, Analysis!$C$116:$C$137, 0), MATCH(C1174, Analysis!$D$115:$N$115, 0)), "")</f>
        <v/>
      </c>
      <c r="J1174" t="str">
        <f t="shared" si="112"/>
        <v/>
      </c>
      <c r="K1174" s="28" t="str">
        <f t="shared" si="109"/>
        <v/>
      </c>
      <c r="L1174" s="46" t="str">
        <f t="shared" si="113"/>
        <v/>
      </c>
      <c r="M1174" t="str" cm="1">
        <f t="array" ref="M1174">IF(L1174="","",_xlfn.IFS(
  AND(L1174&gt;=TIME(9,0,0), L1174&lt;TIME(16,0,0)),"Morning",
  AND(L1174&gt;=TIME(16,0,0), L1174&lt;TIME(23,59,0)),"Evening",
  L1174&gt;=TIME(23,59,0),"Night",
  L1174&lt;TIME(9,0,0),"Night"
))</f>
        <v/>
      </c>
      <c r="O1174" t="str">
        <f t="shared" si="110"/>
        <v/>
      </c>
    </row>
    <row r="1175" spans="1:15" x14ac:dyDescent="0.25">
      <c r="A1175" s="49"/>
      <c r="G1175" t="str">
        <f t="shared" si="108"/>
        <v/>
      </c>
      <c r="H1175" s="13" t="str">
        <f t="shared" si="111"/>
        <v/>
      </c>
      <c r="I1175" t="str">
        <f>IFERROR(INDEX(Analysis!$D$116:$N$137, MATCH(B1175, Analysis!$C$116:$C$137, 0), MATCH(C1175, Analysis!$D$115:$N$115, 0)), "")</f>
        <v/>
      </c>
      <c r="J1175" t="str">
        <f t="shared" si="112"/>
        <v/>
      </c>
      <c r="K1175" s="28" t="str">
        <f t="shared" si="109"/>
        <v/>
      </c>
      <c r="L1175" s="46" t="str">
        <f t="shared" si="113"/>
        <v/>
      </c>
      <c r="M1175" t="str" cm="1">
        <f t="array" ref="M1175">IF(L1175="","",_xlfn.IFS(
  AND(L1175&gt;=TIME(9,0,0), L1175&lt;TIME(16,0,0)),"Morning",
  AND(L1175&gt;=TIME(16,0,0), L1175&lt;TIME(23,59,0)),"Evening",
  L1175&gt;=TIME(23,59,0),"Night",
  L1175&lt;TIME(9,0,0),"Night"
))</f>
        <v/>
      </c>
      <c r="O1175" t="str">
        <f t="shared" si="110"/>
        <v/>
      </c>
    </row>
    <row r="1176" spans="1:15" x14ac:dyDescent="0.25">
      <c r="A1176" s="49"/>
      <c r="G1176" t="str">
        <f t="shared" si="108"/>
        <v/>
      </c>
      <c r="H1176" s="13" t="str">
        <f t="shared" si="111"/>
        <v/>
      </c>
      <c r="I1176" t="str">
        <f>IFERROR(INDEX(Analysis!$D$116:$N$137, MATCH(B1176, Analysis!$C$116:$C$137, 0), MATCH(C1176, Analysis!$D$115:$N$115, 0)), "")</f>
        <v/>
      </c>
      <c r="J1176" t="str">
        <f t="shared" si="112"/>
        <v/>
      </c>
      <c r="K1176" s="28" t="str">
        <f t="shared" si="109"/>
        <v/>
      </c>
      <c r="L1176" s="46" t="str">
        <f t="shared" si="113"/>
        <v/>
      </c>
      <c r="M1176" t="str" cm="1">
        <f t="array" ref="M1176">IF(L1176="","",_xlfn.IFS(
  AND(L1176&gt;=TIME(9,0,0), L1176&lt;TIME(16,0,0)),"Morning",
  AND(L1176&gt;=TIME(16,0,0), L1176&lt;TIME(23,59,0)),"Evening",
  L1176&gt;=TIME(23,59,0),"Night",
  L1176&lt;TIME(9,0,0),"Night"
))</f>
        <v/>
      </c>
      <c r="O1176" t="str">
        <f t="shared" si="110"/>
        <v/>
      </c>
    </row>
    <row r="1177" spans="1:15" x14ac:dyDescent="0.25">
      <c r="A1177" s="49"/>
      <c r="G1177" t="str">
        <f t="shared" si="108"/>
        <v/>
      </c>
      <c r="H1177" s="13" t="str">
        <f t="shared" si="111"/>
        <v/>
      </c>
      <c r="I1177" t="str">
        <f>IFERROR(INDEX(Analysis!$D$116:$N$137, MATCH(B1177, Analysis!$C$116:$C$137, 0), MATCH(C1177, Analysis!$D$115:$N$115, 0)), "")</f>
        <v/>
      </c>
      <c r="J1177" t="str">
        <f t="shared" si="112"/>
        <v/>
      </c>
      <c r="K1177" s="28" t="str">
        <f t="shared" si="109"/>
        <v/>
      </c>
      <c r="L1177" s="46" t="str">
        <f t="shared" si="113"/>
        <v/>
      </c>
      <c r="M1177" t="str" cm="1">
        <f t="array" ref="M1177">IF(L1177="","",_xlfn.IFS(
  AND(L1177&gt;=TIME(9,0,0), L1177&lt;TIME(16,0,0)),"Morning",
  AND(L1177&gt;=TIME(16,0,0), L1177&lt;TIME(23,59,0)),"Evening",
  L1177&gt;=TIME(23,59,0),"Night",
  L1177&lt;TIME(9,0,0),"Night"
))</f>
        <v/>
      </c>
      <c r="O1177" t="str">
        <f t="shared" si="110"/>
        <v/>
      </c>
    </row>
    <row r="1178" spans="1:15" x14ac:dyDescent="0.25">
      <c r="A1178" s="49"/>
      <c r="G1178" t="str">
        <f t="shared" si="108"/>
        <v/>
      </c>
      <c r="H1178" s="13" t="str">
        <f t="shared" si="111"/>
        <v/>
      </c>
      <c r="I1178" t="str">
        <f>IFERROR(INDEX(Analysis!$D$116:$N$137, MATCH(B1178, Analysis!$C$116:$C$137, 0), MATCH(C1178, Analysis!$D$115:$N$115, 0)), "")</f>
        <v/>
      </c>
      <c r="J1178" t="str">
        <f t="shared" si="112"/>
        <v/>
      </c>
      <c r="K1178" s="28" t="str">
        <f t="shared" si="109"/>
        <v/>
      </c>
      <c r="L1178" s="46" t="str">
        <f t="shared" si="113"/>
        <v/>
      </c>
      <c r="M1178" t="str" cm="1">
        <f t="array" ref="M1178">IF(L1178="","",_xlfn.IFS(
  AND(L1178&gt;=TIME(9,0,0), L1178&lt;TIME(16,0,0)),"Morning",
  AND(L1178&gt;=TIME(16,0,0), L1178&lt;TIME(23,59,0)),"Evening",
  L1178&gt;=TIME(23,59,0),"Night",
  L1178&lt;TIME(9,0,0),"Night"
))</f>
        <v/>
      </c>
      <c r="O1178" t="str">
        <f t="shared" si="110"/>
        <v/>
      </c>
    </row>
    <row r="1179" spans="1:15" x14ac:dyDescent="0.25">
      <c r="A1179" s="49"/>
      <c r="G1179" t="str">
        <f t="shared" si="108"/>
        <v/>
      </c>
      <c r="H1179" s="13" t="str">
        <f t="shared" si="111"/>
        <v/>
      </c>
      <c r="I1179" t="str">
        <f>IFERROR(INDEX(Analysis!$D$116:$N$137, MATCH(B1179, Analysis!$C$116:$C$137, 0), MATCH(C1179, Analysis!$D$115:$N$115, 0)), "")</f>
        <v/>
      </c>
      <c r="J1179" t="str">
        <f t="shared" si="112"/>
        <v/>
      </c>
      <c r="K1179" s="28" t="str">
        <f t="shared" si="109"/>
        <v/>
      </c>
      <c r="L1179" s="46" t="str">
        <f t="shared" si="113"/>
        <v/>
      </c>
      <c r="M1179" t="str" cm="1">
        <f t="array" ref="M1179">IF(L1179="","",_xlfn.IFS(
  AND(L1179&gt;=TIME(9,0,0), L1179&lt;TIME(16,0,0)),"Morning",
  AND(L1179&gt;=TIME(16,0,0), L1179&lt;TIME(23,59,0)),"Evening",
  L1179&gt;=TIME(23,59,0),"Night",
  L1179&lt;TIME(9,0,0),"Night"
))</f>
        <v/>
      </c>
      <c r="O1179" t="str">
        <f t="shared" si="110"/>
        <v/>
      </c>
    </row>
    <row r="1180" spans="1:15" x14ac:dyDescent="0.25">
      <c r="A1180" s="49"/>
      <c r="G1180" t="str">
        <f t="shared" si="108"/>
        <v/>
      </c>
      <c r="H1180" s="13" t="str">
        <f t="shared" si="111"/>
        <v/>
      </c>
      <c r="I1180" t="str">
        <f>IFERROR(INDEX(Analysis!$D$116:$N$137, MATCH(B1180, Analysis!$C$116:$C$137, 0), MATCH(C1180, Analysis!$D$115:$N$115, 0)), "")</f>
        <v/>
      </c>
      <c r="J1180" t="str">
        <f t="shared" si="112"/>
        <v/>
      </c>
      <c r="K1180" s="28" t="str">
        <f t="shared" si="109"/>
        <v/>
      </c>
      <c r="L1180" s="46" t="str">
        <f t="shared" si="113"/>
        <v/>
      </c>
      <c r="M1180" t="str" cm="1">
        <f t="array" ref="M1180">IF(L1180="","",_xlfn.IFS(
  AND(L1180&gt;=TIME(9,0,0), L1180&lt;TIME(16,0,0)),"Morning",
  AND(L1180&gt;=TIME(16,0,0), L1180&lt;TIME(23,59,0)),"Evening",
  L1180&gt;=TIME(23,59,0),"Night",
  L1180&lt;TIME(9,0,0),"Night"
))</f>
        <v/>
      </c>
      <c r="O1180" t="str">
        <f t="shared" si="110"/>
        <v/>
      </c>
    </row>
    <row r="1181" spans="1:15" x14ac:dyDescent="0.25">
      <c r="A1181" s="49"/>
      <c r="G1181" t="str">
        <f t="shared" si="108"/>
        <v/>
      </c>
      <c r="H1181" s="13" t="str">
        <f t="shared" si="111"/>
        <v/>
      </c>
      <c r="I1181" t="str">
        <f>IFERROR(INDEX(Analysis!$D$116:$N$137, MATCH(B1181, Analysis!$C$116:$C$137, 0), MATCH(C1181, Analysis!$D$115:$N$115, 0)), "")</f>
        <v/>
      </c>
      <c r="J1181" t="str">
        <f t="shared" si="112"/>
        <v/>
      </c>
      <c r="K1181" s="28" t="str">
        <f t="shared" si="109"/>
        <v/>
      </c>
      <c r="L1181" s="46" t="str">
        <f t="shared" si="113"/>
        <v/>
      </c>
      <c r="M1181" t="str" cm="1">
        <f t="array" ref="M1181">IF(L1181="","",_xlfn.IFS(
  AND(L1181&gt;=TIME(9,0,0), L1181&lt;TIME(16,0,0)),"Morning",
  AND(L1181&gt;=TIME(16,0,0), L1181&lt;TIME(23,59,0)),"Evening",
  L1181&gt;=TIME(23,59,0),"Night",
  L1181&lt;TIME(9,0,0),"Night"
))</f>
        <v/>
      </c>
      <c r="O1181" t="str">
        <f t="shared" si="110"/>
        <v/>
      </c>
    </row>
    <row r="1182" spans="1:15" x14ac:dyDescent="0.25">
      <c r="A1182" s="49"/>
      <c r="G1182" t="str">
        <f t="shared" si="108"/>
        <v/>
      </c>
      <c r="H1182" s="13" t="str">
        <f t="shared" si="111"/>
        <v/>
      </c>
      <c r="I1182" t="str">
        <f>IFERROR(INDEX(Analysis!$D$116:$N$137, MATCH(B1182, Analysis!$C$116:$C$137, 0), MATCH(C1182, Analysis!$D$115:$N$115, 0)), "")</f>
        <v/>
      </c>
      <c r="J1182" t="str">
        <f t="shared" si="112"/>
        <v/>
      </c>
      <c r="K1182" s="28" t="str">
        <f t="shared" si="109"/>
        <v/>
      </c>
      <c r="L1182" s="46" t="str">
        <f t="shared" si="113"/>
        <v/>
      </c>
      <c r="M1182" t="str" cm="1">
        <f t="array" ref="M1182">IF(L1182="","",_xlfn.IFS(
  AND(L1182&gt;=TIME(9,0,0), L1182&lt;TIME(16,0,0)),"Morning",
  AND(L1182&gt;=TIME(16,0,0), L1182&lt;TIME(23,59,0)),"Evening",
  L1182&gt;=TIME(23,59,0),"Night",
  L1182&lt;TIME(9,0,0),"Night"
))</f>
        <v/>
      </c>
      <c r="O1182" t="str">
        <f t="shared" si="110"/>
        <v/>
      </c>
    </row>
    <row r="1183" spans="1:15" x14ac:dyDescent="0.25">
      <c r="A1183" s="49"/>
      <c r="G1183" t="str">
        <f t="shared" si="108"/>
        <v/>
      </c>
      <c r="H1183" s="13" t="str">
        <f t="shared" si="111"/>
        <v/>
      </c>
      <c r="I1183" t="str">
        <f>IFERROR(INDEX(Analysis!$D$116:$N$137, MATCH(B1183, Analysis!$C$116:$C$137, 0), MATCH(C1183, Analysis!$D$115:$N$115, 0)), "")</f>
        <v/>
      </c>
      <c r="J1183" t="str">
        <f t="shared" si="112"/>
        <v/>
      </c>
      <c r="K1183" s="28" t="str">
        <f t="shared" si="109"/>
        <v/>
      </c>
      <c r="L1183" s="46" t="str">
        <f t="shared" si="113"/>
        <v/>
      </c>
      <c r="M1183" t="str" cm="1">
        <f t="array" ref="M1183">IF(L1183="","",_xlfn.IFS(
  AND(L1183&gt;=TIME(9,0,0), L1183&lt;TIME(16,0,0)),"Morning",
  AND(L1183&gt;=TIME(16,0,0), L1183&lt;TIME(23,59,0)),"Evening",
  L1183&gt;=TIME(23,59,0),"Night",
  L1183&lt;TIME(9,0,0),"Night"
))</f>
        <v/>
      </c>
      <c r="O1183" t="str">
        <f t="shared" si="110"/>
        <v/>
      </c>
    </row>
    <row r="1184" spans="1:15" x14ac:dyDescent="0.25">
      <c r="A1184" s="49"/>
      <c r="G1184" t="str">
        <f t="shared" si="108"/>
        <v/>
      </c>
      <c r="H1184" s="13" t="str">
        <f t="shared" si="111"/>
        <v/>
      </c>
      <c r="I1184" t="str">
        <f>IFERROR(INDEX(Analysis!$D$116:$N$137, MATCH(B1184, Analysis!$C$116:$C$137, 0), MATCH(C1184, Analysis!$D$115:$N$115, 0)), "")</f>
        <v/>
      </c>
      <c r="J1184" t="str">
        <f t="shared" si="112"/>
        <v/>
      </c>
      <c r="K1184" s="28" t="str">
        <f t="shared" si="109"/>
        <v/>
      </c>
      <c r="L1184" s="46" t="str">
        <f t="shared" si="113"/>
        <v/>
      </c>
      <c r="M1184" t="str" cm="1">
        <f t="array" ref="M1184">IF(L1184="","",_xlfn.IFS(
  AND(L1184&gt;=TIME(9,0,0), L1184&lt;TIME(16,0,0)),"Morning",
  AND(L1184&gt;=TIME(16,0,0), L1184&lt;TIME(23,59,0)),"Evening",
  L1184&gt;=TIME(23,59,0),"Night",
  L1184&lt;TIME(9,0,0),"Night"
))</f>
        <v/>
      </c>
      <c r="O1184" t="str">
        <f t="shared" si="110"/>
        <v/>
      </c>
    </row>
    <row r="1185" spans="1:15" x14ac:dyDescent="0.25">
      <c r="A1185" s="49"/>
      <c r="G1185" t="str">
        <f t="shared" si="108"/>
        <v/>
      </c>
      <c r="H1185" s="13" t="str">
        <f t="shared" si="111"/>
        <v/>
      </c>
      <c r="I1185" t="str">
        <f>IFERROR(INDEX(Analysis!$D$116:$N$137, MATCH(B1185, Analysis!$C$116:$C$137, 0), MATCH(C1185, Analysis!$D$115:$N$115, 0)), "")</f>
        <v/>
      </c>
      <c r="J1185" t="str">
        <f t="shared" si="112"/>
        <v/>
      </c>
      <c r="K1185" s="28" t="str">
        <f t="shared" si="109"/>
        <v/>
      </c>
      <c r="L1185" s="46" t="str">
        <f t="shared" si="113"/>
        <v/>
      </c>
      <c r="M1185" t="str" cm="1">
        <f t="array" ref="M1185">IF(L1185="","",_xlfn.IFS(
  AND(L1185&gt;=TIME(9,0,0), L1185&lt;TIME(16,0,0)),"Morning",
  AND(L1185&gt;=TIME(16,0,0), L1185&lt;TIME(23,59,0)),"Evening",
  L1185&gt;=TIME(23,59,0),"Night",
  L1185&lt;TIME(9,0,0),"Night"
))</f>
        <v/>
      </c>
      <c r="O1185" t="str">
        <f t="shared" si="110"/>
        <v/>
      </c>
    </row>
    <row r="1186" spans="1:15" x14ac:dyDescent="0.25">
      <c r="A1186" s="49"/>
      <c r="G1186" t="str">
        <f t="shared" si="108"/>
        <v/>
      </c>
      <c r="H1186" s="13" t="str">
        <f t="shared" si="111"/>
        <v/>
      </c>
      <c r="I1186" t="str">
        <f>IFERROR(INDEX(Analysis!$D$116:$N$137, MATCH(B1186, Analysis!$C$116:$C$137, 0), MATCH(C1186, Analysis!$D$115:$N$115, 0)), "")</f>
        <v/>
      </c>
      <c r="J1186" t="str">
        <f t="shared" si="112"/>
        <v/>
      </c>
      <c r="K1186" s="28" t="str">
        <f t="shared" si="109"/>
        <v/>
      </c>
      <c r="L1186" s="46" t="str">
        <f t="shared" si="113"/>
        <v/>
      </c>
      <c r="M1186" t="str" cm="1">
        <f t="array" ref="M1186">IF(L1186="","",_xlfn.IFS(
  AND(L1186&gt;=TIME(9,0,0), L1186&lt;TIME(16,0,0)),"Morning",
  AND(L1186&gt;=TIME(16,0,0), L1186&lt;TIME(23,59,0)),"Evening",
  L1186&gt;=TIME(23,59,0),"Night",
  L1186&lt;TIME(9,0,0),"Night"
))</f>
        <v/>
      </c>
      <c r="O1186" t="str">
        <f t="shared" si="110"/>
        <v/>
      </c>
    </row>
    <row r="1187" spans="1:15" x14ac:dyDescent="0.25">
      <c r="A1187" s="49"/>
      <c r="G1187" t="str">
        <f t="shared" si="108"/>
        <v/>
      </c>
      <c r="H1187" s="13" t="str">
        <f t="shared" si="111"/>
        <v/>
      </c>
      <c r="I1187" t="str">
        <f>IFERROR(INDEX(Analysis!$D$116:$N$137, MATCH(B1187, Analysis!$C$116:$C$137, 0), MATCH(C1187, Analysis!$D$115:$N$115, 0)), "")</f>
        <v/>
      </c>
      <c r="J1187" t="str">
        <f t="shared" si="112"/>
        <v/>
      </c>
      <c r="K1187" s="28" t="str">
        <f t="shared" si="109"/>
        <v/>
      </c>
      <c r="L1187" s="46" t="str">
        <f t="shared" si="113"/>
        <v/>
      </c>
      <c r="M1187" t="str" cm="1">
        <f t="array" ref="M1187">IF(L1187="","",_xlfn.IFS(
  AND(L1187&gt;=TIME(9,0,0), L1187&lt;TIME(16,0,0)),"Morning",
  AND(L1187&gt;=TIME(16,0,0), L1187&lt;TIME(23,59,0)),"Evening",
  L1187&gt;=TIME(23,59,0),"Night",
  L1187&lt;TIME(9,0,0),"Night"
))</f>
        <v/>
      </c>
      <c r="O1187" t="str">
        <f t="shared" si="110"/>
        <v/>
      </c>
    </row>
    <row r="1188" spans="1:15" x14ac:dyDescent="0.25">
      <c r="A1188" s="49"/>
      <c r="G1188" t="str">
        <f t="shared" si="108"/>
        <v/>
      </c>
      <c r="H1188" s="13" t="str">
        <f t="shared" si="111"/>
        <v/>
      </c>
      <c r="I1188" t="str">
        <f>IFERROR(INDEX(Analysis!$D$116:$N$137, MATCH(B1188, Analysis!$C$116:$C$137, 0), MATCH(C1188, Analysis!$D$115:$N$115, 0)), "")</f>
        <v/>
      </c>
      <c r="J1188" t="str">
        <f t="shared" si="112"/>
        <v/>
      </c>
      <c r="K1188" s="28" t="str">
        <f t="shared" si="109"/>
        <v/>
      </c>
      <c r="L1188" s="46" t="str">
        <f t="shared" si="113"/>
        <v/>
      </c>
      <c r="M1188" t="str" cm="1">
        <f t="array" ref="M1188">IF(L1188="","",_xlfn.IFS(
  AND(L1188&gt;=TIME(9,0,0), L1188&lt;TIME(16,0,0)),"Morning",
  AND(L1188&gt;=TIME(16,0,0), L1188&lt;TIME(23,59,0)),"Evening",
  L1188&gt;=TIME(23,59,0),"Night",
  L1188&lt;TIME(9,0,0),"Night"
))</f>
        <v/>
      </c>
      <c r="O1188" t="str">
        <f t="shared" si="110"/>
        <v/>
      </c>
    </row>
    <row r="1189" spans="1:15" x14ac:dyDescent="0.25">
      <c r="A1189" s="49"/>
      <c r="G1189" t="str">
        <f t="shared" si="108"/>
        <v/>
      </c>
      <c r="H1189" s="13" t="str">
        <f t="shared" si="111"/>
        <v/>
      </c>
      <c r="I1189" t="str">
        <f>IFERROR(INDEX(Analysis!$D$116:$N$137, MATCH(B1189, Analysis!$C$116:$C$137, 0), MATCH(C1189, Analysis!$D$115:$N$115, 0)), "")</f>
        <v/>
      </c>
      <c r="J1189" t="str">
        <f t="shared" si="112"/>
        <v/>
      </c>
      <c r="K1189" s="28" t="str">
        <f t="shared" si="109"/>
        <v/>
      </c>
      <c r="L1189" s="46" t="str">
        <f t="shared" si="113"/>
        <v/>
      </c>
      <c r="M1189" t="str" cm="1">
        <f t="array" ref="M1189">IF(L1189="","",_xlfn.IFS(
  AND(L1189&gt;=TIME(9,0,0), L1189&lt;TIME(16,0,0)),"Morning",
  AND(L1189&gt;=TIME(16,0,0), L1189&lt;TIME(23,59,0)),"Evening",
  L1189&gt;=TIME(23,59,0),"Night",
  L1189&lt;TIME(9,0,0),"Night"
))</f>
        <v/>
      </c>
      <c r="O1189" t="str">
        <f t="shared" si="110"/>
        <v/>
      </c>
    </row>
    <row r="1190" spans="1:15" x14ac:dyDescent="0.25">
      <c r="A1190" s="49"/>
      <c r="G1190" t="str">
        <f t="shared" si="108"/>
        <v/>
      </c>
      <c r="H1190" s="13" t="str">
        <f t="shared" si="111"/>
        <v/>
      </c>
      <c r="I1190" t="str">
        <f>IFERROR(INDEX(Analysis!$D$116:$N$137, MATCH(B1190, Analysis!$C$116:$C$137, 0), MATCH(C1190, Analysis!$D$115:$N$115, 0)), "")</f>
        <v/>
      </c>
      <c r="J1190" t="str">
        <f t="shared" si="112"/>
        <v/>
      </c>
      <c r="K1190" s="28" t="str">
        <f t="shared" si="109"/>
        <v/>
      </c>
      <c r="L1190" s="46" t="str">
        <f t="shared" si="113"/>
        <v/>
      </c>
      <c r="M1190" t="str" cm="1">
        <f t="array" ref="M1190">IF(L1190="","",_xlfn.IFS(
  AND(L1190&gt;=TIME(9,0,0), L1190&lt;TIME(16,0,0)),"Morning",
  AND(L1190&gt;=TIME(16,0,0), L1190&lt;TIME(23,59,0)),"Evening",
  L1190&gt;=TIME(23,59,0),"Night",
  L1190&lt;TIME(9,0,0),"Night"
))</f>
        <v/>
      </c>
      <c r="O1190" t="str">
        <f t="shared" si="110"/>
        <v/>
      </c>
    </row>
    <row r="1191" spans="1:15" x14ac:dyDescent="0.25">
      <c r="A1191" s="49"/>
      <c r="G1191" t="str">
        <f t="shared" si="108"/>
        <v/>
      </c>
      <c r="H1191" s="13" t="str">
        <f t="shared" si="111"/>
        <v/>
      </c>
      <c r="I1191" t="str">
        <f>IFERROR(INDEX(Analysis!$D$116:$N$137, MATCH(B1191, Analysis!$C$116:$C$137, 0), MATCH(C1191, Analysis!$D$115:$N$115, 0)), "")</f>
        <v/>
      </c>
      <c r="J1191" t="str">
        <f t="shared" si="112"/>
        <v/>
      </c>
      <c r="K1191" s="28" t="str">
        <f t="shared" si="109"/>
        <v/>
      </c>
      <c r="L1191" s="46" t="str">
        <f t="shared" si="113"/>
        <v/>
      </c>
      <c r="M1191" t="str" cm="1">
        <f t="array" ref="M1191">IF(L1191="","",_xlfn.IFS(
  AND(L1191&gt;=TIME(9,0,0), L1191&lt;TIME(16,0,0)),"Morning",
  AND(L1191&gt;=TIME(16,0,0), L1191&lt;TIME(23,59,0)),"Evening",
  L1191&gt;=TIME(23,59,0),"Night",
  L1191&lt;TIME(9,0,0),"Night"
))</f>
        <v/>
      </c>
      <c r="O1191" t="str">
        <f t="shared" si="110"/>
        <v/>
      </c>
    </row>
    <row r="1192" spans="1:15" x14ac:dyDescent="0.25">
      <c r="A1192" s="49"/>
      <c r="G1192" t="str">
        <f t="shared" si="108"/>
        <v/>
      </c>
      <c r="H1192" s="13" t="str">
        <f t="shared" si="111"/>
        <v/>
      </c>
      <c r="I1192" t="str">
        <f>IFERROR(INDEX(Analysis!$D$116:$N$137, MATCH(B1192, Analysis!$C$116:$C$137, 0), MATCH(C1192, Analysis!$D$115:$N$115, 0)), "")</f>
        <v/>
      </c>
      <c r="J1192" t="str">
        <f t="shared" si="112"/>
        <v/>
      </c>
      <c r="K1192" s="28" t="str">
        <f t="shared" si="109"/>
        <v/>
      </c>
      <c r="L1192" s="46" t="str">
        <f t="shared" si="113"/>
        <v/>
      </c>
      <c r="M1192" t="str" cm="1">
        <f t="array" ref="M1192">IF(L1192="","",_xlfn.IFS(
  AND(L1192&gt;=TIME(9,0,0), L1192&lt;TIME(16,0,0)),"Morning",
  AND(L1192&gt;=TIME(16,0,0), L1192&lt;TIME(23,59,0)),"Evening",
  L1192&gt;=TIME(23,59,0),"Night",
  L1192&lt;TIME(9,0,0),"Night"
))</f>
        <v/>
      </c>
      <c r="O1192" t="str">
        <f t="shared" si="110"/>
        <v/>
      </c>
    </row>
    <row r="1193" spans="1:15" x14ac:dyDescent="0.25">
      <c r="A1193" s="49"/>
      <c r="G1193" t="str">
        <f t="shared" si="108"/>
        <v/>
      </c>
      <c r="H1193" s="13" t="str">
        <f t="shared" si="111"/>
        <v/>
      </c>
      <c r="I1193" t="str">
        <f>IFERROR(INDEX(Analysis!$D$116:$N$137, MATCH(B1193, Analysis!$C$116:$C$137, 0), MATCH(C1193, Analysis!$D$115:$N$115, 0)), "")</f>
        <v/>
      </c>
      <c r="J1193" t="str">
        <f t="shared" si="112"/>
        <v/>
      </c>
      <c r="K1193" s="28" t="str">
        <f t="shared" si="109"/>
        <v/>
      </c>
      <c r="L1193" s="46" t="str">
        <f t="shared" si="113"/>
        <v/>
      </c>
      <c r="M1193" t="str" cm="1">
        <f t="array" ref="M1193">IF(L1193="","",_xlfn.IFS(
  AND(L1193&gt;=TIME(9,0,0), L1193&lt;TIME(16,0,0)),"Morning",
  AND(L1193&gt;=TIME(16,0,0), L1193&lt;TIME(23,59,0)),"Evening",
  L1193&gt;=TIME(23,59,0),"Night",
  L1193&lt;TIME(9,0,0),"Night"
))</f>
        <v/>
      </c>
      <c r="O1193" t="str">
        <f t="shared" si="110"/>
        <v/>
      </c>
    </row>
    <row r="1194" spans="1:15" x14ac:dyDescent="0.25">
      <c r="A1194" s="49"/>
      <c r="G1194" t="str">
        <f t="shared" si="108"/>
        <v/>
      </c>
      <c r="H1194" s="13" t="str">
        <f t="shared" si="111"/>
        <v/>
      </c>
      <c r="I1194" t="str">
        <f>IFERROR(INDEX(Analysis!$D$116:$N$137, MATCH(B1194, Analysis!$C$116:$C$137, 0), MATCH(C1194, Analysis!$D$115:$N$115, 0)), "")</f>
        <v/>
      </c>
      <c r="J1194" t="str">
        <f t="shared" si="112"/>
        <v/>
      </c>
      <c r="K1194" s="28" t="str">
        <f t="shared" si="109"/>
        <v/>
      </c>
      <c r="L1194" s="46" t="str">
        <f t="shared" si="113"/>
        <v/>
      </c>
      <c r="M1194" t="str" cm="1">
        <f t="array" ref="M1194">IF(L1194="","",_xlfn.IFS(
  AND(L1194&gt;=TIME(9,0,0), L1194&lt;TIME(16,0,0)),"Morning",
  AND(L1194&gt;=TIME(16,0,0), L1194&lt;TIME(23,59,0)),"Evening",
  L1194&gt;=TIME(23,59,0),"Night",
  L1194&lt;TIME(9,0,0),"Night"
))</f>
        <v/>
      </c>
      <c r="O1194" t="str">
        <f t="shared" si="110"/>
        <v/>
      </c>
    </row>
    <row r="1195" spans="1:15" x14ac:dyDescent="0.25">
      <c r="A1195" s="49"/>
      <c r="G1195" t="str">
        <f t="shared" si="108"/>
        <v/>
      </c>
      <c r="H1195" s="13" t="str">
        <f t="shared" si="111"/>
        <v/>
      </c>
      <c r="I1195" t="str">
        <f>IFERROR(INDEX(Analysis!$D$116:$N$137, MATCH(B1195, Analysis!$C$116:$C$137, 0), MATCH(C1195, Analysis!$D$115:$N$115, 0)), "")</f>
        <v/>
      </c>
      <c r="J1195" t="str">
        <f t="shared" si="112"/>
        <v/>
      </c>
      <c r="K1195" s="28" t="str">
        <f t="shared" si="109"/>
        <v/>
      </c>
      <c r="L1195" s="46" t="str">
        <f t="shared" si="113"/>
        <v/>
      </c>
      <c r="M1195" t="str" cm="1">
        <f t="array" ref="M1195">IF(L1195="","",_xlfn.IFS(
  AND(L1195&gt;=TIME(9,0,0), L1195&lt;TIME(16,0,0)),"Morning",
  AND(L1195&gt;=TIME(16,0,0), L1195&lt;TIME(23,59,0)),"Evening",
  L1195&gt;=TIME(23,59,0),"Night",
  L1195&lt;TIME(9,0,0),"Night"
))</f>
        <v/>
      </c>
      <c r="O1195" t="str">
        <f t="shared" si="110"/>
        <v/>
      </c>
    </row>
    <row r="1196" spans="1:15" x14ac:dyDescent="0.25">
      <c r="A1196" s="49"/>
      <c r="G1196" t="str">
        <f t="shared" si="108"/>
        <v/>
      </c>
      <c r="H1196" s="13" t="str">
        <f t="shared" si="111"/>
        <v/>
      </c>
      <c r="I1196" t="str">
        <f>IFERROR(INDEX(Analysis!$D$116:$N$137, MATCH(B1196, Analysis!$C$116:$C$137, 0), MATCH(C1196, Analysis!$D$115:$N$115, 0)), "")</f>
        <v/>
      </c>
      <c r="J1196" t="str">
        <f t="shared" si="112"/>
        <v/>
      </c>
      <c r="K1196" s="28" t="str">
        <f t="shared" si="109"/>
        <v/>
      </c>
      <c r="L1196" s="46" t="str">
        <f t="shared" si="113"/>
        <v/>
      </c>
      <c r="M1196" t="str" cm="1">
        <f t="array" ref="M1196">IF(L1196="","",_xlfn.IFS(
  AND(L1196&gt;=TIME(9,0,0), L1196&lt;TIME(16,0,0)),"Morning",
  AND(L1196&gt;=TIME(16,0,0), L1196&lt;TIME(23,59,0)),"Evening",
  L1196&gt;=TIME(23,59,0),"Night",
  L1196&lt;TIME(9,0,0),"Night"
))</f>
        <v/>
      </c>
      <c r="O1196" t="str">
        <f t="shared" si="110"/>
        <v/>
      </c>
    </row>
    <row r="1197" spans="1:15" x14ac:dyDescent="0.25">
      <c r="A1197" s="49"/>
      <c r="G1197" t="str">
        <f t="shared" si="108"/>
        <v/>
      </c>
      <c r="H1197" s="13" t="str">
        <f t="shared" si="111"/>
        <v/>
      </c>
      <c r="I1197" t="str">
        <f>IFERROR(INDEX(Analysis!$D$116:$N$137, MATCH(B1197, Analysis!$C$116:$C$137, 0), MATCH(C1197, Analysis!$D$115:$N$115, 0)), "")</f>
        <v/>
      </c>
      <c r="J1197" t="str">
        <f t="shared" si="112"/>
        <v/>
      </c>
      <c r="K1197" s="28" t="str">
        <f t="shared" si="109"/>
        <v/>
      </c>
      <c r="L1197" s="46" t="str">
        <f t="shared" si="113"/>
        <v/>
      </c>
      <c r="M1197" t="str" cm="1">
        <f t="array" ref="M1197">IF(L1197="","",_xlfn.IFS(
  AND(L1197&gt;=TIME(9,0,0), L1197&lt;TIME(16,0,0)),"Morning",
  AND(L1197&gt;=TIME(16,0,0), L1197&lt;TIME(23,59,0)),"Evening",
  L1197&gt;=TIME(23,59,0),"Night",
  L1197&lt;TIME(9,0,0),"Night"
))</f>
        <v/>
      </c>
      <c r="O1197" t="str">
        <f t="shared" si="110"/>
        <v/>
      </c>
    </row>
    <row r="1198" spans="1:15" x14ac:dyDescent="0.25">
      <c r="A1198" s="49"/>
      <c r="G1198" t="str">
        <f t="shared" si="108"/>
        <v/>
      </c>
      <c r="H1198" s="13" t="str">
        <f t="shared" si="111"/>
        <v/>
      </c>
      <c r="I1198" t="str">
        <f>IFERROR(INDEX(Analysis!$D$116:$N$137, MATCH(B1198, Analysis!$C$116:$C$137, 0), MATCH(C1198, Analysis!$D$115:$N$115, 0)), "")</f>
        <v/>
      </c>
      <c r="J1198" t="str">
        <f t="shared" si="112"/>
        <v/>
      </c>
      <c r="K1198" s="28" t="str">
        <f t="shared" si="109"/>
        <v/>
      </c>
      <c r="L1198" s="46" t="str">
        <f t="shared" si="113"/>
        <v/>
      </c>
      <c r="M1198" t="str" cm="1">
        <f t="array" ref="M1198">IF(L1198="","",_xlfn.IFS(
  AND(L1198&gt;=TIME(9,0,0), L1198&lt;TIME(16,0,0)),"Morning",
  AND(L1198&gt;=TIME(16,0,0), L1198&lt;TIME(23,59,0)),"Evening",
  L1198&gt;=TIME(23,59,0),"Night",
  L1198&lt;TIME(9,0,0),"Night"
))</f>
        <v/>
      </c>
      <c r="O1198" t="str">
        <f t="shared" si="110"/>
        <v/>
      </c>
    </row>
    <row r="1199" spans="1:15" x14ac:dyDescent="0.25">
      <c r="A1199" s="49"/>
      <c r="G1199" t="str">
        <f t="shared" si="108"/>
        <v/>
      </c>
      <c r="H1199" s="13" t="str">
        <f t="shared" si="111"/>
        <v/>
      </c>
      <c r="I1199" t="str">
        <f>IFERROR(INDEX(Analysis!$D$116:$N$137, MATCH(B1199, Analysis!$C$116:$C$137, 0), MATCH(C1199, Analysis!$D$115:$N$115, 0)), "")</f>
        <v/>
      </c>
      <c r="J1199" t="str">
        <f t="shared" si="112"/>
        <v/>
      </c>
      <c r="K1199" s="28" t="str">
        <f t="shared" si="109"/>
        <v/>
      </c>
      <c r="L1199" s="46" t="str">
        <f t="shared" si="113"/>
        <v/>
      </c>
      <c r="M1199" t="str" cm="1">
        <f t="array" ref="M1199">IF(L1199="","",_xlfn.IFS(
  AND(L1199&gt;=TIME(9,0,0), L1199&lt;TIME(16,0,0)),"Morning",
  AND(L1199&gt;=TIME(16,0,0), L1199&lt;TIME(23,59,0)),"Evening",
  L1199&gt;=TIME(23,59,0),"Night",
  L1199&lt;TIME(9,0,0),"Night"
))</f>
        <v/>
      </c>
      <c r="O1199" t="str">
        <f t="shared" si="110"/>
        <v/>
      </c>
    </row>
    <row r="1200" spans="1:15" x14ac:dyDescent="0.25">
      <c r="A1200" s="49"/>
      <c r="G1200" t="str">
        <f t="shared" si="108"/>
        <v/>
      </c>
      <c r="H1200" s="13" t="str">
        <f t="shared" si="111"/>
        <v/>
      </c>
      <c r="I1200" t="str">
        <f>IFERROR(INDEX(Analysis!$D$116:$N$137, MATCH(B1200, Analysis!$C$116:$C$137, 0), MATCH(C1200, Analysis!$D$115:$N$115, 0)), "")</f>
        <v/>
      </c>
      <c r="J1200" t="str">
        <f t="shared" si="112"/>
        <v/>
      </c>
      <c r="K1200" s="28" t="str">
        <f t="shared" si="109"/>
        <v/>
      </c>
      <c r="L1200" s="46" t="str">
        <f t="shared" si="113"/>
        <v/>
      </c>
      <c r="M1200" t="str" cm="1">
        <f t="array" ref="M1200">IF(L1200="","",_xlfn.IFS(
  AND(L1200&gt;=TIME(9,0,0), L1200&lt;TIME(16,0,0)),"Morning",
  AND(L1200&gt;=TIME(16,0,0), L1200&lt;TIME(23,59,0)),"Evening",
  L1200&gt;=TIME(23,59,0),"Night",
  L1200&lt;TIME(9,0,0),"Night"
))</f>
        <v/>
      </c>
      <c r="O1200" t="str">
        <f t="shared" si="110"/>
        <v/>
      </c>
    </row>
    <row r="1201" spans="1:15" x14ac:dyDescent="0.25">
      <c r="A1201" s="49"/>
      <c r="G1201" t="str">
        <f t="shared" si="108"/>
        <v/>
      </c>
      <c r="H1201" s="13" t="str">
        <f t="shared" si="111"/>
        <v/>
      </c>
      <c r="I1201" t="str">
        <f>IFERROR(INDEX(Analysis!$D$116:$N$137, MATCH(B1201, Analysis!$C$116:$C$137, 0), MATCH(C1201, Analysis!$D$115:$N$115, 0)), "")</f>
        <v/>
      </c>
      <c r="J1201" t="str">
        <f t="shared" si="112"/>
        <v/>
      </c>
      <c r="K1201" s="28" t="str">
        <f t="shared" si="109"/>
        <v/>
      </c>
      <c r="L1201" s="46" t="str">
        <f t="shared" si="113"/>
        <v/>
      </c>
      <c r="M1201" t="str" cm="1">
        <f t="array" ref="M1201">IF(L1201="","",_xlfn.IFS(
  AND(L1201&gt;=TIME(9,0,0), L1201&lt;TIME(16,0,0)),"Morning",
  AND(L1201&gt;=TIME(16,0,0), L1201&lt;TIME(23,59,0)),"Evening",
  L1201&gt;=TIME(23,59,0),"Night",
  L1201&lt;TIME(9,0,0),"Night"
))</f>
        <v/>
      </c>
      <c r="O1201" t="str">
        <f t="shared" si="110"/>
        <v/>
      </c>
    </row>
    <row r="1202" spans="1:15" x14ac:dyDescent="0.25">
      <c r="A1202" s="49"/>
      <c r="G1202" t="str">
        <f t="shared" si="108"/>
        <v/>
      </c>
      <c r="H1202" s="13" t="str">
        <f t="shared" si="111"/>
        <v/>
      </c>
      <c r="I1202" t="str">
        <f>IFERROR(INDEX(Analysis!$D$116:$N$137, MATCH(B1202, Analysis!$C$116:$C$137, 0), MATCH(C1202, Analysis!$D$115:$N$115, 0)), "")</f>
        <v/>
      </c>
      <c r="J1202" t="str">
        <f t="shared" si="112"/>
        <v/>
      </c>
      <c r="K1202" s="28" t="str">
        <f t="shared" si="109"/>
        <v/>
      </c>
      <c r="L1202" s="46" t="str">
        <f t="shared" si="113"/>
        <v/>
      </c>
      <c r="M1202" t="str" cm="1">
        <f t="array" ref="M1202">IF(L1202="","",_xlfn.IFS(
  AND(L1202&gt;=TIME(9,0,0), L1202&lt;TIME(16,0,0)),"Morning",
  AND(L1202&gt;=TIME(16,0,0), L1202&lt;TIME(23,59,0)),"Evening",
  L1202&gt;=TIME(23,59,0),"Night",
  L1202&lt;TIME(9,0,0),"Night"
))</f>
        <v/>
      </c>
      <c r="O1202" t="str">
        <f t="shared" si="110"/>
        <v/>
      </c>
    </row>
    <row r="1203" spans="1:15" x14ac:dyDescent="0.25">
      <c r="A1203" s="49"/>
      <c r="G1203" t="str">
        <f t="shared" si="108"/>
        <v/>
      </c>
      <c r="H1203" s="13" t="str">
        <f t="shared" si="111"/>
        <v/>
      </c>
      <c r="I1203" t="str">
        <f>IFERROR(INDEX(Analysis!$D$116:$N$137, MATCH(B1203, Analysis!$C$116:$C$137, 0), MATCH(C1203, Analysis!$D$115:$N$115, 0)), "")</f>
        <v/>
      </c>
      <c r="J1203" t="str">
        <f t="shared" si="112"/>
        <v/>
      </c>
      <c r="K1203" s="28" t="str">
        <f t="shared" si="109"/>
        <v/>
      </c>
      <c r="L1203" s="46" t="str">
        <f t="shared" si="113"/>
        <v/>
      </c>
      <c r="M1203" t="str" cm="1">
        <f t="array" ref="M1203">IF(L1203="","",_xlfn.IFS(
  AND(L1203&gt;=TIME(9,0,0), L1203&lt;TIME(16,0,0)),"Morning",
  AND(L1203&gt;=TIME(16,0,0), L1203&lt;TIME(23,59,0)),"Evening",
  L1203&gt;=TIME(23,59,0),"Night",
  L1203&lt;TIME(9,0,0),"Night"
))</f>
        <v/>
      </c>
      <c r="O1203" t="str">
        <f t="shared" si="110"/>
        <v/>
      </c>
    </row>
    <row r="1204" spans="1:15" x14ac:dyDescent="0.25">
      <c r="A1204" s="49"/>
      <c r="G1204" t="str">
        <f t="shared" si="108"/>
        <v/>
      </c>
      <c r="H1204" s="13" t="str">
        <f t="shared" si="111"/>
        <v/>
      </c>
      <c r="I1204" t="str">
        <f>IFERROR(INDEX(Analysis!$D$116:$N$137, MATCH(B1204, Analysis!$C$116:$C$137, 0), MATCH(C1204, Analysis!$D$115:$N$115, 0)), "")</f>
        <v/>
      </c>
      <c r="J1204" t="str">
        <f t="shared" si="112"/>
        <v/>
      </c>
      <c r="K1204" s="28" t="str">
        <f t="shared" si="109"/>
        <v/>
      </c>
      <c r="L1204" s="46" t="str">
        <f t="shared" si="113"/>
        <v/>
      </c>
      <c r="M1204" t="str" cm="1">
        <f t="array" ref="M1204">IF(L1204="","",_xlfn.IFS(
  AND(L1204&gt;=TIME(9,0,0), L1204&lt;TIME(16,0,0)),"Morning",
  AND(L1204&gt;=TIME(16,0,0), L1204&lt;TIME(23,59,0)),"Evening",
  L1204&gt;=TIME(23,59,0),"Night",
  L1204&lt;TIME(9,0,0),"Night"
))</f>
        <v/>
      </c>
      <c r="O1204" t="str">
        <f t="shared" si="110"/>
        <v/>
      </c>
    </row>
    <row r="1205" spans="1:15" x14ac:dyDescent="0.25">
      <c r="A1205" s="49"/>
      <c r="G1205" t="str">
        <f t="shared" si="108"/>
        <v/>
      </c>
      <c r="H1205" s="13" t="str">
        <f t="shared" si="111"/>
        <v/>
      </c>
      <c r="I1205" t="str">
        <f>IFERROR(INDEX(Analysis!$D$116:$N$137, MATCH(B1205, Analysis!$C$116:$C$137, 0), MATCH(C1205, Analysis!$D$115:$N$115, 0)), "")</f>
        <v/>
      </c>
      <c r="J1205" t="str">
        <f t="shared" si="112"/>
        <v/>
      </c>
      <c r="K1205" s="28" t="str">
        <f t="shared" si="109"/>
        <v/>
      </c>
      <c r="L1205" s="46" t="str">
        <f t="shared" si="113"/>
        <v/>
      </c>
      <c r="M1205" t="str" cm="1">
        <f t="array" ref="M1205">IF(L1205="","",_xlfn.IFS(
  AND(L1205&gt;=TIME(9,0,0), L1205&lt;TIME(16,0,0)),"Morning",
  AND(L1205&gt;=TIME(16,0,0), L1205&lt;TIME(23,59,0)),"Evening",
  L1205&gt;=TIME(23,59,0),"Night",
  L1205&lt;TIME(9,0,0),"Night"
))</f>
        <v/>
      </c>
      <c r="O1205" t="str">
        <f t="shared" si="110"/>
        <v/>
      </c>
    </row>
    <row r="1206" spans="1:15" x14ac:dyDescent="0.25">
      <c r="A1206" s="49"/>
      <c r="G1206" t="str">
        <f t="shared" si="108"/>
        <v/>
      </c>
      <c r="H1206" s="13" t="str">
        <f t="shared" si="111"/>
        <v/>
      </c>
      <c r="I1206" t="str">
        <f>IFERROR(INDEX(Analysis!$D$116:$N$137, MATCH(B1206, Analysis!$C$116:$C$137, 0), MATCH(C1206, Analysis!$D$115:$N$115, 0)), "")</f>
        <v/>
      </c>
      <c r="J1206" t="str">
        <f t="shared" si="112"/>
        <v/>
      </c>
      <c r="K1206" s="28" t="str">
        <f t="shared" si="109"/>
        <v/>
      </c>
      <c r="L1206" s="46" t="str">
        <f t="shared" si="113"/>
        <v/>
      </c>
      <c r="M1206" t="str" cm="1">
        <f t="array" ref="M1206">IF(L1206="","",_xlfn.IFS(
  AND(L1206&gt;=TIME(9,0,0), L1206&lt;TIME(16,0,0)),"Morning",
  AND(L1206&gt;=TIME(16,0,0), L1206&lt;TIME(23,59,0)),"Evening",
  L1206&gt;=TIME(23,59,0),"Night",
  L1206&lt;TIME(9,0,0),"Night"
))</f>
        <v/>
      </c>
      <c r="O1206" t="str">
        <f t="shared" si="110"/>
        <v/>
      </c>
    </row>
    <row r="1207" spans="1:15" x14ac:dyDescent="0.25">
      <c r="A1207" s="49"/>
      <c r="G1207" t="str">
        <f t="shared" si="108"/>
        <v/>
      </c>
      <c r="H1207" s="13" t="str">
        <f t="shared" si="111"/>
        <v/>
      </c>
      <c r="I1207" t="str">
        <f>IFERROR(INDEX(Analysis!$D$116:$N$137, MATCH(B1207, Analysis!$C$116:$C$137, 0), MATCH(C1207, Analysis!$D$115:$N$115, 0)), "")</f>
        <v/>
      </c>
      <c r="J1207" t="str">
        <f t="shared" si="112"/>
        <v/>
      </c>
      <c r="K1207" s="28" t="str">
        <f t="shared" si="109"/>
        <v/>
      </c>
      <c r="L1207" s="46" t="str">
        <f t="shared" si="113"/>
        <v/>
      </c>
      <c r="M1207" t="str" cm="1">
        <f t="array" ref="M1207">IF(L1207="","",_xlfn.IFS(
  AND(L1207&gt;=TIME(9,0,0), L1207&lt;TIME(16,0,0)),"Morning",
  AND(L1207&gt;=TIME(16,0,0), L1207&lt;TIME(23,59,0)),"Evening",
  L1207&gt;=TIME(23,59,0),"Night",
  L1207&lt;TIME(9,0,0),"Night"
))</f>
        <v/>
      </c>
      <c r="O1207" t="str">
        <f t="shared" si="110"/>
        <v/>
      </c>
    </row>
    <row r="1208" spans="1:15" x14ac:dyDescent="0.25">
      <c r="A1208" s="49"/>
      <c r="G1208" t="str">
        <f t="shared" si="108"/>
        <v/>
      </c>
      <c r="H1208" s="13" t="str">
        <f t="shared" si="111"/>
        <v/>
      </c>
      <c r="I1208" t="str">
        <f>IFERROR(INDEX(Analysis!$D$116:$N$137, MATCH(B1208, Analysis!$C$116:$C$137, 0), MATCH(C1208, Analysis!$D$115:$N$115, 0)), "")</f>
        <v/>
      </c>
      <c r="J1208" t="str">
        <f t="shared" si="112"/>
        <v/>
      </c>
      <c r="K1208" s="28" t="str">
        <f t="shared" si="109"/>
        <v/>
      </c>
      <c r="L1208" s="46" t="str">
        <f t="shared" si="113"/>
        <v/>
      </c>
      <c r="M1208" t="str" cm="1">
        <f t="array" ref="M1208">IF(L1208="","",_xlfn.IFS(
  AND(L1208&gt;=TIME(9,0,0), L1208&lt;TIME(16,0,0)),"Morning",
  AND(L1208&gt;=TIME(16,0,0), L1208&lt;TIME(23,59,0)),"Evening",
  L1208&gt;=TIME(23,59,0),"Night",
  L1208&lt;TIME(9,0,0),"Night"
))</f>
        <v/>
      </c>
      <c r="O1208" t="str">
        <f t="shared" si="110"/>
        <v/>
      </c>
    </row>
    <row r="1209" spans="1:15" x14ac:dyDescent="0.25">
      <c r="A1209" s="49"/>
      <c r="G1209" t="str">
        <f t="shared" si="108"/>
        <v/>
      </c>
      <c r="H1209" s="13" t="str">
        <f t="shared" si="111"/>
        <v/>
      </c>
      <c r="I1209" t="str">
        <f>IFERROR(INDEX(Analysis!$D$116:$N$137, MATCH(B1209, Analysis!$C$116:$C$137, 0), MATCH(C1209, Analysis!$D$115:$N$115, 0)), "")</f>
        <v/>
      </c>
      <c r="J1209" t="str">
        <f t="shared" si="112"/>
        <v/>
      </c>
      <c r="K1209" s="28" t="str">
        <f t="shared" si="109"/>
        <v/>
      </c>
      <c r="L1209" s="46" t="str">
        <f t="shared" si="113"/>
        <v/>
      </c>
      <c r="M1209" t="str" cm="1">
        <f t="array" ref="M1209">IF(L1209="","",_xlfn.IFS(
  AND(L1209&gt;=TIME(9,0,0), L1209&lt;TIME(16,0,0)),"Morning",
  AND(L1209&gt;=TIME(16,0,0), L1209&lt;TIME(23,59,0)),"Evening",
  L1209&gt;=TIME(23,59,0),"Night",
  L1209&lt;TIME(9,0,0),"Night"
))</f>
        <v/>
      </c>
      <c r="O1209" t="str">
        <f t="shared" si="110"/>
        <v/>
      </c>
    </row>
    <row r="1210" spans="1:15" x14ac:dyDescent="0.25">
      <c r="A1210" s="49"/>
      <c r="G1210" t="str">
        <f t="shared" si="108"/>
        <v/>
      </c>
      <c r="H1210" s="13" t="str">
        <f t="shared" si="111"/>
        <v/>
      </c>
      <c r="I1210" t="str">
        <f>IFERROR(INDEX(Analysis!$D$116:$N$137, MATCH(B1210, Analysis!$C$116:$C$137, 0), MATCH(C1210, Analysis!$D$115:$N$115, 0)), "")</f>
        <v/>
      </c>
      <c r="J1210" t="str">
        <f t="shared" si="112"/>
        <v/>
      </c>
      <c r="K1210" s="28" t="str">
        <f t="shared" si="109"/>
        <v/>
      </c>
      <c r="L1210" s="46" t="str">
        <f t="shared" si="113"/>
        <v/>
      </c>
      <c r="M1210" t="str" cm="1">
        <f t="array" ref="M1210">IF(L1210="","",_xlfn.IFS(
  AND(L1210&gt;=TIME(9,0,0), L1210&lt;TIME(16,0,0)),"Morning",
  AND(L1210&gt;=TIME(16,0,0), L1210&lt;TIME(23,59,0)),"Evening",
  L1210&gt;=TIME(23,59,0),"Night",
  L1210&lt;TIME(9,0,0),"Night"
))</f>
        <v/>
      </c>
      <c r="O1210" t="str">
        <f t="shared" si="110"/>
        <v/>
      </c>
    </row>
    <row r="1211" spans="1:15" x14ac:dyDescent="0.25">
      <c r="A1211" s="49"/>
      <c r="G1211" t="str">
        <f t="shared" si="108"/>
        <v/>
      </c>
      <c r="H1211" s="13" t="str">
        <f t="shared" si="111"/>
        <v/>
      </c>
      <c r="I1211" t="str">
        <f>IFERROR(INDEX(Analysis!$D$116:$N$137, MATCH(B1211, Analysis!$C$116:$C$137, 0), MATCH(C1211, Analysis!$D$115:$N$115, 0)), "")</f>
        <v/>
      </c>
      <c r="J1211" t="str">
        <f t="shared" si="112"/>
        <v/>
      </c>
      <c r="K1211" s="28" t="str">
        <f t="shared" si="109"/>
        <v/>
      </c>
      <c r="L1211" s="46" t="str">
        <f t="shared" si="113"/>
        <v/>
      </c>
      <c r="M1211" t="str" cm="1">
        <f t="array" ref="M1211">IF(L1211="","",_xlfn.IFS(
  AND(L1211&gt;=TIME(9,0,0), L1211&lt;TIME(16,0,0)),"Morning",
  AND(L1211&gt;=TIME(16,0,0), L1211&lt;TIME(23,59,0)),"Evening",
  L1211&gt;=TIME(23,59,0),"Night",
  L1211&lt;TIME(9,0,0),"Night"
))</f>
        <v/>
      </c>
      <c r="O1211" t="str">
        <f t="shared" si="110"/>
        <v/>
      </c>
    </row>
    <row r="1212" spans="1:15" x14ac:dyDescent="0.25">
      <c r="A1212" s="49"/>
      <c r="G1212" t="str">
        <f t="shared" si="108"/>
        <v/>
      </c>
      <c r="H1212" s="13" t="str">
        <f t="shared" si="111"/>
        <v/>
      </c>
      <c r="I1212" t="str">
        <f>IFERROR(INDEX(Analysis!$D$116:$N$137, MATCH(B1212, Analysis!$C$116:$C$137, 0), MATCH(C1212, Analysis!$D$115:$N$115, 0)), "")</f>
        <v/>
      </c>
      <c r="J1212" t="str">
        <f t="shared" si="112"/>
        <v/>
      </c>
      <c r="K1212" s="28" t="str">
        <f t="shared" si="109"/>
        <v/>
      </c>
      <c r="L1212" s="46" t="str">
        <f t="shared" si="113"/>
        <v/>
      </c>
      <c r="M1212" t="str" cm="1">
        <f t="array" ref="M1212">IF(L1212="","",_xlfn.IFS(
  AND(L1212&gt;=TIME(9,0,0), L1212&lt;TIME(16,0,0)),"Morning",
  AND(L1212&gt;=TIME(16,0,0), L1212&lt;TIME(23,59,0)),"Evening",
  L1212&gt;=TIME(23,59,0),"Night",
  L1212&lt;TIME(9,0,0),"Night"
))</f>
        <v/>
      </c>
      <c r="O1212" t="str">
        <f t="shared" si="110"/>
        <v/>
      </c>
    </row>
    <row r="1213" spans="1:15" x14ac:dyDescent="0.25">
      <c r="A1213" s="49"/>
      <c r="G1213" t="str">
        <f t="shared" si="108"/>
        <v/>
      </c>
      <c r="H1213" s="13" t="str">
        <f t="shared" si="111"/>
        <v/>
      </c>
      <c r="I1213" t="str">
        <f>IFERROR(INDEX(Analysis!$D$116:$N$137, MATCH(B1213, Analysis!$C$116:$C$137, 0), MATCH(C1213, Analysis!$D$115:$N$115, 0)), "")</f>
        <v/>
      </c>
      <c r="J1213" t="str">
        <f t="shared" si="112"/>
        <v/>
      </c>
      <c r="K1213" s="28" t="str">
        <f t="shared" si="109"/>
        <v/>
      </c>
      <c r="L1213" s="46" t="str">
        <f t="shared" si="113"/>
        <v/>
      </c>
      <c r="M1213" t="str" cm="1">
        <f t="array" ref="M1213">IF(L1213="","",_xlfn.IFS(
  AND(L1213&gt;=TIME(9,0,0), L1213&lt;TIME(16,0,0)),"Morning",
  AND(L1213&gt;=TIME(16,0,0), L1213&lt;TIME(23,59,0)),"Evening",
  L1213&gt;=TIME(23,59,0),"Night",
  L1213&lt;TIME(9,0,0),"Night"
))</f>
        <v/>
      </c>
      <c r="O1213" t="str">
        <f t="shared" si="110"/>
        <v/>
      </c>
    </row>
    <row r="1214" spans="1:15" x14ac:dyDescent="0.25">
      <c r="A1214" s="49"/>
      <c r="G1214" t="str">
        <f t="shared" si="108"/>
        <v/>
      </c>
      <c r="H1214" s="13" t="str">
        <f t="shared" si="111"/>
        <v/>
      </c>
      <c r="I1214" t="str">
        <f>IFERROR(INDEX(Analysis!$D$116:$N$137, MATCH(B1214, Analysis!$C$116:$C$137, 0), MATCH(C1214, Analysis!$D$115:$N$115, 0)), "")</f>
        <v/>
      </c>
      <c r="J1214" t="str">
        <f t="shared" si="112"/>
        <v/>
      </c>
      <c r="K1214" s="28" t="str">
        <f t="shared" si="109"/>
        <v/>
      </c>
      <c r="L1214" s="46" t="str">
        <f t="shared" si="113"/>
        <v/>
      </c>
      <c r="M1214" t="str" cm="1">
        <f t="array" ref="M1214">IF(L1214="","",_xlfn.IFS(
  AND(L1214&gt;=TIME(9,0,0), L1214&lt;TIME(16,0,0)),"Morning",
  AND(L1214&gt;=TIME(16,0,0), L1214&lt;TIME(23,59,0)),"Evening",
  L1214&gt;=TIME(23,59,0),"Night",
  L1214&lt;TIME(9,0,0),"Night"
))</f>
        <v/>
      </c>
      <c r="O1214" t="str">
        <f t="shared" si="110"/>
        <v/>
      </c>
    </row>
    <row r="1215" spans="1:15" x14ac:dyDescent="0.25">
      <c r="A1215" s="49"/>
      <c r="G1215" t="str">
        <f t="shared" si="108"/>
        <v/>
      </c>
      <c r="H1215" s="13" t="str">
        <f t="shared" si="111"/>
        <v/>
      </c>
      <c r="I1215" t="str">
        <f>IFERROR(INDEX(Analysis!$D$116:$N$137, MATCH(B1215, Analysis!$C$116:$C$137, 0), MATCH(C1215, Analysis!$D$115:$N$115, 0)), "")</f>
        <v/>
      </c>
      <c r="J1215" t="str">
        <f t="shared" si="112"/>
        <v/>
      </c>
      <c r="K1215" s="28" t="str">
        <f t="shared" si="109"/>
        <v/>
      </c>
      <c r="L1215" s="46" t="str">
        <f t="shared" si="113"/>
        <v/>
      </c>
      <c r="M1215" t="str" cm="1">
        <f t="array" ref="M1215">IF(L1215="","",_xlfn.IFS(
  AND(L1215&gt;=TIME(9,0,0), L1215&lt;TIME(16,0,0)),"Morning",
  AND(L1215&gt;=TIME(16,0,0), L1215&lt;TIME(23,59,0)),"Evening",
  L1215&gt;=TIME(23,59,0),"Night",
  L1215&lt;TIME(9,0,0),"Night"
))</f>
        <v/>
      </c>
      <c r="O1215" t="str">
        <f t="shared" si="110"/>
        <v/>
      </c>
    </row>
    <row r="1216" spans="1:15" x14ac:dyDescent="0.25">
      <c r="A1216" s="49"/>
      <c r="G1216" t="str">
        <f t="shared" si="108"/>
        <v/>
      </c>
      <c r="H1216" s="13" t="str">
        <f t="shared" si="111"/>
        <v/>
      </c>
      <c r="I1216" t="str">
        <f>IFERROR(INDEX(Analysis!$D$116:$N$137, MATCH(B1216, Analysis!$C$116:$C$137, 0), MATCH(C1216, Analysis!$D$115:$N$115, 0)), "")</f>
        <v/>
      </c>
      <c r="J1216" t="str">
        <f t="shared" si="112"/>
        <v/>
      </c>
      <c r="K1216" s="28" t="str">
        <f t="shared" si="109"/>
        <v/>
      </c>
      <c r="L1216" s="46" t="str">
        <f t="shared" si="113"/>
        <v/>
      </c>
      <c r="M1216" t="str" cm="1">
        <f t="array" ref="M1216">IF(L1216="","",_xlfn.IFS(
  AND(L1216&gt;=TIME(9,0,0), L1216&lt;TIME(16,0,0)),"Morning",
  AND(L1216&gt;=TIME(16,0,0), L1216&lt;TIME(23,59,0)),"Evening",
  L1216&gt;=TIME(23,59,0),"Night",
  L1216&lt;TIME(9,0,0),"Night"
))</f>
        <v/>
      </c>
      <c r="O1216" t="str">
        <f t="shared" si="110"/>
        <v/>
      </c>
    </row>
    <row r="1217" spans="1:15" x14ac:dyDescent="0.25">
      <c r="A1217" s="49"/>
      <c r="G1217" t="str">
        <f t="shared" si="108"/>
        <v/>
      </c>
      <c r="H1217" s="13" t="str">
        <f t="shared" si="111"/>
        <v/>
      </c>
      <c r="I1217" t="str">
        <f>IFERROR(INDEX(Analysis!$D$116:$N$137, MATCH(B1217, Analysis!$C$116:$C$137, 0), MATCH(C1217, Analysis!$D$115:$N$115, 0)), "")</f>
        <v/>
      </c>
      <c r="J1217" t="str">
        <f t="shared" si="112"/>
        <v/>
      </c>
      <c r="K1217" s="28" t="str">
        <f t="shared" si="109"/>
        <v/>
      </c>
      <c r="L1217" s="46" t="str">
        <f t="shared" si="113"/>
        <v/>
      </c>
      <c r="M1217" t="str" cm="1">
        <f t="array" ref="M1217">IF(L1217="","",_xlfn.IFS(
  AND(L1217&gt;=TIME(9,0,0), L1217&lt;TIME(16,0,0)),"Morning",
  AND(L1217&gt;=TIME(16,0,0), L1217&lt;TIME(23,59,0)),"Evening",
  L1217&gt;=TIME(23,59,0),"Night",
  L1217&lt;TIME(9,0,0),"Night"
))</f>
        <v/>
      </c>
      <c r="O1217" t="str">
        <f t="shared" si="110"/>
        <v/>
      </c>
    </row>
    <row r="1218" spans="1:15" x14ac:dyDescent="0.25">
      <c r="A1218" s="49"/>
      <c r="G1218" t="str">
        <f t="shared" ref="G1218:G1281" si="114">IF(ISBLANK(A1218), "", IF(ISBLANK(F1218), 0, F1218))</f>
        <v/>
      </c>
      <c r="H1218" s="13" t="str">
        <f t="shared" si="111"/>
        <v/>
      </c>
      <c r="I1218" t="str">
        <f>IFERROR(INDEX(Analysis!$D$116:$N$137, MATCH(B1218, Analysis!$C$116:$C$137, 0), MATCH(C1218, Analysis!$D$115:$N$115, 0)), "")</f>
        <v/>
      </c>
      <c r="J1218" t="str">
        <f t="shared" si="112"/>
        <v/>
      </c>
      <c r="K1218" s="28" t="str">
        <f t="shared" ref="K1218:K1281" si="115">IF(ISBLANK(A1218),"",DATE(YEAR(A1218),MONTH(A1218),DAY(A1218)))</f>
        <v/>
      </c>
      <c r="L1218" s="46" t="str">
        <f t="shared" si="113"/>
        <v/>
      </c>
      <c r="M1218" t="str" cm="1">
        <f t="array" ref="M1218">IF(L1218="","",_xlfn.IFS(
  AND(L1218&gt;=TIME(9,0,0), L1218&lt;TIME(16,0,0)),"Morning",
  AND(L1218&gt;=TIME(16,0,0), L1218&lt;TIME(23,59,0)),"Evening",
  L1218&gt;=TIME(23,59,0),"Night",
  L1218&lt;TIME(9,0,0),"Night"
))</f>
        <v/>
      </c>
      <c r="O1218" t="str">
        <f t="shared" ref="O1218:O1281" si="116">IF(N1218="ON", _xlfn.IMAGE(E1218, 1), "")</f>
        <v/>
      </c>
    </row>
    <row r="1219" spans="1:15" x14ac:dyDescent="0.25">
      <c r="A1219" s="49"/>
      <c r="G1219" t="str">
        <f t="shared" si="114"/>
        <v/>
      </c>
      <c r="H1219" s="13" t="str">
        <f t="shared" ref="H1219:H1282" si="117">IF(ISBLANK(E1219),"",HYPERLINK(E1219,"Click here"))</f>
        <v/>
      </c>
      <c r="I1219" t="str">
        <f>IFERROR(INDEX(Analysis!$D$116:$N$137, MATCH(B1219, Analysis!$C$116:$C$137, 0), MATCH(C1219, Analysis!$D$115:$N$115, 0)), "")</f>
        <v/>
      </c>
      <c r="J1219" t="str">
        <f t="shared" ref="J1219:J1282" si="118">IF(ISBLANK(A1219),"",WEEKNUM(A1219))</f>
        <v/>
      </c>
      <c r="K1219" s="28" t="str">
        <f t="shared" si="115"/>
        <v/>
      </c>
      <c r="L1219" s="46" t="str">
        <f t="shared" ref="L1219:L1282" si="119">IF(A1219="", "", A1219 - INT(A1219))</f>
        <v/>
      </c>
      <c r="M1219" t="str" cm="1">
        <f t="array" ref="M1219">IF(L1219="","",_xlfn.IFS(
  AND(L1219&gt;=TIME(9,0,0), L1219&lt;TIME(16,0,0)),"Morning",
  AND(L1219&gt;=TIME(16,0,0), L1219&lt;TIME(23,59,0)),"Evening",
  L1219&gt;=TIME(23,59,0),"Night",
  L1219&lt;TIME(9,0,0),"Night"
))</f>
        <v/>
      </c>
      <c r="O1219" t="str">
        <f t="shared" si="116"/>
        <v/>
      </c>
    </row>
    <row r="1220" spans="1:15" x14ac:dyDescent="0.25">
      <c r="A1220" s="49"/>
      <c r="G1220" t="str">
        <f t="shared" si="114"/>
        <v/>
      </c>
      <c r="H1220" s="13" t="str">
        <f t="shared" si="117"/>
        <v/>
      </c>
      <c r="I1220" t="str">
        <f>IFERROR(INDEX(Analysis!$D$116:$N$137, MATCH(B1220, Analysis!$C$116:$C$137, 0), MATCH(C1220, Analysis!$D$115:$N$115, 0)), "")</f>
        <v/>
      </c>
      <c r="J1220" t="str">
        <f t="shared" si="118"/>
        <v/>
      </c>
      <c r="K1220" s="28" t="str">
        <f t="shared" si="115"/>
        <v/>
      </c>
      <c r="L1220" s="46" t="str">
        <f t="shared" si="119"/>
        <v/>
      </c>
      <c r="M1220" t="str" cm="1">
        <f t="array" ref="M1220">IF(L1220="","",_xlfn.IFS(
  AND(L1220&gt;=TIME(9,0,0), L1220&lt;TIME(16,0,0)),"Morning",
  AND(L1220&gt;=TIME(16,0,0), L1220&lt;TIME(23,59,0)),"Evening",
  L1220&gt;=TIME(23,59,0),"Night",
  L1220&lt;TIME(9,0,0),"Night"
))</f>
        <v/>
      </c>
      <c r="O1220" t="str">
        <f t="shared" si="116"/>
        <v/>
      </c>
    </row>
    <row r="1221" spans="1:15" x14ac:dyDescent="0.25">
      <c r="A1221" s="49"/>
      <c r="G1221" t="str">
        <f t="shared" si="114"/>
        <v/>
      </c>
      <c r="H1221" s="13" t="str">
        <f t="shared" si="117"/>
        <v/>
      </c>
      <c r="I1221" t="str">
        <f>IFERROR(INDEX(Analysis!$D$116:$N$137, MATCH(B1221, Analysis!$C$116:$C$137, 0), MATCH(C1221, Analysis!$D$115:$N$115, 0)), "")</f>
        <v/>
      </c>
      <c r="J1221" t="str">
        <f t="shared" si="118"/>
        <v/>
      </c>
      <c r="K1221" s="28" t="str">
        <f t="shared" si="115"/>
        <v/>
      </c>
      <c r="L1221" s="46" t="str">
        <f t="shared" si="119"/>
        <v/>
      </c>
      <c r="M1221" t="str" cm="1">
        <f t="array" ref="M1221">IF(L1221="","",_xlfn.IFS(
  AND(L1221&gt;=TIME(9,0,0), L1221&lt;TIME(16,0,0)),"Morning",
  AND(L1221&gt;=TIME(16,0,0), L1221&lt;TIME(23,59,0)),"Evening",
  L1221&gt;=TIME(23,59,0),"Night",
  L1221&lt;TIME(9,0,0),"Night"
))</f>
        <v/>
      </c>
      <c r="O1221" t="str">
        <f t="shared" si="116"/>
        <v/>
      </c>
    </row>
    <row r="1222" spans="1:15" x14ac:dyDescent="0.25">
      <c r="A1222" s="49"/>
      <c r="G1222" t="str">
        <f t="shared" si="114"/>
        <v/>
      </c>
      <c r="H1222" s="13" t="str">
        <f t="shared" si="117"/>
        <v/>
      </c>
      <c r="I1222" t="str">
        <f>IFERROR(INDEX(Analysis!$D$116:$N$137, MATCH(B1222, Analysis!$C$116:$C$137, 0), MATCH(C1222, Analysis!$D$115:$N$115, 0)), "")</f>
        <v/>
      </c>
      <c r="J1222" t="str">
        <f t="shared" si="118"/>
        <v/>
      </c>
      <c r="K1222" s="28" t="str">
        <f t="shared" si="115"/>
        <v/>
      </c>
      <c r="L1222" s="46" t="str">
        <f t="shared" si="119"/>
        <v/>
      </c>
      <c r="M1222" t="str" cm="1">
        <f t="array" ref="M1222">IF(L1222="","",_xlfn.IFS(
  AND(L1222&gt;=TIME(9,0,0), L1222&lt;TIME(16,0,0)),"Morning",
  AND(L1222&gt;=TIME(16,0,0), L1222&lt;TIME(23,59,0)),"Evening",
  L1222&gt;=TIME(23,59,0),"Night",
  L1222&lt;TIME(9,0,0),"Night"
))</f>
        <v/>
      </c>
      <c r="O1222" t="str">
        <f t="shared" si="116"/>
        <v/>
      </c>
    </row>
    <row r="1223" spans="1:15" x14ac:dyDescent="0.25">
      <c r="A1223" s="49"/>
      <c r="G1223" t="str">
        <f t="shared" si="114"/>
        <v/>
      </c>
      <c r="H1223" s="13" t="str">
        <f t="shared" si="117"/>
        <v/>
      </c>
      <c r="I1223" t="str">
        <f>IFERROR(INDEX(Analysis!$D$116:$N$137, MATCH(B1223, Analysis!$C$116:$C$137, 0), MATCH(C1223, Analysis!$D$115:$N$115, 0)), "")</f>
        <v/>
      </c>
      <c r="J1223" t="str">
        <f t="shared" si="118"/>
        <v/>
      </c>
      <c r="K1223" s="28" t="str">
        <f t="shared" si="115"/>
        <v/>
      </c>
      <c r="L1223" s="46" t="str">
        <f t="shared" si="119"/>
        <v/>
      </c>
      <c r="M1223" t="str" cm="1">
        <f t="array" ref="M1223">IF(L1223="","",_xlfn.IFS(
  AND(L1223&gt;=TIME(9,0,0), L1223&lt;TIME(16,0,0)),"Morning",
  AND(L1223&gt;=TIME(16,0,0), L1223&lt;TIME(23,59,0)),"Evening",
  L1223&gt;=TIME(23,59,0),"Night",
  L1223&lt;TIME(9,0,0),"Night"
))</f>
        <v/>
      </c>
      <c r="O1223" t="str">
        <f t="shared" si="116"/>
        <v/>
      </c>
    </row>
    <row r="1224" spans="1:15" x14ac:dyDescent="0.25">
      <c r="A1224" s="49"/>
      <c r="G1224" t="str">
        <f t="shared" si="114"/>
        <v/>
      </c>
      <c r="H1224" s="13" t="str">
        <f t="shared" si="117"/>
        <v/>
      </c>
      <c r="I1224" t="str">
        <f>IFERROR(INDEX(Analysis!$D$116:$N$137, MATCH(B1224, Analysis!$C$116:$C$137, 0), MATCH(C1224, Analysis!$D$115:$N$115, 0)), "")</f>
        <v/>
      </c>
      <c r="J1224" t="str">
        <f t="shared" si="118"/>
        <v/>
      </c>
      <c r="K1224" s="28" t="str">
        <f t="shared" si="115"/>
        <v/>
      </c>
      <c r="L1224" s="46" t="str">
        <f t="shared" si="119"/>
        <v/>
      </c>
      <c r="M1224" t="str" cm="1">
        <f t="array" ref="M1224">IF(L1224="","",_xlfn.IFS(
  AND(L1224&gt;=TIME(9,0,0), L1224&lt;TIME(16,0,0)),"Morning",
  AND(L1224&gt;=TIME(16,0,0), L1224&lt;TIME(23,59,0)),"Evening",
  L1224&gt;=TIME(23,59,0),"Night",
  L1224&lt;TIME(9,0,0),"Night"
))</f>
        <v/>
      </c>
      <c r="O1224" t="str">
        <f t="shared" si="116"/>
        <v/>
      </c>
    </row>
    <row r="1225" spans="1:15" x14ac:dyDescent="0.25">
      <c r="A1225" s="49"/>
      <c r="G1225" t="str">
        <f t="shared" si="114"/>
        <v/>
      </c>
      <c r="H1225" s="13" t="str">
        <f t="shared" si="117"/>
        <v/>
      </c>
      <c r="I1225" t="str">
        <f>IFERROR(INDEX(Analysis!$D$116:$N$137, MATCH(B1225, Analysis!$C$116:$C$137, 0), MATCH(C1225, Analysis!$D$115:$N$115, 0)), "")</f>
        <v/>
      </c>
      <c r="J1225" t="str">
        <f t="shared" si="118"/>
        <v/>
      </c>
      <c r="K1225" s="28" t="str">
        <f t="shared" si="115"/>
        <v/>
      </c>
      <c r="L1225" s="46" t="str">
        <f t="shared" si="119"/>
        <v/>
      </c>
      <c r="M1225" t="str" cm="1">
        <f t="array" ref="M1225">IF(L1225="","",_xlfn.IFS(
  AND(L1225&gt;=TIME(9,0,0), L1225&lt;TIME(16,0,0)),"Morning",
  AND(L1225&gt;=TIME(16,0,0), L1225&lt;TIME(23,59,0)),"Evening",
  L1225&gt;=TIME(23,59,0),"Night",
  L1225&lt;TIME(9,0,0),"Night"
))</f>
        <v/>
      </c>
      <c r="O1225" t="str">
        <f t="shared" si="116"/>
        <v/>
      </c>
    </row>
    <row r="1226" spans="1:15" x14ac:dyDescent="0.25">
      <c r="A1226" s="49"/>
      <c r="G1226" t="str">
        <f t="shared" si="114"/>
        <v/>
      </c>
      <c r="H1226" s="13" t="str">
        <f t="shared" si="117"/>
        <v/>
      </c>
      <c r="I1226" t="str">
        <f>IFERROR(INDEX(Analysis!$D$116:$N$137, MATCH(B1226, Analysis!$C$116:$C$137, 0), MATCH(C1226, Analysis!$D$115:$N$115, 0)), "")</f>
        <v/>
      </c>
      <c r="J1226" t="str">
        <f t="shared" si="118"/>
        <v/>
      </c>
      <c r="K1226" s="28" t="str">
        <f t="shared" si="115"/>
        <v/>
      </c>
      <c r="L1226" s="46" t="str">
        <f t="shared" si="119"/>
        <v/>
      </c>
      <c r="M1226" t="str" cm="1">
        <f t="array" ref="M1226">IF(L1226="","",_xlfn.IFS(
  AND(L1226&gt;=TIME(9,0,0), L1226&lt;TIME(16,0,0)),"Morning",
  AND(L1226&gt;=TIME(16,0,0), L1226&lt;TIME(23,59,0)),"Evening",
  L1226&gt;=TIME(23,59,0),"Night",
  L1226&lt;TIME(9,0,0),"Night"
))</f>
        <v/>
      </c>
      <c r="O1226" t="str">
        <f t="shared" si="116"/>
        <v/>
      </c>
    </row>
    <row r="1227" spans="1:15" x14ac:dyDescent="0.25">
      <c r="A1227" s="49"/>
      <c r="G1227" t="str">
        <f t="shared" si="114"/>
        <v/>
      </c>
      <c r="H1227" s="13" t="str">
        <f t="shared" si="117"/>
        <v/>
      </c>
      <c r="I1227" t="str">
        <f>IFERROR(INDEX(Analysis!$D$116:$N$137, MATCH(B1227, Analysis!$C$116:$C$137, 0), MATCH(C1227, Analysis!$D$115:$N$115, 0)), "")</f>
        <v/>
      </c>
      <c r="J1227" t="str">
        <f t="shared" si="118"/>
        <v/>
      </c>
      <c r="K1227" s="28" t="str">
        <f t="shared" si="115"/>
        <v/>
      </c>
      <c r="L1227" s="46" t="str">
        <f t="shared" si="119"/>
        <v/>
      </c>
      <c r="M1227" t="str" cm="1">
        <f t="array" ref="M1227">IF(L1227="","",_xlfn.IFS(
  AND(L1227&gt;=TIME(9,0,0), L1227&lt;TIME(16,0,0)),"Morning",
  AND(L1227&gt;=TIME(16,0,0), L1227&lt;TIME(23,59,0)),"Evening",
  L1227&gt;=TIME(23,59,0),"Night",
  L1227&lt;TIME(9,0,0),"Night"
))</f>
        <v/>
      </c>
      <c r="O1227" t="str">
        <f t="shared" si="116"/>
        <v/>
      </c>
    </row>
    <row r="1228" spans="1:15" x14ac:dyDescent="0.25">
      <c r="A1228" s="49"/>
      <c r="G1228" t="str">
        <f t="shared" si="114"/>
        <v/>
      </c>
      <c r="H1228" s="13" t="str">
        <f t="shared" si="117"/>
        <v/>
      </c>
      <c r="I1228" t="str">
        <f>IFERROR(INDEX(Analysis!$D$116:$N$137, MATCH(B1228, Analysis!$C$116:$C$137, 0), MATCH(C1228, Analysis!$D$115:$N$115, 0)), "")</f>
        <v/>
      </c>
      <c r="J1228" t="str">
        <f t="shared" si="118"/>
        <v/>
      </c>
      <c r="K1228" s="28" t="str">
        <f t="shared" si="115"/>
        <v/>
      </c>
      <c r="L1228" s="46" t="str">
        <f t="shared" si="119"/>
        <v/>
      </c>
      <c r="M1228" t="str" cm="1">
        <f t="array" ref="M1228">IF(L1228="","",_xlfn.IFS(
  AND(L1228&gt;=TIME(9,0,0), L1228&lt;TIME(16,0,0)),"Morning",
  AND(L1228&gt;=TIME(16,0,0), L1228&lt;TIME(23,59,0)),"Evening",
  L1228&gt;=TIME(23,59,0),"Night",
  L1228&lt;TIME(9,0,0),"Night"
))</f>
        <v/>
      </c>
      <c r="O1228" t="str">
        <f t="shared" si="116"/>
        <v/>
      </c>
    </row>
    <row r="1229" spans="1:15" x14ac:dyDescent="0.25">
      <c r="A1229" s="49"/>
      <c r="G1229" t="str">
        <f t="shared" si="114"/>
        <v/>
      </c>
      <c r="H1229" s="13" t="str">
        <f t="shared" si="117"/>
        <v/>
      </c>
      <c r="I1229" t="str">
        <f>IFERROR(INDEX(Analysis!$D$116:$N$137, MATCH(B1229, Analysis!$C$116:$C$137, 0), MATCH(C1229, Analysis!$D$115:$N$115, 0)), "")</f>
        <v/>
      </c>
      <c r="J1229" t="str">
        <f t="shared" si="118"/>
        <v/>
      </c>
      <c r="K1229" s="28" t="str">
        <f t="shared" si="115"/>
        <v/>
      </c>
      <c r="L1229" s="46" t="str">
        <f t="shared" si="119"/>
        <v/>
      </c>
      <c r="M1229" t="str" cm="1">
        <f t="array" ref="M1229">IF(L1229="","",_xlfn.IFS(
  AND(L1229&gt;=TIME(9,0,0), L1229&lt;TIME(16,0,0)),"Morning",
  AND(L1229&gt;=TIME(16,0,0), L1229&lt;TIME(23,59,0)),"Evening",
  L1229&gt;=TIME(23,59,0),"Night",
  L1229&lt;TIME(9,0,0),"Night"
))</f>
        <v/>
      </c>
      <c r="O1229" t="str">
        <f t="shared" si="116"/>
        <v/>
      </c>
    </row>
    <row r="1230" spans="1:15" x14ac:dyDescent="0.25">
      <c r="A1230" s="49"/>
      <c r="G1230" t="str">
        <f t="shared" si="114"/>
        <v/>
      </c>
      <c r="H1230" s="13" t="str">
        <f t="shared" si="117"/>
        <v/>
      </c>
      <c r="I1230" t="str">
        <f>IFERROR(INDEX(Analysis!$D$116:$N$137, MATCH(B1230, Analysis!$C$116:$C$137, 0), MATCH(C1230, Analysis!$D$115:$N$115, 0)), "")</f>
        <v/>
      </c>
      <c r="J1230" t="str">
        <f t="shared" si="118"/>
        <v/>
      </c>
      <c r="K1230" s="28" t="str">
        <f t="shared" si="115"/>
        <v/>
      </c>
      <c r="L1230" s="46" t="str">
        <f t="shared" si="119"/>
        <v/>
      </c>
      <c r="M1230" t="str" cm="1">
        <f t="array" ref="M1230">IF(L1230="","",_xlfn.IFS(
  AND(L1230&gt;=TIME(9,0,0), L1230&lt;TIME(16,0,0)),"Morning",
  AND(L1230&gt;=TIME(16,0,0), L1230&lt;TIME(23,59,0)),"Evening",
  L1230&gt;=TIME(23,59,0),"Night",
  L1230&lt;TIME(9,0,0),"Night"
))</f>
        <v/>
      </c>
      <c r="O1230" t="str">
        <f t="shared" si="116"/>
        <v/>
      </c>
    </row>
    <row r="1231" spans="1:15" x14ac:dyDescent="0.25">
      <c r="A1231" s="49"/>
      <c r="G1231" t="str">
        <f t="shared" si="114"/>
        <v/>
      </c>
      <c r="H1231" s="13" t="str">
        <f t="shared" si="117"/>
        <v/>
      </c>
      <c r="I1231" t="str">
        <f>IFERROR(INDEX(Analysis!$D$116:$N$137, MATCH(B1231, Analysis!$C$116:$C$137, 0), MATCH(C1231, Analysis!$D$115:$N$115, 0)), "")</f>
        <v/>
      </c>
      <c r="J1231" t="str">
        <f t="shared" si="118"/>
        <v/>
      </c>
      <c r="K1231" s="28" t="str">
        <f t="shared" si="115"/>
        <v/>
      </c>
      <c r="L1231" s="46" t="str">
        <f t="shared" si="119"/>
        <v/>
      </c>
      <c r="M1231" t="str" cm="1">
        <f t="array" ref="M1231">IF(L1231="","",_xlfn.IFS(
  AND(L1231&gt;=TIME(9,0,0), L1231&lt;TIME(16,0,0)),"Morning",
  AND(L1231&gt;=TIME(16,0,0), L1231&lt;TIME(23,59,0)),"Evening",
  L1231&gt;=TIME(23,59,0),"Night",
  L1231&lt;TIME(9,0,0),"Night"
))</f>
        <v/>
      </c>
      <c r="O1231" t="str">
        <f t="shared" si="116"/>
        <v/>
      </c>
    </row>
    <row r="1232" spans="1:15" x14ac:dyDescent="0.25">
      <c r="A1232" s="49"/>
      <c r="G1232" t="str">
        <f t="shared" si="114"/>
        <v/>
      </c>
      <c r="H1232" s="13" t="str">
        <f t="shared" si="117"/>
        <v/>
      </c>
      <c r="I1232" t="str">
        <f>IFERROR(INDEX(Analysis!$D$116:$N$137, MATCH(B1232, Analysis!$C$116:$C$137, 0), MATCH(C1232, Analysis!$D$115:$N$115, 0)), "")</f>
        <v/>
      </c>
      <c r="J1232" t="str">
        <f t="shared" si="118"/>
        <v/>
      </c>
      <c r="K1232" s="28" t="str">
        <f t="shared" si="115"/>
        <v/>
      </c>
      <c r="L1232" s="46" t="str">
        <f t="shared" si="119"/>
        <v/>
      </c>
      <c r="M1232" t="str" cm="1">
        <f t="array" ref="M1232">IF(L1232="","",_xlfn.IFS(
  AND(L1232&gt;=TIME(9,0,0), L1232&lt;TIME(16,0,0)),"Morning",
  AND(L1232&gt;=TIME(16,0,0), L1232&lt;TIME(23,59,0)),"Evening",
  L1232&gt;=TIME(23,59,0),"Night",
  L1232&lt;TIME(9,0,0),"Night"
))</f>
        <v/>
      </c>
      <c r="O1232" t="str">
        <f t="shared" si="116"/>
        <v/>
      </c>
    </row>
    <row r="1233" spans="1:15" x14ac:dyDescent="0.25">
      <c r="A1233" s="49"/>
      <c r="G1233" t="str">
        <f t="shared" si="114"/>
        <v/>
      </c>
      <c r="H1233" s="13" t="str">
        <f t="shared" si="117"/>
        <v/>
      </c>
      <c r="I1233" t="str">
        <f>IFERROR(INDEX(Analysis!$D$116:$N$137, MATCH(B1233, Analysis!$C$116:$C$137, 0), MATCH(C1233, Analysis!$D$115:$N$115, 0)), "")</f>
        <v/>
      </c>
      <c r="J1233" t="str">
        <f t="shared" si="118"/>
        <v/>
      </c>
      <c r="K1233" s="28" t="str">
        <f t="shared" si="115"/>
        <v/>
      </c>
      <c r="L1233" s="46" t="str">
        <f t="shared" si="119"/>
        <v/>
      </c>
      <c r="M1233" t="str" cm="1">
        <f t="array" ref="M1233">IF(L1233="","",_xlfn.IFS(
  AND(L1233&gt;=TIME(9,0,0), L1233&lt;TIME(16,0,0)),"Morning",
  AND(L1233&gt;=TIME(16,0,0), L1233&lt;TIME(23,59,0)),"Evening",
  L1233&gt;=TIME(23,59,0),"Night",
  L1233&lt;TIME(9,0,0),"Night"
))</f>
        <v/>
      </c>
      <c r="O1233" t="str">
        <f t="shared" si="116"/>
        <v/>
      </c>
    </row>
    <row r="1234" spans="1:15" x14ac:dyDescent="0.25">
      <c r="A1234" s="49"/>
      <c r="G1234" t="str">
        <f t="shared" si="114"/>
        <v/>
      </c>
      <c r="H1234" s="13" t="str">
        <f t="shared" si="117"/>
        <v/>
      </c>
      <c r="I1234" t="str">
        <f>IFERROR(INDEX(Analysis!$D$116:$N$137, MATCH(B1234, Analysis!$C$116:$C$137, 0), MATCH(C1234, Analysis!$D$115:$N$115, 0)), "")</f>
        <v/>
      </c>
      <c r="J1234" t="str">
        <f t="shared" si="118"/>
        <v/>
      </c>
      <c r="K1234" s="28" t="str">
        <f t="shared" si="115"/>
        <v/>
      </c>
      <c r="L1234" s="46" t="str">
        <f t="shared" si="119"/>
        <v/>
      </c>
      <c r="M1234" t="str" cm="1">
        <f t="array" ref="M1234">IF(L1234="","",_xlfn.IFS(
  AND(L1234&gt;=TIME(9,0,0), L1234&lt;TIME(16,0,0)),"Morning",
  AND(L1234&gt;=TIME(16,0,0), L1234&lt;TIME(23,59,0)),"Evening",
  L1234&gt;=TIME(23,59,0),"Night",
  L1234&lt;TIME(9,0,0),"Night"
))</f>
        <v/>
      </c>
      <c r="O1234" t="str">
        <f t="shared" si="116"/>
        <v/>
      </c>
    </row>
    <row r="1235" spans="1:15" x14ac:dyDescent="0.25">
      <c r="A1235" s="49"/>
      <c r="G1235" t="str">
        <f t="shared" si="114"/>
        <v/>
      </c>
      <c r="H1235" s="13" t="str">
        <f t="shared" si="117"/>
        <v/>
      </c>
      <c r="I1235" t="str">
        <f>IFERROR(INDEX(Analysis!$D$116:$N$137, MATCH(B1235, Analysis!$C$116:$C$137, 0), MATCH(C1235, Analysis!$D$115:$N$115, 0)), "")</f>
        <v/>
      </c>
      <c r="J1235" t="str">
        <f t="shared" si="118"/>
        <v/>
      </c>
      <c r="K1235" s="28" t="str">
        <f t="shared" si="115"/>
        <v/>
      </c>
      <c r="L1235" s="46" t="str">
        <f t="shared" si="119"/>
        <v/>
      </c>
      <c r="M1235" t="str" cm="1">
        <f t="array" ref="M1235">IF(L1235="","",_xlfn.IFS(
  AND(L1235&gt;=TIME(9,0,0), L1235&lt;TIME(16,0,0)),"Morning",
  AND(L1235&gt;=TIME(16,0,0), L1235&lt;TIME(23,59,0)),"Evening",
  L1235&gt;=TIME(23,59,0),"Night",
  L1235&lt;TIME(9,0,0),"Night"
))</f>
        <v/>
      </c>
      <c r="O1235" t="str">
        <f t="shared" si="116"/>
        <v/>
      </c>
    </row>
    <row r="1236" spans="1:15" x14ac:dyDescent="0.25">
      <c r="A1236" s="49"/>
      <c r="G1236" t="str">
        <f t="shared" si="114"/>
        <v/>
      </c>
      <c r="H1236" s="13" t="str">
        <f t="shared" si="117"/>
        <v/>
      </c>
      <c r="I1236" t="str">
        <f>IFERROR(INDEX(Analysis!$D$116:$N$137, MATCH(B1236, Analysis!$C$116:$C$137, 0), MATCH(C1236, Analysis!$D$115:$N$115, 0)), "")</f>
        <v/>
      </c>
      <c r="J1236" t="str">
        <f t="shared" si="118"/>
        <v/>
      </c>
      <c r="K1236" s="28" t="str">
        <f t="shared" si="115"/>
        <v/>
      </c>
      <c r="L1236" s="46" t="str">
        <f t="shared" si="119"/>
        <v/>
      </c>
      <c r="M1236" t="str" cm="1">
        <f t="array" ref="M1236">IF(L1236="","",_xlfn.IFS(
  AND(L1236&gt;=TIME(9,0,0), L1236&lt;TIME(16,0,0)),"Morning",
  AND(L1236&gt;=TIME(16,0,0), L1236&lt;TIME(23,59,0)),"Evening",
  L1236&gt;=TIME(23,59,0),"Night",
  L1236&lt;TIME(9,0,0),"Night"
))</f>
        <v/>
      </c>
      <c r="O1236" t="str">
        <f t="shared" si="116"/>
        <v/>
      </c>
    </row>
    <row r="1237" spans="1:15" x14ac:dyDescent="0.25">
      <c r="A1237" s="49"/>
      <c r="G1237" t="str">
        <f t="shared" si="114"/>
        <v/>
      </c>
      <c r="H1237" s="13" t="str">
        <f t="shared" si="117"/>
        <v/>
      </c>
      <c r="I1237" t="str">
        <f>IFERROR(INDEX(Analysis!$D$116:$N$137, MATCH(B1237, Analysis!$C$116:$C$137, 0), MATCH(C1237, Analysis!$D$115:$N$115, 0)), "")</f>
        <v/>
      </c>
      <c r="J1237" t="str">
        <f t="shared" si="118"/>
        <v/>
      </c>
      <c r="K1237" s="28" t="str">
        <f t="shared" si="115"/>
        <v/>
      </c>
      <c r="L1237" s="46" t="str">
        <f t="shared" si="119"/>
        <v/>
      </c>
      <c r="M1237" t="str" cm="1">
        <f t="array" ref="M1237">IF(L1237="","",_xlfn.IFS(
  AND(L1237&gt;=TIME(9,0,0), L1237&lt;TIME(16,0,0)),"Morning",
  AND(L1237&gt;=TIME(16,0,0), L1237&lt;TIME(23,59,0)),"Evening",
  L1237&gt;=TIME(23,59,0),"Night",
  L1237&lt;TIME(9,0,0),"Night"
))</f>
        <v/>
      </c>
      <c r="O1237" t="str">
        <f t="shared" si="116"/>
        <v/>
      </c>
    </row>
    <row r="1238" spans="1:15" x14ac:dyDescent="0.25">
      <c r="A1238" s="49"/>
      <c r="G1238" t="str">
        <f t="shared" si="114"/>
        <v/>
      </c>
      <c r="H1238" s="13" t="str">
        <f t="shared" si="117"/>
        <v/>
      </c>
      <c r="I1238" t="str">
        <f>IFERROR(INDEX(Analysis!$D$116:$N$137, MATCH(B1238, Analysis!$C$116:$C$137, 0), MATCH(C1238, Analysis!$D$115:$N$115, 0)), "")</f>
        <v/>
      </c>
      <c r="J1238" t="str">
        <f t="shared" si="118"/>
        <v/>
      </c>
      <c r="K1238" s="28" t="str">
        <f t="shared" si="115"/>
        <v/>
      </c>
      <c r="L1238" s="46" t="str">
        <f t="shared" si="119"/>
        <v/>
      </c>
      <c r="M1238" t="str" cm="1">
        <f t="array" ref="M1238">IF(L1238="","",_xlfn.IFS(
  AND(L1238&gt;=TIME(9,0,0), L1238&lt;TIME(16,0,0)),"Morning",
  AND(L1238&gt;=TIME(16,0,0), L1238&lt;TIME(23,59,0)),"Evening",
  L1238&gt;=TIME(23,59,0),"Night",
  L1238&lt;TIME(9,0,0),"Night"
))</f>
        <v/>
      </c>
      <c r="O1238" t="str">
        <f t="shared" si="116"/>
        <v/>
      </c>
    </row>
    <row r="1239" spans="1:15" x14ac:dyDescent="0.25">
      <c r="A1239" s="49"/>
      <c r="G1239" t="str">
        <f t="shared" si="114"/>
        <v/>
      </c>
      <c r="H1239" s="13" t="str">
        <f t="shared" si="117"/>
        <v/>
      </c>
      <c r="I1239" t="str">
        <f>IFERROR(INDEX(Analysis!$D$116:$N$137, MATCH(B1239, Analysis!$C$116:$C$137, 0), MATCH(C1239, Analysis!$D$115:$N$115, 0)), "")</f>
        <v/>
      </c>
      <c r="J1239" t="str">
        <f t="shared" si="118"/>
        <v/>
      </c>
      <c r="K1239" s="28" t="str">
        <f t="shared" si="115"/>
        <v/>
      </c>
      <c r="L1239" s="46" t="str">
        <f t="shared" si="119"/>
        <v/>
      </c>
      <c r="M1239" t="str" cm="1">
        <f t="array" ref="M1239">IF(L1239="","",_xlfn.IFS(
  AND(L1239&gt;=TIME(9,0,0), L1239&lt;TIME(16,0,0)),"Morning",
  AND(L1239&gt;=TIME(16,0,0), L1239&lt;TIME(23,59,0)),"Evening",
  L1239&gt;=TIME(23,59,0),"Night",
  L1239&lt;TIME(9,0,0),"Night"
))</f>
        <v/>
      </c>
      <c r="O1239" t="str">
        <f t="shared" si="116"/>
        <v/>
      </c>
    </row>
    <row r="1240" spans="1:15" x14ac:dyDescent="0.25">
      <c r="A1240" s="49"/>
      <c r="G1240" t="str">
        <f t="shared" si="114"/>
        <v/>
      </c>
      <c r="H1240" s="13" t="str">
        <f t="shared" si="117"/>
        <v/>
      </c>
      <c r="I1240" t="str">
        <f>IFERROR(INDEX(Analysis!$D$116:$N$137, MATCH(B1240, Analysis!$C$116:$C$137, 0), MATCH(C1240, Analysis!$D$115:$N$115, 0)), "")</f>
        <v/>
      </c>
      <c r="J1240" t="str">
        <f t="shared" si="118"/>
        <v/>
      </c>
      <c r="K1240" s="28" t="str">
        <f t="shared" si="115"/>
        <v/>
      </c>
      <c r="L1240" s="46" t="str">
        <f t="shared" si="119"/>
        <v/>
      </c>
      <c r="M1240" t="str" cm="1">
        <f t="array" ref="M1240">IF(L1240="","",_xlfn.IFS(
  AND(L1240&gt;=TIME(9,0,0), L1240&lt;TIME(16,0,0)),"Morning",
  AND(L1240&gt;=TIME(16,0,0), L1240&lt;TIME(23,59,0)),"Evening",
  L1240&gt;=TIME(23,59,0),"Night",
  L1240&lt;TIME(9,0,0),"Night"
))</f>
        <v/>
      </c>
      <c r="O1240" t="str">
        <f t="shared" si="116"/>
        <v/>
      </c>
    </row>
    <row r="1241" spans="1:15" x14ac:dyDescent="0.25">
      <c r="A1241" s="49"/>
      <c r="G1241" t="str">
        <f t="shared" si="114"/>
        <v/>
      </c>
      <c r="H1241" s="13" t="str">
        <f t="shared" si="117"/>
        <v/>
      </c>
      <c r="I1241" t="str">
        <f>IFERROR(INDEX(Analysis!$D$116:$N$137, MATCH(B1241, Analysis!$C$116:$C$137, 0), MATCH(C1241, Analysis!$D$115:$N$115, 0)), "")</f>
        <v/>
      </c>
      <c r="J1241" t="str">
        <f t="shared" si="118"/>
        <v/>
      </c>
      <c r="K1241" s="28" t="str">
        <f t="shared" si="115"/>
        <v/>
      </c>
      <c r="L1241" s="46" t="str">
        <f t="shared" si="119"/>
        <v/>
      </c>
      <c r="M1241" t="str" cm="1">
        <f t="array" ref="M1241">IF(L1241="","",_xlfn.IFS(
  AND(L1241&gt;=TIME(9,0,0), L1241&lt;TIME(16,0,0)),"Morning",
  AND(L1241&gt;=TIME(16,0,0), L1241&lt;TIME(23,59,0)),"Evening",
  L1241&gt;=TIME(23,59,0),"Night",
  L1241&lt;TIME(9,0,0),"Night"
))</f>
        <v/>
      </c>
      <c r="O1241" t="str">
        <f t="shared" si="116"/>
        <v/>
      </c>
    </row>
    <row r="1242" spans="1:15" x14ac:dyDescent="0.25">
      <c r="A1242" s="49"/>
      <c r="G1242" t="str">
        <f t="shared" si="114"/>
        <v/>
      </c>
      <c r="H1242" s="13" t="str">
        <f t="shared" si="117"/>
        <v/>
      </c>
      <c r="I1242" t="str">
        <f>IFERROR(INDEX(Analysis!$D$116:$N$137, MATCH(B1242, Analysis!$C$116:$C$137, 0), MATCH(C1242, Analysis!$D$115:$N$115, 0)), "")</f>
        <v/>
      </c>
      <c r="J1242" t="str">
        <f t="shared" si="118"/>
        <v/>
      </c>
      <c r="K1242" s="28" t="str">
        <f t="shared" si="115"/>
        <v/>
      </c>
      <c r="L1242" s="46" t="str">
        <f t="shared" si="119"/>
        <v/>
      </c>
      <c r="M1242" t="str" cm="1">
        <f t="array" ref="M1242">IF(L1242="","",_xlfn.IFS(
  AND(L1242&gt;=TIME(9,0,0), L1242&lt;TIME(16,0,0)),"Morning",
  AND(L1242&gt;=TIME(16,0,0), L1242&lt;TIME(23,59,0)),"Evening",
  L1242&gt;=TIME(23,59,0),"Night",
  L1242&lt;TIME(9,0,0),"Night"
))</f>
        <v/>
      </c>
      <c r="O1242" t="str">
        <f t="shared" si="116"/>
        <v/>
      </c>
    </row>
    <row r="1243" spans="1:15" x14ac:dyDescent="0.25">
      <c r="A1243" s="49"/>
      <c r="G1243" t="str">
        <f t="shared" si="114"/>
        <v/>
      </c>
      <c r="H1243" s="13" t="str">
        <f t="shared" si="117"/>
        <v/>
      </c>
      <c r="I1243" t="str">
        <f>IFERROR(INDEX(Analysis!$D$116:$N$137, MATCH(B1243, Analysis!$C$116:$C$137, 0), MATCH(C1243, Analysis!$D$115:$N$115, 0)), "")</f>
        <v/>
      </c>
      <c r="J1243" t="str">
        <f t="shared" si="118"/>
        <v/>
      </c>
      <c r="K1243" s="28" t="str">
        <f t="shared" si="115"/>
        <v/>
      </c>
      <c r="L1243" s="46" t="str">
        <f t="shared" si="119"/>
        <v/>
      </c>
      <c r="M1243" t="str" cm="1">
        <f t="array" ref="M1243">IF(L1243="","",_xlfn.IFS(
  AND(L1243&gt;=TIME(9,0,0), L1243&lt;TIME(16,0,0)),"Morning",
  AND(L1243&gt;=TIME(16,0,0), L1243&lt;TIME(23,59,0)),"Evening",
  L1243&gt;=TIME(23,59,0),"Night",
  L1243&lt;TIME(9,0,0),"Night"
))</f>
        <v/>
      </c>
      <c r="O1243" t="str">
        <f t="shared" si="116"/>
        <v/>
      </c>
    </row>
    <row r="1244" spans="1:15" x14ac:dyDescent="0.25">
      <c r="A1244" s="49"/>
      <c r="G1244" t="str">
        <f t="shared" si="114"/>
        <v/>
      </c>
      <c r="H1244" s="13" t="str">
        <f t="shared" si="117"/>
        <v/>
      </c>
      <c r="I1244" t="str">
        <f>IFERROR(INDEX(Analysis!$D$116:$N$137, MATCH(B1244, Analysis!$C$116:$C$137, 0), MATCH(C1244, Analysis!$D$115:$N$115, 0)), "")</f>
        <v/>
      </c>
      <c r="J1244" t="str">
        <f t="shared" si="118"/>
        <v/>
      </c>
      <c r="K1244" s="28" t="str">
        <f t="shared" si="115"/>
        <v/>
      </c>
      <c r="L1244" s="46" t="str">
        <f t="shared" si="119"/>
        <v/>
      </c>
      <c r="M1244" t="str" cm="1">
        <f t="array" ref="M1244">IF(L1244="","",_xlfn.IFS(
  AND(L1244&gt;=TIME(9,0,0), L1244&lt;TIME(16,0,0)),"Morning",
  AND(L1244&gt;=TIME(16,0,0), L1244&lt;TIME(23,59,0)),"Evening",
  L1244&gt;=TIME(23,59,0),"Night",
  L1244&lt;TIME(9,0,0),"Night"
))</f>
        <v/>
      </c>
      <c r="O1244" t="str">
        <f t="shared" si="116"/>
        <v/>
      </c>
    </row>
    <row r="1245" spans="1:15" x14ac:dyDescent="0.25">
      <c r="A1245" s="49"/>
      <c r="G1245" t="str">
        <f t="shared" si="114"/>
        <v/>
      </c>
      <c r="H1245" s="13" t="str">
        <f t="shared" si="117"/>
        <v/>
      </c>
      <c r="I1245" t="str">
        <f>IFERROR(INDEX(Analysis!$D$116:$N$137, MATCH(B1245, Analysis!$C$116:$C$137, 0), MATCH(C1245, Analysis!$D$115:$N$115, 0)), "")</f>
        <v/>
      </c>
      <c r="J1245" t="str">
        <f t="shared" si="118"/>
        <v/>
      </c>
      <c r="K1245" s="28" t="str">
        <f t="shared" si="115"/>
        <v/>
      </c>
      <c r="L1245" s="46" t="str">
        <f t="shared" si="119"/>
        <v/>
      </c>
      <c r="M1245" t="str" cm="1">
        <f t="array" ref="M1245">IF(L1245="","",_xlfn.IFS(
  AND(L1245&gt;=TIME(9,0,0), L1245&lt;TIME(16,0,0)),"Morning",
  AND(L1245&gt;=TIME(16,0,0), L1245&lt;TIME(23,59,0)),"Evening",
  L1245&gt;=TIME(23,59,0),"Night",
  L1245&lt;TIME(9,0,0),"Night"
))</f>
        <v/>
      </c>
      <c r="O1245" t="str">
        <f t="shared" si="116"/>
        <v/>
      </c>
    </row>
    <row r="1246" spans="1:15" x14ac:dyDescent="0.25">
      <c r="A1246" s="49"/>
      <c r="G1246" t="str">
        <f t="shared" si="114"/>
        <v/>
      </c>
      <c r="H1246" s="13" t="str">
        <f t="shared" si="117"/>
        <v/>
      </c>
      <c r="I1246" t="str">
        <f>IFERROR(INDEX(Analysis!$D$116:$N$137, MATCH(B1246, Analysis!$C$116:$C$137, 0), MATCH(C1246, Analysis!$D$115:$N$115, 0)), "")</f>
        <v/>
      </c>
      <c r="J1246" t="str">
        <f t="shared" si="118"/>
        <v/>
      </c>
      <c r="K1246" s="28" t="str">
        <f t="shared" si="115"/>
        <v/>
      </c>
      <c r="L1246" s="46" t="str">
        <f t="shared" si="119"/>
        <v/>
      </c>
      <c r="M1246" t="str" cm="1">
        <f t="array" ref="M1246">IF(L1246="","",_xlfn.IFS(
  AND(L1246&gt;=TIME(9,0,0), L1246&lt;TIME(16,0,0)),"Morning",
  AND(L1246&gt;=TIME(16,0,0), L1246&lt;TIME(23,59,0)),"Evening",
  L1246&gt;=TIME(23,59,0),"Night",
  L1246&lt;TIME(9,0,0),"Night"
))</f>
        <v/>
      </c>
      <c r="O1246" t="str">
        <f t="shared" si="116"/>
        <v/>
      </c>
    </row>
    <row r="1247" spans="1:15" x14ac:dyDescent="0.25">
      <c r="A1247" s="49"/>
      <c r="G1247" t="str">
        <f t="shared" si="114"/>
        <v/>
      </c>
      <c r="H1247" s="13" t="str">
        <f t="shared" si="117"/>
        <v/>
      </c>
      <c r="I1247" t="str">
        <f>IFERROR(INDEX(Analysis!$D$116:$N$137, MATCH(B1247, Analysis!$C$116:$C$137, 0), MATCH(C1247, Analysis!$D$115:$N$115, 0)), "")</f>
        <v/>
      </c>
      <c r="J1247" t="str">
        <f t="shared" si="118"/>
        <v/>
      </c>
      <c r="K1247" s="28" t="str">
        <f t="shared" si="115"/>
        <v/>
      </c>
      <c r="L1247" s="46" t="str">
        <f t="shared" si="119"/>
        <v/>
      </c>
      <c r="M1247" t="str" cm="1">
        <f t="array" ref="M1247">IF(L1247="","",_xlfn.IFS(
  AND(L1247&gt;=TIME(9,0,0), L1247&lt;TIME(16,0,0)),"Morning",
  AND(L1247&gt;=TIME(16,0,0), L1247&lt;TIME(23,59,0)),"Evening",
  L1247&gt;=TIME(23,59,0),"Night",
  L1247&lt;TIME(9,0,0),"Night"
))</f>
        <v/>
      </c>
      <c r="O1247" t="str">
        <f t="shared" si="116"/>
        <v/>
      </c>
    </row>
    <row r="1248" spans="1:15" x14ac:dyDescent="0.25">
      <c r="A1248" s="49"/>
      <c r="G1248" t="str">
        <f t="shared" si="114"/>
        <v/>
      </c>
      <c r="H1248" s="13" t="str">
        <f t="shared" si="117"/>
        <v/>
      </c>
      <c r="I1248" t="str">
        <f>IFERROR(INDEX(Analysis!$D$116:$N$137, MATCH(B1248, Analysis!$C$116:$C$137, 0), MATCH(C1248, Analysis!$D$115:$N$115, 0)), "")</f>
        <v/>
      </c>
      <c r="J1248" t="str">
        <f t="shared" si="118"/>
        <v/>
      </c>
      <c r="K1248" s="28" t="str">
        <f t="shared" si="115"/>
        <v/>
      </c>
      <c r="L1248" s="46" t="str">
        <f t="shared" si="119"/>
        <v/>
      </c>
      <c r="M1248" t="str" cm="1">
        <f t="array" ref="M1248">IF(L1248="","",_xlfn.IFS(
  AND(L1248&gt;=TIME(9,0,0), L1248&lt;TIME(16,0,0)),"Morning",
  AND(L1248&gt;=TIME(16,0,0), L1248&lt;TIME(23,59,0)),"Evening",
  L1248&gt;=TIME(23,59,0),"Night",
  L1248&lt;TIME(9,0,0),"Night"
))</f>
        <v/>
      </c>
      <c r="O1248" t="str">
        <f t="shared" si="116"/>
        <v/>
      </c>
    </row>
    <row r="1249" spans="1:15" x14ac:dyDescent="0.25">
      <c r="A1249" s="49"/>
      <c r="G1249" t="str">
        <f t="shared" si="114"/>
        <v/>
      </c>
      <c r="H1249" s="13" t="str">
        <f t="shared" si="117"/>
        <v/>
      </c>
      <c r="I1249" t="str">
        <f>IFERROR(INDEX(Analysis!$D$116:$N$137, MATCH(B1249, Analysis!$C$116:$C$137, 0), MATCH(C1249, Analysis!$D$115:$N$115, 0)), "")</f>
        <v/>
      </c>
      <c r="J1249" t="str">
        <f t="shared" si="118"/>
        <v/>
      </c>
      <c r="K1249" s="28" t="str">
        <f t="shared" si="115"/>
        <v/>
      </c>
      <c r="L1249" s="46" t="str">
        <f t="shared" si="119"/>
        <v/>
      </c>
      <c r="M1249" t="str" cm="1">
        <f t="array" ref="M1249">IF(L1249="","",_xlfn.IFS(
  AND(L1249&gt;=TIME(9,0,0), L1249&lt;TIME(16,0,0)),"Morning",
  AND(L1249&gt;=TIME(16,0,0), L1249&lt;TIME(23,59,0)),"Evening",
  L1249&gt;=TIME(23,59,0),"Night",
  L1249&lt;TIME(9,0,0),"Night"
))</f>
        <v/>
      </c>
      <c r="O1249" t="str">
        <f t="shared" si="116"/>
        <v/>
      </c>
    </row>
    <row r="1250" spans="1:15" x14ac:dyDescent="0.25">
      <c r="A1250" s="49"/>
      <c r="G1250" t="str">
        <f t="shared" si="114"/>
        <v/>
      </c>
      <c r="H1250" s="13" t="str">
        <f t="shared" si="117"/>
        <v/>
      </c>
      <c r="I1250" t="str">
        <f>IFERROR(INDEX(Analysis!$D$116:$N$137, MATCH(B1250, Analysis!$C$116:$C$137, 0), MATCH(C1250, Analysis!$D$115:$N$115, 0)), "")</f>
        <v/>
      </c>
      <c r="J1250" t="str">
        <f t="shared" si="118"/>
        <v/>
      </c>
      <c r="K1250" s="28" t="str">
        <f t="shared" si="115"/>
        <v/>
      </c>
      <c r="L1250" s="46" t="str">
        <f t="shared" si="119"/>
        <v/>
      </c>
      <c r="M1250" t="str" cm="1">
        <f t="array" ref="M1250">IF(L1250="","",_xlfn.IFS(
  AND(L1250&gt;=TIME(9,0,0), L1250&lt;TIME(16,0,0)),"Morning",
  AND(L1250&gt;=TIME(16,0,0), L1250&lt;TIME(23,59,0)),"Evening",
  L1250&gt;=TIME(23,59,0),"Night",
  L1250&lt;TIME(9,0,0),"Night"
))</f>
        <v/>
      </c>
      <c r="O1250" t="str">
        <f t="shared" si="116"/>
        <v/>
      </c>
    </row>
    <row r="1251" spans="1:15" x14ac:dyDescent="0.25">
      <c r="A1251" s="49"/>
      <c r="G1251" t="str">
        <f t="shared" si="114"/>
        <v/>
      </c>
      <c r="H1251" s="13" t="str">
        <f t="shared" si="117"/>
        <v/>
      </c>
      <c r="I1251" t="str">
        <f>IFERROR(INDEX(Analysis!$D$116:$N$137, MATCH(B1251, Analysis!$C$116:$C$137, 0), MATCH(C1251, Analysis!$D$115:$N$115, 0)), "")</f>
        <v/>
      </c>
      <c r="J1251" t="str">
        <f t="shared" si="118"/>
        <v/>
      </c>
      <c r="K1251" s="28" t="str">
        <f t="shared" si="115"/>
        <v/>
      </c>
      <c r="L1251" s="46" t="str">
        <f t="shared" si="119"/>
        <v/>
      </c>
      <c r="M1251" t="str" cm="1">
        <f t="array" ref="M1251">IF(L1251="","",_xlfn.IFS(
  AND(L1251&gt;=TIME(9,0,0), L1251&lt;TIME(16,0,0)),"Morning",
  AND(L1251&gt;=TIME(16,0,0), L1251&lt;TIME(23,59,0)),"Evening",
  L1251&gt;=TIME(23,59,0),"Night",
  L1251&lt;TIME(9,0,0),"Night"
))</f>
        <v/>
      </c>
      <c r="O1251" t="str">
        <f t="shared" si="116"/>
        <v/>
      </c>
    </row>
    <row r="1252" spans="1:15" x14ac:dyDescent="0.25">
      <c r="A1252" s="49"/>
      <c r="G1252" t="str">
        <f t="shared" si="114"/>
        <v/>
      </c>
      <c r="H1252" s="13" t="str">
        <f t="shared" si="117"/>
        <v/>
      </c>
      <c r="I1252" t="str">
        <f>IFERROR(INDEX(Analysis!$D$116:$N$137, MATCH(B1252, Analysis!$C$116:$C$137, 0), MATCH(C1252, Analysis!$D$115:$N$115, 0)), "")</f>
        <v/>
      </c>
      <c r="J1252" t="str">
        <f t="shared" si="118"/>
        <v/>
      </c>
      <c r="K1252" s="28" t="str">
        <f t="shared" si="115"/>
        <v/>
      </c>
      <c r="L1252" s="46" t="str">
        <f t="shared" si="119"/>
        <v/>
      </c>
      <c r="M1252" t="str" cm="1">
        <f t="array" ref="M1252">IF(L1252="","",_xlfn.IFS(
  AND(L1252&gt;=TIME(9,0,0), L1252&lt;TIME(16,0,0)),"Morning",
  AND(L1252&gt;=TIME(16,0,0), L1252&lt;TIME(23,59,0)),"Evening",
  L1252&gt;=TIME(23,59,0),"Night",
  L1252&lt;TIME(9,0,0),"Night"
))</f>
        <v/>
      </c>
      <c r="O1252" t="str">
        <f t="shared" si="116"/>
        <v/>
      </c>
    </row>
    <row r="1253" spans="1:15" x14ac:dyDescent="0.25">
      <c r="A1253" s="49"/>
      <c r="G1253" t="str">
        <f t="shared" si="114"/>
        <v/>
      </c>
      <c r="H1253" s="13" t="str">
        <f t="shared" si="117"/>
        <v/>
      </c>
      <c r="I1253" t="str">
        <f>IFERROR(INDEX(Analysis!$D$116:$N$137, MATCH(B1253, Analysis!$C$116:$C$137, 0), MATCH(C1253, Analysis!$D$115:$N$115, 0)), "")</f>
        <v/>
      </c>
      <c r="J1253" t="str">
        <f t="shared" si="118"/>
        <v/>
      </c>
      <c r="K1253" s="28" t="str">
        <f t="shared" si="115"/>
        <v/>
      </c>
      <c r="L1253" s="46" t="str">
        <f t="shared" si="119"/>
        <v/>
      </c>
      <c r="M1253" t="str" cm="1">
        <f t="array" ref="M1253">IF(L1253="","",_xlfn.IFS(
  AND(L1253&gt;=TIME(9,0,0), L1253&lt;TIME(16,0,0)),"Morning",
  AND(L1253&gt;=TIME(16,0,0), L1253&lt;TIME(23,59,0)),"Evening",
  L1253&gt;=TIME(23,59,0),"Night",
  L1253&lt;TIME(9,0,0),"Night"
))</f>
        <v/>
      </c>
      <c r="O1253" t="str">
        <f t="shared" si="116"/>
        <v/>
      </c>
    </row>
    <row r="1254" spans="1:15" x14ac:dyDescent="0.25">
      <c r="A1254" s="49"/>
      <c r="G1254" t="str">
        <f t="shared" si="114"/>
        <v/>
      </c>
      <c r="H1254" s="13" t="str">
        <f t="shared" si="117"/>
        <v/>
      </c>
      <c r="I1254" t="str">
        <f>IFERROR(INDEX(Analysis!$D$116:$N$137, MATCH(B1254, Analysis!$C$116:$C$137, 0), MATCH(C1254, Analysis!$D$115:$N$115, 0)), "")</f>
        <v/>
      </c>
      <c r="J1254" t="str">
        <f t="shared" si="118"/>
        <v/>
      </c>
      <c r="K1254" s="28" t="str">
        <f t="shared" si="115"/>
        <v/>
      </c>
      <c r="L1254" s="46" t="str">
        <f t="shared" si="119"/>
        <v/>
      </c>
      <c r="M1254" t="str" cm="1">
        <f t="array" ref="M1254">IF(L1254="","",_xlfn.IFS(
  AND(L1254&gt;=TIME(9,0,0), L1254&lt;TIME(16,0,0)),"Morning",
  AND(L1254&gt;=TIME(16,0,0), L1254&lt;TIME(23,59,0)),"Evening",
  L1254&gt;=TIME(23,59,0),"Night",
  L1254&lt;TIME(9,0,0),"Night"
))</f>
        <v/>
      </c>
      <c r="O1254" t="str">
        <f t="shared" si="116"/>
        <v/>
      </c>
    </row>
    <row r="1255" spans="1:15" x14ac:dyDescent="0.25">
      <c r="A1255" s="49"/>
      <c r="G1255" t="str">
        <f t="shared" si="114"/>
        <v/>
      </c>
      <c r="H1255" s="13" t="str">
        <f t="shared" si="117"/>
        <v/>
      </c>
      <c r="I1255" t="str">
        <f>IFERROR(INDEX(Analysis!$D$116:$N$137, MATCH(B1255, Analysis!$C$116:$C$137, 0), MATCH(C1255, Analysis!$D$115:$N$115, 0)), "")</f>
        <v/>
      </c>
      <c r="J1255" t="str">
        <f t="shared" si="118"/>
        <v/>
      </c>
      <c r="K1255" s="28" t="str">
        <f t="shared" si="115"/>
        <v/>
      </c>
      <c r="L1255" s="46" t="str">
        <f t="shared" si="119"/>
        <v/>
      </c>
      <c r="M1255" t="str" cm="1">
        <f t="array" ref="M1255">IF(L1255="","",_xlfn.IFS(
  AND(L1255&gt;=TIME(9,0,0), L1255&lt;TIME(16,0,0)),"Morning",
  AND(L1255&gt;=TIME(16,0,0), L1255&lt;TIME(23,59,0)),"Evening",
  L1255&gt;=TIME(23,59,0),"Night",
  L1255&lt;TIME(9,0,0),"Night"
))</f>
        <v/>
      </c>
      <c r="O1255" t="str">
        <f t="shared" si="116"/>
        <v/>
      </c>
    </row>
    <row r="1256" spans="1:15" x14ac:dyDescent="0.25">
      <c r="A1256" s="49"/>
      <c r="G1256" t="str">
        <f t="shared" si="114"/>
        <v/>
      </c>
      <c r="H1256" s="13" t="str">
        <f t="shared" si="117"/>
        <v/>
      </c>
      <c r="I1256" t="str">
        <f>IFERROR(INDEX(Analysis!$D$116:$N$137, MATCH(B1256, Analysis!$C$116:$C$137, 0), MATCH(C1256, Analysis!$D$115:$N$115, 0)), "")</f>
        <v/>
      </c>
      <c r="J1256" t="str">
        <f t="shared" si="118"/>
        <v/>
      </c>
      <c r="K1256" s="28" t="str">
        <f t="shared" si="115"/>
        <v/>
      </c>
      <c r="L1256" s="46" t="str">
        <f t="shared" si="119"/>
        <v/>
      </c>
      <c r="M1256" t="str" cm="1">
        <f t="array" ref="M1256">IF(L1256="","",_xlfn.IFS(
  AND(L1256&gt;=TIME(9,0,0), L1256&lt;TIME(16,0,0)),"Morning",
  AND(L1256&gt;=TIME(16,0,0), L1256&lt;TIME(23,59,0)),"Evening",
  L1256&gt;=TIME(23,59,0),"Night",
  L1256&lt;TIME(9,0,0),"Night"
))</f>
        <v/>
      </c>
      <c r="O1256" t="str">
        <f t="shared" si="116"/>
        <v/>
      </c>
    </row>
    <row r="1257" spans="1:15" x14ac:dyDescent="0.25">
      <c r="A1257" s="49"/>
      <c r="G1257" t="str">
        <f t="shared" si="114"/>
        <v/>
      </c>
      <c r="H1257" s="13" t="str">
        <f t="shared" si="117"/>
        <v/>
      </c>
      <c r="I1257" t="str">
        <f>IFERROR(INDEX(Analysis!$D$116:$N$137, MATCH(B1257, Analysis!$C$116:$C$137, 0), MATCH(C1257, Analysis!$D$115:$N$115, 0)), "")</f>
        <v/>
      </c>
      <c r="J1257" t="str">
        <f t="shared" si="118"/>
        <v/>
      </c>
      <c r="K1257" s="28" t="str">
        <f t="shared" si="115"/>
        <v/>
      </c>
      <c r="L1257" s="46" t="str">
        <f t="shared" si="119"/>
        <v/>
      </c>
      <c r="M1257" t="str" cm="1">
        <f t="array" ref="M1257">IF(L1257="","",_xlfn.IFS(
  AND(L1257&gt;=TIME(9,0,0), L1257&lt;TIME(16,0,0)),"Morning",
  AND(L1257&gt;=TIME(16,0,0), L1257&lt;TIME(23,59,0)),"Evening",
  L1257&gt;=TIME(23,59,0),"Night",
  L1257&lt;TIME(9,0,0),"Night"
))</f>
        <v/>
      </c>
      <c r="O1257" t="str">
        <f t="shared" si="116"/>
        <v/>
      </c>
    </row>
    <row r="1258" spans="1:15" x14ac:dyDescent="0.25">
      <c r="A1258" s="49"/>
      <c r="G1258" t="str">
        <f t="shared" si="114"/>
        <v/>
      </c>
      <c r="H1258" s="13" t="str">
        <f t="shared" si="117"/>
        <v/>
      </c>
      <c r="I1258" t="str">
        <f>IFERROR(INDEX(Analysis!$D$116:$N$137, MATCH(B1258, Analysis!$C$116:$C$137, 0), MATCH(C1258, Analysis!$D$115:$N$115, 0)), "")</f>
        <v/>
      </c>
      <c r="J1258" t="str">
        <f t="shared" si="118"/>
        <v/>
      </c>
      <c r="K1258" s="28" t="str">
        <f t="shared" si="115"/>
        <v/>
      </c>
      <c r="L1258" s="46" t="str">
        <f t="shared" si="119"/>
        <v/>
      </c>
      <c r="M1258" t="str" cm="1">
        <f t="array" ref="M1258">IF(L1258="","",_xlfn.IFS(
  AND(L1258&gt;=TIME(9,0,0), L1258&lt;TIME(16,0,0)),"Morning",
  AND(L1258&gt;=TIME(16,0,0), L1258&lt;TIME(23,59,0)),"Evening",
  L1258&gt;=TIME(23,59,0),"Night",
  L1258&lt;TIME(9,0,0),"Night"
))</f>
        <v/>
      </c>
      <c r="O1258" t="str">
        <f t="shared" si="116"/>
        <v/>
      </c>
    </row>
    <row r="1259" spans="1:15" x14ac:dyDescent="0.25">
      <c r="A1259" s="49"/>
      <c r="G1259" t="str">
        <f t="shared" si="114"/>
        <v/>
      </c>
      <c r="H1259" s="13" t="str">
        <f t="shared" si="117"/>
        <v/>
      </c>
      <c r="I1259" t="str">
        <f>IFERROR(INDEX(Analysis!$D$116:$N$137, MATCH(B1259, Analysis!$C$116:$C$137, 0), MATCH(C1259, Analysis!$D$115:$N$115, 0)), "")</f>
        <v/>
      </c>
      <c r="J1259" t="str">
        <f t="shared" si="118"/>
        <v/>
      </c>
      <c r="K1259" s="28" t="str">
        <f t="shared" si="115"/>
        <v/>
      </c>
      <c r="L1259" s="46" t="str">
        <f t="shared" si="119"/>
        <v/>
      </c>
      <c r="M1259" t="str" cm="1">
        <f t="array" ref="M1259">IF(L1259="","",_xlfn.IFS(
  AND(L1259&gt;=TIME(9,0,0), L1259&lt;TIME(16,0,0)),"Morning",
  AND(L1259&gt;=TIME(16,0,0), L1259&lt;TIME(23,59,0)),"Evening",
  L1259&gt;=TIME(23,59,0),"Night",
  L1259&lt;TIME(9,0,0),"Night"
))</f>
        <v/>
      </c>
      <c r="O1259" t="str">
        <f t="shared" si="116"/>
        <v/>
      </c>
    </row>
    <row r="1260" spans="1:15" x14ac:dyDescent="0.25">
      <c r="A1260" s="49"/>
      <c r="G1260" t="str">
        <f t="shared" si="114"/>
        <v/>
      </c>
      <c r="H1260" s="13" t="str">
        <f t="shared" si="117"/>
        <v/>
      </c>
      <c r="I1260" t="str">
        <f>IFERROR(INDEX(Analysis!$D$116:$N$137, MATCH(B1260, Analysis!$C$116:$C$137, 0), MATCH(C1260, Analysis!$D$115:$N$115, 0)), "")</f>
        <v/>
      </c>
      <c r="J1260" t="str">
        <f t="shared" si="118"/>
        <v/>
      </c>
      <c r="K1260" s="28" t="str">
        <f t="shared" si="115"/>
        <v/>
      </c>
      <c r="L1260" s="46" t="str">
        <f t="shared" si="119"/>
        <v/>
      </c>
      <c r="M1260" t="str" cm="1">
        <f t="array" ref="M1260">IF(L1260="","",_xlfn.IFS(
  AND(L1260&gt;=TIME(9,0,0), L1260&lt;TIME(16,0,0)),"Morning",
  AND(L1260&gt;=TIME(16,0,0), L1260&lt;TIME(23,59,0)),"Evening",
  L1260&gt;=TIME(23,59,0),"Night",
  L1260&lt;TIME(9,0,0),"Night"
))</f>
        <v/>
      </c>
      <c r="O1260" t="str">
        <f t="shared" si="116"/>
        <v/>
      </c>
    </row>
    <row r="1261" spans="1:15" x14ac:dyDescent="0.25">
      <c r="A1261" s="49"/>
      <c r="G1261" t="str">
        <f t="shared" si="114"/>
        <v/>
      </c>
      <c r="H1261" s="13" t="str">
        <f t="shared" si="117"/>
        <v/>
      </c>
      <c r="I1261" t="str">
        <f>IFERROR(INDEX(Analysis!$D$116:$N$137, MATCH(B1261, Analysis!$C$116:$C$137, 0), MATCH(C1261, Analysis!$D$115:$N$115, 0)), "")</f>
        <v/>
      </c>
      <c r="J1261" t="str">
        <f t="shared" si="118"/>
        <v/>
      </c>
      <c r="K1261" s="28" t="str">
        <f t="shared" si="115"/>
        <v/>
      </c>
      <c r="L1261" s="46" t="str">
        <f t="shared" si="119"/>
        <v/>
      </c>
      <c r="M1261" t="str" cm="1">
        <f t="array" ref="M1261">IF(L1261="","",_xlfn.IFS(
  AND(L1261&gt;=TIME(9,0,0), L1261&lt;TIME(16,0,0)),"Morning",
  AND(L1261&gt;=TIME(16,0,0), L1261&lt;TIME(23,59,0)),"Evening",
  L1261&gt;=TIME(23,59,0),"Night",
  L1261&lt;TIME(9,0,0),"Night"
))</f>
        <v/>
      </c>
      <c r="O1261" t="str">
        <f t="shared" si="116"/>
        <v/>
      </c>
    </row>
    <row r="1262" spans="1:15" x14ac:dyDescent="0.25">
      <c r="A1262" s="49"/>
      <c r="G1262" t="str">
        <f t="shared" si="114"/>
        <v/>
      </c>
      <c r="H1262" s="13" t="str">
        <f t="shared" si="117"/>
        <v/>
      </c>
      <c r="I1262" t="str">
        <f>IFERROR(INDEX(Analysis!$D$116:$N$137, MATCH(B1262, Analysis!$C$116:$C$137, 0), MATCH(C1262, Analysis!$D$115:$N$115, 0)), "")</f>
        <v/>
      </c>
      <c r="J1262" t="str">
        <f t="shared" si="118"/>
        <v/>
      </c>
      <c r="K1262" s="28" t="str">
        <f t="shared" si="115"/>
        <v/>
      </c>
      <c r="L1262" s="46" t="str">
        <f t="shared" si="119"/>
        <v/>
      </c>
      <c r="M1262" t="str" cm="1">
        <f t="array" ref="M1262">IF(L1262="","",_xlfn.IFS(
  AND(L1262&gt;=TIME(9,0,0), L1262&lt;TIME(16,0,0)),"Morning",
  AND(L1262&gt;=TIME(16,0,0), L1262&lt;TIME(23,59,0)),"Evening",
  L1262&gt;=TIME(23,59,0),"Night",
  L1262&lt;TIME(9,0,0),"Night"
))</f>
        <v/>
      </c>
      <c r="O1262" t="str">
        <f t="shared" si="116"/>
        <v/>
      </c>
    </row>
    <row r="1263" spans="1:15" x14ac:dyDescent="0.25">
      <c r="A1263" s="49"/>
      <c r="G1263" t="str">
        <f t="shared" si="114"/>
        <v/>
      </c>
      <c r="H1263" s="13" t="str">
        <f t="shared" si="117"/>
        <v/>
      </c>
      <c r="I1263" t="str">
        <f>IFERROR(INDEX(Analysis!$D$116:$N$137, MATCH(B1263, Analysis!$C$116:$C$137, 0), MATCH(C1263, Analysis!$D$115:$N$115, 0)), "")</f>
        <v/>
      </c>
      <c r="J1263" t="str">
        <f t="shared" si="118"/>
        <v/>
      </c>
      <c r="K1263" s="28" t="str">
        <f t="shared" si="115"/>
        <v/>
      </c>
      <c r="L1263" s="46" t="str">
        <f t="shared" si="119"/>
        <v/>
      </c>
      <c r="M1263" t="str" cm="1">
        <f t="array" ref="M1263">IF(L1263="","",_xlfn.IFS(
  AND(L1263&gt;=TIME(9,0,0), L1263&lt;TIME(16,0,0)),"Morning",
  AND(L1263&gt;=TIME(16,0,0), L1263&lt;TIME(23,59,0)),"Evening",
  L1263&gt;=TIME(23,59,0),"Night",
  L1263&lt;TIME(9,0,0),"Night"
))</f>
        <v/>
      </c>
      <c r="O1263" t="str">
        <f t="shared" si="116"/>
        <v/>
      </c>
    </row>
    <row r="1264" spans="1:15" x14ac:dyDescent="0.25">
      <c r="A1264" s="49"/>
      <c r="G1264" t="str">
        <f t="shared" si="114"/>
        <v/>
      </c>
      <c r="H1264" s="13" t="str">
        <f t="shared" si="117"/>
        <v/>
      </c>
      <c r="I1264" t="str">
        <f>IFERROR(INDEX(Analysis!$D$116:$N$137, MATCH(B1264, Analysis!$C$116:$C$137, 0), MATCH(C1264, Analysis!$D$115:$N$115, 0)), "")</f>
        <v/>
      </c>
      <c r="J1264" t="str">
        <f t="shared" si="118"/>
        <v/>
      </c>
      <c r="K1264" s="28" t="str">
        <f t="shared" si="115"/>
        <v/>
      </c>
      <c r="L1264" s="46" t="str">
        <f t="shared" si="119"/>
        <v/>
      </c>
      <c r="M1264" t="str" cm="1">
        <f t="array" ref="M1264">IF(L1264="","",_xlfn.IFS(
  AND(L1264&gt;=TIME(9,0,0), L1264&lt;TIME(16,0,0)),"Morning",
  AND(L1264&gt;=TIME(16,0,0), L1264&lt;TIME(23,59,0)),"Evening",
  L1264&gt;=TIME(23,59,0),"Night",
  L1264&lt;TIME(9,0,0),"Night"
))</f>
        <v/>
      </c>
      <c r="O1264" t="str">
        <f t="shared" si="116"/>
        <v/>
      </c>
    </row>
    <row r="1265" spans="1:15" x14ac:dyDescent="0.25">
      <c r="A1265" s="49"/>
      <c r="G1265" t="str">
        <f t="shared" si="114"/>
        <v/>
      </c>
      <c r="H1265" s="13" t="str">
        <f t="shared" si="117"/>
        <v/>
      </c>
      <c r="I1265" t="str">
        <f>IFERROR(INDEX(Analysis!$D$116:$N$137, MATCH(B1265, Analysis!$C$116:$C$137, 0), MATCH(C1265, Analysis!$D$115:$N$115, 0)), "")</f>
        <v/>
      </c>
      <c r="J1265" t="str">
        <f t="shared" si="118"/>
        <v/>
      </c>
      <c r="K1265" s="28" t="str">
        <f t="shared" si="115"/>
        <v/>
      </c>
      <c r="L1265" s="46" t="str">
        <f t="shared" si="119"/>
        <v/>
      </c>
      <c r="M1265" t="str" cm="1">
        <f t="array" ref="M1265">IF(L1265="","",_xlfn.IFS(
  AND(L1265&gt;=TIME(9,0,0), L1265&lt;TIME(16,0,0)),"Morning",
  AND(L1265&gt;=TIME(16,0,0), L1265&lt;TIME(23,59,0)),"Evening",
  L1265&gt;=TIME(23,59,0),"Night",
  L1265&lt;TIME(9,0,0),"Night"
))</f>
        <v/>
      </c>
      <c r="O1265" t="str">
        <f t="shared" si="116"/>
        <v/>
      </c>
    </row>
    <row r="1266" spans="1:15" x14ac:dyDescent="0.25">
      <c r="A1266" s="49"/>
      <c r="G1266" t="str">
        <f t="shared" si="114"/>
        <v/>
      </c>
      <c r="H1266" s="13" t="str">
        <f t="shared" si="117"/>
        <v/>
      </c>
      <c r="I1266" t="str">
        <f>IFERROR(INDEX(Analysis!$D$116:$N$137, MATCH(B1266, Analysis!$C$116:$C$137, 0), MATCH(C1266, Analysis!$D$115:$N$115, 0)), "")</f>
        <v/>
      </c>
      <c r="J1266" t="str">
        <f t="shared" si="118"/>
        <v/>
      </c>
      <c r="K1266" s="28" t="str">
        <f t="shared" si="115"/>
        <v/>
      </c>
      <c r="L1266" s="46" t="str">
        <f t="shared" si="119"/>
        <v/>
      </c>
      <c r="M1266" t="str" cm="1">
        <f t="array" ref="M1266">IF(L1266="","",_xlfn.IFS(
  AND(L1266&gt;=TIME(9,0,0), L1266&lt;TIME(16,0,0)),"Morning",
  AND(L1266&gt;=TIME(16,0,0), L1266&lt;TIME(23,59,0)),"Evening",
  L1266&gt;=TIME(23,59,0),"Night",
  L1266&lt;TIME(9,0,0),"Night"
))</f>
        <v/>
      </c>
      <c r="O1266" t="str">
        <f t="shared" si="116"/>
        <v/>
      </c>
    </row>
    <row r="1267" spans="1:15" x14ac:dyDescent="0.25">
      <c r="A1267" s="49"/>
      <c r="G1267" t="str">
        <f t="shared" si="114"/>
        <v/>
      </c>
      <c r="H1267" s="13" t="str">
        <f t="shared" si="117"/>
        <v/>
      </c>
      <c r="I1267" t="str">
        <f>IFERROR(INDEX(Analysis!$D$116:$N$137, MATCH(B1267, Analysis!$C$116:$C$137, 0), MATCH(C1267, Analysis!$D$115:$N$115, 0)), "")</f>
        <v/>
      </c>
      <c r="J1267" t="str">
        <f t="shared" si="118"/>
        <v/>
      </c>
      <c r="K1267" s="28" t="str">
        <f t="shared" si="115"/>
        <v/>
      </c>
      <c r="L1267" s="46" t="str">
        <f t="shared" si="119"/>
        <v/>
      </c>
      <c r="M1267" t="str" cm="1">
        <f t="array" ref="M1267">IF(L1267="","",_xlfn.IFS(
  AND(L1267&gt;=TIME(9,0,0), L1267&lt;TIME(16,0,0)),"Morning",
  AND(L1267&gt;=TIME(16,0,0), L1267&lt;TIME(23,59,0)),"Evening",
  L1267&gt;=TIME(23,59,0),"Night",
  L1267&lt;TIME(9,0,0),"Night"
))</f>
        <v/>
      </c>
      <c r="O1267" t="str">
        <f t="shared" si="116"/>
        <v/>
      </c>
    </row>
    <row r="1268" spans="1:15" x14ac:dyDescent="0.25">
      <c r="A1268" s="49"/>
      <c r="G1268" t="str">
        <f t="shared" si="114"/>
        <v/>
      </c>
      <c r="H1268" s="13" t="str">
        <f t="shared" si="117"/>
        <v/>
      </c>
      <c r="I1268" t="str">
        <f>IFERROR(INDEX(Analysis!$D$116:$N$137, MATCH(B1268, Analysis!$C$116:$C$137, 0), MATCH(C1268, Analysis!$D$115:$N$115, 0)), "")</f>
        <v/>
      </c>
      <c r="J1268" t="str">
        <f t="shared" si="118"/>
        <v/>
      </c>
      <c r="K1268" s="28" t="str">
        <f t="shared" si="115"/>
        <v/>
      </c>
      <c r="L1268" s="46" t="str">
        <f t="shared" si="119"/>
        <v/>
      </c>
      <c r="M1268" t="str" cm="1">
        <f t="array" ref="M1268">IF(L1268="","",_xlfn.IFS(
  AND(L1268&gt;=TIME(9,0,0), L1268&lt;TIME(16,0,0)),"Morning",
  AND(L1268&gt;=TIME(16,0,0), L1268&lt;TIME(23,59,0)),"Evening",
  L1268&gt;=TIME(23,59,0),"Night",
  L1268&lt;TIME(9,0,0),"Night"
))</f>
        <v/>
      </c>
      <c r="O1268" t="str">
        <f t="shared" si="116"/>
        <v/>
      </c>
    </row>
    <row r="1269" spans="1:15" x14ac:dyDescent="0.25">
      <c r="A1269" s="49"/>
      <c r="G1269" t="str">
        <f t="shared" si="114"/>
        <v/>
      </c>
      <c r="H1269" s="13" t="str">
        <f t="shared" si="117"/>
        <v/>
      </c>
      <c r="I1269" t="str">
        <f>IFERROR(INDEX(Analysis!$D$116:$N$137, MATCH(B1269, Analysis!$C$116:$C$137, 0), MATCH(C1269, Analysis!$D$115:$N$115, 0)), "")</f>
        <v/>
      </c>
      <c r="J1269" t="str">
        <f t="shared" si="118"/>
        <v/>
      </c>
      <c r="K1269" s="28" t="str">
        <f t="shared" si="115"/>
        <v/>
      </c>
      <c r="L1269" s="46" t="str">
        <f t="shared" si="119"/>
        <v/>
      </c>
      <c r="M1269" t="str" cm="1">
        <f t="array" ref="M1269">IF(L1269="","",_xlfn.IFS(
  AND(L1269&gt;=TIME(9,0,0), L1269&lt;TIME(16,0,0)),"Morning",
  AND(L1269&gt;=TIME(16,0,0), L1269&lt;TIME(23,59,0)),"Evening",
  L1269&gt;=TIME(23,59,0),"Night",
  L1269&lt;TIME(9,0,0),"Night"
))</f>
        <v/>
      </c>
      <c r="O1269" t="str">
        <f t="shared" si="116"/>
        <v/>
      </c>
    </row>
    <row r="1270" spans="1:15" x14ac:dyDescent="0.25">
      <c r="A1270" s="49"/>
      <c r="G1270" t="str">
        <f t="shared" si="114"/>
        <v/>
      </c>
      <c r="H1270" s="13" t="str">
        <f t="shared" si="117"/>
        <v/>
      </c>
      <c r="I1270" t="str">
        <f>IFERROR(INDEX(Analysis!$D$116:$N$137, MATCH(B1270, Analysis!$C$116:$C$137, 0), MATCH(C1270, Analysis!$D$115:$N$115, 0)), "")</f>
        <v/>
      </c>
      <c r="J1270" t="str">
        <f t="shared" si="118"/>
        <v/>
      </c>
      <c r="K1270" s="28" t="str">
        <f t="shared" si="115"/>
        <v/>
      </c>
      <c r="L1270" s="46" t="str">
        <f t="shared" si="119"/>
        <v/>
      </c>
      <c r="M1270" t="str" cm="1">
        <f t="array" ref="M1270">IF(L1270="","",_xlfn.IFS(
  AND(L1270&gt;=TIME(9,0,0), L1270&lt;TIME(16,0,0)),"Morning",
  AND(L1270&gt;=TIME(16,0,0), L1270&lt;TIME(23,59,0)),"Evening",
  L1270&gt;=TIME(23,59,0),"Night",
  L1270&lt;TIME(9,0,0),"Night"
))</f>
        <v/>
      </c>
      <c r="O1270" t="str">
        <f t="shared" si="116"/>
        <v/>
      </c>
    </row>
    <row r="1271" spans="1:15" x14ac:dyDescent="0.25">
      <c r="A1271" s="49"/>
      <c r="G1271" t="str">
        <f t="shared" si="114"/>
        <v/>
      </c>
      <c r="H1271" s="13" t="str">
        <f t="shared" si="117"/>
        <v/>
      </c>
      <c r="I1271" t="str">
        <f>IFERROR(INDEX(Analysis!$D$116:$N$137, MATCH(B1271, Analysis!$C$116:$C$137, 0), MATCH(C1271, Analysis!$D$115:$N$115, 0)), "")</f>
        <v/>
      </c>
      <c r="J1271" t="str">
        <f t="shared" si="118"/>
        <v/>
      </c>
      <c r="K1271" s="28" t="str">
        <f t="shared" si="115"/>
        <v/>
      </c>
      <c r="L1271" s="46" t="str">
        <f t="shared" si="119"/>
        <v/>
      </c>
      <c r="M1271" t="str" cm="1">
        <f t="array" ref="M1271">IF(L1271="","",_xlfn.IFS(
  AND(L1271&gt;=TIME(9,0,0), L1271&lt;TIME(16,0,0)),"Morning",
  AND(L1271&gt;=TIME(16,0,0), L1271&lt;TIME(23,59,0)),"Evening",
  L1271&gt;=TIME(23,59,0),"Night",
  L1271&lt;TIME(9,0,0),"Night"
))</f>
        <v/>
      </c>
      <c r="O1271" t="str">
        <f t="shared" si="116"/>
        <v/>
      </c>
    </row>
    <row r="1272" spans="1:15" x14ac:dyDescent="0.25">
      <c r="A1272" s="49"/>
      <c r="G1272" t="str">
        <f t="shared" si="114"/>
        <v/>
      </c>
      <c r="H1272" s="13" t="str">
        <f t="shared" si="117"/>
        <v/>
      </c>
      <c r="I1272" t="str">
        <f>IFERROR(INDEX(Analysis!$D$116:$N$137, MATCH(B1272, Analysis!$C$116:$C$137, 0), MATCH(C1272, Analysis!$D$115:$N$115, 0)), "")</f>
        <v/>
      </c>
      <c r="J1272" t="str">
        <f t="shared" si="118"/>
        <v/>
      </c>
      <c r="K1272" s="28" t="str">
        <f t="shared" si="115"/>
        <v/>
      </c>
      <c r="L1272" s="46" t="str">
        <f t="shared" si="119"/>
        <v/>
      </c>
      <c r="M1272" t="str" cm="1">
        <f t="array" ref="M1272">IF(L1272="","",_xlfn.IFS(
  AND(L1272&gt;=TIME(9,0,0), L1272&lt;TIME(16,0,0)),"Morning",
  AND(L1272&gt;=TIME(16,0,0), L1272&lt;TIME(23,59,0)),"Evening",
  L1272&gt;=TIME(23,59,0),"Night",
  L1272&lt;TIME(9,0,0),"Night"
))</f>
        <v/>
      </c>
      <c r="O1272" t="str">
        <f t="shared" si="116"/>
        <v/>
      </c>
    </row>
    <row r="1273" spans="1:15" x14ac:dyDescent="0.25">
      <c r="A1273" s="49"/>
      <c r="G1273" t="str">
        <f t="shared" si="114"/>
        <v/>
      </c>
      <c r="H1273" s="13" t="str">
        <f t="shared" si="117"/>
        <v/>
      </c>
      <c r="I1273" t="str">
        <f>IFERROR(INDEX(Analysis!$D$116:$N$137, MATCH(B1273, Analysis!$C$116:$C$137, 0), MATCH(C1273, Analysis!$D$115:$N$115, 0)), "")</f>
        <v/>
      </c>
      <c r="J1273" t="str">
        <f t="shared" si="118"/>
        <v/>
      </c>
      <c r="K1273" s="28" t="str">
        <f t="shared" si="115"/>
        <v/>
      </c>
      <c r="L1273" s="46" t="str">
        <f t="shared" si="119"/>
        <v/>
      </c>
      <c r="M1273" t="str" cm="1">
        <f t="array" ref="M1273">IF(L1273="","",_xlfn.IFS(
  AND(L1273&gt;=TIME(9,0,0), L1273&lt;TIME(16,0,0)),"Morning",
  AND(L1273&gt;=TIME(16,0,0), L1273&lt;TIME(23,59,0)),"Evening",
  L1273&gt;=TIME(23,59,0),"Night",
  L1273&lt;TIME(9,0,0),"Night"
))</f>
        <v/>
      </c>
      <c r="O1273" t="str">
        <f t="shared" si="116"/>
        <v/>
      </c>
    </row>
    <row r="1274" spans="1:15" x14ac:dyDescent="0.25">
      <c r="A1274" s="49"/>
      <c r="G1274" t="str">
        <f t="shared" si="114"/>
        <v/>
      </c>
      <c r="H1274" s="13" t="str">
        <f t="shared" si="117"/>
        <v/>
      </c>
      <c r="I1274" t="str">
        <f>IFERROR(INDEX(Analysis!$D$116:$N$137, MATCH(B1274, Analysis!$C$116:$C$137, 0), MATCH(C1274, Analysis!$D$115:$N$115, 0)), "")</f>
        <v/>
      </c>
      <c r="J1274" t="str">
        <f t="shared" si="118"/>
        <v/>
      </c>
      <c r="K1274" s="28" t="str">
        <f t="shared" si="115"/>
        <v/>
      </c>
      <c r="L1274" s="46" t="str">
        <f t="shared" si="119"/>
        <v/>
      </c>
      <c r="M1274" t="str" cm="1">
        <f t="array" ref="M1274">IF(L1274="","",_xlfn.IFS(
  AND(L1274&gt;=TIME(9,0,0), L1274&lt;TIME(16,0,0)),"Morning",
  AND(L1274&gt;=TIME(16,0,0), L1274&lt;TIME(23,59,0)),"Evening",
  L1274&gt;=TIME(23,59,0),"Night",
  L1274&lt;TIME(9,0,0),"Night"
))</f>
        <v/>
      </c>
      <c r="O1274" t="str">
        <f t="shared" si="116"/>
        <v/>
      </c>
    </row>
    <row r="1275" spans="1:15" x14ac:dyDescent="0.25">
      <c r="A1275" s="49"/>
      <c r="G1275" t="str">
        <f t="shared" si="114"/>
        <v/>
      </c>
      <c r="H1275" s="13" t="str">
        <f t="shared" si="117"/>
        <v/>
      </c>
      <c r="I1275" t="str">
        <f>IFERROR(INDEX(Analysis!$D$116:$N$137, MATCH(B1275, Analysis!$C$116:$C$137, 0), MATCH(C1275, Analysis!$D$115:$N$115, 0)), "")</f>
        <v/>
      </c>
      <c r="J1275" t="str">
        <f t="shared" si="118"/>
        <v/>
      </c>
      <c r="K1275" s="28" t="str">
        <f t="shared" si="115"/>
        <v/>
      </c>
      <c r="L1275" s="46" t="str">
        <f t="shared" si="119"/>
        <v/>
      </c>
      <c r="M1275" t="str" cm="1">
        <f t="array" ref="M1275">IF(L1275="","",_xlfn.IFS(
  AND(L1275&gt;=TIME(9,0,0), L1275&lt;TIME(16,0,0)),"Morning",
  AND(L1275&gt;=TIME(16,0,0), L1275&lt;TIME(23,59,0)),"Evening",
  L1275&gt;=TIME(23,59,0),"Night",
  L1275&lt;TIME(9,0,0),"Night"
))</f>
        <v/>
      </c>
      <c r="O1275" t="str">
        <f t="shared" si="116"/>
        <v/>
      </c>
    </row>
    <row r="1276" spans="1:15" x14ac:dyDescent="0.25">
      <c r="A1276" s="49"/>
      <c r="G1276" t="str">
        <f t="shared" si="114"/>
        <v/>
      </c>
      <c r="H1276" s="13" t="str">
        <f t="shared" si="117"/>
        <v/>
      </c>
      <c r="I1276" t="str">
        <f>IFERROR(INDEX(Analysis!$D$116:$N$137, MATCH(B1276, Analysis!$C$116:$C$137, 0), MATCH(C1276, Analysis!$D$115:$N$115, 0)), "")</f>
        <v/>
      </c>
      <c r="J1276" t="str">
        <f t="shared" si="118"/>
        <v/>
      </c>
      <c r="K1276" s="28" t="str">
        <f t="shared" si="115"/>
        <v/>
      </c>
      <c r="L1276" s="46" t="str">
        <f t="shared" si="119"/>
        <v/>
      </c>
      <c r="M1276" t="str" cm="1">
        <f t="array" ref="M1276">IF(L1276="","",_xlfn.IFS(
  AND(L1276&gt;=TIME(9,0,0), L1276&lt;TIME(16,0,0)),"Morning",
  AND(L1276&gt;=TIME(16,0,0), L1276&lt;TIME(23,59,0)),"Evening",
  L1276&gt;=TIME(23,59,0),"Night",
  L1276&lt;TIME(9,0,0),"Night"
))</f>
        <v/>
      </c>
      <c r="O1276" t="str">
        <f t="shared" si="116"/>
        <v/>
      </c>
    </row>
    <row r="1277" spans="1:15" x14ac:dyDescent="0.25">
      <c r="A1277" s="49"/>
      <c r="G1277" t="str">
        <f t="shared" si="114"/>
        <v/>
      </c>
      <c r="H1277" s="13" t="str">
        <f t="shared" si="117"/>
        <v/>
      </c>
      <c r="I1277" t="str">
        <f>IFERROR(INDEX(Analysis!$D$116:$N$137, MATCH(B1277, Analysis!$C$116:$C$137, 0), MATCH(C1277, Analysis!$D$115:$N$115, 0)), "")</f>
        <v/>
      </c>
      <c r="J1277" t="str">
        <f t="shared" si="118"/>
        <v/>
      </c>
      <c r="K1277" s="28" t="str">
        <f t="shared" si="115"/>
        <v/>
      </c>
      <c r="L1277" s="46" t="str">
        <f t="shared" si="119"/>
        <v/>
      </c>
      <c r="M1277" t="str" cm="1">
        <f t="array" ref="M1277">IF(L1277="","",_xlfn.IFS(
  AND(L1277&gt;=TIME(9,0,0), L1277&lt;TIME(16,0,0)),"Morning",
  AND(L1277&gt;=TIME(16,0,0), L1277&lt;TIME(23,59,0)),"Evening",
  L1277&gt;=TIME(23,59,0),"Night",
  L1277&lt;TIME(9,0,0),"Night"
))</f>
        <v/>
      </c>
      <c r="O1277" t="str">
        <f t="shared" si="116"/>
        <v/>
      </c>
    </row>
    <row r="1278" spans="1:15" x14ac:dyDescent="0.25">
      <c r="A1278" s="49"/>
      <c r="G1278" t="str">
        <f t="shared" si="114"/>
        <v/>
      </c>
      <c r="H1278" s="13" t="str">
        <f t="shared" si="117"/>
        <v/>
      </c>
      <c r="I1278" t="str">
        <f>IFERROR(INDEX(Analysis!$D$116:$N$137, MATCH(B1278, Analysis!$C$116:$C$137, 0), MATCH(C1278, Analysis!$D$115:$N$115, 0)), "")</f>
        <v/>
      </c>
      <c r="J1278" t="str">
        <f t="shared" si="118"/>
        <v/>
      </c>
      <c r="K1278" s="28" t="str">
        <f t="shared" si="115"/>
        <v/>
      </c>
      <c r="L1278" s="46" t="str">
        <f t="shared" si="119"/>
        <v/>
      </c>
      <c r="M1278" t="str" cm="1">
        <f t="array" ref="M1278">IF(L1278="","",_xlfn.IFS(
  AND(L1278&gt;=TIME(9,0,0), L1278&lt;TIME(16,0,0)),"Morning",
  AND(L1278&gt;=TIME(16,0,0), L1278&lt;TIME(23,59,0)),"Evening",
  L1278&gt;=TIME(23,59,0),"Night",
  L1278&lt;TIME(9,0,0),"Night"
))</f>
        <v/>
      </c>
      <c r="O1278" t="str">
        <f t="shared" si="116"/>
        <v/>
      </c>
    </row>
    <row r="1279" spans="1:15" x14ac:dyDescent="0.25">
      <c r="A1279" s="49"/>
      <c r="G1279" t="str">
        <f t="shared" si="114"/>
        <v/>
      </c>
      <c r="H1279" s="13" t="str">
        <f t="shared" si="117"/>
        <v/>
      </c>
      <c r="I1279" t="str">
        <f>IFERROR(INDEX(Analysis!$D$116:$N$137, MATCH(B1279, Analysis!$C$116:$C$137, 0), MATCH(C1279, Analysis!$D$115:$N$115, 0)), "")</f>
        <v/>
      </c>
      <c r="J1279" t="str">
        <f t="shared" si="118"/>
        <v/>
      </c>
      <c r="K1279" s="28" t="str">
        <f t="shared" si="115"/>
        <v/>
      </c>
      <c r="L1279" s="46" t="str">
        <f t="shared" si="119"/>
        <v/>
      </c>
      <c r="M1279" t="str" cm="1">
        <f t="array" ref="M1279">IF(L1279="","",_xlfn.IFS(
  AND(L1279&gt;=TIME(9,0,0), L1279&lt;TIME(16,0,0)),"Morning",
  AND(L1279&gt;=TIME(16,0,0), L1279&lt;TIME(23,59,0)),"Evening",
  L1279&gt;=TIME(23,59,0),"Night",
  L1279&lt;TIME(9,0,0),"Night"
))</f>
        <v/>
      </c>
      <c r="O1279" t="str">
        <f t="shared" si="116"/>
        <v/>
      </c>
    </row>
    <row r="1280" spans="1:15" x14ac:dyDescent="0.25">
      <c r="A1280" s="49"/>
      <c r="G1280" t="str">
        <f t="shared" si="114"/>
        <v/>
      </c>
      <c r="H1280" s="13" t="str">
        <f t="shared" si="117"/>
        <v/>
      </c>
      <c r="I1280" t="str">
        <f>IFERROR(INDEX(Analysis!$D$116:$N$137, MATCH(B1280, Analysis!$C$116:$C$137, 0), MATCH(C1280, Analysis!$D$115:$N$115, 0)), "")</f>
        <v/>
      </c>
      <c r="J1280" t="str">
        <f t="shared" si="118"/>
        <v/>
      </c>
      <c r="K1280" s="28" t="str">
        <f t="shared" si="115"/>
        <v/>
      </c>
      <c r="L1280" s="46" t="str">
        <f t="shared" si="119"/>
        <v/>
      </c>
      <c r="M1280" t="str" cm="1">
        <f t="array" ref="M1280">IF(L1280="","",_xlfn.IFS(
  AND(L1280&gt;=TIME(9,0,0), L1280&lt;TIME(16,0,0)),"Morning",
  AND(L1280&gt;=TIME(16,0,0), L1280&lt;TIME(23,59,0)),"Evening",
  L1280&gt;=TIME(23,59,0),"Night",
  L1280&lt;TIME(9,0,0),"Night"
))</f>
        <v/>
      </c>
      <c r="O1280" t="str">
        <f t="shared" si="116"/>
        <v/>
      </c>
    </row>
    <row r="1281" spans="1:15" x14ac:dyDescent="0.25">
      <c r="A1281" s="49"/>
      <c r="G1281" t="str">
        <f t="shared" si="114"/>
        <v/>
      </c>
      <c r="H1281" s="13" t="str">
        <f t="shared" si="117"/>
        <v/>
      </c>
      <c r="I1281" t="str">
        <f>IFERROR(INDEX(Analysis!$D$116:$N$137, MATCH(B1281, Analysis!$C$116:$C$137, 0), MATCH(C1281, Analysis!$D$115:$N$115, 0)), "")</f>
        <v/>
      </c>
      <c r="J1281" t="str">
        <f t="shared" si="118"/>
        <v/>
      </c>
      <c r="K1281" s="28" t="str">
        <f t="shared" si="115"/>
        <v/>
      </c>
      <c r="L1281" s="46" t="str">
        <f t="shared" si="119"/>
        <v/>
      </c>
      <c r="M1281" t="str" cm="1">
        <f t="array" ref="M1281">IF(L1281="","",_xlfn.IFS(
  AND(L1281&gt;=TIME(9,0,0), L1281&lt;TIME(16,0,0)),"Morning",
  AND(L1281&gt;=TIME(16,0,0), L1281&lt;TIME(23,59,0)),"Evening",
  L1281&gt;=TIME(23,59,0),"Night",
  L1281&lt;TIME(9,0,0),"Night"
))</f>
        <v/>
      </c>
      <c r="O1281" t="str">
        <f t="shared" si="116"/>
        <v/>
      </c>
    </row>
    <row r="1282" spans="1:15" x14ac:dyDescent="0.25">
      <c r="A1282" s="49"/>
      <c r="G1282" t="str">
        <f t="shared" ref="G1282:G1345" si="120">IF(ISBLANK(A1282), "", IF(ISBLANK(F1282), 0, F1282))</f>
        <v/>
      </c>
      <c r="H1282" s="13" t="str">
        <f t="shared" si="117"/>
        <v/>
      </c>
      <c r="I1282" t="str">
        <f>IFERROR(INDEX(Analysis!$D$116:$N$137, MATCH(B1282, Analysis!$C$116:$C$137, 0), MATCH(C1282, Analysis!$D$115:$N$115, 0)), "")</f>
        <v/>
      </c>
      <c r="J1282" t="str">
        <f t="shared" si="118"/>
        <v/>
      </c>
      <c r="K1282" s="28" t="str">
        <f t="shared" ref="K1282:K1345" si="121">IF(ISBLANK(A1282),"",DATE(YEAR(A1282),MONTH(A1282),DAY(A1282)))</f>
        <v/>
      </c>
      <c r="L1282" s="46" t="str">
        <f t="shared" si="119"/>
        <v/>
      </c>
      <c r="M1282" t="str" cm="1">
        <f t="array" ref="M1282">IF(L1282="","",_xlfn.IFS(
  AND(L1282&gt;=TIME(9,0,0), L1282&lt;TIME(16,0,0)),"Morning",
  AND(L1282&gt;=TIME(16,0,0), L1282&lt;TIME(23,59,0)),"Evening",
  L1282&gt;=TIME(23,59,0),"Night",
  L1282&lt;TIME(9,0,0),"Night"
))</f>
        <v/>
      </c>
      <c r="O1282" t="str">
        <f t="shared" ref="O1282:O1345" si="122">IF(N1282="ON", _xlfn.IMAGE(E1282, 1), "")</f>
        <v/>
      </c>
    </row>
    <row r="1283" spans="1:15" x14ac:dyDescent="0.25">
      <c r="A1283" s="49"/>
      <c r="G1283" t="str">
        <f t="shared" si="120"/>
        <v/>
      </c>
      <c r="H1283" s="13" t="str">
        <f t="shared" ref="H1283:H1346" si="123">IF(ISBLANK(E1283),"",HYPERLINK(E1283,"Click here"))</f>
        <v/>
      </c>
      <c r="I1283" t="str">
        <f>IFERROR(INDEX(Analysis!$D$116:$N$137, MATCH(B1283, Analysis!$C$116:$C$137, 0), MATCH(C1283, Analysis!$D$115:$N$115, 0)), "")</f>
        <v/>
      </c>
      <c r="J1283" t="str">
        <f t="shared" ref="J1283:J1346" si="124">IF(ISBLANK(A1283),"",WEEKNUM(A1283))</f>
        <v/>
      </c>
      <c r="K1283" s="28" t="str">
        <f t="shared" si="121"/>
        <v/>
      </c>
      <c r="L1283" s="46" t="str">
        <f t="shared" ref="L1283:L1346" si="125">IF(A1283="", "", A1283 - INT(A1283))</f>
        <v/>
      </c>
      <c r="M1283" t="str" cm="1">
        <f t="array" ref="M1283">IF(L1283="","",_xlfn.IFS(
  AND(L1283&gt;=TIME(9,0,0), L1283&lt;TIME(16,0,0)),"Morning",
  AND(L1283&gt;=TIME(16,0,0), L1283&lt;TIME(23,59,0)),"Evening",
  L1283&gt;=TIME(23,59,0),"Night",
  L1283&lt;TIME(9,0,0),"Night"
))</f>
        <v/>
      </c>
      <c r="O1283" t="str">
        <f t="shared" si="122"/>
        <v/>
      </c>
    </row>
    <row r="1284" spans="1:15" x14ac:dyDescent="0.25">
      <c r="A1284" s="49"/>
      <c r="G1284" t="str">
        <f t="shared" si="120"/>
        <v/>
      </c>
      <c r="H1284" s="13" t="str">
        <f t="shared" si="123"/>
        <v/>
      </c>
      <c r="I1284" t="str">
        <f>IFERROR(INDEX(Analysis!$D$116:$N$137, MATCH(B1284, Analysis!$C$116:$C$137, 0), MATCH(C1284, Analysis!$D$115:$N$115, 0)), "")</f>
        <v/>
      </c>
      <c r="J1284" t="str">
        <f t="shared" si="124"/>
        <v/>
      </c>
      <c r="K1284" s="28" t="str">
        <f t="shared" si="121"/>
        <v/>
      </c>
      <c r="L1284" s="46" t="str">
        <f t="shared" si="125"/>
        <v/>
      </c>
      <c r="M1284" t="str" cm="1">
        <f t="array" ref="M1284">IF(L1284="","",_xlfn.IFS(
  AND(L1284&gt;=TIME(9,0,0), L1284&lt;TIME(16,0,0)),"Morning",
  AND(L1284&gt;=TIME(16,0,0), L1284&lt;TIME(23,59,0)),"Evening",
  L1284&gt;=TIME(23,59,0),"Night",
  L1284&lt;TIME(9,0,0),"Night"
))</f>
        <v/>
      </c>
      <c r="O1284" t="str">
        <f t="shared" si="122"/>
        <v/>
      </c>
    </row>
    <row r="1285" spans="1:15" x14ac:dyDescent="0.25">
      <c r="A1285" s="49"/>
      <c r="G1285" t="str">
        <f t="shared" si="120"/>
        <v/>
      </c>
      <c r="H1285" s="13" t="str">
        <f t="shared" si="123"/>
        <v/>
      </c>
      <c r="I1285" t="str">
        <f>IFERROR(INDEX(Analysis!$D$116:$N$137, MATCH(B1285, Analysis!$C$116:$C$137, 0), MATCH(C1285, Analysis!$D$115:$N$115, 0)), "")</f>
        <v/>
      </c>
      <c r="J1285" t="str">
        <f t="shared" si="124"/>
        <v/>
      </c>
      <c r="K1285" s="28" t="str">
        <f t="shared" si="121"/>
        <v/>
      </c>
      <c r="L1285" s="46" t="str">
        <f t="shared" si="125"/>
        <v/>
      </c>
      <c r="M1285" t="str" cm="1">
        <f t="array" ref="M1285">IF(L1285="","",_xlfn.IFS(
  AND(L1285&gt;=TIME(9,0,0), L1285&lt;TIME(16,0,0)),"Morning",
  AND(L1285&gt;=TIME(16,0,0), L1285&lt;TIME(23,59,0)),"Evening",
  L1285&gt;=TIME(23,59,0),"Night",
  L1285&lt;TIME(9,0,0),"Night"
))</f>
        <v/>
      </c>
      <c r="O1285" t="str">
        <f t="shared" si="122"/>
        <v/>
      </c>
    </row>
    <row r="1286" spans="1:15" x14ac:dyDescent="0.25">
      <c r="A1286" s="49"/>
      <c r="G1286" t="str">
        <f t="shared" si="120"/>
        <v/>
      </c>
      <c r="H1286" s="13" t="str">
        <f t="shared" si="123"/>
        <v/>
      </c>
      <c r="I1286" t="str">
        <f>IFERROR(INDEX(Analysis!$D$116:$N$137, MATCH(B1286, Analysis!$C$116:$C$137, 0), MATCH(C1286, Analysis!$D$115:$N$115, 0)), "")</f>
        <v/>
      </c>
      <c r="J1286" t="str">
        <f t="shared" si="124"/>
        <v/>
      </c>
      <c r="K1286" s="28" t="str">
        <f t="shared" si="121"/>
        <v/>
      </c>
      <c r="L1286" s="46" t="str">
        <f t="shared" si="125"/>
        <v/>
      </c>
      <c r="M1286" t="str" cm="1">
        <f t="array" ref="M1286">IF(L1286="","",_xlfn.IFS(
  AND(L1286&gt;=TIME(9,0,0), L1286&lt;TIME(16,0,0)),"Morning",
  AND(L1286&gt;=TIME(16,0,0), L1286&lt;TIME(23,59,0)),"Evening",
  L1286&gt;=TIME(23,59,0),"Night",
  L1286&lt;TIME(9,0,0),"Night"
))</f>
        <v/>
      </c>
      <c r="O1286" t="str">
        <f t="shared" si="122"/>
        <v/>
      </c>
    </row>
    <row r="1287" spans="1:15" x14ac:dyDescent="0.25">
      <c r="A1287" s="49"/>
      <c r="G1287" t="str">
        <f t="shared" si="120"/>
        <v/>
      </c>
      <c r="H1287" s="13" t="str">
        <f t="shared" si="123"/>
        <v/>
      </c>
      <c r="I1287" t="str">
        <f>IFERROR(INDEX(Analysis!$D$116:$N$137, MATCH(B1287, Analysis!$C$116:$C$137, 0), MATCH(C1287, Analysis!$D$115:$N$115, 0)), "")</f>
        <v/>
      </c>
      <c r="J1287" t="str">
        <f t="shared" si="124"/>
        <v/>
      </c>
      <c r="K1287" s="28" t="str">
        <f t="shared" si="121"/>
        <v/>
      </c>
      <c r="L1287" s="46" t="str">
        <f t="shared" si="125"/>
        <v/>
      </c>
      <c r="M1287" t="str" cm="1">
        <f t="array" ref="M1287">IF(L1287="","",_xlfn.IFS(
  AND(L1287&gt;=TIME(9,0,0), L1287&lt;TIME(16,0,0)),"Morning",
  AND(L1287&gt;=TIME(16,0,0), L1287&lt;TIME(23,59,0)),"Evening",
  L1287&gt;=TIME(23,59,0),"Night",
  L1287&lt;TIME(9,0,0),"Night"
))</f>
        <v/>
      </c>
      <c r="O1287" t="str">
        <f t="shared" si="122"/>
        <v/>
      </c>
    </row>
    <row r="1288" spans="1:15" x14ac:dyDescent="0.25">
      <c r="A1288" s="49"/>
      <c r="G1288" t="str">
        <f t="shared" si="120"/>
        <v/>
      </c>
      <c r="H1288" s="13" t="str">
        <f t="shared" si="123"/>
        <v/>
      </c>
      <c r="I1288" t="str">
        <f>IFERROR(INDEX(Analysis!$D$116:$N$137, MATCH(B1288, Analysis!$C$116:$C$137, 0), MATCH(C1288, Analysis!$D$115:$N$115, 0)), "")</f>
        <v/>
      </c>
      <c r="J1288" t="str">
        <f t="shared" si="124"/>
        <v/>
      </c>
      <c r="K1288" s="28" t="str">
        <f t="shared" si="121"/>
        <v/>
      </c>
      <c r="L1288" s="46" t="str">
        <f t="shared" si="125"/>
        <v/>
      </c>
      <c r="M1288" t="str" cm="1">
        <f t="array" ref="M1288">IF(L1288="","",_xlfn.IFS(
  AND(L1288&gt;=TIME(9,0,0), L1288&lt;TIME(16,0,0)),"Morning",
  AND(L1288&gt;=TIME(16,0,0), L1288&lt;TIME(23,59,0)),"Evening",
  L1288&gt;=TIME(23,59,0),"Night",
  L1288&lt;TIME(9,0,0),"Night"
))</f>
        <v/>
      </c>
      <c r="O1288" t="str">
        <f t="shared" si="122"/>
        <v/>
      </c>
    </row>
    <row r="1289" spans="1:15" x14ac:dyDescent="0.25">
      <c r="A1289" s="49"/>
      <c r="G1289" t="str">
        <f t="shared" si="120"/>
        <v/>
      </c>
      <c r="H1289" s="13" t="str">
        <f t="shared" si="123"/>
        <v/>
      </c>
      <c r="I1289" t="str">
        <f>IFERROR(INDEX(Analysis!$D$116:$N$137, MATCH(B1289, Analysis!$C$116:$C$137, 0), MATCH(C1289, Analysis!$D$115:$N$115, 0)), "")</f>
        <v/>
      </c>
      <c r="J1289" t="str">
        <f t="shared" si="124"/>
        <v/>
      </c>
      <c r="K1289" s="28" t="str">
        <f t="shared" si="121"/>
        <v/>
      </c>
      <c r="L1289" s="46" t="str">
        <f t="shared" si="125"/>
        <v/>
      </c>
      <c r="M1289" t="str" cm="1">
        <f t="array" ref="M1289">IF(L1289="","",_xlfn.IFS(
  AND(L1289&gt;=TIME(9,0,0), L1289&lt;TIME(16,0,0)),"Morning",
  AND(L1289&gt;=TIME(16,0,0), L1289&lt;TIME(23,59,0)),"Evening",
  L1289&gt;=TIME(23,59,0),"Night",
  L1289&lt;TIME(9,0,0),"Night"
))</f>
        <v/>
      </c>
      <c r="O1289" t="str">
        <f t="shared" si="122"/>
        <v/>
      </c>
    </row>
    <row r="1290" spans="1:15" x14ac:dyDescent="0.25">
      <c r="A1290" s="49"/>
      <c r="G1290" t="str">
        <f t="shared" si="120"/>
        <v/>
      </c>
      <c r="H1290" s="13" t="str">
        <f t="shared" si="123"/>
        <v/>
      </c>
      <c r="I1290" t="str">
        <f>IFERROR(INDEX(Analysis!$D$116:$N$137, MATCH(B1290, Analysis!$C$116:$C$137, 0), MATCH(C1290, Analysis!$D$115:$N$115, 0)), "")</f>
        <v/>
      </c>
      <c r="J1290" t="str">
        <f t="shared" si="124"/>
        <v/>
      </c>
      <c r="K1290" s="28" t="str">
        <f t="shared" si="121"/>
        <v/>
      </c>
      <c r="L1290" s="46" t="str">
        <f t="shared" si="125"/>
        <v/>
      </c>
      <c r="M1290" t="str" cm="1">
        <f t="array" ref="M1290">IF(L1290="","",_xlfn.IFS(
  AND(L1290&gt;=TIME(9,0,0), L1290&lt;TIME(16,0,0)),"Morning",
  AND(L1290&gt;=TIME(16,0,0), L1290&lt;TIME(23,59,0)),"Evening",
  L1290&gt;=TIME(23,59,0),"Night",
  L1290&lt;TIME(9,0,0),"Night"
))</f>
        <v/>
      </c>
      <c r="O1290" t="str">
        <f t="shared" si="122"/>
        <v/>
      </c>
    </row>
    <row r="1291" spans="1:15" x14ac:dyDescent="0.25">
      <c r="A1291" s="49"/>
      <c r="G1291" t="str">
        <f t="shared" si="120"/>
        <v/>
      </c>
      <c r="H1291" s="13" t="str">
        <f t="shared" si="123"/>
        <v/>
      </c>
      <c r="I1291" t="str">
        <f>IFERROR(INDEX(Analysis!$D$116:$N$137, MATCH(B1291, Analysis!$C$116:$C$137, 0), MATCH(C1291, Analysis!$D$115:$N$115, 0)), "")</f>
        <v/>
      </c>
      <c r="J1291" t="str">
        <f t="shared" si="124"/>
        <v/>
      </c>
      <c r="K1291" s="28" t="str">
        <f t="shared" si="121"/>
        <v/>
      </c>
      <c r="L1291" s="46" t="str">
        <f t="shared" si="125"/>
        <v/>
      </c>
      <c r="M1291" t="str" cm="1">
        <f t="array" ref="M1291">IF(L1291="","",_xlfn.IFS(
  AND(L1291&gt;=TIME(9,0,0), L1291&lt;TIME(16,0,0)),"Morning",
  AND(L1291&gt;=TIME(16,0,0), L1291&lt;TIME(23,59,0)),"Evening",
  L1291&gt;=TIME(23,59,0),"Night",
  L1291&lt;TIME(9,0,0),"Night"
))</f>
        <v/>
      </c>
      <c r="O1291" t="str">
        <f t="shared" si="122"/>
        <v/>
      </c>
    </row>
    <row r="1292" spans="1:15" x14ac:dyDescent="0.25">
      <c r="A1292" s="49"/>
      <c r="G1292" t="str">
        <f t="shared" si="120"/>
        <v/>
      </c>
      <c r="H1292" s="13" t="str">
        <f t="shared" si="123"/>
        <v/>
      </c>
      <c r="I1292" t="str">
        <f>IFERROR(INDEX(Analysis!$D$116:$N$137, MATCH(B1292, Analysis!$C$116:$C$137, 0), MATCH(C1292, Analysis!$D$115:$N$115, 0)), "")</f>
        <v/>
      </c>
      <c r="J1292" t="str">
        <f t="shared" si="124"/>
        <v/>
      </c>
      <c r="K1292" s="28" t="str">
        <f t="shared" si="121"/>
        <v/>
      </c>
      <c r="L1292" s="46" t="str">
        <f t="shared" si="125"/>
        <v/>
      </c>
      <c r="M1292" t="str" cm="1">
        <f t="array" ref="M1292">IF(L1292="","",_xlfn.IFS(
  AND(L1292&gt;=TIME(9,0,0), L1292&lt;TIME(16,0,0)),"Morning",
  AND(L1292&gt;=TIME(16,0,0), L1292&lt;TIME(23,59,0)),"Evening",
  L1292&gt;=TIME(23,59,0),"Night",
  L1292&lt;TIME(9,0,0),"Night"
))</f>
        <v/>
      </c>
      <c r="O1292" t="str">
        <f t="shared" si="122"/>
        <v/>
      </c>
    </row>
    <row r="1293" spans="1:15" x14ac:dyDescent="0.25">
      <c r="A1293" s="49"/>
      <c r="G1293" t="str">
        <f t="shared" si="120"/>
        <v/>
      </c>
      <c r="H1293" s="13" t="str">
        <f t="shared" si="123"/>
        <v/>
      </c>
      <c r="I1293" t="str">
        <f>IFERROR(INDEX(Analysis!$D$116:$N$137, MATCH(B1293, Analysis!$C$116:$C$137, 0), MATCH(C1293, Analysis!$D$115:$N$115, 0)), "")</f>
        <v/>
      </c>
      <c r="J1293" t="str">
        <f t="shared" si="124"/>
        <v/>
      </c>
      <c r="K1293" s="28" t="str">
        <f t="shared" si="121"/>
        <v/>
      </c>
      <c r="L1293" s="46" t="str">
        <f t="shared" si="125"/>
        <v/>
      </c>
      <c r="M1293" t="str" cm="1">
        <f t="array" ref="M1293">IF(L1293="","",_xlfn.IFS(
  AND(L1293&gt;=TIME(9,0,0), L1293&lt;TIME(16,0,0)),"Morning",
  AND(L1293&gt;=TIME(16,0,0), L1293&lt;TIME(23,59,0)),"Evening",
  L1293&gt;=TIME(23,59,0),"Night",
  L1293&lt;TIME(9,0,0),"Night"
))</f>
        <v/>
      </c>
      <c r="O1293" t="str">
        <f t="shared" si="122"/>
        <v/>
      </c>
    </row>
    <row r="1294" spans="1:15" x14ac:dyDescent="0.25">
      <c r="A1294" s="49"/>
      <c r="G1294" t="str">
        <f t="shared" si="120"/>
        <v/>
      </c>
      <c r="H1294" s="13" t="str">
        <f t="shared" si="123"/>
        <v/>
      </c>
      <c r="I1294" t="str">
        <f>IFERROR(INDEX(Analysis!$D$116:$N$137, MATCH(B1294, Analysis!$C$116:$C$137, 0), MATCH(C1294, Analysis!$D$115:$N$115, 0)), "")</f>
        <v/>
      </c>
      <c r="J1294" t="str">
        <f t="shared" si="124"/>
        <v/>
      </c>
      <c r="K1294" s="28" t="str">
        <f t="shared" si="121"/>
        <v/>
      </c>
      <c r="L1294" s="46" t="str">
        <f t="shared" si="125"/>
        <v/>
      </c>
      <c r="M1294" t="str" cm="1">
        <f t="array" ref="M1294">IF(L1294="","",_xlfn.IFS(
  AND(L1294&gt;=TIME(9,0,0), L1294&lt;TIME(16,0,0)),"Morning",
  AND(L1294&gt;=TIME(16,0,0), L1294&lt;TIME(23,59,0)),"Evening",
  L1294&gt;=TIME(23,59,0),"Night",
  L1294&lt;TIME(9,0,0),"Night"
))</f>
        <v/>
      </c>
      <c r="O1294" t="str">
        <f t="shared" si="122"/>
        <v/>
      </c>
    </row>
    <row r="1295" spans="1:15" x14ac:dyDescent="0.25">
      <c r="A1295" s="49"/>
      <c r="G1295" t="str">
        <f t="shared" si="120"/>
        <v/>
      </c>
      <c r="H1295" s="13" t="str">
        <f t="shared" si="123"/>
        <v/>
      </c>
      <c r="I1295" t="str">
        <f>IFERROR(INDEX(Analysis!$D$116:$N$137, MATCH(B1295, Analysis!$C$116:$C$137, 0), MATCH(C1295, Analysis!$D$115:$N$115, 0)), "")</f>
        <v/>
      </c>
      <c r="J1295" t="str">
        <f t="shared" si="124"/>
        <v/>
      </c>
      <c r="K1295" s="28" t="str">
        <f t="shared" si="121"/>
        <v/>
      </c>
      <c r="L1295" s="46" t="str">
        <f t="shared" si="125"/>
        <v/>
      </c>
      <c r="M1295" t="str" cm="1">
        <f t="array" ref="M1295">IF(L1295="","",_xlfn.IFS(
  AND(L1295&gt;=TIME(9,0,0), L1295&lt;TIME(16,0,0)),"Morning",
  AND(L1295&gt;=TIME(16,0,0), L1295&lt;TIME(23,59,0)),"Evening",
  L1295&gt;=TIME(23,59,0),"Night",
  L1295&lt;TIME(9,0,0),"Night"
))</f>
        <v/>
      </c>
      <c r="O1295" t="str">
        <f t="shared" si="122"/>
        <v/>
      </c>
    </row>
    <row r="1296" spans="1:15" x14ac:dyDescent="0.25">
      <c r="A1296" s="49"/>
      <c r="G1296" t="str">
        <f t="shared" si="120"/>
        <v/>
      </c>
      <c r="H1296" s="13" t="str">
        <f t="shared" si="123"/>
        <v/>
      </c>
      <c r="I1296" t="str">
        <f>IFERROR(INDEX(Analysis!$D$116:$N$137, MATCH(B1296, Analysis!$C$116:$C$137, 0), MATCH(C1296, Analysis!$D$115:$N$115, 0)), "")</f>
        <v/>
      </c>
      <c r="J1296" t="str">
        <f t="shared" si="124"/>
        <v/>
      </c>
      <c r="K1296" s="28" t="str">
        <f t="shared" si="121"/>
        <v/>
      </c>
      <c r="L1296" s="46" t="str">
        <f t="shared" si="125"/>
        <v/>
      </c>
      <c r="M1296" t="str" cm="1">
        <f t="array" ref="M1296">IF(L1296="","",_xlfn.IFS(
  AND(L1296&gt;=TIME(9,0,0), L1296&lt;TIME(16,0,0)),"Morning",
  AND(L1296&gt;=TIME(16,0,0), L1296&lt;TIME(23,59,0)),"Evening",
  L1296&gt;=TIME(23,59,0),"Night",
  L1296&lt;TIME(9,0,0),"Night"
))</f>
        <v/>
      </c>
      <c r="O1296" t="str">
        <f t="shared" si="122"/>
        <v/>
      </c>
    </row>
    <row r="1297" spans="1:15" x14ac:dyDescent="0.25">
      <c r="A1297" s="49"/>
      <c r="G1297" t="str">
        <f t="shared" si="120"/>
        <v/>
      </c>
      <c r="H1297" s="13" t="str">
        <f t="shared" si="123"/>
        <v/>
      </c>
      <c r="I1297" t="str">
        <f>IFERROR(INDEX(Analysis!$D$116:$N$137, MATCH(B1297, Analysis!$C$116:$C$137, 0), MATCH(C1297, Analysis!$D$115:$N$115, 0)), "")</f>
        <v/>
      </c>
      <c r="J1297" t="str">
        <f t="shared" si="124"/>
        <v/>
      </c>
      <c r="K1297" s="28" t="str">
        <f t="shared" si="121"/>
        <v/>
      </c>
      <c r="L1297" s="46" t="str">
        <f t="shared" si="125"/>
        <v/>
      </c>
      <c r="M1297" t="str" cm="1">
        <f t="array" ref="M1297">IF(L1297="","",_xlfn.IFS(
  AND(L1297&gt;=TIME(9,0,0), L1297&lt;TIME(16,0,0)),"Morning",
  AND(L1297&gt;=TIME(16,0,0), L1297&lt;TIME(23,59,0)),"Evening",
  L1297&gt;=TIME(23,59,0),"Night",
  L1297&lt;TIME(9,0,0),"Night"
))</f>
        <v/>
      </c>
      <c r="O1297" t="str">
        <f t="shared" si="122"/>
        <v/>
      </c>
    </row>
    <row r="1298" spans="1:15" x14ac:dyDescent="0.25">
      <c r="A1298" s="49"/>
      <c r="G1298" t="str">
        <f t="shared" si="120"/>
        <v/>
      </c>
      <c r="H1298" s="13" t="str">
        <f t="shared" si="123"/>
        <v/>
      </c>
      <c r="I1298" t="str">
        <f>IFERROR(INDEX(Analysis!$D$116:$N$137, MATCH(B1298, Analysis!$C$116:$C$137, 0), MATCH(C1298, Analysis!$D$115:$N$115, 0)), "")</f>
        <v/>
      </c>
      <c r="J1298" t="str">
        <f t="shared" si="124"/>
        <v/>
      </c>
      <c r="K1298" s="28" t="str">
        <f t="shared" si="121"/>
        <v/>
      </c>
      <c r="L1298" s="46" t="str">
        <f t="shared" si="125"/>
        <v/>
      </c>
      <c r="M1298" t="str" cm="1">
        <f t="array" ref="M1298">IF(L1298="","",_xlfn.IFS(
  AND(L1298&gt;=TIME(9,0,0), L1298&lt;TIME(16,0,0)),"Morning",
  AND(L1298&gt;=TIME(16,0,0), L1298&lt;TIME(23,59,0)),"Evening",
  L1298&gt;=TIME(23,59,0),"Night",
  L1298&lt;TIME(9,0,0),"Night"
))</f>
        <v/>
      </c>
      <c r="O1298" t="str">
        <f t="shared" si="122"/>
        <v/>
      </c>
    </row>
    <row r="1299" spans="1:15" x14ac:dyDescent="0.25">
      <c r="A1299" s="49"/>
      <c r="G1299" t="str">
        <f t="shared" si="120"/>
        <v/>
      </c>
      <c r="H1299" s="13" t="str">
        <f t="shared" si="123"/>
        <v/>
      </c>
      <c r="I1299" t="str">
        <f>IFERROR(INDEX(Analysis!$D$116:$N$137, MATCH(B1299, Analysis!$C$116:$C$137, 0), MATCH(C1299, Analysis!$D$115:$N$115, 0)), "")</f>
        <v/>
      </c>
      <c r="J1299" t="str">
        <f t="shared" si="124"/>
        <v/>
      </c>
      <c r="K1299" s="28" t="str">
        <f t="shared" si="121"/>
        <v/>
      </c>
      <c r="L1299" s="46" t="str">
        <f t="shared" si="125"/>
        <v/>
      </c>
      <c r="M1299" t="str" cm="1">
        <f t="array" ref="M1299">IF(L1299="","",_xlfn.IFS(
  AND(L1299&gt;=TIME(9,0,0), L1299&lt;TIME(16,0,0)),"Morning",
  AND(L1299&gt;=TIME(16,0,0), L1299&lt;TIME(23,59,0)),"Evening",
  L1299&gt;=TIME(23,59,0),"Night",
  L1299&lt;TIME(9,0,0),"Night"
))</f>
        <v/>
      </c>
      <c r="O1299" t="str">
        <f t="shared" si="122"/>
        <v/>
      </c>
    </row>
    <row r="1300" spans="1:15" x14ac:dyDescent="0.25">
      <c r="A1300" s="49"/>
      <c r="G1300" t="str">
        <f t="shared" si="120"/>
        <v/>
      </c>
      <c r="H1300" s="13" t="str">
        <f t="shared" si="123"/>
        <v/>
      </c>
      <c r="I1300" t="str">
        <f>IFERROR(INDEX(Analysis!$D$116:$N$137, MATCH(B1300, Analysis!$C$116:$C$137, 0), MATCH(C1300, Analysis!$D$115:$N$115, 0)), "")</f>
        <v/>
      </c>
      <c r="J1300" t="str">
        <f t="shared" si="124"/>
        <v/>
      </c>
      <c r="K1300" s="28" t="str">
        <f t="shared" si="121"/>
        <v/>
      </c>
      <c r="L1300" s="46" t="str">
        <f t="shared" si="125"/>
        <v/>
      </c>
      <c r="M1300" t="str" cm="1">
        <f t="array" ref="M1300">IF(L1300="","",_xlfn.IFS(
  AND(L1300&gt;=TIME(9,0,0), L1300&lt;TIME(16,0,0)),"Morning",
  AND(L1300&gt;=TIME(16,0,0), L1300&lt;TIME(23,59,0)),"Evening",
  L1300&gt;=TIME(23,59,0),"Night",
  L1300&lt;TIME(9,0,0),"Night"
))</f>
        <v/>
      </c>
      <c r="O1300" t="str">
        <f t="shared" si="122"/>
        <v/>
      </c>
    </row>
    <row r="1301" spans="1:15" x14ac:dyDescent="0.25">
      <c r="A1301" s="49"/>
      <c r="G1301" t="str">
        <f t="shared" si="120"/>
        <v/>
      </c>
      <c r="H1301" s="13" t="str">
        <f t="shared" si="123"/>
        <v/>
      </c>
      <c r="I1301" t="str">
        <f>IFERROR(INDEX(Analysis!$D$116:$N$137, MATCH(B1301, Analysis!$C$116:$C$137, 0), MATCH(C1301, Analysis!$D$115:$N$115, 0)), "")</f>
        <v/>
      </c>
      <c r="J1301" t="str">
        <f t="shared" si="124"/>
        <v/>
      </c>
      <c r="K1301" s="28" t="str">
        <f t="shared" si="121"/>
        <v/>
      </c>
      <c r="L1301" s="46" t="str">
        <f t="shared" si="125"/>
        <v/>
      </c>
      <c r="M1301" t="str" cm="1">
        <f t="array" ref="M1301">IF(L1301="","",_xlfn.IFS(
  AND(L1301&gt;=TIME(9,0,0), L1301&lt;TIME(16,0,0)),"Morning",
  AND(L1301&gt;=TIME(16,0,0), L1301&lt;TIME(23,59,0)),"Evening",
  L1301&gt;=TIME(23,59,0),"Night",
  L1301&lt;TIME(9,0,0),"Night"
))</f>
        <v/>
      </c>
      <c r="O1301" t="str">
        <f t="shared" si="122"/>
        <v/>
      </c>
    </row>
    <row r="1302" spans="1:15" x14ac:dyDescent="0.25">
      <c r="A1302" s="49"/>
      <c r="G1302" t="str">
        <f t="shared" si="120"/>
        <v/>
      </c>
      <c r="H1302" s="13" t="str">
        <f t="shared" si="123"/>
        <v/>
      </c>
      <c r="I1302" t="str">
        <f>IFERROR(INDEX(Analysis!$D$116:$N$137, MATCH(B1302, Analysis!$C$116:$C$137, 0), MATCH(C1302, Analysis!$D$115:$N$115, 0)), "")</f>
        <v/>
      </c>
      <c r="J1302" t="str">
        <f t="shared" si="124"/>
        <v/>
      </c>
      <c r="K1302" s="28" t="str">
        <f t="shared" si="121"/>
        <v/>
      </c>
      <c r="L1302" s="46" t="str">
        <f t="shared" si="125"/>
        <v/>
      </c>
      <c r="M1302" t="str" cm="1">
        <f t="array" ref="M1302">IF(L1302="","",_xlfn.IFS(
  AND(L1302&gt;=TIME(9,0,0), L1302&lt;TIME(16,0,0)),"Morning",
  AND(L1302&gt;=TIME(16,0,0), L1302&lt;TIME(23,59,0)),"Evening",
  L1302&gt;=TIME(23,59,0),"Night",
  L1302&lt;TIME(9,0,0),"Night"
))</f>
        <v/>
      </c>
      <c r="O1302" t="str">
        <f t="shared" si="122"/>
        <v/>
      </c>
    </row>
    <row r="1303" spans="1:15" x14ac:dyDescent="0.25">
      <c r="A1303" s="49"/>
      <c r="G1303" t="str">
        <f t="shared" si="120"/>
        <v/>
      </c>
      <c r="H1303" s="13" t="str">
        <f t="shared" si="123"/>
        <v/>
      </c>
      <c r="I1303" t="str">
        <f>IFERROR(INDEX(Analysis!$D$116:$N$137, MATCH(B1303, Analysis!$C$116:$C$137, 0), MATCH(C1303, Analysis!$D$115:$N$115, 0)), "")</f>
        <v/>
      </c>
      <c r="J1303" t="str">
        <f t="shared" si="124"/>
        <v/>
      </c>
      <c r="K1303" s="28" t="str">
        <f t="shared" si="121"/>
        <v/>
      </c>
      <c r="L1303" s="46" t="str">
        <f t="shared" si="125"/>
        <v/>
      </c>
      <c r="M1303" t="str" cm="1">
        <f t="array" ref="M1303">IF(L1303="","",_xlfn.IFS(
  AND(L1303&gt;=TIME(9,0,0), L1303&lt;TIME(16,0,0)),"Morning",
  AND(L1303&gt;=TIME(16,0,0), L1303&lt;TIME(23,59,0)),"Evening",
  L1303&gt;=TIME(23,59,0),"Night",
  L1303&lt;TIME(9,0,0),"Night"
))</f>
        <v/>
      </c>
      <c r="O1303" t="str">
        <f t="shared" si="122"/>
        <v/>
      </c>
    </row>
    <row r="1304" spans="1:15" x14ac:dyDescent="0.25">
      <c r="A1304" s="49"/>
      <c r="G1304" t="str">
        <f t="shared" si="120"/>
        <v/>
      </c>
      <c r="H1304" s="13" t="str">
        <f t="shared" si="123"/>
        <v/>
      </c>
      <c r="I1304" t="str">
        <f>IFERROR(INDEX(Analysis!$D$116:$N$137, MATCH(B1304, Analysis!$C$116:$C$137, 0), MATCH(C1304, Analysis!$D$115:$N$115, 0)), "")</f>
        <v/>
      </c>
      <c r="J1304" t="str">
        <f t="shared" si="124"/>
        <v/>
      </c>
      <c r="K1304" s="28" t="str">
        <f t="shared" si="121"/>
        <v/>
      </c>
      <c r="L1304" s="46" t="str">
        <f t="shared" si="125"/>
        <v/>
      </c>
      <c r="M1304" t="str" cm="1">
        <f t="array" ref="M1304">IF(L1304="","",_xlfn.IFS(
  AND(L1304&gt;=TIME(9,0,0), L1304&lt;TIME(16,0,0)),"Morning",
  AND(L1304&gt;=TIME(16,0,0), L1304&lt;TIME(23,59,0)),"Evening",
  L1304&gt;=TIME(23,59,0),"Night",
  L1304&lt;TIME(9,0,0),"Night"
))</f>
        <v/>
      </c>
      <c r="O1304" t="str">
        <f t="shared" si="122"/>
        <v/>
      </c>
    </row>
    <row r="1305" spans="1:15" x14ac:dyDescent="0.25">
      <c r="A1305" s="49"/>
      <c r="G1305" t="str">
        <f t="shared" si="120"/>
        <v/>
      </c>
      <c r="H1305" s="13" t="str">
        <f t="shared" si="123"/>
        <v/>
      </c>
      <c r="I1305" t="str">
        <f>IFERROR(INDEX(Analysis!$D$116:$N$137, MATCH(B1305, Analysis!$C$116:$C$137, 0), MATCH(C1305, Analysis!$D$115:$N$115, 0)), "")</f>
        <v/>
      </c>
      <c r="J1305" t="str">
        <f t="shared" si="124"/>
        <v/>
      </c>
      <c r="K1305" s="28" t="str">
        <f t="shared" si="121"/>
        <v/>
      </c>
      <c r="L1305" s="46" t="str">
        <f t="shared" si="125"/>
        <v/>
      </c>
      <c r="M1305" t="str" cm="1">
        <f t="array" ref="M1305">IF(L1305="","",_xlfn.IFS(
  AND(L1305&gt;=TIME(9,0,0), L1305&lt;TIME(16,0,0)),"Morning",
  AND(L1305&gt;=TIME(16,0,0), L1305&lt;TIME(23,59,0)),"Evening",
  L1305&gt;=TIME(23,59,0),"Night",
  L1305&lt;TIME(9,0,0),"Night"
))</f>
        <v/>
      </c>
      <c r="O1305" t="str">
        <f t="shared" si="122"/>
        <v/>
      </c>
    </row>
    <row r="1306" spans="1:15" x14ac:dyDescent="0.25">
      <c r="A1306" s="49"/>
      <c r="G1306" t="str">
        <f t="shared" si="120"/>
        <v/>
      </c>
      <c r="H1306" s="13" t="str">
        <f t="shared" si="123"/>
        <v/>
      </c>
      <c r="I1306" t="str">
        <f>IFERROR(INDEX(Analysis!$D$116:$N$137, MATCH(B1306, Analysis!$C$116:$C$137, 0), MATCH(C1306, Analysis!$D$115:$N$115, 0)), "")</f>
        <v/>
      </c>
      <c r="J1306" t="str">
        <f t="shared" si="124"/>
        <v/>
      </c>
      <c r="K1306" s="28" t="str">
        <f t="shared" si="121"/>
        <v/>
      </c>
      <c r="L1306" s="46" t="str">
        <f t="shared" si="125"/>
        <v/>
      </c>
      <c r="M1306" t="str" cm="1">
        <f t="array" ref="M1306">IF(L1306="","",_xlfn.IFS(
  AND(L1306&gt;=TIME(9,0,0), L1306&lt;TIME(16,0,0)),"Morning",
  AND(L1306&gt;=TIME(16,0,0), L1306&lt;TIME(23,59,0)),"Evening",
  L1306&gt;=TIME(23,59,0),"Night",
  L1306&lt;TIME(9,0,0),"Night"
))</f>
        <v/>
      </c>
      <c r="O1306" t="str">
        <f t="shared" si="122"/>
        <v/>
      </c>
    </row>
    <row r="1307" spans="1:15" x14ac:dyDescent="0.25">
      <c r="A1307" s="49"/>
      <c r="G1307" t="str">
        <f t="shared" si="120"/>
        <v/>
      </c>
      <c r="H1307" s="13" t="str">
        <f t="shared" si="123"/>
        <v/>
      </c>
      <c r="I1307" t="str">
        <f>IFERROR(INDEX(Analysis!$D$116:$N$137, MATCH(B1307, Analysis!$C$116:$C$137, 0), MATCH(C1307, Analysis!$D$115:$N$115, 0)), "")</f>
        <v/>
      </c>
      <c r="J1307" t="str">
        <f t="shared" si="124"/>
        <v/>
      </c>
      <c r="K1307" s="28" t="str">
        <f t="shared" si="121"/>
        <v/>
      </c>
      <c r="L1307" s="46" t="str">
        <f t="shared" si="125"/>
        <v/>
      </c>
      <c r="M1307" t="str" cm="1">
        <f t="array" ref="M1307">IF(L1307="","",_xlfn.IFS(
  AND(L1307&gt;=TIME(9,0,0), L1307&lt;TIME(16,0,0)),"Morning",
  AND(L1307&gt;=TIME(16,0,0), L1307&lt;TIME(23,59,0)),"Evening",
  L1307&gt;=TIME(23,59,0),"Night",
  L1307&lt;TIME(9,0,0),"Night"
))</f>
        <v/>
      </c>
      <c r="O1307" t="str">
        <f t="shared" si="122"/>
        <v/>
      </c>
    </row>
    <row r="1308" spans="1:15" x14ac:dyDescent="0.25">
      <c r="A1308" s="49"/>
      <c r="G1308" t="str">
        <f t="shared" si="120"/>
        <v/>
      </c>
      <c r="H1308" s="13" t="str">
        <f t="shared" si="123"/>
        <v/>
      </c>
      <c r="I1308" t="str">
        <f>IFERROR(INDEX(Analysis!$D$116:$N$137, MATCH(B1308, Analysis!$C$116:$C$137, 0), MATCH(C1308, Analysis!$D$115:$N$115, 0)), "")</f>
        <v/>
      </c>
      <c r="J1308" t="str">
        <f t="shared" si="124"/>
        <v/>
      </c>
      <c r="K1308" s="28" t="str">
        <f t="shared" si="121"/>
        <v/>
      </c>
      <c r="L1308" s="46" t="str">
        <f t="shared" si="125"/>
        <v/>
      </c>
      <c r="M1308" t="str" cm="1">
        <f t="array" ref="M1308">IF(L1308="","",_xlfn.IFS(
  AND(L1308&gt;=TIME(9,0,0), L1308&lt;TIME(16,0,0)),"Morning",
  AND(L1308&gt;=TIME(16,0,0), L1308&lt;TIME(23,59,0)),"Evening",
  L1308&gt;=TIME(23,59,0),"Night",
  L1308&lt;TIME(9,0,0),"Night"
))</f>
        <v/>
      </c>
      <c r="O1308" t="str">
        <f t="shared" si="122"/>
        <v/>
      </c>
    </row>
    <row r="1309" spans="1:15" x14ac:dyDescent="0.25">
      <c r="A1309" s="49"/>
      <c r="G1309" t="str">
        <f t="shared" si="120"/>
        <v/>
      </c>
      <c r="H1309" s="13" t="str">
        <f t="shared" si="123"/>
        <v/>
      </c>
      <c r="I1309" t="str">
        <f>IFERROR(INDEX(Analysis!$D$116:$N$137, MATCH(B1309, Analysis!$C$116:$C$137, 0), MATCH(C1309, Analysis!$D$115:$N$115, 0)), "")</f>
        <v/>
      </c>
      <c r="J1309" t="str">
        <f t="shared" si="124"/>
        <v/>
      </c>
      <c r="K1309" s="28" t="str">
        <f t="shared" si="121"/>
        <v/>
      </c>
      <c r="L1309" s="46" t="str">
        <f t="shared" si="125"/>
        <v/>
      </c>
      <c r="M1309" t="str" cm="1">
        <f t="array" ref="M1309">IF(L1309="","",_xlfn.IFS(
  AND(L1309&gt;=TIME(9,0,0), L1309&lt;TIME(16,0,0)),"Morning",
  AND(L1309&gt;=TIME(16,0,0), L1309&lt;TIME(23,59,0)),"Evening",
  L1309&gt;=TIME(23,59,0),"Night",
  L1309&lt;TIME(9,0,0),"Night"
))</f>
        <v/>
      </c>
      <c r="O1309" t="str">
        <f t="shared" si="122"/>
        <v/>
      </c>
    </row>
    <row r="1310" spans="1:15" x14ac:dyDescent="0.25">
      <c r="A1310" s="49"/>
      <c r="G1310" t="str">
        <f t="shared" si="120"/>
        <v/>
      </c>
      <c r="H1310" s="13" t="str">
        <f t="shared" si="123"/>
        <v/>
      </c>
      <c r="I1310" t="str">
        <f>IFERROR(INDEX(Analysis!$D$116:$N$137, MATCH(B1310, Analysis!$C$116:$C$137, 0), MATCH(C1310, Analysis!$D$115:$N$115, 0)), "")</f>
        <v/>
      </c>
      <c r="J1310" t="str">
        <f t="shared" si="124"/>
        <v/>
      </c>
      <c r="K1310" s="28" t="str">
        <f t="shared" si="121"/>
        <v/>
      </c>
      <c r="L1310" s="46" t="str">
        <f t="shared" si="125"/>
        <v/>
      </c>
      <c r="M1310" t="str" cm="1">
        <f t="array" ref="M1310">IF(L1310="","",_xlfn.IFS(
  AND(L1310&gt;=TIME(9,0,0), L1310&lt;TIME(16,0,0)),"Morning",
  AND(L1310&gt;=TIME(16,0,0), L1310&lt;TIME(23,59,0)),"Evening",
  L1310&gt;=TIME(23,59,0),"Night",
  L1310&lt;TIME(9,0,0),"Night"
))</f>
        <v/>
      </c>
      <c r="O1310" t="str">
        <f t="shared" si="122"/>
        <v/>
      </c>
    </row>
    <row r="1311" spans="1:15" x14ac:dyDescent="0.25">
      <c r="A1311" s="49"/>
      <c r="G1311" t="str">
        <f t="shared" si="120"/>
        <v/>
      </c>
      <c r="H1311" s="13" t="str">
        <f t="shared" si="123"/>
        <v/>
      </c>
      <c r="I1311" t="str">
        <f>IFERROR(INDEX(Analysis!$D$116:$N$137, MATCH(B1311, Analysis!$C$116:$C$137, 0), MATCH(C1311, Analysis!$D$115:$N$115, 0)), "")</f>
        <v/>
      </c>
      <c r="J1311" t="str">
        <f t="shared" si="124"/>
        <v/>
      </c>
      <c r="K1311" s="28" t="str">
        <f t="shared" si="121"/>
        <v/>
      </c>
      <c r="L1311" s="46" t="str">
        <f t="shared" si="125"/>
        <v/>
      </c>
      <c r="M1311" t="str" cm="1">
        <f t="array" ref="M1311">IF(L1311="","",_xlfn.IFS(
  AND(L1311&gt;=TIME(9,0,0), L1311&lt;TIME(16,0,0)),"Morning",
  AND(L1311&gt;=TIME(16,0,0), L1311&lt;TIME(23,59,0)),"Evening",
  L1311&gt;=TIME(23,59,0),"Night",
  L1311&lt;TIME(9,0,0),"Night"
))</f>
        <v/>
      </c>
      <c r="O1311" t="str">
        <f t="shared" si="122"/>
        <v/>
      </c>
    </row>
    <row r="1312" spans="1:15" x14ac:dyDescent="0.25">
      <c r="A1312" s="49"/>
      <c r="G1312" t="str">
        <f t="shared" si="120"/>
        <v/>
      </c>
      <c r="H1312" s="13" t="str">
        <f t="shared" si="123"/>
        <v/>
      </c>
      <c r="I1312" t="str">
        <f>IFERROR(INDEX(Analysis!$D$116:$N$137, MATCH(B1312, Analysis!$C$116:$C$137, 0), MATCH(C1312, Analysis!$D$115:$N$115, 0)), "")</f>
        <v/>
      </c>
      <c r="J1312" t="str">
        <f t="shared" si="124"/>
        <v/>
      </c>
      <c r="K1312" s="28" t="str">
        <f t="shared" si="121"/>
        <v/>
      </c>
      <c r="L1312" s="46" t="str">
        <f t="shared" si="125"/>
        <v/>
      </c>
      <c r="M1312" t="str" cm="1">
        <f t="array" ref="M1312">IF(L1312="","",_xlfn.IFS(
  AND(L1312&gt;=TIME(9,0,0), L1312&lt;TIME(16,0,0)),"Morning",
  AND(L1312&gt;=TIME(16,0,0), L1312&lt;TIME(23,59,0)),"Evening",
  L1312&gt;=TIME(23,59,0),"Night",
  L1312&lt;TIME(9,0,0),"Night"
))</f>
        <v/>
      </c>
      <c r="O1312" t="str">
        <f t="shared" si="122"/>
        <v/>
      </c>
    </row>
    <row r="1313" spans="1:15" x14ac:dyDescent="0.25">
      <c r="A1313" s="49"/>
      <c r="G1313" t="str">
        <f t="shared" si="120"/>
        <v/>
      </c>
      <c r="H1313" s="13" t="str">
        <f t="shared" si="123"/>
        <v/>
      </c>
      <c r="I1313" t="str">
        <f>IFERROR(INDEX(Analysis!$D$116:$N$137, MATCH(B1313, Analysis!$C$116:$C$137, 0), MATCH(C1313, Analysis!$D$115:$N$115, 0)), "")</f>
        <v/>
      </c>
      <c r="J1313" t="str">
        <f t="shared" si="124"/>
        <v/>
      </c>
      <c r="K1313" s="28" t="str">
        <f t="shared" si="121"/>
        <v/>
      </c>
      <c r="L1313" s="46" t="str">
        <f t="shared" si="125"/>
        <v/>
      </c>
      <c r="M1313" t="str" cm="1">
        <f t="array" ref="M1313">IF(L1313="","",_xlfn.IFS(
  AND(L1313&gt;=TIME(9,0,0), L1313&lt;TIME(16,0,0)),"Morning",
  AND(L1313&gt;=TIME(16,0,0), L1313&lt;TIME(23,59,0)),"Evening",
  L1313&gt;=TIME(23,59,0),"Night",
  L1313&lt;TIME(9,0,0),"Night"
))</f>
        <v/>
      </c>
      <c r="O1313" t="str">
        <f t="shared" si="122"/>
        <v/>
      </c>
    </row>
    <row r="1314" spans="1:15" x14ac:dyDescent="0.25">
      <c r="A1314" s="49"/>
      <c r="G1314" t="str">
        <f t="shared" si="120"/>
        <v/>
      </c>
      <c r="H1314" s="13" t="str">
        <f t="shared" si="123"/>
        <v/>
      </c>
      <c r="I1314" t="str">
        <f>IFERROR(INDEX(Analysis!$D$116:$N$137, MATCH(B1314, Analysis!$C$116:$C$137, 0), MATCH(C1314, Analysis!$D$115:$N$115, 0)), "")</f>
        <v/>
      </c>
      <c r="J1314" t="str">
        <f t="shared" si="124"/>
        <v/>
      </c>
      <c r="K1314" s="28" t="str">
        <f t="shared" si="121"/>
        <v/>
      </c>
      <c r="L1314" s="46" t="str">
        <f t="shared" si="125"/>
        <v/>
      </c>
      <c r="M1314" t="str" cm="1">
        <f t="array" ref="M1314">IF(L1314="","",_xlfn.IFS(
  AND(L1314&gt;=TIME(9,0,0), L1314&lt;TIME(16,0,0)),"Morning",
  AND(L1314&gt;=TIME(16,0,0), L1314&lt;TIME(23,59,0)),"Evening",
  L1314&gt;=TIME(23,59,0),"Night",
  L1314&lt;TIME(9,0,0),"Night"
))</f>
        <v/>
      </c>
      <c r="O1314" t="str">
        <f t="shared" si="122"/>
        <v/>
      </c>
    </row>
    <row r="1315" spans="1:15" x14ac:dyDescent="0.25">
      <c r="A1315" s="49"/>
      <c r="G1315" t="str">
        <f t="shared" si="120"/>
        <v/>
      </c>
      <c r="H1315" s="13" t="str">
        <f t="shared" si="123"/>
        <v/>
      </c>
      <c r="I1315" t="str">
        <f>IFERROR(INDEX(Analysis!$D$116:$N$137, MATCH(B1315, Analysis!$C$116:$C$137, 0), MATCH(C1315, Analysis!$D$115:$N$115, 0)), "")</f>
        <v/>
      </c>
      <c r="J1315" t="str">
        <f t="shared" si="124"/>
        <v/>
      </c>
      <c r="K1315" s="28" t="str">
        <f t="shared" si="121"/>
        <v/>
      </c>
      <c r="L1315" s="46" t="str">
        <f t="shared" si="125"/>
        <v/>
      </c>
      <c r="M1315" t="str" cm="1">
        <f t="array" ref="M1315">IF(L1315="","",_xlfn.IFS(
  AND(L1315&gt;=TIME(9,0,0), L1315&lt;TIME(16,0,0)),"Morning",
  AND(L1315&gt;=TIME(16,0,0), L1315&lt;TIME(23,59,0)),"Evening",
  L1315&gt;=TIME(23,59,0),"Night",
  L1315&lt;TIME(9,0,0),"Night"
))</f>
        <v/>
      </c>
      <c r="O1315" t="str">
        <f t="shared" si="122"/>
        <v/>
      </c>
    </row>
    <row r="1316" spans="1:15" x14ac:dyDescent="0.25">
      <c r="A1316" s="49"/>
      <c r="G1316" t="str">
        <f t="shared" si="120"/>
        <v/>
      </c>
      <c r="H1316" s="13" t="str">
        <f t="shared" si="123"/>
        <v/>
      </c>
      <c r="I1316" t="str">
        <f>IFERROR(INDEX(Analysis!$D$116:$N$137, MATCH(B1316, Analysis!$C$116:$C$137, 0), MATCH(C1316, Analysis!$D$115:$N$115, 0)), "")</f>
        <v/>
      </c>
      <c r="J1316" t="str">
        <f t="shared" si="124"/>
        <v/>
      </c>
      <c r="K1316" s="28" t="str">
        <f t="shared" si="121"/>
        <v/>
      </c>
      <c r="L1316" s="46" t="str">
        <f t="shared" si="125"/>
        <v/>
      </c>
      <c r="M1316" t="str" cm="1">
        <f t="array" ref="M1316">IF(L1316="","",_xlfn.IFS(
  AND(L1316&gt;=TIME(9,0,0), L1316&lt;TIME(16,0,0)),"Morning",
  AND(L1316&gt;=TIME(16,0,0), L1316&lt;TIME(23,59,0)),"Evening",
  L1316&gt;=TIME(23,59,0),"Night",
  L1316&lt;TIME(9,0,0),"Night"
))</f>
        <v/>
      </c>
      <c r="O1316" t="str">
        <f t="shared" si="122"/>
        <v/>
      </c>
    </row>
    <row r="1317" spans="1:15" x14ac:dyDescent="0.25">
      <c r="A1317" s="49"/>
      <c r="G1317" t="str">
        <f t="shared" si="120"/>
        <v/>
      </c>
      <c r="H1317" s="13" t="str">
        <f t="shared" si="123"/>
        <v/>
      </c>
      <c r="I1317" t="str">
        <f>IFERROR(INDEX(Analysis!$D$116:$N$137, MATCH(B1317, Analysis!$C$116:$C$137, 0), MATCH(C1317, Analysis!$D$115:$N$115, 0)), "")</f>
        <v/>
      </c>
      <c r="J1317" t="str">
        <f t="shared" si="124"/>
        <v/>
      </c>
      <c r="K1317" s="28" t="str">
        <f t="shared" si="121"/>
        <v/>
      </c>
      <c r="L1317" s="46" t="str">
        <f t="shared" si="125"/>
        <v/>
      </c>
      <c r="M1317" t="str" cm="1">
        <f t="array" ref="M1317">IF(L1317="","",_xlfn.IFS(
  AND(L1317&gt;=TIME(9,0,0), L1317&lt;TIME(16,0,0)),"Morning",
  AND(L1317&gt;=TIME(16,0,0), L1317&lt;TIME(23,59,0)),"Evening",
  L1317&gt;=TIME(23,59,0),"Night",
  L1317&lt;TIME(9,0,0),"Night"
))</f>
        <v/>
      </c>
      <c r="O1317" t="str">
        <f t="shared" si="122"/>
        <v/>
      </c>
    </row>
    <row r="1318" spans="1:15" x14ac:dyDescent="0.25">
      <c r="A1318" s="49"/>
      <c r="G1318" t="str">
        <f t="shared" si="120"/>
        <v/>
      </c>
      <c r="H1318" s="13" t="str">
        <f t="shared" si="123"/>
        <v/>
      </c>
      <c r="I1318" t="str">
        <f>IFERROR(INDEX(Analysis!$D$116:$N$137, MATCH(B1318, Analysis!$C$116:$C$137, 0), MATCH(C1318, Analysis!$D$115:$N$115, 0)), "")</f>
        <v/>
      </c>
      <c r="J1318" t="str">
        <f t="shared" si="124"/>
        <v/>
      </c>
      <c r="K1318" s="28" t="str">
        <f t="shared" si="121"/>
        <v/>
      </c>
      <c r="L1318" s="46" t="str">
        <f t="shared" si="125"/>
        <v/>
      </c>
      <c r="M1318" t="str" cm="1">
        <f t="array" ref="M1318">IF(L1318="","",_xlfn.IFS(
  AND(L1318&gt;=TIME(9,0,0), L1318&lt;TIME(16,0,0)),"Morning",
  AND(L1318&gt;=TIME(16,0,0), L1318&lt;TIME(23,59,0)),"Evening",
  L1318&gt;=TIME(23,59,0),"Night",
  L1318&lt;TIME(9,0,0),"Night"
))</f>
        <v/>
      </c>
      <c r="O1318" t="str">
        <f t="shared" si="122"/>
        <v/>
      </c>
    </row>
    <row r="1319" spans="1:15" x14ac:dyDescent="0.25">
      <c r="A1319" s="49"/>
      <c r="G1319" t="str">
        <f t="shared" si="120"/>
        <v/>
      </c>
      <c r="H1319" s="13" t="str">
        <f t="shared" si="123"/>
        <v/>
      </c>
      <c r="I1319" t="str">
        <f>IFERROR(INDEX(Analysis!$D$116:$N$137, MATCH(B1319, Analysis!$C$116:$C$137, 0), MATCH(C1319, Analysis!$D$115:$N$115, 0)), "")</f>
        <v/>
      </c>
      <c r="J1319" t="str">
        <f t="shared" si="124"/>
        <v/>
      </c>
      <c r="K1319" s="28" t="str">
        <f t="shared" si="121"/>
        <v/>
      </c>
      <c r="L1319" s="46" t="str">
        <f t="shared" si="125"/>
        <v/>
      </c>
      <c r="M1319" t="str" cm="1">
        <f t="array" ref="M1319">IF(L1319="","",_xlfn.IFS(
  AND(L1319&gt;=TIME(9,0,0), L1319&lt;TIME(16,0,0)),"Morning",
  AND(L1319&gt;=TIME(16,0,0), L1319&lt;TIME(23,59,0)),"Evening",
  L1319&gt;=TIME(23,59,0),"Night",
  L1319&lt;TIME(9,0,0),"Night"
))</f>
        <v/>
      </c>
      <c r="O1319" t="str">
        <f t="shared" si="122"/>
        <v/>
      </c>
    </row>
    <row r="1320" spans="1:15" x14ac:dyDescent="0.25">
      <c r="A1320" s="49"/>
      <c r="G1320" t="str">
        <f t="shared" si="120"/>
        <v/>
      </c>
      <c r="H1320" s="13" t="str">
        <f t="shared" si="123"/>
        <v/>
      </c>
      <c r="I1320" t="str">
        <f>IFERROR(INDEX(Analysis!$D$116:$N$137, MATCH(B1320, Analysis!$C$116:$C$137, 0), MATCH(C1320, Analysis!$D$115:$N$115, 0)), "")</f>
        <v/>
      </c>
      <c r="J1320" t="str">
        <f t="shared" si="124"/>
        <v/>
      </c>
      <c r="K1320" s="28" t="str">
        <f t="shared" si="121"/>
        <v/>
      </c>
      <c r="L1320" s="46" t="str">
        <f t="shared" si="125"/>
        <v/>
      </c>
      <c r="M1320" t="str" cm="1">
        <f t="array" ref="M1320">IF(L1320="","",_xlfn.IFS(
  AND(L1320&gt;=TIME(9,0,0), L1320&lt;TIME(16,0,0)),"Morning",
  AND(L1320&gt;=TIME(16,0,0), L1320&lt;TIME(23,59,0)),"Evening",
  L1320&gt;=TIME(23,59,0),"Night",
  L1320&lt;TIME(9,0,0),"Night"
))</f>
        <v/>
      </c>
      <c r="O1320" t="str">
        <f t="shared" si="122"/>
        <v/>
      </c>
    </row>
    <row r="1321" spans="1:15" x14ac:dyDescent="0.25">
      <c r="A1321" s="49"/>
      <c r="G1321" t="str">
        <f t="shared" si="120"/>
        <v/>
      </c>
      <c r="H1321" s="13" t="str">
        <f t="shared" si="123"/>
        <v/>
      </c>
      <c r="I1321" t="str">
        <f>IFERROR(INDEX(Analysis!$D$116:$N$137, MATCH(B1321, Analysis!$C$116:$C$137, 0), MATCH(C1321, Analysis!$D$115:$N$115, 0)), "")</f>
        <v/>
      </c>
      <c r="J1321" t="str">
        <f t="shared" si="124"/>
        <v/>
      </c>
      <c r="K1321" s="28" t="str">
        <f t="shared" si="121"/>
        <v/>
      </c>
      <c r="L1321" s="46" t="str">
        <f t="shared" si="125"/>
        <v/>
      </c>
      <c r="M1321" t="str" cm="1">
        <f t="array" ref="M1321">IF(L1321="","",_xlfn.IFS(
  AND(L1321&gt;=TIME(9,0,0), L1321&lt;TIME(16,0,0)),"Morning",
  AND(L1321&gt;=TIME(16,0,0), L1321&lt;TIME(23,59,0)),"Evening",
  L1321&gt;=TIME(23,59,0),"Night",
  L1321&lt;TIME(9,0,0),"Night"
))</f>
        <v/>
      </c>
      <c r="O1321" t="str">
        <f t="shared" si="122"/>
        <v/>
      </c>
    </row>
    <row r="1322" spans="1:15" x14ac:dyDescent="0.25">
      <c r="A1322" s="49"/>
      <c r="G1322" t="str">
        <f t="shared" si="120"/>
        <v/>
      </c>
      <c r="H1322" s="13" t="str">
        <f t="shared" si="123"/>
        <v/>
      </c>
      <c r="I1322" t="str">
        <f>IFERROR(INDEX(Analysis!$D$116:$N$137, MATCH(B1322, Analysis!$C$116:$C$137, 0), MATCH(C1322, Analysis!$D$115:$N$115, 0)), "")</f>
        <v/>
      </c>
      <c r="J1322" t="str">
        <f t="shared" si="124"/>
        <v/>
      </c>
      <c r="K1322" s="28" t="str">
        <f t="shared" si="121"/>
        <v/>
      </c>
      <c r="L1322" s="46" t="str">
        <f t="shared" si="125"/>
        <v/>
      </c>
      <c r="M1322" t="str" cm="1">
        <f t="array" ref="M1322">IF(L1322="","",_xlfn.IFS(
  AND(L1322&gt;=TIME(9,0,0), L1322&lt;TIME(16,0,0)),"Morning",
  AND(L1322&gt;=TIME(16,0,0), L1322&lt;TIME(23,59,0)),"Evening",
  L1322&gt;=TIME(23,59,0),"Night",
  L1322&lt;TIME(9,0,0),"Night"
))</f>
        <v/>
      </c>
      <c r="O1322" t="str">
        <f t="shared" si="122"/>
        <v/>
      </c>
    </row>
    <row r="1323" spans="1:15" x14ac:dyDescent="0.25">
      <c r="A1323" s="49"/>
      <c r="G1323" t="str">
        <f t="shared" si="120"/>
        <v/>
      </c>
      <c r="H1323" s="13" t="str">
        <f t="shared" si="123"/>
        <v/>
      </c>
      <c r="I1323" t="str">
        <f>IFERROR(INDEX(Analysis!$D$116:$N$137, MATCH(B1323, Analysis!$C$116:$C$137, 0), MATCH(C1323, Analysis!$D$115:$N$115, 0)), "")</f>
        <v/>
      </c>
      <c r="J1323" t="str">
        <f t="shared" si="124"/>
        <v/>
      </c>
      <c r="K1323" s="28" t="str">
        <f t="shared" si="121"/>
        <v/>
      </c>
      <c r="L1323" s="46" t="str">
        <f t="shared" si="125"/>
        <v/>
      </c>
      <c r="M1323" t="str" cm="1">
        <f t="array" ref="M1323">IF(L1323="","",_xlfn.IFS(
  AND(L1323&gt;=TIME(9,0,0), L1323&lt;TIME(16,0,0)),"Morning",
  AND(L1323&gt;=TIME(16,0,0), L1323&lt;TIME(23,59,0)),"Evening",
  L1323&gt;=TIME(23,59,0),"Night",
  L1323&lt;TIME(9,0,0),"Night"
))</f>
        <v/>
      </c>
      <c r="O1323" t="str">
        <f t="shared" si="122"/>
        <v/>
      </c>
    </row>
    <row r="1324" spans="1:15" x14ac:dyDescent="0.25">
      <c r="A1324" s="49"/>
      <c r="G1324" t="str">
        <f t="shared" si="120"/>
        <v/>
      </c>
      <c r="H1324" s="13" t="str">
        <f t="shared" si="123"/>
        <v/>
      </c>
      <c r="I1324" t="str">
        <f>IFERROR(INDEX(Analysis!$D$116:$N$137, MATCH(B1324, Analysis!$C$116:$C$137, 0), MATCH(C1324, Analysis!$D$115:$N$115, 0)), "")</f>
        <v/>
      </c>
      <c r="J1324" t="str">
        <f t="shared" si="124"/>
        <v/>
      </c>
      <c r="K1324" s="28" t="str">
        <f t="shared" si="121"/>
        <v/>
      </c>
      <c r="L1324" s="46" t="str">
        <f t="shared" si="125"/>
        <v/>
      </c>
      <c r="M1324" t="str" cm="1">
        <f t="array" ref="M1324">IF(L1324="","",_xlfn.IFS(
  AND(L1324&gt;=TIME(9,0,0), L1324&lt;TIME(16,0,0)),"Morning",
  AND(L1324&gt;=TIME(16,0,0), L1324&lt;TIME(23,59,0)),"Evening",
  L1324&gt;=TIME(23,59,0),"Night",
  L1324&lt;TIME(9,0,0),"Night"
))</f>
        <v/>
      </c>
      <c r="O1324" t="str">
        <f t="shared" si="122"/>
        <v/>
      </c>
    </row>
    <row r="1325" spans="1:15" x14ac:dyDescent="0.25">
      <c r="A1325" s="49"/>
      <c r="G1325" t="str">
        <f t="shared" si="120"/>
        <v/>
      </c>
      <c r="H1325" s="13" t="str">
        <f t="shared" si="123"/>
        <v/>
      </c>
      <c r="I1325" t="str">
        <f>IFERROR(INDEX(Analysis!$D$116:$N$137, MATCH(B1325, Analysis!$C$116:$C$137, 0), MATCH(C1325, Analysis!$D$115:$N$115, 0)), "")</f>
        <v/>
      </c>
      <c r="J1325" t="str">
        <f t="shared" si="124"/>
        <v/>
      </c>
      <c r="K1325" s="28" t="str">
        <f t="shared" si="121"/>
        <v/>
      </c>
      <c r="L1325" s="46" t="str">
        <f t="shared" si="125"/>
        <v/>
      </c>
      <c r="M1325" t="str" cm="1">
        <f t="array" ref="M1325">IF(L1325="","",_xlfn.IFS(
  AND(L1325&gt;=TIME(9,0,0), L1325&lt;TIME(16,0,0)),"Morning",
  AND(L1325&gt;=TIME(16,0,0), L1325&lt;TIME(23,59,0)),"Evening",
  L1325&gt;=TIME(23,59,0),"Night",
  L1325&lt;TIME(9,0,0),"Night"
))</f>
        <v/>
      </c>
      <c r="O1325" t="str">
        <f t="shared" si="122"/>
        <v/>
      </c>
    </row>
    <row r="1326" spans="1:15" x14ac:dyDescent="0.25">
      <c r="A1326" s="49"/>
      <c r="G1326" t="str">
        <f t="shared" si="120"/>
        <v/>
      </c>
      <c r="H1326" s="13" t="str">
        <f t="shared" si="123"/>
        <v/>
      </c>
      <c r="I1326" t="str">
        <f>IFERROR(INDEX(Analysis!$D$116:$N$137, MATCH(B1326, Analysis!$C$116:$C$137, 0), MATCH(C1326, Analysis!$D$115:$N$115, 0)), "")</f>
        <v/>
      </c>
      <c r="J1326" t="str">
        <f t="shared" si="124"/>
        <v/>
      </c>
      <c r="K1326" s="28" t="str">
        <f t="shared" si="121"/>
        <v/>
      </c>
      <c r="L1326" s="46" t="str">
        <f t="shared" si="125"/>
        <v/>
      </c>
      <c r="M1326" t="str" cm="1">
        <f t="array" ref="M1326">IF(L1326="","",_xlfn.IFS(
  AND(L1326&gt;=TIME(9,0,0), L1326&lt;TIME(16,0,0)),"Morning",
  AND(L1326&gt;=TIME(16,0,0), L1326&lt;TIME(23,59,0)),"Evening",
  L1326&gt;=TIME(23,59,0),"Night",
  L1326&lt;TIME(9,0,0),"Night"
))</f>
        <v/>
      </c>
      <c r="O1326" t="str">
        <f t="shared" si="122"/>
        <v/>
      </c>
    </row>
    <row r="1327" spans="1:15" x14ac:dyDescent="0.25">
      <c r="A1327" s="49"/>
      <c r="G1327" t="str">
        <f t="shared" si="120"/>
        <v/>
      </c>
      <c r="H1327" s="13" t="str">
        <f t="shared" si="123"/>
        <v/>
      </c>
      <c r="I1327" t="str">
        <f>IFERROR(INDEX(Analysis!$D$116:$N$137, MATCH(B1327, Analysis!$C$116:$C$137, 0), MATCH(C1327, Analysis!$D$115:$N$115, 0)), "")</f>
        <v/>
      </c>
      <c r="J1327" t="str">
        <f t="shared" si="124"/>
        <v/>
      </c>
      <c r="K1327" s="28" t="str">
        <f t="shared" si="121"/>
        <v/>
      </c>
      <c r="L1327" s="46" t="str">
        <f t="shared" si="125"/>
        <v/>
      </c>
      <c r="M1327" t="str" cm="1">
        <f t="array" ref="M1327">IF(L1327="","",_xlfn.IFS(
  AND(L1327&gt;=TIME(9,0,0), L1327&lt;TIME(16,0,0)),"Morning",
  AND(L1327&gt;=TIME(16,0,0), L1327&lt;TIME(23,59,0)),"Evening",
  L1327&gt;=TIME(23,59,0),"Night",
  L1327&lt;TIME(9,0,0),"Night"
))</f>
        <v/>
      </c>
      <c r="O1327" t="str">
        <f t="shared" si="122"/>
        <v/>
      </c>
    </row>
    <row r="1328" spans="1:15" x14ac:dyDescent="0.25">
      <c r="A1328" s="49"/>
      <c r="G1328" t="str">
        <f t="shared" si="120"/>
        <v/>
      </c>
      <c r="H1328" s="13" t="str">
        <f t="shared" si="123"/>
        <v/>
      </c>
      <c r="I1328" t="str">
        <f>IFERROR(INDEX(Analysis!$D$116:$N$137, MATCH(B1328, Analysis!$C$116:$C$137, 0), MATCH(C1328, Analysis!$D$115:$N$115, 0)), "")</f>
        <v/>
      </c>
      <c r="J1328" t="str">
        <f t="shared" si="124"/>
        <v/>
      </c>
      <c r="K1328" s="28" t="str">
        <f t="shared" si="121"/>
        <v/>
      </c>
      <c r="L1328" s="46" t="str">
        <f t="shared" si="125"/>
        <v/>
      </c>
      <c r="M1328" t="str" cm="1">
        <f t="array" ref="M1328">IF(L1328="","",_xlfn.IFS(
  AND(L1328&gt;=TIME(9,0,0), L1328&lt;TIME(16,0,0)),"Morning",
  AND(L1328&gt;=TIME(16,0,0), L1328&lt;TIME(23,59,0)),"Evening",
  L1328&gt;=TIME(23,59,0),"Night",
  L1328&lt;TIME(9,0,0),"Night"
))</f>
        <v/>
      </c>
      <c r="O1328" t="str">
        <f t="shared" si="122"/>
        <v/>
      </c>
    </row>
    <row r="1329" spans="1:15" x14ac:dyDescent="0.25">
      <c r="A1329" s="49"/>
      <c r="G1329" t="str">
        <f t="shared" si="120"/>
        <v/>
      </c>
      <c r="H1329" s="13" t="str">
        <f t="shared" si="123"/>
        <v/>
      </c>
      <c r="I1329" t="str">
        <f>IFERROR(INDEX(Analysis!$D$116:$N$137, MATCH(B1329, Analysis!$C$116:$C$137, 0), MATCH(C1329, Analysis!$D$115:$N$115, 0)), "")</f>
        <v/>
      </c>
      <c r="J1329" t="str">
        <f t="shared" si="124"/>
        <v/>
      </c>
      <c r="K1329" s="28" t="str">
        <f t="shared" si="121"/>
        <v/>
      </c>
      <c r="L1329" s="46" t="str">
        <f t="shared" si="125"/>
        <v/>
      </c>
      <c r="M1329" t="str" cm="1">
        <f t="array" ref="M1329">IF(L1329="","",_xlfn.IFS(
  AND(L1329&gt;=TIME(9,0,0), L1329&lt;TIME(16,0,0)),"Morning",
  AND(L1329&gt;=TIME(16,0,0), L1329&lt;TIME(23,59,0)),"Evening",
  L1329&gt;=TIME(23,59,0),"Night",
  L1329&lt;TIME(9,0,0),"Night"
))</f>
        <v/>
      </c>
      <c r="O1329" t="str">
        <f t="shared" si="122"/>
        <v/>
      </c>
    </row>
    <row r="1330" spans="1:15" x14ac:dyDescent="0.25">
      <c r="A1330" s="49"/>
      <c r="G1330" t="str">
        <f t="shared" si="120"/>
        <v/>
      </c>
      <c r="H1330" s="13" t="str">
        <f t="shared" si="123"/>
        <v/>
      </c>
      <c r="I1330" t="str">
        <f>IFERROR(INDEX(Analysis!$D$116:$N$137, MATCH(B1330, Analysis!$C$116:$C$137, 0), MATCH(C1330, Analysis!$D$115:$N$115, 0)), "")</f>
        <v/>
      </c>
      <c r="J1330" t="str">
        <f t="shared" si="124"/>
        <v/>
      </c>
      <c r="K1330" s="28" t="str">
        <f t="shared" si="121"/>
        <v/>
      </c>
      <c r="L1330" s="46" t="str">
        <f t="shared" si="125"/>
        <v/>
      </c>
      <c r="M1330" t="str" cm="1">
        <f t="array" ref="M1330">IF(L1330="","",_xlfn.IFS(
  AND(L1330&gt;=TIME(9,0,0), L1330&lt;TIME(16,0,0)),"Morning",
  AND(L1330&gt;=TIME(16,0,0), L1330&lt;TIME(23,59,0)),"Evening",
  L1330&gt;=TIME(23,59,0),"Night",
  L1330&lt;TIME(9,0,0),"Night"
))</f>
        <v/>
      </c>
      <c r="O1330" t="str">
        <f t="shared" si="122"/>
        <v/>
      </c>
    </row>
    <row r="1331" spans="1:15" x14ac:dyDescent="0.25">
      <c r="A1331" s="49"/>
      <c r="G1331" t="str">
        <f t="shared" si="120"/>
        <v/>
      </c>
      <c r="H1331" s="13" t="str">
        <f t="shared" si="123"/>
        <v/>
      </c>
      <c r="I1331" t="str">
        <f>IFERROR(INDEX(Analysis!$D$116:$N$137, MATCH(B1331, Analysis!$C$116:$C$137, 0), MATCH(C1331, Analysis!$D$115:$N$115, 0)), "")</f>
        <v/>
      </c>
      <c r="J1331" t="str">
        <f t="shared" si="124"/>
        <v/>
      </c>
      <c r="K1331" s="28" t="str">
        <f t="shared" si="121"/>
        <v/>
      </c>
      <c r="L1331" s="46" t="str">
        <f t="shared" si="125"/>
        <v/>
      </c>
      <c r="M1331" t="str" cm="1">
        <f t="array" ref="M1331">IF(L1331="","",_xlfn.IFS(
  AND(L1331&gt;=TIME(9,0,0), L1331&lt;TIME(16,0,0)),"Morning",
  AND(L1331&gt;=TIME(16,0,0), L1331&lt;TIME(23,59,0)),"Evening",
  L1331&gt;=TIME(23,59,0),"Night",
  L1331&lt;TIME(9,0,0),"Night"
))</f>
        <v/>
      </c>
      <c r="O1331" t="str">
        <f t="shared" si="122"/>
        <v/>
      </c>
    </row>
    <row r="1332" spans="1:15" x14ac:dyDescent="0.25">
      <c r="A1332" s="49"/>
      <c r="G1332" t="str">
        <f t="shared" si="120"/>
        <v/>
      </c>
      <c r="H1332" s="13" t="str">
        <f t="shared" si="123"/>
        <v/>
      </c>
      <c r="I1332" t="str">
        <f>IFERROR(INDEX(Analysis!$D$116:$N$137, MATCH(B1332, Analysis!$C$116:$C$137, 0), MATCH(C1332, Analysis!$D$115:$N$115, 0)), "")</f>
        <v/>
      </c>
      <c r="J1332" t="str">
        <f t="shared" si="124"/>
        <v/>
      </c>
      <c r="K1332" s="28" t="str">
        <f t="shared" si="121"/>
        <v/>
      </c>
      <c r="L1332" s="46" t="str">
        <f t="shared" si="125"/>
        <v/>
      </c>
      <c r="M1332" t="str" cm="1">
        <f t="array" ref="M1332">IF(L1332="","",_xlfn.IFS(
  AND(L1332&gt;=TIME(9,0,0), L1332&lt;TIME(16,0,0)),"Morning",
  AND(L1332&gt;=TIME(16,0,0), L1332&lt;TIME(23,59,0)),"Evening",
  L1332&gt;=TIME(23,59,0),"Night",
  L1332&lt;TIME(9,0,0),"Night"
))</f>
        <v/>
      </c>
      <c r="O1332" t="str">
        <f t="shared" si="122"/>
        <v/>
      </c>
    </row>
    <row r="1333" spans="1:15" x14ac:dyDescent="0.25">
      <c r="A1333" s="49"/>
      <c r="G1333" t="str">
        <f t="shared" si="120"/>
        <v/>
      </c>
      <c r="H1333" s="13" t="str">
        <f t="shared" si="123"/>
        <v/>
      </c>
      <c r="I1333" t="str">
        <f>IFERROR(INDEX(Analysis!$D$116:$N$137, MATCH(B1333, Analysis!$C$116:$C$137, 0), MATCH(C1333, Analysis!$D$115:$N$115, 0)), "")</f>
        <v/>
      </c>
      <c r="J1333" t="str">
        <f t="shared" si="124"/>
        <v/>
      </c>
      <c r="K1333" s="28" t="str">
        <f t="shared" si="121"/>
        <v/>
      </c>
      <c r="L1333" s="46" t="str">
        <f t="shared" si="125"/>
        <v/>
      </c>
      <c r="M1333" t="str" cm="1">
        <f t="array" ref="M1333">IF(L1333="","",_xlfn.IFS(
  AND(L1333&gt;=TIME(9,0,0), L1333&lt;TIME(16,0,0)),"Morning",
  AND(L1333&gt;=TIME(16,0,0), L1333&lt;TIME(23,59,0)),"Evening",
  L1333&gt;=TIME(23,59,0),"Night",
  L1333&lt;TIME(9,0,0),"Night"
))</f>
        <v/>
      </c>
      <c r="O1333" t="str">
        <f t="shared" si="122"/>
        <v/>
      </c>
    </row>
    <row r="1334" spans="1:15" x14ac:dyDescent="0.25">
      <c r="A1334" s="49"/>
      <c r="G1334" t="str">
        <f t="shared" si="120"/>
        <v/>
      </c>
      <c r="H1334" s="13" t="str">
        <f t="shared" si="123"/>
        <v/>
      </c>
      <c r="I1334" t="str">
        <f>IFERROR(INDEX(Analysis!$D$116:$N$137, MATCH(B1334, Analysis!$C$116:$C$137, 0), MATCH(C1334, Analysis!$D$115:$N$115, 0)), "")</f>
        <v/>
      </c>
      <c r="J1334" t="str">
        <f t="shared" si="124"/>
        <v/>
      </c>
      <c r="K1334" s="28" t="str">
        <f t="shared" si="121"/>
        <v/>
      </c>
      <c r="L1334" s="46" t="str">
        <f t="shared" si="125"/>
        <v/>
      </c>
      <c r="M1334" t="str" cm="1">
        <f t="array" ref="M1334">IF(L1334="","",_xlfn.IFS(
  AND(L1334&gt;=TIME(9,0,0), L1334&lt;TIME(16,0,0)),"Morning",
  AND(L1334&gt;=TIME(16,0,0), L1334&lt;TIME(23,59,0)),"Evening",
  L1334&gt;=TIME(23,59,0),"Night",
  L1334&lt;TIME(9,0,0),"Night"
))</f>
        <v/>
      </c>
      <c r="O1334" t="str">
        <f t="shared" si="122"/>
        <v/>
      </c>
    </row>
    <row r="1335" spans="1:15" x14ac:dyDescent="0.25">
      <c r="A1335" s="49"/>
      <c r="G1335" t="str">
        <f t="shared" si="120"/>
        <v/>
      </c>
      <c r="H1335" s="13" t="str">
        <f t="shared" si="123"/>
        <v/>
      </c>
      <c r="I1335" t="str">
        <f>IFERROR(INDEX(Analysis!$D$116:$N$137, MATCH(B1335, Analysis!$C$116:$C$137, 0), MATCH(C1335, Analysis!$D$115:$N$115, 0)), "")</f>
        <v/>
      </c>
      <c r="J1335" t="str">
        <f t="shared" si="124"/>
        <v/>
      </c>
      <c r="K1335" s="28" t="str">
        <f t="shared" si="121"/>
        <v/>
      </c>
      <c r="L1335" s="46" t="str">
        <f t="shared" si="125"/>
        <v/>
      </c>
      <c r="M1335" t="str" cm="1">
        <f t="array" ref="M1335">IF(L1335="","",_xlfn.IFS(
  AND(L1335&gt;=TIME(9,0,0), L1335&lt;TIME(16,0,0)),"Morning",
  AND(L1335&gt;=TIME(16,0,0), L1335&lt;TIME(23,59,0)),"Evening",
  L1335&gt;=TIME(23,59,0),"Night",
  L1335&lt;TIME(9,0,0),"Night"
))</f>
        <v/>
      </c>
      <c r="O1335" t="str">
        <f t="shared" si="122"/>
        <v/>
      </c>
    </row>
    <row r="1336" spans="1:15" x14ac:dyDescent="0.25">
      <c r="A1336" s="49"/>
      <c r="G1336" t="str">
        <f t="shared" si="120"/>
        <v/>
      </c>
      <c r="H1336" s="13" t="str">
        <f t="shared" si="123"/>
        <v/>
      </c>
      <c r="I1336" t="str">
        <f>IFERROR(INDEX(Analysis!$D$116:$N$137, MATCH(B1336, Analysis!$C$116:$C$137, 0), MATCH(C1336, Analysis!$D$115:$N$115, 0)), "")</f>
        <v/>
      </c>
      <c r="J1336" t="str">
        <f t="shared" si="124"/>
        <v/>
      </c>
      <c r="K1336" s="28" t="str">
        <f t="shared" si="121"/>
        <v/>
      </c>
      <c r="L1336" s="46" t="str">
        <f t="shared" si="125"/>
        <v/>
      </c>
      <c r="M1336" t="str" cm="1">
        <f t="array" ref="M1336">IF(L1336="","",_xlfn.IFS(
  AND(L1336&gt;=TIME(9,0,0), L1336&lt;TIME(16,0,0)),"Morning",
  AND(L1336&gt;=TIME(16,0,0), L1336&lt;TIME(23,59,0)),"Evening",
  L1336&gt;=TIME(23,59,0),"Night",
  L1336&lt;TIME(9,0,0),"Night"
))</f>
        <v/>
      </c>
      <c r="O1336" t="str">
        <f t="shared" si="122"/>
        <v/>
      </c>
    </row>
    <row r="1337" spans="1:15" x14ac:dyDescent="0.25">
      <c r="A1337" s="49"/>
      <c r="G1337" t="str">
        <f t="shared" si="120"/>
        <v/>
      </c>
      <c r="H1337" s="13" t="str">
        <f t="shared" si="123"/>
        <v/>
      </c>
      <c r="I1337" t="str">
        <f>IFERROR(INDEX(Analysis!$D$116:$N$137, MATCH(B1337, Analysis!$C$116:$C$137, 0), MATCH(C1337, Analysis!$D$115:$N$115, 0)), "")</f>
        <v/>
      </c>
      <c r="J1337" t="str">
        <f t="shared" si="124"/>
        <v/>
      </c>
      <c r="K1337" s="28" t="str">
        <f t="shared" si="121"/>
        <v/>
      </c>
      <c r="L1337" s="46" t="str">
        <f t="shared" si="125"/>
        <v/>
      </c>
      <c r="M1337" t="str" cm="1">
        <f t="array" ref="M1337">IF(L1337="","",_xlfn.IFS(
  AND(L1337&gt;=TIME(9,0,0), L1337&lt;TIME(16,0,0)),"Morning",
  AND(L1337&gt;=TIME(16,0,0), L1337&lt;TIME(23,59,0)),"Evening",
  L1337&gt;=TIME(23,59,0),"Night",
  L1337&lt;TIME(9,0,0),"Night"
))</f>
        <v/>
      </c>
      <c r="O1337" t="str">
        <f t="shared" si="122"/>
        <v/>
      </c>
    </row>
    <row r="1338" spans="1:15" x14ac:dyDescent="0.25">
      <c r="A1338" s="49"/>
      <c r="G1338" t="str">
        <f t="shared" si="120"/>
        <v/>
      </c>
      <c r="H1338" s="13" t="str">
        <f t="shared" si="123"/>
        <v/>
      </c>
      <c r="I1338" t="str">
        <f>IFERROR(INDEX(Analysis!$D$116:$N$137, MATCH(B1338, Analysis!$C$116:$C$137, 0), MATCH(C1338, Analysis!$D$115:$N$115, 0)), "")</f>
        <v/>
      </c>
      <c r="J1338" t="str">
        <f t="shared" si="124"/>
        <v/>
      </c>
      <c r="K1338" s="28" t="str">
        <f t="shared" si="121"/>
        <v/>
      </c>
      <c r="L1338" s="46" t="str">
        <f t="shared" si="125"/>
        <v/>
      </c>
      <c r="M1338" t="str" cm="1">
        <f t="array" ref="M1338">IF(L1338="","",_xlfn.IFS(
  AND(L1338&gt;=TIME(9,0,0), L1338&lt;TIME(16,0,0)),"Morning",
  AND(L1338&gt;=TIME(16,0,0), L1338&lt;TIME(23,59,0)),"Evening",
  L1338&gt;=TIME(23,59,0),"Night",
  L1338&lt;TIME(9,0,0),"Night"
))</f>
        <v/>
      </c>
      <c r="O1338" t="str">
        <f t="shared" si="122"/>
        <v/>
      </c>
    </row>
    <row r="1339" spans="1:15" x14ac:dyDescent="0.25">
      <c r="A1339" s="49"/>
      <c r="G1339" t="str">
        <f t="shared" si="120"/>
        <v/>
      </c>
      <c r="H1339" s="13" t="str">
        <f t="shared" si="123"/>
        <v/>
      </c>
      <c r="I1339" t="str">
        <f>IFERROR(INDEX(Analysis!$D$116:$N$137, MATCH(B1339, Analysis!$C$116:$C$137, 0), MATCH(C1339, Analysis!$D$115:$N$115, 0)), "")</f>
        <v/>
      </c>
      <c r="J1339" t="str">
        <f t="shared" si="124"/>
        <v/>
      </c>
      <c r="K1339" s="28" t="str">
        <f t="shared" si="121"/>
        <v/>
      </c>
      <c r="L1339" s="46" t="str">
        <f t="shared" si="125"/>
        <v/>
      </c>
      <c r="M1339" t="str" cm="1">
        <f t="array" ref="M1339">IF(L1339="","",_xlfn.IFS(
  AND(L1339&gt;=TIME(9,0,0), L1339&lt;TIME(16,0,0)),"Morning",
  AND(L1339&gt;=TIME(16,0,0), L1339&lt;TIME(23,59,0)),"Evening",
  L1339&gt;=TIME(23,59,0),"Night",
  L1339&lt;TIME(9,0,0),"Night"
))</f>
        <v/>
      </c>
      <c r="O1339" t="str">
        <f t="shared" si="122"/>
        <v/>
      </c>
    </row>
    <row r="1340" spans="1:15" x14ac:dyDescent="0.25">
      <c r="A1340" s="49"/>
      <c r="G1340" t="str">
        <f t="shared" si="120"/>
        <v/>
      </c>
      <c r="H1340" s="13" t="str">
        <f t="shared" si="123"/>
        <v/>
      </c>
      <c r="I1340" t="str">
        <f>IFERROR(INDEX(Analysis!$D$116:$N$137, MATCH(B1340, Analysis!$C$116:$C$137, 0), MATCH(C1340, Analysis!$D$115:$N$115, 0)), "")</f>
        <v/>
      </c>
      <c r="J1340" t="str">
        <f t="shared" si="124"/>
        <v/>
      </c>
      <c r="K1340" s="28" t="str">
        <f t="shared" si="121"/>
        <v/>
      </c>
      <c r="L1340" s="46" t="str">
        <f t="shared" si="125"/>
        <v/>
      </c>
      <c r="M1340" t="str" cm="1">
        <f t="array" ref="M1340">IF(L1340="","",_xlfn.IFS(
  AND(L1340&gt;=TIME(9,0,0), L1340&lt;TIME(16,0,0)),"Morning",
  AND(L1340&gt;=TIME(16,0,0), L1340&lt;TIME(23,59,0)),"Evening",
  L1340&gt;=TIME(23,59,0),"Night",
  L1340&lt;TIME(9,0,0),"Night"
))</f>
        <v/>
      </c>
      <c r="O1340" t="str">
        <f t="shared" si="122"/>
        <v/>
      </c>
    </row>
    <row r="1341" spans="1:15" x14ac:dyDescent="0.25">
      <c r="A1341" s="49"/>
      <c r="G1341" t="str">
        <f t="shared" si="120"/>
        <v/>
      </c>
      <c r="H1341" s="13" t="str">
        <f t="shared" si="123"/>
        <v/>
      </c>
      <c r="I1341" t="str">
        <f>IFERROR(INDEX(Analysis!$D$116:$N$137, MATCH(B1341, Analysis!$C$116:$C$137, 0), MATCH(C1341, Analysis!$D$115:$N$115, 0)), "")</f>
        <v/>
      </c>
      <c r="J1341" t="str">
        <f t="shared" si="124"/>
        <v/>
      </c>
      <c r="K1341" s="28" t="str">
        <f t="shared" si="121"/>
        <v/>
      </c>
      <c r="L1341" s="46" t="str">
        <f t="shared" si="125"/>
        <v/>
      </c>
      <c r="M1341" t="str" cm="1">
        <f t="array" ref="M1341">IF(L1341="","",_xlfn.IFS(
  AND(L1341&gt;=TIME(9,0,0), L1341&lt;TIME(16,0,0)),"Morning",
  AND(L1341&gt;=TIME(16,0,0), L1341&lt;TIME(23,59,0)),"Evening",
  L1341&gt;=TIME(23,59,0),"Night",
  L1341&lt;TIME(9,0,0),"Night"
))</f>
        <v/>
      </c>
      <c r="O1341" t="str">
        <f t="shared" si="122"/>
        <v/>
      </c>
    </row>
    <row r="1342" spans="1:15" x14ac:dyDescent="0.25">
      <c r="A1342" s="49"/>
      <c r="G1342" t="str">
        <f t="shared" si="120"/>
        <v/>
      </c>
      <c r="H1342" s="13" t="str">
        <f t="shared" si="123"/>
        <v/>
      </c>
      <c r="I1342" t="str">
        <f>IFERROR(INDEX(Analysis!$D$116:$N$137, MATCH(B1342, Analysis!$C$116:$C$137, 0), MATCH(C1342, Analysis!$D$115:$N$115, 0)), "")</f>
        <v/>
      </c>
      <c r="J1342" t="str">
        <f t="shared" si="124"/>
        <v/>
      </c>
      <c r="K1342" s="28" t="str">
        <f t="shared" si="121"/>
        <v/>
      </c>
      <c r="L1342" s="46" t="str">
        <f t="shared" si="125"/>
        <v/>
      </c>
      <c r="M1342" t="str" cm="1">
        <f t="array" ref="M1342">IF(L1342="","",_xlfn.IFS(
  AND(L1342&gt;=TIME(9,0,0), L1342&lt;TIME(16,0,0)),"Morning",
  AND(L1342&gt;=TIME(16,0,0), L1342&lt;TIME(23,59,0)),"Evening",
  L1342&gt;=TIME(23,59,0),"Night",
  L1342&lt;TIME(9,0,0),"Night"
))</f>
        <v/>
      </c>
      <c r="O1342" t="str">
        <f t="shared" si="122"/>
        <v/>
      </c>
    </row>
    <row r="1343" spans="1:15" x14ac:dyDescent="0.25">
      <c r="A1343" s="49"/>
      <c r="G1343" t="str">
        <f t="shared" si="120"/>
        <v/>
      </c>
      <c r="H1343" s="13" t="str">
        <f t="shared" si="123"/>
        <v/>
      </c>
      <c r="I1343" t="str">
        <f>IFERROR(INDEX(Analysis!$D$116:$N$137, MATCH(B1343, Analysis!$C$116:$C$137, 0), MATCH(C1343, Analysis!$D$115:$N$115, 0)), "")</f>
        <v/>
      </c>
      <c r="J1343" t="str">
        <f t="shared" si="124"/>
        <v/>
      </c>
      <c r="K1343" s="28" t="str">
        <f t="shared" si="121"/>
        <v/>
      </c>
      <c r="L1343" s="46" t="str">
        <f t="shared" si="125"/>
        <v/>
      </c>
      <c r="M1343" t="str" cm="1">
        <f t="array" ref="M1343">IF(L1343="","",_xlfn.IFS(
  AND(L1343&gt;=TIME(9,0,0), L1343&lt;TIME(16,0,0)),"Morning",
  AND(L1343&gt;=TIME(16,0,0), L1343&lt;TIME(23,59,0)),"Evening",
  L1343&gt;=TIME(23,59,0),"Night",
  L1343&lt;TIME(9,0,0),"Night"
))</f>
        <v/>
      </c>
      <c r="O1343" t="str">
        <f t="shared" si="122"/>
        <v/>
      </c>
    </row>
    <row r="1344" spans="1:15" x14ac:dyDescent="0.25">
      <c r="A1344" s="49"/>
      <c r="G1344" t="str">
        <f t="shared" si="120"/>
        <v/>
      </c>
      <c r="H1344" s="13" t="str">
        <f t="shared" si="123"/>
        <v/>
      </c>
      <c r="I1344" t="str">
        <f>IFERROR(INDEX(Analysis!$D$116:$N$137, MATCH(B1344, Analysis!$C$116:$C$137, 0), MATCH(C1344, Analysis!$D$115:$N$115, 0)), "")</f>
        <v/>
      </c>
      <c r="J1344" t="str">
        <f t="shared" si="124"/>
        <v/>
      </c>
      <c r="K1344" s="28" t="str">
        <f t="shared" si="121"/>
        <v/>
      </c>
      <c r="L1344" s="46" t="str">
        <f t="shared" si="125"/>
        <v/>
      </c>
      <c r="M1344" t="str" cm="1">
        <f t="array" ref="M1344">IF(L1344="","",_xlfn.IFS(
  AND(L1344&gt;=TIME(9,0,0), L1344&lt;TIME(16,0,0)),"Morning",
  AND(L1344&gt;=TIME(16,0,0), L1344&lt;TIME(23,59,0)),"Evening",
  L1344&gt;=TIME(23,59,0),"Night",
  L1344&lt;TIME(9,0,0),"Night"
))</f>
        <v/>
      </c>
      <c r="O1344" t="str">
        <f t="shared" si="122"/>
        <v/>
      </c>
    </row>
    <row r="1345" spans="1:15" x14ac:dyDescent="0.25">
      <c r="A1345" s="49"/>
      <c r="G1345" t="str">
        <f t="shared" si="120"/>
        <v/>
      </c>
      <c r="H1345" s="13" t="str">
        <f t="shared" si="123"/>
        <v/>
      </c>
      <c r="I1345" t="str">
        <f>IFERROR(INDEX(Analysis!$D$116:$N$137, MATCH(B1345, Analysis!$C$116:$C$137, 0), MATCH(C1345, Analysis!$D$115:$N$115, 0)), "")</f>
        <v/>
      </c>
      <c r="J1345" t="str">
        <f t="shared" si="124"/>
        <v/>
      </c>
      <c r="K1345" s="28" t="str">
        <f t="shared" si="121"/>
        <v/>
      </c>
      <c r="L1345" s="46" t="str">
        <f t="shared" si="125"/>
        <v/>
      </c>
      <c r="M1345" t="str" cm="1">
        <f t="array" ref="M1345">IF(L1345="","",_xlfn.IFS(
  AND(L1345&gt;=TIME(9,0,0), L1345&lt;TIME(16,0,0)),"Morning",
  AND(L1345&gt;=TIME(16,0,0), L1345&lt;TIME(23,59,0)),"Evening",
  L1345&gt;=TIME(23,59,0),"Night",
  L1345&lt;TIME(9,0,0),"Night"
))</f>
        <v/>
      </c>
      <c r="O1345" t="str">
        <f t="shared" si="122"/>
        <v/>
      </c>
    </row>
    <row r="1346" spans="1:15" x14ac:dyDescent="0.25">
      <c r="A1346" s="49"/>
      <c r="G1346" t="str">
        <f t="shared" ref="G1346:G1409" si="126">IF(ISBLANK(A1346), "", IF(ISBLANK(F1346), 0, F1346))</f>
        <v/>
      </c>
      <c r="H1346" s="13" t="str">
        <f t="shared" si="123"/>
        <v/>
      </c>
      <c r="I1346" t="str">
        <f>IFERROR(INDEX(Analysis!$D$116:$N$137, MATCH(B1346, Analysis!$C$116:$C$137, 0), MATCH(C1346, Analysis!$D$115:$N$115, 0)), "")</f>
        <v/>
      </c>
      <c r="J1346" t="str">
        <f t="shared" si="124"/>
        <v/>
      </c>
      <c r="K1346" s="28" t="str">
        <f t="shared" ref="K1346:K1409" si="127">IF(ISBLANK(A1346),"",DATE(YEAR(A1346),MONTH(A1346),DAY(A1346)))</f>
        <v/>
      </c>
      <c r="L1346" s="46" t="str">
        <f t="shared" si="125"/>
        <v/>
      </c>
      <c r="M1346" t="str" cm="1">
        <f t="array" ref="M1346">IF(L1346="","",_xlfn.IFS(
  AND(L1346&gt;=TIME(9,0,0), L1346&lt;TIME(16,0,0)),"Morning",
  AND(L1346&gt;=TIME(16,0,0), L1346&lt;TIME(23,59,0)),"Evening",
  L1346&gt;=TIME(23,59,0),"Night",
  L1346&lt;TIME(9,0,0),"Night"
))</f>
        <v/>
      </c>
      <c r="O1346" t="str">
        <f t="shared" ref="O1346:O1409" si="128">IF(N1346="ON", _xlfn.IMAGE(E1346, 1), "")</f>
        <v/>
      </c>
    </row>
    <row r="1347" spans="1:15" x14ac:dyDescent="0.25">
      <c r="A1347" s="49"/>
      <c r="G1347" t="str">
        <f t="shared" si="126"/>
        <v/>
      </c>
      <c r="H1347" s="13" t="str">
        <f t="shared" ref="H1347:H1410" si="129">IF(ISBLANK(E1347),"",HYPERLINK(E1347,"Click here"))</f>
        <v/>
      </c>
      <c r="I1347" t="str">
        <f>IFERROR(INDEX(Analysis!$D$116:$N$137, MATCH(B1347, Analysis!$C$116:$C$137, 0), MATCH(C1347, Analysis!$D$115:$N$115, 0)), "")</f>
        <v/>
      </c>
      <c r="J1347" t="str">
        <f t="shared" ref="J1347:J1410" si="130">IF(ISBLANK(A1347),"",WEEKNUM(A1347))</f>
        <v/>
      </c>
      <c r="K1347" s="28" t="str">
        <f t="shared" si="127"/>
        <v/>
      </c>
      <c r="L1347" s="46" t="str">
        <f t="shared" ref="L1347:L1410" si="131">IF(A1347="", "", A1347 - INT(A1347))</f>
        <v/>
      </c>
      <c r="M1347" t="str" cm="1">
        <f t="array" ref="M1347">IF(L1347="","",_xlfn.IFS(
  AND(L1347&gt;=TIME(9,0,0), L1347&lt;TIME(16,0,0)),"Morning",
  AND(L1347&gt;=TIME(16,0,0), L1347&lt;TIME(23,59,0)),"Evening",
  L1347&gt;=TIME(23,59,0),"Night",
  L1347&lt;TIME(9,0,0),"Night"
))</f>
        <v/>
      </c>
      <c r="O1347" t="str">
        <f t="shared" si="128"/>
        <v/>
      </c>
    </row>
    <row r="1348" spans="1:15" x14ac:dyDescent="0.25">
      <c r="A1348" s="49"/>
      <c r="G1348" t="str">
        <f t="shared" si="126"/>
        <v/>
      </c>
      <c r="H1348" s="13" t="str">
        <f t="shared" si="129"/>
        <v/>
      </c>
      <c r="I1348" t="str">
        <f>IFERROR(INDEX(Analysis!$D$116:$N$137, MATCH(B1348, Analysis!$C$116:$C$137, 0), MATCH(C1348, Analysis!$D$115:$N$115, 0)), "")</f>
        <v/>
      </c>
      <c r="J1348" t="str">
        <f t="shared" si="130"/>
        <v/>
      </c>
      <c r="K1348" s="28" t="str">
        <f t="shared" si="127"/>
        <v/>
      </c>
      <c r="L1348" s="46" t="str">
        <f t="shared" si="131"/>
        <v/>
      </c>
      <c r="M1348" t="str" cm="1">
        <f t="array" ref="M1348">IF(L1348="","",_xlfn.IFS(
  AND(L1348&gt;=TIME(9,0,0), L1348&lt;TIME(16,0,0)),"Morning",
  AND(L1348&gt;=TIME(16,0,0), L1348&lt;TIME(23,59,0)),"Evening",
  L1348&gt;=TIME(23,59,0),"Night",
  L1348&lt;TIME(9,0,0),"Night"
))</f>
        <v/>
      </c>
      <c r="O1348" t="str">
        <f t="shared" si="128"/>
        <v/>
      </c>
    </row>
    <row r="1349" spans="1:15" x14ac:dyDescent="0.25">
      <c r="A1349" s="49"/>
      <c r="G1349" t="str">
        <f t="shared" si="126"/>
        <v/>
      </c>
      <c r="H1349" s="13" t="str">
        <f t="shared" si="129"/>
        <v/>
      </c>
      <c r="I1349" t="str">
        <f>IFERROR(INDEX(Analysis!$D$116:$N$137, MATCH(B1349, Analysis!$C$116:$C$137, 0), MATCH(C1349, Analysis!$D$115:$N$115, 0)), "")</f>
        <v/>
      </c>
      <c r="J1349" t="str">
        <f t="shared" si="130"/>
        <v/>
      </c>
      <c r="K1349" s="28" t="str">
        <f t="shared" si="127"/>
        <v/>
      </c>
      <c r="L1349" s="46" t="str">
        <f t="shared" si="131"/>
        <v/>
      </c>
      <c r="M1349" t="str" cm="1">
        <f t="array" ref="M1349">IF(L1349="","",_xlfn.IFS(
  AND(L1349&gt;=TIME(9,0,0), L1349&lt;TIME(16,0,0)),"Morning",
  AND(L1349&gt;=TIME(16,0,0), L1349&lt;TIME(23,59,0)),"Evening",
  L1349&gt;=TIME(23,59,0),"Night",
  L1349&lt;TIME(9,0,0),"Night"
))</f>
        <v/>
      </c>
      <c r="O1349" t="str">
        <f t="shared" si="128"/>
        <v/>
      </c>
    </row>
    <row r="1350" spans="1:15" x14ac:dyDescent="0.25">
      <c r="A1350" s="49"/>
      <c r="G1350" t="str">
        <f t="shared" si="126"/>
        <v/>
      </c>
      <c r="H1350" s="13" t="str">
        <f t="shared" si="129"/>
        <v/>
      </c>
      <c r="I1350" t="str">
        <f>IFERROR(INDEX(Analysis!$D$116:$N$137, MATCH(B1350, Analysis!$C$116:$C$137, 0), MATCH(C1350, Analysis!$D$115:$N$115, 0)), "")</f>
        <v/>
      </c>
      <c r="J1350" t="str">
        <f t="shared" si="130"/>
        <v/>
      </c>
      <c r="K1350" s="28" t="str">
        <f t="shared" si="127"/>
        <v/>
      </c>
      <c r="L1350" s="46" t="str">
        <f t="shared" si="131"/>
        <v/>
      </c>
      <c r="M1350" t="str" cm="1">
        <f t="array" ref="M1350">IF(L1350="","",_xlfn.IFS(
  AND(L1350&gt;=TIME(9,0,0), L1350&lt;TIME(16,0,0)),"Morning",
  AND(L1350&gt;=TIME(16,0,0), L1350&lt;TIME(23,59,0)),"Evening",
  L1350&gt;=TIME(23,59,0),"Night",
  L1350&lt;TIME(9,0,0),"Night"
))</f>
        <v/>
      </c>
      <c r="O1350" t="str">
        <f t="shared" si="128"/>
        <v/>
      </c>
    </row>
    <row r="1351" spans="1:15" x14ac:dyDescent="0.25">
      <c r="A1351" s="49"/>
      <c r="G1351" t="str">
        <f t="shared" si="126"/>
        <v/>
      </c>
      <c r="H1351" s="13" t="str">
        <f t="shared" si="129"/>
        <v/>
      </c>
      <c r="I1351" t="str">
        <f>IFERROR(INDEX(Analysis!$D$116:$N$137, MATCH(B1351, Analysis!$C$116:$C$137, 0), MATCH(C1351, Analysis!$D$115:$N$115, 0)), "")</f>
        <v/>
      </c>
      <c r="J1351" t="str">
        <f t="shared" si="130"/>
        <v/>
      </c>
      <c r="K1351" s="28" t="str">
        <f t="shared" si="127"/>
        <v/>
      </c>
      <c r="L1351" s="46" t="str">
        <f t="shared" si="131"/>
        <v/>
      </c>
      <c r="M1351" t="str" cm="1">
        <f t="array" ref="M1351">IF(L1351="","",_xlfn.IFS(
  AND(L1351&gt;=TIME(9,0,0), L1351&lt;TIME(16,0,0)),"Morning",
  AND(L1351&gt;=TIME(16,0,0), L1351&lt;TIME(23,59,0)),"Evening",
  L1351&gt;=TIME(23,59,0),"Night",
  L1351&lt;TIME(9,0,0),"Night"
))</f>
        <v/>
      </c>
      <c r="O1351" t="str">
        <f t="shared" si="128"/>
        <v/>
      </c>
    </row>
    <row r="1352" spans="1:15" x14ac:dyDescent="0.25">
      <c r="A1352" s="49"/>
      <c r="G1352" t="str">
        <f t="shared" si="126"/>
        <v/>
      </c>
      <c r="H1352" s="13" t="str">
        <f t="shared" si="129"/>
        <v/>
      </c>
      <c r="I1352" t="str">
        <f>IFERROR(INDEX(Analysis!$D$116:$N$137, MATCH(B1352, Analysis!$C$116:$C$137, 0), MATCH(C1352, Analysis!$D$115:$N$115, 0)), "")</f>
        <v/>
      </c>
      <c r="J1352" t="str">
        <f t="shared" si="130"/>
        <v/>
      </c>
      <c r="K1352" s="28" t="str">
        <f t="shared" si="127"/>
        <v/>
      </c>
      <c r="L1352" s="46" t="str">
        <f t="shared" si="131"/>
        <v/>
      </c>
      <c r="M1352" t="str" cm="1">
        <f t="array" ref="M1352">IF(L1352="","",_xlfn.IFS(
  AND(L1352&gt;=TIME(9,0,0), L1352&lt;TIME(16,0,0)),"Morning",
  AND(L1352&gt;=TIME(16,0,0), L1352&lt;TIME(23,59,0)),"Evening",
  L1352&gt;=TIME(23,59,0),"Night",
  L1352&lt;TIME(9,0,0),"Night"
))</f>
        <v/>
      </c>
      <c r="O1352" t="str">
        <f t="shared" si="128"/>
        <v/>
      </c>
    </row>
    <row r="1353" spans="1:15" x14ac:dyDescent="0.25">
      <c r="A1353" s="49"/>
      <c r="G1353" t="str">
        <f t="shared" si="126"/>
        <v/>
      </c>
      <c r="H1353" s="13" t="str">
        <f t="shared" si="129"/>
        <v/>
      </c>
      <c r="I1353" t="str">
        <f>IFERROR(INDEX(Analysis!$D$116:$N$137, MATCH(B1353, Analysis!$C$116:$C$137, 0), MATCH(C1353, Analysis!$D$115:$N$115, 0)), "")</f>
        <v/>
      </c>
      <c r="J1353" t="str">
        <f t="shared" si="130"/>
        <v/>
      </c>
      <c r="K1353" s="28" t="str">
        <f t="shared" si="127"/>
        <v/>
      </c>
      <c r="L1353" s="46" t="str">
        <f t="shared" si="131"/>
        <v/>
      </c>
      <c r="M1353" t="str" cm="1">
        <f t="array" ref="M1353">IF(L1353="","",_xlfn.IFS(
  AND(L1353&gt;=TIME(9,0,0), L1353&lt;TIME(16,0,0)),"Morning",
  AND(L1353&gt;=TIME(16,0,0), L1353&lt;TIME(23,59,0)),"Evening",
  L1353&gt;=TIME(23,59,0),"Night",
  L1353&lt;TIME(9,0,0),"Night"
))</f>
        <v/>
      </c>
      <c r="O1353" t="str">
        <f t="shared" si="128"/>
        <v/>
      </c>
    </row>
    <row r="1354" spans="1:15" x14ac:dyDescent="0.25">
      <c r="A1354" s="49"/>
      <c r="G1354" t="str">
        <f t="shared" si="126"/>
        <v/>
      </c>
      <c r="H1354" s="13" t="str">
        <f t="shared" si="129"/>
        <v/>
      </c>
      <c r="I1354" t="str">
        <f>IFERROR(INDEX(Analysis!$D$116:$N$137, MATCH(B1354, Analysis!$C$116:$C$137, 0), MATCH(C1354, Analysis!$D$115:$N$115, 0)), "")</f>
        <v/>
      </c>
      <c r="J1354" t="str">
        <f t="shared" si="130"/>
        <v/>
      </c>
      <c r="K1354" s="28" t="str">
        <f t="shared" si="127"/>
        <v/>
      </c>
      <c r="L1354" s="46" t="str">
        <f t="shared" si="131"/>
        <v/>
      </c>
      <c r="M1354" t="str" cm="1">
        <f t="array" ref="M1354">IF(L1354="","",_xlfn.IFS(
  AND(L1354&gt;=TIME(9,0,0), L1354&lt;TIME(16,0,0)),"Morning",
  AND(L1354&gt;=TIME(16,0,0), L1354&lt;TIME(23,59,0)),"Evening",
  L1354&gt;=TIME(23,59,0),"Night",
  L1354&lt;TIME(9,0,0),"Night"
))</f>
        <v/>
      </c>
      <c r="O1354" t="str">
        <f t="shared" si="128"/>
        <v/>
      </c>
    </row>
    <row r="1355" spans="1:15" x14ac:dyDescent="0.25">
      <c r="A1355" s="49"/>
      <c r="G1355" t="str">
        <f t="shared" si="126"/>
        <v/>
      </c>
      <c r="H1355" s="13" t="str">
        <f t="shared" si="129"/>
        <v/>
      </c>
      <c r="I1355" t="str">
        <f>IFERROR(INDEX(Analysis!$D$116:$N$137, MATCH(B1355, Analysis!$C$116:$C$137, 0), MATCH(C1355, Analysis!$D$115:$N$115, 0)), "")</f>
        <v/>
      </c>
      <c r="J1355" t="str">
        <f t="shared" si="130"/>
        <v/>
      </c>
      <c r="K1355" s="28" t="str">
        <f t="shared" si="127"/>
        <v/>
      </c>
      <c r="L1355" s="46" t="str">
        <f t="shared" si="131"/>
        <v/>
      </c>
      <c r="M1355" t="str" cm="1">
        <f t="array" ref="M1355">IF(L1355="","",_xlfn.IFS(
  AND(L1355&gt;=TIME(9,0,0), L1355&lt;TIME(16,0,0)),"Morning",
  AND(L1355&gt;=TIME(16,0,0), L1355&lt;TIME(23,59,0)),"Evening",
  L1355&gt;=TIME(23,59,0),"Night",
  L1355&lt;TIME(9,0,0),"Night"
))</f>
        <v/>
      </c>
      <c r="O1355" t="str">
        <f t="shared" si="128"/>
        <v/>
      </c>
    </row>
    <row r="1356" spans="1:15" x14ac:dyDescent="0.25">
      <c r="A1356" s="49"/>
      <c r="G1356" t="str">
        <f t="shared" si="126"/>
        <v/>
      </c>
      <c r="H1356" s="13" t="str">
        <f t="shared" si="129"/>
        <v/>
      </c>
      <c r="I1356" t="str">
        <f>IFERROR(INDEX(Analysis!$D$116:$N$137, MATCH(B1356, Analysis!$C$116:$C$137, 0), MATCH(C1356, Analysis!$D$115:$N$115, 0)), "")</f>
        <v/>
      </c>
      <c r="J1356" t="str">
        <f t="shared" si="130"/>
        <v/>
      </c>
      <c r="K1356" s="28" t="str">
        <f t="shared" si="127"/>
        <v/>
      </c>
      <c r="L1356" s="46" t="str">
        <f t="shared" si="131"/>
        <v/>
      </c>
      <c r="M1356" t="str" cm="1">
        <f t="array" ref="M1356">IF(L1356="","",_xlfn.IFS(
  AND(L1356&gt;=TIME(9,0,0), L1356&lt;TIME(16,0,0)),"Morning",
  AND(L1356&gt;=TIME(16,0,0), L1356&lt;TIME(23,59,0)),"Evening",
  L1356&gt;=TIME(23,59,0),"Night",
  L1356&lt;TIME(9,0,0),"Night"
))</f>
        <v/>
      </c>
      <c r="O1356" t="str">
        <f t="shared" si="128"/>
        <v/>
      </c>
    </row>
    <row r="1357" spans="1:15" x14ac:dyDescent="0.25">
      <c r="A1357" s="49"/>
      <c r="G1357" t="str">
        <f t="shared" si="126"/>
        <v/>
      </c>
      <c r="H1357" s="13" t="str">
        <f t="shared" si="129"/>
        <v/>
      </c>
      <c r="I1357" t="str">
        <f>IFERROR(INDEX(Analysis!$D$116:$N$137, MATCH(B1357, Analysis!$C$116:$C$137, 0), MATCH(C1357, Analysis!$D$115:$N$115, 0)), "")</f>
        <v/>
      </c>
      <c r="J1357" t="str">
        <f t="shared" si="130"/>
        <v/>
      </c>
      <c r="K1357" s="28" t="str">
        <f t="shared" si="127"/>
        <v/>
      </c>
      <c r="L1357" s="46" t="str">
        <f t="shared" si="131"/>
        <v/>
      </c>
      <c r="M1357" t="str" cm="1">
        <f t="array" ref="M1357">IF(L1357="","",_xlfn.IFS(
  AND(L1357&gt;=TIME(9,0,0), L1357&lt;TIME(16,0,0)),"Morning",
  AND(L1357&gt;=TIME(16,0,0), L1357&lt;TIME(23,59,0)),"Evening",
  L1357&gt;=TIME(23,59,0),"Night",
  L1357&lt;TIME(9,0,0),"Night"
))</f>
        <v/>
      </c>
      <c r="O1357" t="str">
        <f t="shared" si="128"/>
        <v/>
      </c>
    </row>
    <row r="1358" spans="1:15" x14ac:dyDescent="0.25">
      <c r="A1358" s="49"/>
      <c r="G1358" t="str">
        <f t="shared" si="126"/>
        <v/>
      </c>
      <c r="H1358" s="13" t="str">
        <f t="shared" si="129"/>
        <v/>
      </c>
      <c r="I1358" t="str">
        <f>IFERROR(INDEX(Analysis!$D$116:$N$137, MATCH(B1358, Analysis!$C$116:$C$137, 0), MATCH(C1358, Analysis!$D$115:$N$115, 0)), "")</f>
        <v/>
      </c>
      <c r="J1358" t="str">
        <f t="shared" si="130"/>
        <v/>
      </c>
      <c r="K1358" s="28" t="str">
        <f t="shared" si="127"/>
        <v/>
      </c>
      <c r="L1358" s="46" t="str">
        <f t="shared" si="131"/>
        <v/>
      </c>
      <c r="M1358" t="str" cm="1">
        <f t="array" ref="M1358">IF(L1358="","",_xlfn.IFS(
  AND(L1358&gt;=TIME(9,0,0), L1358&lt;TIME(16,0,0)),"Morning",
  AND(L1358&gt;=TIME(16,0,0), L1358&lt;TIME(23,59,0)),"Evening",
  L1358&gt;=TIME(23,59,0),"Night",
  L1358&lt;TIME(9,0,0),"Night"
))</f>
        <v/>
      </c>
      <c r="O1358" t="str">
        <f t="shared" si="128"/>
        <v/>
      </c>
    </row>
    <row r="1359" spans="1:15" x14ac:dyDescent="0.25">
      <c r="A1359" s="49"/>
      <c r="G1359" t="str">
        <f t="shared" si="126"/>
        <v/>
      </c>
      <c r="H1359" s="13" t="str">
        <f t="shared" si="129"/>
        <v/>
      </c>
      <c r="I1359" t="str">
        <f>IFERROR(INDEX(Analysis!$D$116:$N$137, MATCH(B1359, Analysis!$C$116:$C$137, 0), MATCH(C1359, Analysis!$D$115:$N$115, 0)), "")</f>
        <v/>
      </c>
      <c r="J1359" t="str">
        <f t="shared" si="130"/>
        <v/>
      </c>
      <c r="K1359" s="28" t="str">
        <f t="shared" si="127"/>
        <v/>
      </c>
      <c r="L1359" s="46" t="str">
        <f t="shared" si="131"/>
        <v/>
      </c>
      <c r="M1359" t="str" cm="1">
        <f t="array" ref="M1359">IF(L1359="","",_xlfn.IFS(
  AND(L1359&gt;=TIME(9,0,0), L1359&lt;TIME(16,0,0)),"Morning",
  AND(L1359&gt;=TIME(16,0,0), L1359&lt;TIME(23,59,0)),"Evening",
  L1359&gt;=TIME(23,59,0),"Night",
  L1359&lt;TIME(9,0,0),"Night"
))</f>
        <v/>
      </c>
      <c r="O1359" t="str">
        <f t="shared" si="128"/>
        <v/>
      </c>
    </row>
    <row r="1360" spans="1:15" x14ac:dyDescent="0.25">
      <c r="A1360" s="49"/>
      <c r="G1360" t="str">
        <f t="shared" si="126"/>
        <v/>
      </c>
      <c r="H1360" s="13" t="str">
        <f t="shared" si="129"/>
        <v/>
      </c>
      <c r="I1360" t="str">
        <f>IFERROR(INDEX(Analysis!$D$116:$N$137, MATCH(B1360, Analysis!$C$116:$C$137, 0), MATCH(C1360, Analysis!$D$115:$N$115, 0)), "")</f>
        <v/>
      </c>
      <c r="J1360" t="str">
        <f t="shared" si="130"/>
        <v/>
      </c>
      <c r="K1360" s="28" t="str">
        <f t="shared" si="127"/>
        <v/>
      </c>
      <c r="L1360" s="46" t="str">
        <f t="shared" si="131"/>
        <v/>
      </c>
      <c r="M1360" t="str" cm="1">
        <f t="array" ref="M1360">IF(L1360="","",_xlfn.IFS(
  AND(L1360&gt;=TIME(9,0,0), L1360&lt;TIME(16,0,0)),"Morning",
  AND(L1360&gt;=TIME(16,0,0), L1360&lt;TIME(23,59,0)),"Evening",
  L1360&gt;=TIME(23,59,0),"Night",
  L1360&lt;TIME(9,0,0),"Night"
))</f>
        <v/>
      </c>
      <c r="O1360" t="str">
        <f t="shared" si="128"/>
        <v/>
      </c>
    </row>
    <row r="1361" spans="1:15" x14ac:dyDescent="0.25">
      <c r="A1361" s="49"/>
      <c r="G1361" t="str">
        <f t="shared" si="126"/>
        <v/>
      </c>
      <c r="H1361" s="13" t="str">
        <f t="shared" si="129"/>
        <v/>
      </c>
      <c r="I1361" t="str">
        <f>IFERROR(INDEX(Analysis!$D$116:$N$137, MATCH(B1361, Analysis!$C$116:$C$137, 0), MATCH(C1361, Analysis!$D$115:$N$115, 0)), "")</f>
        <v/>
      </c>
      <c r="J1361" t="str">
        <f t="shared" si="130"/>
        <v/>
      </c>
      <c r="K1361" s="28" t="str">
        <f t="shared" si="127"/>
        <v/>
      </c>
      <c r="L1361" s="46" t="str">
        <f t="shared" si="131"/>
        <v/>
      </c>
      <c r="M1361" t="str" cm="1">
        <f t="array" ref="M1361">IF(L1361="","",_xlfn.IFS(
  AND(L1361&gt;=TIME(9,0,0), L1361&lt;TIME(16,0,0)),"Morning",
  AND(L1361&gt;=TIME(16,0,0), L1361&lt;TIME(23,59,0)),"Evening",
  L1361&gt;=TIME(23,59,0),"Night",
  L1361&lt;TIME(9,0,0),"Night"
))</f>
        <v/>
      </c>
      <c r="O1361" t="str">
        <f t="shared" si="128"/>
        <v/>
      </c>
    </row>
    <row r="1362" spans="1:15" x14ac:dyDescent="0.25">
      <c r="A1362" s="49"/>
      <c r="G1362" t="str">
        <f t="shared" si="126"/>
        <v/>
      </c>
      <c r="H1362" s="13" t="str">
        <f t="shared" si="129"/>
        <v/>
      </c>
      <c r="I1362" t="str">
        <f>IFERROR(INDEX(Analysis!$D$116:$N$137, MATCH(B1362, Analysis!$C$116:$C$137, 0), MATCH(C1362, Analysis!$D$115:$N$115, 0)), "")</f>
        <v/>
      </c>
      <c r="J1362" t="str">
        <f t="shared" si="130"/>
        <v/>
      </c>
      <c r="K1362" s="28" t="str">
        <f t="shared" si="127"/>
        <v/>
      </c>
      <c r="L1362" s="46" t="str">
        <f t="shared" si="131"/>
        <v/>
      </c>
      <c r="M1362" t="str" cm="1">
        <f t="array" ref="M1362">IF(L1362="","",_xlfn.IFS(
  AND(L1362&gt;=TIME(9,0,0), L1362&lt;TIME(16,0,0)),"Morning",
  AND(L1362&gt;=TIME(16,0,0), L1362&lt;TIME(23,59,0)),"Evening",
  L1362&gt;=TIME(23,59,0),"Night",
  L1362&lt;TIME(9,0,0),"Night"
))</f>
        <v/>
      </c>
      <c r="O1362" t="str">
        <f t="shared" si="128"/>
        <v/>
      </c>
    </row>
    <row r="1363" spans="1:15" x14ac:dyDescent="0.25">
      <c r="A1363" s="49"/>
      <c r="G1363" t="str">
        <f t="shared" si="126"/>
        <v/>
      </c>
      <c r="H1363" s="13" t="str">
        <f t="shared" si="129"/>
        <v/>
      </c>
      <c r="I1363" t="str">
        <f>IFERROR(INDEX(Analysis!$D$116:$N$137, MATCH(B1363, Analysis!$C$116:$C$137, 0), MATCH(C1363, Analysis!$D$115:$N$115, 0)), "")</f>
        <v/>
      </c>
      <c r="J1363" t="str">
        <f t="shared" si="130"/>
        <v/>
      </c>
      <c r="K1363" s="28" t="str">
        <f t="shared" si="127"/>
        <v/>
      </c>
      <c r="L1363" s="46" t="str">
        <f t="shared" si="131"/>
        <v/>
      </c>
      <c r="M1363" t="str" cm="1">
        <f t="array" ref="M1363">IF(L1363="","",_xlfn.IFS(
  AND(L1363&gt;=TIME(9,0,0), L1363&lt;TIME(16,0,0)),"Morning",
  AND(L1363&gt;=TIME(16,0,0), L1363&lt;TIME(23,59,0)),"Evening",
  L1363&gt;=TIME(23,59,0),"Night",
  L1363&lt;TIME(9,0,0),"Night"
))</f>
        <v/>
      </c>
      <c r="O1363" t="str">
        <f t="shared" si="128"/>
        <v/>
      </c>
    </row>
    <row r="1364" spans="1:15" x14ac:dyDescent="0.25">
      <c r="A1364" s="49"/>
      <c r="G1364" t="str">
        <f t="shared" si="126"/>
        <v/>
      </c>
      <c r="H1364" s="13" t="str">
        <f t="shared" si="129"/>
        <v/>
      </c>
      <c r="I1364" t="str">
        <f>IFERROR(INDEX(Analysis!$D$116:$N$137, MATCH(B1364, Analysis!$C$116:$C$137, 0), MATCH(C1364, Analysis!$D$115:$N$115, 0)), "")</f>
        <v/>
      </c>
      <c r="J1364" t="str">
        <f t="shared" si="130"/>
        <v/>
      </c>
      <c r="K1364" s="28" t="str">
        <f t="shared" si="127"/>
        <v/>
      </c>
      <c r="L1364" s="46" t="str">
        <f t="shared" si="131"/>
        <v/>
      </c>
      <c r="M1364" t="str" cm="1">
        <f t="array" ref="M1364">IF(L1364="","",_xlfn.IFS(
  AND(L1364&gt;=TIME(9,0,0), L1364&lt;TIME(16,0,0)),"Morning",
  AND(L1364&gt;=TIME(16,0,0), L1364&lt;TIME(23,59,0)),"Evening",
  L1364&gt;=TIME(23,59,0),"Night",
  L1364&lt;TIME(9,0,0),"Night"
))</f>
        <v/>
      </c>
      <c r="O1364" t="str">
        <f t="shared" si="128"/>
        <v/>
      </c>
    </row>
    <row r="1365" spans="1:15" x14ac:dyDescent="0.25">
      <c r="A1365" s="49"/>
      <c r="G1365" t="str">
        <f t="shared" si="126"/>
        <v/>
      </c>
      <c r="H1365" s="13" t="str">
        <f t="shared" si="129"/>
        <v/>
      </c>
      <c r="I1365" t="str">
        <f>IFERROR(INDEX(Analysis!$D$116:$N$137, MATCH(B1365, Analysis!$C$116:$C$137, 0), MATCH(C1365, Analysis!$D$115:$N$115, 0)), "")</f>
        <v/>
      </c>
      <c r="J1365" t="str">
        <f t="shared" si="130"/>
        <v/>
      </c>
      <c r="K1365" s="28" t="str">
        <f t="shared" si="127"/>
        <v/>
      </c>
      <c r="L1365" s="46" t="str">
        <f t="shared" si="131"/>
        <v/>
      </c>
      <c r="M1365" t="str" cm="1">
        <f t="array" ref="M1365">IF(L1365="","",_xlfn.IFS(
  AND(L1365&gt;=TIME(9,0,0), L1365&lt;TIME(16,0,0)),"Morning",
  AND(L1365&gt;=TIME(16,0,0), L1365&lt;TIME(23,59,0)),"Evening",
  L1365&gt;=TIME(23,59,0),"Night",
  L1365&lt;TIME(9,0,0),"Night"
))</f>
        <v/>
      </c>
      <c r="O1365" t="str">
        <f t="shared" si="128"/>
        <v/>
      </c>
    </row>
    <row r="1366" spans="1:15" x14ac:dyDescent="0.25">
      <c r="A1366" s="49"/>
      <c r="G1366" t="str">
        <f t="shared" si="126"/>
        <v/>
      </c>
      <c r="H1366" s="13" t="str">
        <f t="shared" si="129"/>
        <v/>
      </c>
      <c r="I1366" t="str">
        <f>IFERROR(INDEX(Analysis!$D$116:$N$137, MATCH(B1366, Analysis!$C$116:$C$137, 0), MATCH(C1366, Analysis!$D$115:$N$115, 0)), "")</f>
        <v/>
      </c>
      <c r="J1366" t="str">
        <f t="shared" si="130"/>
        <v/>
      </c>
      <c r="K1366" s="28" t="str">
        <f t="shared" si="127"/>
        <v/>
      </c>
      <c r="L1366" s="46" t="str">
        <f t="shared" si="131"/>
        <v/>
      </c>
      <c r="M1366" t="str" cm="1">
        <f t="array" ref="M1366">IF(L1366="","",_xlfn.IFS(
  AND(L1366&gt;=TIME(9,0,0), L1366&lt;TIME(16,0,0)),"Morning",
  AND(L1366&gt;=TIME(16,0,0), L1366&lt;TIME(23,59,0)),"Evening",
  L1366&gt;=TIME(23,59,0),"Night",
  L1366&lt;TIME(9,0,0),"Night"
))</f>
        <v/>
      </c>
      <c r="O1366" t="str">
        <f t="shared" si="128"/>
        <v/>
      </c>
    </row>
    <row r="1367" spans="1:15" x14ac:dyDescent="0.25">
      <c r="A1367" s="49"/>
      <c r="G1367" t="str">
        <f t="shared" si="126"/>
        <v/>
      </c>
      <c r="H1367" s="13" t="str">
        <f t="shared" si="129"/>
        <v/>
      </c>
      <c r="I1367" t="str">
        <f>IFERROR(INDEX(Analysis!$D$116:$N$137, MATCH(B1367, Analysis!$C$116:$C$137, 0), MATCH(C1367, Analysis!$D$115:$N$115, 0)), "")</f>
        <v/>
      </c>
      <c r="J1367" t="str">
        <f t="shared" si="130"/>
        <v/>
      </c>
      <c r="K1367" s="28" t="str">
        <f t="shared" si="127"/>
        <v/>
      </c>
      <c r="L1367" s="46" t="str">
        <f t="shared" si="131"/>
        <v/>
      </c>
      <c r="M1367" t="str" cm="1">
        <f t="array" ref="M1367">IF(L1367="","",_xlfn.IFS(
  AND(L1367&gt;=TIME(9,0,0), L1367&lt;TIME(16,0,0)),"Morning",
  AND(L1367&gt;=TIME(16,0,0), L1367&lt;TIME(23,59,0)),"Evening",
  L1367&gt;=TIME(23,59,0),"Night",
  L1367&lt;TIME(9,0,0),"Night"
))</f>
        <v/>
      </c>
      <c r="O1367" t="str">
        <f t="shared" si="128"/>
        <v/>
      </c>
    </row>
    <row r="1368" spans="1:15" x14ac:dyDescent="0.25">
      <c r="A1368" s="49"/>
      <c r="G1368" t="str">
        <f t="shared" si="126"/>
        <v/>
      </c>
      <c r="H1368" s="13" t="str">
        <f t="shared" si="129"/>
        <v/>
      </c>
      <c r="I1368" t="str">
        <f>IFERROR(INDEX(Analysis!$D$116:$N$137, MATCH(B1368, Analysis!$C$116:$C$137, 0), MATCH(C1368, Analysis!$D$115:$N$115, 0)), "")</f>
        <v/>
      </c>
      <c r="J1368" t="str">
        <f t="shared" si="130"/>
        <v/>
      </c>
      <c r="K1368" s="28" t="str">
        <f t="shared" si="127"/>
        <v/>
      </c>
      <c r="L1368" s="46" t="str">
        <f t="shared" si="131"/>
        <v/>
      </c>
      <c r="M1368" t="str" cm="1">
        <f t="array" ref="M1368">IF(L1368="","",_xlfn.IFS(
  AND(L1368&gt;=TIME(9,0,0), L1368&lt;TIME(16,0,0)),"Morning",
  AND(L1368&gt;=TIME(16,0,0), L1368&lt;TIME(23,59,0)),"Evening",
  L1368&gt;=TIME(23,59,0),"Night",
  L1368&lt;TIME(9,0,0),"Night"
))</f>
        <v/>
      </c>
      <c r="O1368" t="str">
        <f t="shared" si="128"/>
        <v/>
      </c>
    </row>
    <row r="1369" spans="1:15" x14ac:dyDescent="0.25">
      <c r="A1369" s="49"/>
      <c r="G1369" t="str">
        <f t="shared" si="126"/>
        <v/>
      </c>
      <c r="H1369" s="13" t="str">
        <f t="shared" si="129"/>
        <v/>
      </c>
      <c r="I1369" t="str">
        <f>IFERROR(INDEX(Analysis!$D$116:$N$137, MATCH(B1369, Analysis!$C$116:$C$137, 0), MATCH(C1369, Analysis!$D$115:$N$115, 0)), "")</f>
        <v/>
      </c>
      <c r="J1369" t="str">
        <f t="shared" si="130"/>
        <v/>
      </c>
      <c r="K1369" s="28" t="str">
        <f t="shared" si="127"/>
        <v/>
      </c>
      <c r="L1369" s="46" t="str">
        <f t="shared" si="131"/>
        <v/>
      </c>
      <c r="M1369" t="str" cm="1">
        <f t="array" ref="M1369">IF(L1369="","",_xlfn.IFS(
  AND(L1369&gt;=TIME(9,0,0), L1369&lt;TIME(16,0,0)),"Morning",
  AND(L1369&gt;=TIME(16,0,0), L1369&lt;TIME(23,59,0)),"Evening",
  L1369&gt;=TIME(23,59,0),"Night",
  L1369&lt;TIME(9,0,0),"Night"
))</f>
        <v/>
      </c>
      <c r="O1369" t="str">
        <f t="shared" si="128"/>
        <v/>
      </c>
    </row>
    <row r="1370" spans="1:15" x14ac:dyDescent="0.25">
      <c r="A1370" s="49"/>
      <c r="G1370" t="str">
        <f t="shared" si="126"/>
        <v/>
      </c>
      <c r="H1370" s="13" t="str">
        <f t="shared" si="129"/>
        <v/>
      </c>
      <c r="I1370" t="str">
        <f>IFERROR(INDEX(Analysis!$D$116:$N$137, MATCH(B1370, Analysis!$C$116:$C$137, 0), MATCH(C1370, Analysis!$D$115:$N$115, 0)), "")</f>
        <v/>
      </c>
      <c r="J1370" t="str">
        <f t="shared" si="130"/>
        <v/>
      </c>
      <c r="K1370" s="28" t="str">
        <f t="shared" si="127"/>
        <v/>
      </c>
      <c r="L1370" s="46" t="str">
        <f t="shared" si="131"/>
        <v/>
      </c>
      <c r="M1370" t="str" cm="1">
        <f t="array" ref="M1370">IF(L1370="","",_xlfn.IFS(
  AND(L1370&gt;=TIME(9,0,0), L1370&lt;TIME(16,0,0)),"Morning",
  AND(L1370&gt;=TIME(16,0,0), L1370&lt;TIME(23,59,0)),"Evening",
  L1370&gt;=TIME(23,59,0),"Night",
  L1370&lt;TIME(9,0,0),"Night"
))</f>
        <v/>
      </c>
      <c r="O1370" t="str">
        <f t="shared" si="128"/>
        <v/>
      </c>
    </row>
    <row r="1371" spans="1:15" x14ac:dyDescent="0.25">
      <c r="A1371" s="49"/>
      <c r="G1371" t="str">
        <f t="shared" si="126"/>
        <v/>
      </c>
      <c r="H1371" s="13" t="str">
        <f t="shared" si="129"/>
        <v/>
      </c>
      <c r="I1371" t="str">
        <f>IFERROR(INDEX(Analysis!$D$116:$N$137, MATCH(B1371, Analysis!$C$116:$C$137, 0), MATCH(C1371, Analysis!$D$115:$N$115, 0)), "")</f>
        <v/>
      </c>
      <c r="J1371" t="str">
        <f t="shared" si="130"/>
        <v/>
      </c>
      <c r="K1371" s="28" t="str">
        <f t="shared" si="127"/>
        <v/>
      </c>
      <c r="L1371" s="46" t="str">
        <f t="shared" si="131"/>
        <v/>
      </c>
      <c r="M1371" t="str" cm="1">
        <f t="array" ref="M1371">IF(L1371="","",_xlfn.IFS(
  AND(L1371&gt;=TIME(9,0,0), L1371&lt;TIME(16,0,0)),"Morning",
  AND(L1371&gt;=TIME(16,0,0), L1371&lt;TIME(23,59,0)),"Evening",
  L1371&gt;=TIME(23,59,0),"Night",
  L1371&lt;TIME(9,0,0),"Night"
))</f>
        <v/>
      </c>
      <c r="O1371" t="str">
        <f t="shared" si="128"/>
        <v/>
      </c>
    </row>
    <row r="1372" spans="1:15" x14ac:dyDescent="0.25">
      <c r="A1372" s="49"/>
      <c r="G1372" t="str">
        <f t="shared" si="126"/>
        <v/>
      </c>
      <c r="H1372" s="13" t="str">
        <f t="shared" si="129"/>
        <v/>
      </c>
      <c r="I1372" t="str">
        <f>IFERROR(INDEX(Analysis!$D$116:$N$137, MATCH(B1372, Analysis!$C$116:$C$137, 0), MATCH(C1372, Analysis!$D$115:$N$115, 0)), "")</f>
        <v/>
      </c>
      <c r="J1372" t="str">
        <f t="shared" si="130"/>
        <v/>
      </c>
      <c r="K1372" s="28" t="str">
        <f t="shared" si="127"/>
        <v/>
      </c>
      <c r="L1372" s="46" t="str">
        <f t="shared" si="131"/>
        <v/>
      </c>
      <c r="M1372" t="str" cm="1">
        <f t="array" ref="M1372">IF(L1372="","",_xlfn.IFS(
  AND(L1372&gt;=TIME(9,0,0), L1372&lt;TIME(16,0,0)),"Morning",
  AND(L1372&gt;=TIME(16,0,0), L1372&lt;TIME(23,59,0)),"Evening",
  L1372&gt;=TIME(23,59,0),"Night",
  L1372&lt;TIME(9,0,0),"Night"
))</f>
        <v/>
      </c>
      <c r="O1372" t="str">
        <f t="shared" si="128"/>
        <v/>
      </c>
    </row>
    <row r="1373" spans="1:15" x14ac:dyDescent="0.25">
      <c r="A1373" s="49"/>
      <c r="G1373" t="str">
        <f t="shared" si="126"/>
        <v/>
      </c>
      <c r="H1373" s="13" t="str">
        <f t="shared" si="129"/>
        <v/>
      </c>
      <c r="I1373" t="str">
        <f>IFERROR(INDEX(Analysis!$D$116:$N$137, MATCH(B1373, Analysis!$C$116:$C$137, 0), MATCH(C1373, Analysis!$D$115:$N$115, 0)), "")</f>
        <v/>
      </c>
      <c r="J1373" t="str">
        <f t="shared" si="130"/>
        <v/>
      </c>
      <c r="K1373" s="28" t="str">
        <f t="shared" si="127"/>
        <v/>
      </c>
      <c r="L1373" s="46" t="str">
        <f t="shared" si="131"/>
        <v/>
      </c>
      <c r="M1373" t="str" cm="1">
        <f t="array" ref="M1373">IF(L1373="","",_xlfn.IFS(
  AND(L1373&gt;=TIME(9,0,0), L1373&lt;TIME(16,0,0)),"Morning",
  AND(L1373&gt;=TIME(16,0,0), L1373&lt;TIME(23,59,0)),"Evening",
  L1373&gt;=TIME(23,59,0),"Night",
  L1373&lt;TIME(9,0,0),"Night"
))</f>
        <v/>
      </c>
      <c r="O1373" t="str">
        <f t="shared" si="128"/>
        <v/>
      </c>
    </row>
    <row r="1374" spans="1:15" x14ac:dyDescent="0.25">
      <c r="A1374" s="49"/>
      <c r="G1374" t="str">
        <f t="shared" si="126"/>
        <v/>
      </c>
      <c r="H1374" s="13" t="str">
        <f t="shared" si="129"/>
        <v/>
      </c>
      <c r="I1374" t="str">
        <f>IFERROR(INDEX(Analysis!$D$116:$N$137, MATCH(B1374, Analysis!$C$116:$C$137, 0), MATCH(C1374, Analysis!$D$115:$N$115, 0)), "")</f>
        <v/>
      </c>
      <c r="J1374" t="str">
        <f t="shared" si="130"/>
        <v/>
      </c>
      <c r="K1374" s="28" t="str">
        <f t="shared" si="127"/>
        <v/>
      </c>
      <c r="L1374" s="46" t="str">
        <f t="shared" si="131"/>
        <v/>
      </c>
      <c r="M1374" t="str" cm="1">
        <f t="array" ref="M1374">IF(L1374="","",_xlfn.IFS(
  AND(L1374&gt;=TIME(9,0,0), L1374&lt;TIME(16,0,0)),"Morning",
  AND(L1374&gt;=TIME(16,0,0), L1374&lt;TIME(23,59,0)),"Evening",
  L1374&gt;=TIME(23,59,0),"Night",
  L1374&lt;TIME(9,0,0),"Night"
))</f>
        <v/>
      </c>
      <c r="O1374" t="str">
        <f t="shared" si="128"/>
        <v/>
      </c>
    </row>
    <row r="1375" spans="1:15" x14ac:dyDescent="0.25">
      <c r="A1375" s="49"/>
      <c r="G1375" t="str">
        <f t="shared" si="126"/>
        <v/>
      </c>
      <c r="H1375" s="13" t="str">
        <f t="shared" si="129"/>
        <v/>
      </c>
      <c r="I1375" t="str">
        <f>IFERROR(INDEX(Analysis!$D$116:$N$137, MATCH(B1375, Analysis!$C$116:$C$137, 0), MATCH(C1375, Analysis!$D$115:$N$115, 0)), "")</f>
        <v/>
      </c>
      <c r="J1375" t="str">
        <f t="shared" si="130"/>
        <v/>
      </c>
      <c r="K1375" s="28" t="str">
        <f t="shared" si="127"/>
        <v/>
      </c>
      <c r="L1375" s="46" t="str">
        <f t="shared" si="131"/>
        <v/>
      </c>
      <c r="M1375" t="str" cm="1">
        <f t="array" ref="M1375">IF(L1375="","",_xlfn.IFS(
  AND(L1375&gt;=TIME(9,0,0), L1375&lt;TIME(16,0,0)),"Morning",
  AND(L1375&gt;=TIME(16,0,0), L1375&lt;TIME(23,59,0)),"Evening",
  L1375&gt;=TIME(23,59,0),"Night",
  L1375&lt;TIME(9,0,0),"Night"
))</f>
        <v/>
      </c>
      <c r="O1375" t="str">
        <f t="shared" si="128"/>
        <v/>
      </c>
    </row>
    <row r="1376" spans="1:15" x14ac:dyDescent="0.25">
      <c r="A1376" s="49"/>
      <c r="G1376" t="str">
        <f t="shared" si="126"/>
        <v/>
      </c>
      <c r="H1376" s="13" t="str">
        <f t="shared" si="129"/>
        <v/>
      </c>
      <c r="I1376" t="str">
        <f>IFERROR(INDEX(Analysis!$D$116:$N$137, MATCH(B1376, Analysis!$C$116:$C$137, 0), MATCH(C1376, Analysis!$D$115:$N$115, 0)), "")</f>
        <v/>
      </c>
      <c r="J1376" t="str">
        <f t="shared" si="130"/>
        <v/>
      </c>
      <c r="K1376" s="28" t="str">
        <f t="shared" si="127"/>
        <v/>
      </c>
      <c r="L1376" s="46" t="str">
        <f t="shared" si="131"/>
        <v/>
      </c>
      <c r="M1376" t="str" cm="1">
        <f t="array" ref="M1376">IF(L1376="","",_xlfn.IFS(
  AND(L1376&gt;=TIME(9,0,0), L1376&lt;TIME(16,0,0)),"Morning",
  AND(L1376&gt;=TIME(16,0,0), L1376&lt;TIME(23,59,0)),"Evening",
  L1376&gt;=TIME(23,59,0),"Night",
  L1376&lt;TIME(9,0,0),"Night"
))</f>
        <v/>
      </c>
      <c r="O1376" t="str">
        <f t="shared" si="128"/>
        <v/>
      </c>
    </row>
    <row r="1377" spans="1:15" x14ac:dyDescent="0.25">
      <c r="A1377" s="49"/>
      <c r="G1377" t="str">
        <f t="shared" si="126"/>
        <v/>
      </c>
      <c r="H1377" s="13" t="str">
        <f t="shared" si="129"/>
        <v/>
      </c>
      <c r="I1377" t="str">
        <f>IFERROR(INDEX(Analysis!$D$116:$N$137, MATCH(B1377, Analysis!$C$116:$C$137, 0), MATCH(C1377, Analysis!$D$115:$N$115, 0)), "")</f>
        <v/>
      </c>
      <c r="J1377" t="str">
        <f t="shared" si="130"/>
        <v/>
      </c>
      <c r="K1377" s="28" t="str">
        <f t="shared" si="127"/>
        <v/>
      </c>
      <c r="L1377" s="46" t="str">
        <f t="shared" si="131"/>
        <v/>
      </c>
      <c r="M1377" t="str" cm="1">
        <f t="array" ref="M1377">IF(L1377="","",_xlfn.IFS(
  AND(L1377&gt;=TIME(9,0,0), L1377&lt;TIME(16,0,0)),"Morning",
  AND(L1377&gt;=TIME(16,0,0), L1377&lt;TIME(23,59,0)),"Evening",
  L1377&gt;=TIME(23,59,0),"Night",
  L1377&lt;TIME(9,0,0),"Night"
))</f>
        <v/>
      </c>
      <c r="O1377" t="str">
        <f t="shared" si="128"/>
        <v/>
      </c>
    </row>
    <row r="1378" spans="1:15" x14ac:dyDescent="0.25">
      <c r="A1378" s="49"/>
      <c r="G1378" t="str">
        <f t="shared" si="126"/>
        <v/>
      </c>
      <c r="H1378" s="13" t="str">
        <f t="shared" si="129"/>
        <v/>
      </c>
      <c r="I1378" t="str">
        <f>IFERROR(INDEX(Analysis!$D$116:$N$137, MATCH(B1378, Analysis!$C$116:$C$137, 0), MATCH(C1378, Analysis!$D$115:$N$115, 0)), "")</f>
        <v/>
      </c>
      <c r="J1378" t="str">
        <f t="shared" si="130"/>
        <v/>
      </c>
      <c r="K1378" s="28" t="str">
        <f t="shared" si="127"/>
        <v/>
      </c>
      <c r="L1378" s="46" t="str">
        <f t="shared" si="131"/>
        <v/>
      </c>
      <c r="M1378" t="str" cm="1">
        <f t="array" ref="M1378">IF(L1378="","",_xlfn.IFS(
  AND(L1378&gt;=TIME(9,0,0), L1378&lt;TIME(16,0,0)),"Morning",
  AND(L1378&gt;=TIME(16,0,0), L1378&lt;TIME(23,59,0)),"Evening",
  L1378&gt;=TIME(23,59,0),"Night",
  L1378&lt;TIME(9,0,0),"Night"
))</f>
        <v/>
      </c>
      <c r="O1378" t="str">
        <f t="shared" si="128"/>
        <v/>
      </c>
    </row>
    <row r="1379" spans="1:15" x14ac:dyDescent="0.25">
      <c r="A1379" s="49"/>
      <c r="G1379" t="str">
        <f t="shared" si="126"/>
        <v/>
      </c>
      <c r="H1379" s="13" t="str">
        <f t="shared" si="129"/>
        <v/>
      </c>
      <c r="I1379" t="str">
        <f>IFERROR(INDEX(Analysis!$D$116:$N$137, MATCH(B1379, Analysis!$C$116:$C$137, 0), MATCH(C1379, Analysis!$D$115:$N$115, 0)), "")</f>
        <v/>
      </c>
      <c r="J1379" t="str">
        <f t="shared" si="130"/>
        <v/>
      </c>
      <c r="K1379" s="28" t="str">
        <f t="shared" si="127"/>
        <v/>
      </c>
      <c r="L1379" s="46" t="str">
        <f t="shared" si="131"/>
        <v/>
      </c>
      <c r="M1379" t="str" cm="1">
        <f t="array" ref="M1379">IF(L1379="","",_xlfn.IFS(
  AND(L1379&gt;=TIME(9,0,0), L1379&lt;TIME(16,0,0)),"Morning",
  AND(L1379&gt;=TIME(16,0,0), L1379&lt;TIME(23,59,0)),"Evening",
  L1379&gt;=TIME(23,59,0),"Night",
  L1379&lt;TIME(9,0,0),"Night"
))</f>
        <v/>
      </c>
      <c r="O1379" t="str">
        <f t="shared" si="128"/>
        <v/>
      </c>
    </row>
    <row r="1380" spans="1:15" x14ac:dyDescent="0.25">
      <c r="A1380" s="49"/>
      <c r="G1380" t="str">
        <f t="shared" si="126"/>
        <v/>
      </c>
      <c r="H1380" s="13" t="str">
        <f t="shared" si="129"/>
        <v/>
      </c>
      <c r="I1380" t="str">
        <f>IFERROR(INDEX(Analysis!$D$116:$N$137, MATCH(B1380, Analysis!$C$116:$C$137, 0), MATCH(C1380, Analysis!$D$115:$N$115, 0)), "")</f>
        <v/>
      </c>
      <c r="J1380" t="str">
        <f t="shared" si="130"/>
        <v/>
      </c>
      <c r="K1380" s="28" t="str">
        <f t="shared" si="127"/>
        <v/>
      </c>
      <c r="L1380" s="46" t="str">
        <f t="shared" si="131"/>
        <v/>
      </c>
      <c r="M1380" t="str" cm="1">
        <f t="array" ref="M1380">IF(L1380="","",_xlfn.IFS(
  AND(L1380&gt;=TIME(9,0,0), L1380&lt;TIME(16,0,0)),"Morning",
  AND(L1380&gt;=TIME(16,0,0), L1380&lt;TIME(23,59,0)),"Evening",
  L1380&gt;=TIME(23,59,0),"Night",
  L1380&lt;TIME(9,0,0),"Night"
))</f>
        <v/>
      </c>
      <c r="O1380" t="str">
        <f t="shared" si="128"/>
        <v/>
      </c>
    </row>
    <row r="1381" spans="1:15" x14ac:dyDescent="0.25">
      <c r="A1381" s="49"/>
      <c r="G1381" t="str">
        <f t="shared" si="126"/>
        <v/>
      </c>
      <c r="H1381" s="13" t="str">
        <f t="shared" si="129"/>
        <v/>
      </c>
      <c r="I1381" t="str">
        <f>IFERROR(INDEX(Analysis!$D$116:$N$137, MATCH(B1381, Analysis!$C$116:$C$137, 0), MATCH(C1381, Analysis!$D$115:$N$115, 0)), "")</f>
        <v/>
      </c>
      <c r="J1381" t="str">
        <f t="shared" si="130"/>
        <v/>
      </c>
      <c r="K1381" s="28" t="str">
        <f t="shared" si="127"/>
        <v/>
      </c>
      <c r="L1381" s="46" t="str">
        <f t="shared" si="131"/>
        <v/>
      </c>
      <c r="M1381" t="str" cm="1">
        <f t="array" ref="M1381">IF(L1381="","",_xlfn.IFS(
  AND(L1381&gt;=TIME(9,0,0), L1381&lt;TIME(16,0,0)),"Morning",
  AND(L1381&gt;=TIME(16,0,0), L1381&lt;TIME(23,59,0)),"Evening",
  L1381&gt;=TIME(23,59,0),"Night",
  L1381&lt;TIME(9,0,0),"Night"
))</f>
        <v/>
      </c>
      <c r="O1381" t="str">
        <f t="shared" si="128"/>
        <v/>
      </c>
    </row>
    <row r="1382" spans="1:15" x14ac:dyDescent="0.25">
      <c r="A1382" s="49"/>
      <c r="G1382" t="str">
        <f t="shared" si="126"/>
        <v/>
      </c>
      <c r="H1382" s="13" t="str">
        <f t="shared" si="129"/>
        <v/>
      </c>
      <c r="I1382" t="str">
        <f>IFERROR(INDEX(Analysis!$D$116:$N$137, MATCH(B1382, Analysis!$C$116:$C$137, 0), MATCH(C1382, Analysis!$D$115:$N$115, 0)), "")</f>
        <v/>
      </c>
      <c r="J1382" t="str">
        <f t="shared" si="130"/>
        <v/>
      </c>
      <c r="K1382" s="28" t="str">
        <f t="shared" si="127"/>
        <v/>
      </c>
      <c r="L1382" s="46" t="str">
        <f t="shared" si="131"/>
        <v/>
      </c>
      <c r="M1382" t="str" cm="1">
        <f t="array" ref="M1382">IF(L1382="","",_xlfn.IFS(
  AND(L1382&gt;=TIME(9,0,0), L1382&lt;TIME(16,0,0)),"Morning",
  AND(L1382&gt;=TIME(16,0,0), L1382&lt;TIME(23,59,0)),"Evening",
  L1382&gt;=TIME(23,59,0),"Night",
  L1382&lt;TIME(9,0,0),"Night"
))</f>
        <v/>
      </c>
      <c r="O1382" t="str">
        <f t="shared" si="128"/>
        <v/>
      </c>
    </row>
    <row r="1383" spans="1:15" x14ac:dyDescent="0.25">
      <c r="A1383" s="49"/>
      <c r="G1383" t="str">
        <f t="shared" si="126"/>
        <v/>
      </c>
      <c r="H1383" s="13" t="str">
        <f t="shared" si="129"/>
        <v/>
      </c>
      <c r="I1383" t="str">
        <f>IFERROR(INDEX(Analysis!$D$116:$N$137, MATCH(B1383, Analysis!$C$116:$C$137, 0), MATCH(C1383, Analysis!$D$115:$N$115, 0)), "")</f>
        <v/>
      </c>
      <c r="J1383" t="str">
        <f t="shared" si="130"/>
        <v/>
      </c>
      <c r="K1383" s="28" t="str">
        <f t="shared" si="127"/>
        <v/>
      </c>
      <c r="L1383" s="46" t="str">
        <f t="shared" si="131"/>
        <v/>
      </c>
      <c r="M1383" t="str" cm="1">
        <f t="array" ref="M1383">IF(L1383="","",_xlfn.IFS(
  AND(L1383&gt;=TIME(9,0,0), L1383&lt;TIME(16,0,0)),"Morning",
  AND(L1383&gt;=TIME(16,0,0), L1383&lt;TIME(23,59,0)),"Evening",
  L1383&gt;=TIME(23,59,0),"Night",
  L1383&lt;TIME(9,0,0),"Night"
))</f>
        <v/>
      </c>
      <c r="O1383" t="str">
        <f t="shared" si="128"/>
        <v/>
      </c>
    </row>
    <row r="1384" spans="1:15" x14ac:dyDescent="0.25">
      <c r="A1384" s="49"/>
      <c r="G1384" t="str">
        <f t="shared" si="126"/>
        <v/>
      </c>
      <c r="H1384" s="13" t="str">
        <f t="shared" si="129"/>
        <v/>
      </c>
      <c r="I1384" t="str">
        <f>IFERROR(INDEX(Analysis!$D$116:$N$137, MATCH(B1384, Analysis!$C$116:$C$137, 0), MATCH(C1384, Analysis!$D$115:$N$115, 0)), "")</f>
        <v/>
      </c>
      <c r="J1384" t="str">
        <f t="shared" si="130"/>
        <v/>
      </c>
      <c r="K1384" s="28" t="str">
        <f t="shared" si="127"/>
        <v/>
      </c>
      <c r="L1384" s="46" t="str">
        <f t="shared" si="131"/>
        <v/>
      </c>
      <c r="M1384" t="str" cm="1">
        <f t="array" ref="M1384">IF(L1384="","",_xlfn.IFS(
  AND(L1384&gt;=TIME(9,0,0), L1384&lt;TIME(16,0,0)),"Morning",
  AND(L1384&gt;=TIME(16,0,0), L1384&lt;TIME(23,59,0)),"Evening",
  L1384&gt;=TIME(23,59,0),"Night",
  L1384&lt;TIME(9,0,0),"Night"
))</f>
        <v/>
      </c>
      <c r="O1384" t="str">
        <f t="shared" si="128"/>
        <v/>
      </c>
    </row>
    <row r="1385" spans="1:15" x14ac:dyDescent="0.25">
      <c r="A1385" s="49"/>
      <c r="G1385" t="str">
        <f t="shared" si="126"/>
        <v/>
      </c>
      <c r="H1385" s="13" t="str">
        <f t="shared" si="129"/>
        <v/>
      </c>
      <c r="I1385" t="str">
        <f>IFERROR(INDEX(Analysis!$D$116:$N$137, MATCH(B1385, Analysis!$C$116:$C$137, 0), MATCH(C1385, Analysis!$D$115:$N$115, 0)), "")</f>
        <v/>
      </c>
      <c r="J1385" t="str">
        <f t="shared" si="130"/>
        <v/>
      </c>
      <c r="K1385" s="28" t="str">
        <f t="shared" si="127"/>
        <v/>
      </c>
      <c r="L1385" s="46" t="str">
        <f t="shared" si="131"/>
        <v/>
      </c>
      <c r="M1385" t="str" cm="1">
        <f t="array" ref="M1385">IF(L1385="","",_xlfn.IFS(
  AND(L1385&gt;=TIME(9,0,0), L1385&lt;TIME(16,0,0)),"Morning",
  AND(L1385&gt;=TIME(16,0,0), L1385&lt;TIME(23,59,0)),"Evening",
  L1385&gt;=TIME(23,59,0),"Night",
  L1385&lt;TIME(9,0,0),"Night"
))</f>
        <v/>
      </c>
      <c r="O1385" t="str">
        <f t="shared" si="128"/>
        <v/>
      </c>
    </row>
    <row r="1386" spans="1:15" x14ac:dyDescent="0.25">
      <c r="A1386" s="49"/>
      <c r="G1386" t="str">
        <f t="shared" si="126"/>
        <v/>
      </c>
      <c r="H1386" s="13" t="str">
        <f t="shared" si="129"/>
        <v/>
      </c>
      <c r="I1386" t="str">
        <f>IFERROR(INDEX(Analysis!$D$116:$N$137, MATCH(B1386, Analysis!$C$116:$C$137, 0), MATCH(C1386, Analysis!$D$115:$N$115, 0)), "")</f>
        <v/>
      </c>
      <c r="J1386" t="str">
        <f t="shared" si="130"/>
        <v/>
      </c>
      <c r="K1386" s="28" t="str">
        <f t="shared" si="127"/>
        <v/>
      </c>
      <c r="L1386" s="46" t="str">
        <f t="shared" si="131"/>
        <v/>
      </c>
      <c r="M1386" t="str" cm="1">
        <f t="array" ref="M1386">IF(L1386="","",_xlfn.IFS(
  AND(L1386&gt;=TIME(9,0,0), L1386&lt;TIME(16,0,0)),"Morning",
  AND(L1386&gt;=TIME(16,0,0), L1386&lt;TIME(23,59,0)),"Evening",
  L1386&gt;=TIME(23,59,0),"Night",
  L1386&lt;TIME(9,0,0),"Night"
))</f>
        <v/>
      </c>
      <c r="O1386" t="str">
        <f t="shared" si="128"/>
        <v/>
      </c>
    </row>
    <row r="1387" spans="1:15" x14ac:dyDescent="0.25">
      <c r="A1387" s="49"/>
      <c r="G1387" t="str">
        <f t="shared" si="126"/>
        <v/>
      </c>
      <c r="H1387" s="13" t="str">
        <f t="shared" si="129"/>
        <v/>
      </c>
      <c r="I1387" t="str">
        <f>IFERROR(INDEX(Analysis!$D$116:$N$137, MATCH(B1387, Analysis!$C$116:$C$137, 0), MATCH(C1387, Analysis!$D$115:$N$115, 0)), "")</f>
        <v/>
      </c>
      <c r="J1387" t="str">
        <f t="shared" si="130"/>
        <v/>
      </c>
      <c r="K1387" s="28" t="str">
        <f t="shared" si="127"/>
        <v/>
      </c>
      <c r="L1387" s="46" t="str">
        <f t="shared" si="131"/>
        <v/>
      </c>
      <c r="M1387" t="str" cm="1">
        <f t="array" ref="M1387">IF(L1387="","",_xlfn.IFS(
  AND(L1387&gt;=TIME(9,0,0), L1387&lt;TIME(16,0,0)),"Morning",
  AND(L1387&gt;=TIME(16,0,0), L1387&lt;TIME(23,59,0)),"Evening",
  L1387&gt;=TIME(23,59,0),"Night",
  L1387&lt;TIME(9,0,0),"Night"
))</f>
        <v/>
      </c>
      <c r="O1387" t="str">
        <f t="shared" si="128"/>
        <v/>
      </c>
    </row>
    <row r="1388" spans="1:15" x14ac:dyDescent="0.25">
      <c r="A1388" s="49"/>
      <c r="G1388" t="str">
        <f t="shared" si="126"/>
        <v/>
      </c>
      <c r="H1388" s="13" t="str">
        <f t="shared" si="129"/>
        <v/>
      </c>
      <c r="I1388" t="str">
        <f>IFERROR(INDEX(Analysis!$D$116:$N$137, MATCH(B1388, Analysis!$C$116:$C$137, 0), MATCH(C1388, Analysis!$D$115:$N$115, 0)), "")</f>
        <v/>
      </c>
      <c r="J1388" t="str">
        <f t="shared" si="130"/>
        <v/>
      </c>
      <c r="K1388" s="28" t="str">
        <f t="shared" si="127"/>
        <v/>
      </c>
      <c r="L1388" s="46" t="str">
        <f t="shared" si="131"/>
        <v/>
      </c>
      <c r="M1388" t="str" cm="1">
        <f t="array" ref="M1388">IF(L1388="","",_xlfn.IFS(
  AND(L1388&gt;=TIME(9,0,0), L1388&lt;TIME(16,0,0)),"Morning",
  AND(L1388&gt;=TIME(16,0,0), L1388&lt;TIME(23,59,0)),"Evening",
  L1388&gt;=TIME(23,59,0),"Night",
  L1388&lt;TIME(9,0,0),"Night"
))</f>
        <v/>
      </c>
      <c r="O1388" t="str">
        <f t="shared" si="128"/>
        <v/>
      </c>
    </row>
    <row r="1389" spans="1:15" x14ac:dyDescent="0.25">
      <c r="A1389" s="49"/>
      <c r="G1389" t="str">
        <f t="shared" si="126"/>
        <v/>
      </c>
      <c r="H1389" s="13" t="str">
        <f t="shared" si="129"/>
        <v/>
      </c>
      <c r="I1389" t="str">
        <f>IFERROR(INDEX(Analysis!$D$116:$N$137, MATCH(B1389, Analysis!$C$116:$C$137, 0), MATCH(C1389, Analysis!$D$115:$N$115, 0)), "")</f>
        <v/>
      </c>
      <c r="J1389" t="str">
        <f t="shared" si="130"/>
        <v/>
      </c>
      <c r="K1389" s="28" t="str">
        <f t="shared" si="127"/>
        <v/>
      </c>
      <c r="L1389" s="46" t="str">
        <f t="shared" si="131"/>
        <v/>
      </c>
      <c r="M1389" t="str" cm="1">
        <f t="array" ref="M1389">IF(L1389="","",_xlfn.IFS(
  AND(L1389&gt;=TIME(9,0,0), L1389&lt;TIME(16,0,0)),"Morning",
  AND(L1389&gt;=TIME(16,0,0), L1389&lt;TIME(23,59,0)),"Evening",
  L1389&gt;=TIME(23,59,0),"Night",
  L1389&lt;TIME(9,0,0),"Night"
))</f>
        <v/>
      </c>
      <c r="O1389" t="str">
        <f t="shared" si="128"/>
        <v/>
      </c>
    </row>
    <row r="1390" spans="1:15" x14ac:dyDescent="0.25">
      <c r="A1390" s="49"/>
      <c r="G1390" t="str">
        <f t="shared" si="126"/>
        <v/>
      </c>
      <c r="H1390" s="13" t="str">
        <f t="shared" si="129"/>
        <v/>
      </c>
      <c r="I1390" t="str">
        <f>IFERROR(INDEX(Analysis!$D$116:$N$137, MATCH(B1390, Analysis!$C$116:$C$137, 0), MATCH(C1390, Analysis!$D$115:$N$115, 0)), "")</f>
        <v/>
      </c>
      <c r="J1390" t="str">
        <f t="shared" si="130"/>
        <v/>
      </c>
      <c r="K1390" s="28" t="str">
        <f t="shared" si="127"/>
        <v/>
      </c>
      <c r="L1390" s="46" t="str">
        <f t="shared" si="131"/>
        <v/>
      </c>
      <c r="M1390" t="str" cm="1">
        <f t="array" ref="M1390">IF(L1390="","",_xlfn.IFS(
  AND(L1390&gt;=TIME(9,0,0), L1390&lt;TIME(16,0,0)),"Morning",
  AND(L1390&gt;=TIME(16,0,0), L1390&lt;TIME(23,59,0)),"Evening",
  L1390&gt;=TIME(23,59,0),"Night",
  L1390&lt;TIME(9,0,0),"Night"
))</f>
        <v/>
      </c>
      <c r="O1390" t="str">
        <f t="shared" si="128"/>
        <v/>
      </c>
    </row>
    <row r="1391" spans="1:15" x14ac:dyDescent="0.25">
      <c r="A1391" s="49"/>
      <c r="G1391" t="str">
        <f t="shared" si="126"/>
        <v/>
      </c>
      <c r="H1391" s="13" t="str">
        <f t="shared" si="129"/>
        <v/>
      </c>
      <c r="I1391" t="str">
        <f>IFERROR(INDEX(Analysis!$D$116:$N$137, MATCH(B1391, Analysis!$C$116:$C$137, 0), MATCH(C1391, Analysis!$D$115:$N$115, 0)), "")</f>
        <v/>
      </c>
      <c r="J1391" t="str">
        <f t="shared" si="130"/>
        <v/>
      </c>
      <c r="K1391" s="28" t="str">
        <f t="shared" si="127"/>
        <v/>
      </c>
      <c r="L1391" s="46" t="str">
        <f t="shared" si="131"/>
        <v/>
      </c>
      <c r="M1391" t="str" cm="1">
        <f t="array" ref="M1391">IF(L1391="","",_xlfn.IFS(
  AND(L1391&gt;=TIME(9,0,0), L1391&lt;TIME(16,0,0)),"Morning",
  AND(L1391&gt;=TIME(16,0,0), L1391&lt;TIME(23,59,0)),"Evening",
  L1391&gt;=TIME(23,59,0),"Night",
  L1391&lt;TIME(9,0,0),"Night"
))</f>
        <v/>
      </c>
      <c r="O1391" t="str">
        <f t="shared" si="128"/>
        <v/>
      </c>
    </row>
    <row r="1392" spans="1:15" x14ac:dyDescent="0.25">
      <c r="A1392" s="49"/>
      <c r="G1392" t="str">
        <f t="shared" si="126"/>
        <v/>
      </c>
      <c r="H1392" s="13" t="str">
        <f t="shared" si="129"/>
        <v/>
      </c>
      <c r="I1392" t="str">
        <f>IFERROR(INDEX(Analysis!$D$116:$N$137, MATCH(B1392, Analysis!$C$116:$C$137, 0), MATCH(C1392, Analysis!$D$115:$N$115, 0)), "")</f>
        <v/>
      </c>
      <c r="J1392" t="str">
        <f t="shared" si="130"/>
        <v/>
      </c>
      <c r="K1392" s="28" t="str">
        <f t="shared" si="127"/>
        <v/>
      </c>
      <c r="L1392" s="46" t="str">
        <f t="shared" si="131"/>
        <v/>
      </c>
      <c r="M1392" t="str" cm="1">
        <f t="array" ref="M1392">IF(L1392="","",_xlfn.IFS(
  AND(L1392&gt;=TIME(9,0,0), L1392&lt;TIME(16,0,0)),"Morning",
  AND(L1392&gt;=TIME(16,0,0), L1392&lt;TIME(23,59,0)),"Evening",
  L1392&gt;=TIME(23,59,0),"Night",
  L1392&lt;TIME(9,0,0),"Night"
))</f>
        <v/>
      </c>
      <c r="O1392" t="str">
        <f t="shared" si="128"/>
        <v/>
      </c>
    </row>
    <row r="1393" spans="1:15" x14ac:dyDescent="0.25">
      <c r="A1393" s="49"/>
      <c r="G1393" t="str">
        <f t="shared" si="126"/>
        <v/>
      </c>
      <c r="H1393" s="13" t="str">
        <f t="shared" si="129"/>
        <v/>
      </c>
      <c r="I1393" t="str">
        <f>IFERROR(INDEX(Analysis!$D$116:$N$137, MATCH(B1393, Analysis!$C$116:$C$137, 0), MATCH(C1393, Analysis!$D$115:$N$115, 0)), "")</f>
        <v/>
      </c>
      <c r="J1393" t="str">
        <f t="shared" si="130"/>
        <v/>
      </c>
      <c r="K1393" s="28" t="str">
        <f t="shared" si="127"/>
        <v/>
      </c>
      <c r="L1393" s="46" t="str">
        <f t="shared" si="131"/>
        <v/>
      </c>
      <c r="M1393" t="str" cm="1">
        <f t="array" ref="M1393">IF(L1393="","",_xlfn.IFS(
  AND(L1393&gt;=TIME(9,0,0), L1393&lt;TIME(16,0,0)),"Morning",
  AND(L1393&gt;=TIME(16,0,0), L1393&lt;TIME(23,59,0)),"Evening",
  L1393&gt;=TIME(23,59,0),"Night",
  L1393&lt;TIME(9,0,0),"Night"
))</f>
        <v/>
      </c>
      <c r="O1393" t="str">
        <f t="shared" si="128"/>
        <v/>
      </c>
    </row>
    <row r="1394" spans="1:15" x14ac:dyDescent="0.25">
      <c r="A1394" s="49"/>
      <c r="G1394" t="str">
        <f t="shared" si="126"/>
        <v/>
      </c>
      <c r="H1394" s="13" t="str">
        <f t="shared" si="129"/>
        <v/>
      </c>
      <c r="I1394" t="str">
        <f>IFERROR(INDEX(Analysis!$D$116:$N$137, MATCH(B1394, Analysis!$C$116:$C$137, 0), MATCH(C1394, Analysis!$D$115:$N$115, 0)), "")</f>
        <v/>
      </c>
      <c r="J1394" t="str">
        <f t="shared" si="130"/>
        <v/>
      </c>
      <c r="K1394" s="28" t="str">
        <f t="shared" si="127"/>
        <v/>
      </c>
      <c r="L1394" s="46" t="str">
        <f t="shared" si="131"/>
        <v/>
      </c>
      <c r="M1394" t="str" cm="1">
        <f t="array" ref="M1394">IF(L1394="","",_xlfn.IFS(
  AND(L1394&gt;=TIME(9,0,0), L1394&lt;TIME(16,0,0)),"Morning",
  AND(L1394&gt;=TIME(16,0,0), L1394&lt;TIME(23,59,0)),"Evening",
  L1394&gt;=TIME(23,59,0),"Night",
  L1394&lt;TIME(9,0,0),"Night"
))</f>
        <v/>
      </c>
      <c r="O1394" t="str">
        <f t="shared" si="128"/>
        <v/>
      </c>
    </row>
    <row r="1395" spans="1:15" x14ac:dyDescent="0.25">
      <c r="A1395" s="49"/>
      <c r="G1395" t="str">
        <f t="shared" si="126"/>
        <v/>
      </c>
      <c r="H1395" s="13" t="str">
        <f t="shared" si="129"/>
        <v/>
      </c>
      <c r="I1395" t="str">
        <f>IFERROR(INDEX(Analysis!$D$116:$N$137, MATCH(B1395, Analysis!$C$116:$C$137, 0), MATCH(C1395, Analysis!$D$115:$N$115, 0)), "")</f>
        <v/>
      </c>
      <c r="J1395" t="str">
        <f t="shared" si="130"/>
        <v/>
      </c>
      <c r="K1395" s="28" t="str">
        <f t="shared" si="127"/>
        <v/>
      </c>
      <c r="L1395" s="46" t="str">
        <f t="shared" si="131"/>
        <v/>
      </c>
      <c r="M1395" t="str" cm="1">
        <f t="array" ref="M1395">IF(L1395="","",_xlfn.IFS(
  AND(L1395&gt;=TIME(9,0,0), L1395&lt;TIME(16,0,0)),"Morning",
  AND(L1395&gt;=TIME(16,0,0), L1395&lt;TIME(23,59,0)),"Evening",
  L1395&gt;=TIME(23,59,0),"Night",
  L1395&lt;TIME(9,0,0),"Night"
))</f>
        <v/>
      </c>
      <c r="O1395" t="str">
        <f t="shared" si="128"/>
        <v/>
      </c>
    </row>
    <row r="1396" spans="1:15" x14ac:dyDescent="0.25">
      <c r="A1396" s="49"/>
      <c r="G1396" t="str">
        <f t="shared" si="126"/>
        <v/>
      </c>
      <c r="H1396" s="13" t="str">
        <f t="shared" si="129"/>
        <v/>
      </c>
      <c r="I1396" t="str">
        <f>IFERROR(INDEX(Analysis!$D$116:$N$137, MATCH(B1396, Analysis!$C$116:$C$137, 0), MATCH(C1396, Analysis!$D$115:$N$115, 0)), "")</f>
        <v/>
      </c>
      <c r="J1396" t="str">
        <f t="shared" si="130"/>
        <v/>
      </c>
      <c r="K1396" s="28" t="str">
        <f t="shared" si="127"/>
        <v/>
      </c>
      <c r="L1396" s="46" t="str">
        <f t="shared" si="131"/>
        <v/>
      </c>
      <c r="M1396" t="str" cm="1">
        <f t="array" ref="M1396">IF(L1396="","",_xlfn.IFS(
  AND(L1396&gt;=TIME(9,0,0), L1396&lt;TIME(16,0,0)),"Morning",
  AND(L1396&gt;=TIME(16,0,0), L1396&lt;TIME(23,59,0)),"Evening",
  L1396&gt;=TIME(23,59,0),"Night",
  L1396&lt;TIME(9,0,0),"Night"
))</f>
        <v/>
      </c>
      <c r="O1396" t="str">
        <f t="shared" si="128"/>
        <v/>
      </c>
    </row>
    <row r="1397" spans="1:15" x14ac:dyDescent="0.25">
      <c r="A1397" s="49"/>
      <c r="G1397" t="str">
        <f t="shared" si="126"/>
        <v/>
      </c>
      <c r="H1397" s="13" t="str">
        <f t="shared" si="129"/>
        <v/>
      </c>
      <c r="I1397" t="str">
        <f>IFERROR(INDEX(Analysis!$D$116:$N$137, MATCH(B1397, Analysis!$C$116:$C$137, 0), MATCH(C1397, Analysis!$D$115:$N$115, 0)), "")</f>
        <v/>
      </c>
      <c r="J1397" t="str">
        <f t="shared" si="130"/>
        <v/>
      </c>
      <c r="K1397" s="28" t="str">
        <f t="shared" si="127"/>
        <v/>
      </c>
      <c r="L1397" s="46" t="str">
        <f t="shared" si="131"/>
        <v/>
      </c>
      <c r="M1397" t="str" cm="1">
        <f t="array" ref="M1397">IF(L1397="","",_xlfn.IFS(
  AND(L1397&gt;=TIME(9,0,0), L1397&lt;TIME(16,0,0)),"Morning",
  AND(L1397&gt;=TIME(16,0,0), L1397&lt;TIME(23,59,0)),"Evening",
  L1397&gt;=TIME(23,59,0),"Night",
  L1397&lt;TIME(9,0,0),"Night"
))</f>
        <v/>
      </c>
      <c r="O1397" t="str">
        <f t="shared" si="128"/>
        <v/>
      </c>
    </row>
    <row r="1398" spans="1:15" x14ac:dyDescent="0.25">
      <c r="A1398" s="49"/>
      <c r="G1398" t="str">
        <f t="shared" si="126"/>
        <v/>
      </c>
      <c r="H1398" s="13" t="str">
        <f t="shared" si="129"/>
        <v/>
      </c>
      <c r="I1398" t="str">
        <f>IFERROR(INDEX(Analysis!$D$116:$N$137, MATCH(B1398, Analysis!$C$116:$C$137, 0), MATCH(C1398, Analysis!$D$115:$N$115, 0)), "")</f>
        <v/>
      </c>
      <c r="J1398" t="str">
        <f t="shared" si="130"/>
        <v/>
      </c>
      <c r="K1398" s="28" t="str">
        <f t="shared" si="127"/>
        <v/>
      </c>
      <c r="L1398" s="46" t="str">
        <f t="shared" si="131"/>
        <v/>
      </c>
      <c r="M1398" t="str" cm="1">
        <f t="array" ref="M1398">IF(L1398="","",_xlfn.IFS(
  AND(L1398&gt;=TIME(9,0,0), L1398&lt;TIME(16,0,0)),"Morning",
  AND(L1398&gt;=TIME(16,0,0), L1398&lt;TIME(23,59,0)),"Evening",
  L1398&gt;=TIME(23,59,0),"Night",
  L1398&lt;TIME(9,0,0),"Night"
))</f>
        <v/>
      </c>
      <c r="O1398" t="str">
        <f t="shared" si="128"/>
        <v/>
      </c>
    </row>
    <row r="1399" spans="1:15" x14ac:dyDescent="0.25">
      <c r="A1399" s="49"/>
      <c r="G1399" t="str">
        <f t="shared" si="126"/>
        <v/>
      </c>
      <c r="H1399" s="13" t="str">
        <f t="shared" si="129"/>
        <v/>
      </c>
      <c r="I1399" t="str">
        <f>IFERROR(INDEX(Analysis!$D$116:$N$137, MATCH(B1399, Analysis!$C$116:$C$137, 0), MATCH(C1399, Analysis!$D$115:$N$115, 0)), "")</f>
        <v/>
      </c>
      <c r="J1399" t="str">
        <f t="shared" si="130"/>
        <v/>
      </c>
      <c r="K1399" s="28" t="str">
        <f t="shared" si="127"/>
        <v/>
      </c>
      <c r="L1399" s="46" t="str">
        <f t="shared" si="131"/>
        <v/>
      </c>
      <c r="M1399" t="str" cm="1">
        <f t="array" ref="M1399">IF(L1399="","",_xlfn.IFS(
  AND(L1399&gt;=TIME(9,0,0), L1399&lt;TIME(16,0,0)),"Morning",
  AND(L1399&gt;=TIME(16,0,0), L1399&lt;TIME(23,59,0)),"Evening",
  L1399&gt;=TIME(23,59,0),"Night",
  L1399&lt;TIME(9,0,0),"Night"
))</f>
        <v/>
      </c>
      <c r="O1399" t="str">
        <f t="shared" si="128"/>
        <v/>
      </c>
    </row>
    <row r="1400" spans="1:15" x14ac:dyDescent="0.25">
      <c r="A1400" s="49"/>
      <c r="G1400" t="str">
        <f t="shared" si="126"/>
        <v/>
      </c>
      <c r="H1400" s="13" t="str">
        <f t="shared" si="129"/>
        <v/>
      </c>
      <c r="I1400" t="str">
        <f>IFERROR(INDEX(Analysis!$D$116:$N$137, MATCH(B1400, Analysis!$C$116:$C$137, 0), MATCH(C1400, Analysis!$D$115:$N$115, 0)), "")</f>
        <v/>
      </c>
      <c r="J1400" t="str">
        <f t="shared" si="130"/>
        <v/>
      </c>
      <c r="K1400" s="28" t="str">
        <f t="shared" si="127"/>
        <v/>
      </c>
      <c r="L1400" s="46" t="str">
        <f t="shared" si="131"/>
        <v/>
      </c>
      <c r="M1400" t="str" cm="1">
        <f t="array" ref="M1400">IF(L1400="","",_xlfn.IFS(
  AND(L1400&gt;=TIME(9,0,0), L1400&lt;TIME(16,0,0)),"Morning",
  AND(L1400&gt;=TIME(16,0,0), L1400&lt;TIME(23,59,0)),"Evening",
  L1400&gt;=TIME(23,59,0),"Night",
  L1400&lt;TIME(9,0,0),"Night"
))</f>
        <v/>
      </c>
      <c r="O1400" t="str">
        <f t="shared" si="128"/>
        <v/>
      </c>
    </row>
    <row r="1401" spans="1:15" x14ac:dyDescent="0.25">
      <c r="A1401" s="49"/>
      <c r="G1401" t="str">
        <f t="shared" si="126"/>
        <v/>
      </c>
      <c r="H1401" s="13" t="str">
        <f t="shared" si="129"/>
        <v/>
      </c>
      <c r="I1401" t="str">
        <f>IFERROR(INDEX(Analysis!$D$116:$N$137, MATCH(B1401, Analysis!$C$116:$C$137, 0), MATCH(C1401, Analysis!$D$115:$N$115, 0)), "")</f>
        <v/>
      </c>
      <c r="J1401" t="str">
        <f t="shared" si="130"/>
        <v/>
      </c>
      <c r="K1401" s="28" t="str">
        <f t="shared" si="127"/>
        <v/>
      </c>
      <c r="L1401" s="46" t="str">
        <f t="shared" si="131"/>
        <v/>
      </c>
      <c r="M1401" t="str" cm="1">
        <f t="array" ref="M1401">IF(L1401="","",_xlfn.IFS(
  AND(L1401&gt;=TIME(9,0,0), L1401&lt;TIME(16,0,0)),"Morning",
  AND(L1401&gt;=TIME(16,0,0), L1401&lt;TIME(23,59,0)),"Evening",
  L1401&gt;=TIME(23,59,0),"Night",
  L1401&lt;TIME(9,0,0),"Night"
))</f>
        <v/>
      </c>
      <c r="O1401" t="str">
        <f t="shared" si="128"/>
        <v/>
      </c>
    </row>
    <row r="1402" spans="1:15" x14ac:dyDescent="0.25">
      <c r="A1402" s="49"/>
      <c r="G1402" t="str">
        <f t="shared" si="126"/>
        <v/>
      </c>
      <c r="H1402" s="13" t="str">
        <f t="shared" si="129"/>
        <v/>
      </c>
      <c r="I1402" t="str">
        <f>IFERROR(INDEX(Analysis!$D$116:$N$137, MATCH(B1402, Analysis!$C$116:$C$137, 0), MATCH(C1402, Analysis!$D$115:$N$115, 0)), "")</f>
        <v/>
      </c>
      <c r="J1402" t="str">
        <f t="shared" si="130"/>
        <v/>
      </c>
      <c r="K1402" s="28" t="str">
        <f t="shared" si="127"/>
        <v/>
      </c>
      <c r="L1402" s="46" t="str">
        <f t="shared" si="131"/>
        <v/>
      </c>
      <c r="M1402" t="str" cm="1">
        <f t="array" ref="M1402">IF(L1402="","",_xlfn.IFS(
  AND(L1402&gt;=TIME(9,0,0), L1402&lt;TIME(16,0,0)),"Morning",
  AND(L1402&gt;=TIME(16,0,0), L1402&lt;TIME(23,59,0)),"Evening",
  L1402&gt;=TIME(23,59,0),"Night",
  L1402&lt;TIME(9,0,0),"Night"
))</f>
        <v/>
      </c>
      <c r="O1402" t="str">
        <f t="shared" si="128"/>
        <v/>
      </c>
    </row>
    <row r="1403" spans="1:15" x14ac:dyDescent="0.25">
      <c r="A1403" s="49"/>
      <c r="G1403" t="str">
        <f t="shared" si="126"/>
        <v/>
      </c>
      <c r="H1403" s="13" t="str">
        <f t="shared" si="129"/>
        <v/>
      </c>
      <c r="I1403" t="str">
        <f>IFERROR(INDEX(Analysis!$D$116:$N$137, MATCH(B1403, Analysis!$C$116:$C$137, 0), MATCH(C1403, Analysis!$D$115:$N$115, 0)), "")</f>
        <v/>
      </c>
      <c r="J1403" t="str">
        <f t="shared" si="130"/>
        <v/>
      </c>
      <c r="K1403" s="28" t="str">
        <f t="shared" si="127"/>
        <v/>
      </c>
      <c r="L1403" s="46" t="str">
        <f t="shared" si="131"/>
        <v/>
      </c>
      <c r="M1403" t="str" cm="1">
        <f t="array" ref="M1403">IF(L1403="","",_xlfn.IFS(
  AND(L1403&gt;=TIME(9,0,0), L1403&lt;TIME(16,0,0)),"Morning",
  AND(L1403&gt;=TIME(16,0,0), L1403&lt;TIME(23,59,0)),"Evening",
  L1403&gt;=TIME(23,59,0),"Night",
  L1403&lt;TIME(9,0,0),"Night"
))</f>
        <v/>
      </c>
      <c r="O1403" t="str">
        <f t="shared" si="128"/>
        <v/>
      </c>
    </row>
    <row r="1404" spans="1:15" x14ac:dyDescent="0.25">
      <c r="A1404" s="49"/>
      <c r="G1404" t="str">
        <f t="shared" si="126"/>
        <v/>
      </c>
      <c r="H1404" s="13" t="str">
        <f t="shared" si="129"/>
        <v/>
      </c>
      <c r="I1404" t="str">
        <f>IFERROR(INDEX(Analysis!$D$116:$N$137, MATCH(B1404, Analysis!$C$116:$C$137, 0), MATCH(C1404, Analysis!$D$115:$N$115, 0)), "")</f>
        <v/>
      </c>
      <c r="J1404" t="str">
        <f t="shared" si="130"/>
        <v/>
      </c>
      <c r="K1404" s="28" t="str">
        <f t="shared" si="127"/>
        <v/>
      </c>
      <c r="L1404" s="46" t="str">
        <f t="shared" si="131"/>
        <v/>
      </c>
      <c r="M1404" t="str" cm="1">
        <f t="array" ref="M1404">IF(L1404="","",_xlfn.IFS(
  AND(L1404&gt;=TIME(9,0,0), L1404&lt;TIME(16,0,0)),"Morning",
  AND(L1404&gt;=TIME(16,0,0), L1404&lt;TIME(23,59,0)),"Evening",
  L1404&gt;=TIME(23,59,0),"Night",
  L1404&lt;TIME(9,0,0),"Night"
))</f>
        <v/>
      </c>
      <c r="O1404" t="str">
        <f t="shared" si="128"/>
        <v/>
      </c>
    </row>
    <row r="1405" spans="1:15" x14ac:dyDescent="0.25">
      <c r="A1405" s="49"/>
      <c r="G1405" t="str">
        <f t="shared" si="126"/>
        <v/>
      </c>
      <c r="H1405" s="13" t="str">
        <f t="shared" si="129"/>
        <v/>
      </c>
      <c r="I1405" t="str">
        <f>IFERROR(INDEX(Analysis!$D$116:$N$137, MATCH(B1405, Analysis!$C$116:$C$137, 0), MATCH(C1405, Analysis!$D$115:$N$115, 0)), "")</f>
        <v/>
      </c>
      <c r="J1405" t="str">
        <f t="shared" si="130"/>
        <v/>
      </c>
      <c r="K1405" s="28" t="str">
        <f t="shared" si="127"/>
        <v/>
      </c>
      <c r="L1405" s="46" t="str">
        <f t="shared" si="131"/>
        <v/>
      </c>
      <c r="M1405" t="str" cm="1">
        <f t="array" ref="M1405">IF(L1405="","",_xlfn.IFS(
  AND(L1405&gt;=TIME(9,0,0), L1405&lt;TIME(16,0,0)),"Morning",
  AND(L1405&gt;=TIME(16,0,0), L1405&lt;TIME(23,59,0)),"Evening",
  L1405&gt;=TIME(23,59,0),"Night",
  L1405&lt;TIME(9,0,0),"Night"
))</f>
        <v/>
      </c>
      <c r="O1405" t="str">
        <f t="shared" si="128"/>
        <v/>
      </c>
    </row>
    <row r="1406" spans="1:15" x14ac:dyDescent="0.25">
      <c r="A1406" s="49"/>
      <c r="G1406" t="str">
        <f t="shared" si="126"/>
        <v/>
      </c>
      <c r="H1406" s="13" t="str">
        <f t="shared" si="129"/>
        <v/>
      </c>
      <c r="I1406" t="str">
        <f>IFERROR(INDEX(Analysis!$D$116:$N$137, MATCH(B1406, Analysis!$C$116:$C$137, 0), MATCH(C1406, Analysis!$D$115:$N$115, 0)), "")</f>
        <v/>
      </c>
      <c r="J1406" t="str">
        <f t="shared" si="130"/>
        <v/>
      </c>
      <c r="K1406" s="28" t="str">
        <f t="shared" si="127"/>
        <v/>
      </c>
      <c r="L1406" s="46" t="str">
        <f t="shared" si="131"/>
        <v/>
      </c>
      <c r="M1406" t="str" cm="1">
        <f t="array" ref="M1406">IF(L1406="","",_xlfn.IFS(
  AND(L1406&gt;=TIME(9,0,0), L1406&lt;TIME(16,0,0)),"Morning",
  AND(L1406&gt;=TIME(16,0,0), L1406&lt;TIME(23,59,0)),"Evening",
  L1406&gt;=TIME(23,59,0),"Night",
  L1406&lt;TIME(9,0,0),"Night"
))</f>
        <v/>
      </c>
      <c r="O1406" t="str">
        <f t="shared" si="128"/>
        <v/>
      </c>
    </row>
    <row r="1407" spans="1:15" x14ac:dyDescent="0.25">
      <c r="A1407" s="49"/>
      <c r="G1407" t="str">
        <f t="shared" si="126"/>
        <v/>
      </c>
      <c r="H1407" s="13" t="str">
        <f t="shared" si="129"/>
        <v/>
      </c>
      <c r="I1407" t="str">
        <f>IFERROR(INDEX(Analysis!$D$116:$N$137, MATCH(B1407, Analysis!$C$116:$C$137, 0), MATCH(C1407, Analysis!$D$115:$N$115, 0)), "")</f>
        <v/>
      </c>
      <c r="J1407" t="str">
        <f t="shared" si="130"/>
        <v/>
      </c>
      <c r="K1407" s="28" t="str">
        <f t="shared" si="127"/>
        <v/>
      </c>
      <c r="L1407" s="46" t="str">
        <f t="shared" si="131"/>
        <v/>
      </c>
      <c r="M1407" t="str" cm="1">
        <f t="array" ref="M1407">IF(L1407="","",_xlfn.IFS(
  AND(L1407&gt;=TIME(9,0,0), L1407&lt;TIME(16,0,0)),"Morning",
  AND(L1407&gt;=TIME(16,0,0), L1407&lt;TIME(23,59,0)),"Evening",
  L1407&gt;=TIME(23,59,0),"Night",
  L1407&lt;TIME(9,0,0),"Night"
))</f>
        <v/>
      </c>
      <c r="O1407" t="str">
        <f t="shared" si="128"/>
        <v/>
      </c>
    </row>
    <row r="1408" spans="1:15" x14ac:dyDescent="0.25">
      <c r="A1408" s="49"/>
      <c r="G1408" t="str">
        <f t="shared" si="126"/>
        <v/>
      </c>
      <c r="H1408" s="13" t="str">
        <f t="shared" si="129"/>
        <v/>
      </c>
      <c r="I1408" t="str">
        <f>IFERROR(INDEX(Analysis!$D$116:$N$137, MATCH(B1408, Analysis!$C$116:$C$137, 0), MATCH(C1408, Analysis!$D$115:$N$115, 0)), "")</f>
        <v/>
      </c>
      <c r="J1408" t="str">
        <f t="shared" si="130"/>
        <v/>
      </c>
      <c r="K1408" s="28" t="str">
        <f t="shared" si="127"/>
        <v/>
      </c>
      <c r="L1408" s="46" t="str">
        <f t="shared" si="131"/>
        <v/>
      </c>
      <c r="M1408" t="str" cm="1">
        <f t="array" ref="M1408">IF(L1408="","",_xlfn.IFS(
  AND(L1408&gt;=TIME(9,0,0), L1408&lt;TIME(16,0,0)),"Morning",
  AND(L1408&gt;=TIME(16,0,0), L1408&lt;TIME(23,59,0)),"Evening",
  L1408&gt;=TIME(23,59,0),"Night",
  L1408&lt;TIME(9,0,0),"Night"
))</f>
        <v/>
      </c>
      <c r="O1408" t="str">
        <f t="shared" si="128"/>
        <v/>
      </c>
    </row>
    <row r="1409" spans="1:15" x14ac:dyDescent="0.25">
      <c r="A1409" s="49"/>
      <c r="G1409" t="str">
        <f t="shared" si="126"/>
        <v/>
      </c>
      <c r="H1409" s="13" t="str">
        <f t="shared" si="129"/>
        <v/>
      </c>
      <c r="I1409" t="str">
        <f>IFERROR(INDEX(Analysis!$D$116:$N$137, MATCH(B1409, Analysis!$C$116:$C$137, 0), MATCH(C1409, Analysis!$D$115:$N$115, 0)), "")</f>
        <v/>
      </c>
      <c r="J1409" t="str">
        <f t="shared" si="130"/>
        <v/>
      </c>
      <c r="K1409" s="28" t="str">
        <f t="shared" si="127"/>
        <v/>
      </c>
      <c r="L1409" s="46" t="str">
        <f t="shared" si="131"/>
        <v/>
      </c>
      <c r="M1409" t="str" cm="1">
        <f t="array" ref="M1409">IF(L1409="","",_xlfn.IFS(
  AND(L1409&gt;=TIME(9,0,0), L1409&lt;TIME(16,0,0)),"Morning",
  AND(L1409&gt;=TIME(16,0,0), L1409&lt;TIME(23,59,0)),"Evening",
  L1409&gt;=TIME(23,59,0),"Night",
  L1409&lt;TIME(9,0,0),"Night"
))</f>
        <v/>
      </c>
      <c r="O1409" t="str">
        <f t="shared" si="128"/>
        <v/>
      </c>
    </row>
    <row r="1410" spans="1:15" x14ac:dyDescent="0.25">
      <c r="A1410" s="49"/>
      <c r="G1410" t="str">
        <f t="shared" ref="G1410:G1473" si="132">IF(ISBLANK(A1410), "", IF(ISBLANK(F1410), 0, F1410))</f>
        <v/>
      </c>
      <c r="H1410" s="13" t="str">
        <f t="shared" si="129"/>
        <v/>
      </c>
      <c r="I1410" t="str">
        <f>IFERROR(INDEX(Analysis!$D$116:$N$137, MATCH(B1410, Analysis!$C$116:$C$137, 0), MATCH(C1410, Analysis!$D$115:$N$115, 0)), "")</f>
        <v/>
      </c>
      <c r="J1410" t="str">
        <f t="shared" si="130"/>
        <v/>
      </c>
      <c r="K1410" s="28" t="str">
        <f t="shared" ref="K1410:K1473" si="133">IF(ISBLANK(A1410),"",DATE(YEAR(A1410),MONTH(A1410),DAY(A1410)))</f>
        <v/>
      </c>
      <c r="L1410" s="46" t="str">
        <f t="shared" si="131"/>
        <v/>
      </c>
      <c r="M1410" t="str" cm="1">
        <f t="array" ref="M1410">IF(L1410="","",_xlfn.IFS(
  AND(L1410&gt;=TIME(9,0,0), L1410&lt;TIME(16,0,0)),"Morning",
  AND(L1410&gt;=TIME(16,0,0), L1410&lt;TIME(23,59,0)),"Evening",
  L1410&gt;=TIME(23,59,0),"Night",
  L1410&lt;TIME(9,0,0),"Night"
))</f>
        <v/>
      </c>
      <c r="O1410" t="str">
        <f t="shared" ref="O1410:O1473" si="134">IF(N1410="ON", _xlfn.IMAGE(E1410, 1), "")</f>
        <v/>
      </c>
    </row>
    <row r="1411" spans="1:15" x14ac:dyDescent="0.25">
      <c r="A1411" s="49"/>
      <c r="G1411" t="str">
        <f t="shared" si="132"/>
        <v/>
      </c>
      <c r="H1411" s="13" t="str">
        <f t="shared" ref="H1411:H1474" si="135">IF(ISBLANK(E1411),"",HYPERLINK(E1411,"Click here"))</f>
        <v/>
      </c>
      <c r="I1411" t="str">
        <f>IFERROR(INDEX(Analysis!$D$116:$N$137, MATCH(B1411, Analysis!$C$116:$C$137, 0), MATCH(C1411, Analysis!$D$115:$N$115, 0)), "")</f>
        <v/>
      </c>
      <c r="J1411" t="str">
        <f t="shared" ref="J1411:J1474" si="136">IF(ISBLANK(A1411),"",WEEKNUM(A1411))</f>
        <v/>
      </c>
      <c r="K1411" s="28" t="str">
        <f t="shared" si="133"/>
        <v/>
      </c>
      <c r="L1411" s="46" t="str">
        <f t="shared" ref="L1411:L1474" si="137">IF(A1411="", "", A1411 - INT(A1411))</f>
        <v/>
      </c>
      <c r="M1411" t="str" cm="1">
        <f t="array" ref="M1411">IF(L1411="","",_xlfn.IFS(
  AND(L1411&gt;=TIME(9,0,0), L1411&lt;TIME(16,0,0)),"Morning",
  AND(L1411&gt;=TIME(16,0,0), L1411&lt;TIME(23,59,0)),"Evening",
  L1411&gt;=TIME(23,59,0),"Night",
  L1411&lt;TIME(9,0,0),"Night"
))</f>
        <v/>
      </c>
      <c r="O1411" t="str">
        <f t="shared" si="134"/>
        <v/>
      </c>
    </row>
    <row r="1412" spans="1:15" x14ac:dyDescent="0.25">
      <c r="A1412" s="49"/>
      <c r="G1412" t="str">
        <f t="shared" si="132"/>
        <v/>
      </c>
      <c r="H1412" s="13" t="str">
        <f t="shared" si="135"/>
        <v/>
      </c>
      <c r="I1412" t="str">
        <f>IFERROR(INDEX(Analysis!$D$116:$N$137, MATCH(B1412, Analysis!$C$116:$C$137, 0), MATCH(C1412, Analysis!$D$115:$N$115, 0)), "")</f>
        <v/>
      </c>
      <c r="J1412" t="str">
        <f t="shared" si="136"/>
        <v/>
      </c>
      <c r="K1412" s="28" t="str">
        <f t="shared" si="133"/>
        <v/>
      </c>
      <c r="L1412" s="46" t="str">
        <f t="shared" si="137"/>
        <v/>
      </c>
      <c r="M1412" t="str" cm="1">
        <f t="array" ref="M1412">IF(L1412="","",_xlfn.IFS(
  AND(L1412&gt;=TIME(9,0,0), L1412&lt;TIME(16,0,0)),"Morning",
  AND(L1412&gt;=TIME(16,0,0), L1412&lt;TIME(23,59,0)),"Evening",
  L1412&gt;=TIME(23,59,0),"Night",
  L1412&lt;TIME(9,0,0),"Night"
))</f>
        <v/>
      </c>
      <c r="O1412" t="str">
        <f t="shared" si="134"/>
        <v/>
      </c>
    </row>
    <row r="1413" spans="1:15" x14ac:dyDescent="0.25">
      <c r="A1413" s="49"/>
      <c r="G1413" t="str">
        <f t="shared" si="132"/>
        <v/>
      </c>
      <c r="H1413" s="13" t="str">
        <f t="shared" si="135"/>
        <v/>
      </c>
      <c r="I1413" t="str">
        <f>IFERROR(INDEX(Analysis!$D$116:$N$137, MATCH(B1413, Analysis!$C$116:$C$137, 0), MATCH(C1413, Analysis!$D$115:$N$115, 0)), "")</f>
        <v/>
      </c>
      <c r="J1413" t="str">
        <f t="shared" si="136"/>
        <v/>
      </c>
      <c r="K1413" s="28" t="str">
        <f t="shared" si="133"/>
        <v/>
      </c>
      <c r="L1413" s="46" t="str">
        <f t="shared" si="137"/>
        <v/>
      </c>
      <c r="M1413" t="str" cm="1">
        <f t="array" ref="M1413">IF(L1413="","",_xlfn.IFS(
  AND(L1413&gt;=TIME(9,0,0), L1413&lt;TIME(16,0,0)),"Morning",
  AND(L1413&gt;=TIME(16,0,0), L1413&lt;TIME(23,59,0)),"Evening",
  L1413&gt;=TIME(23,59,0),"Night",
  L1413&lt;TIME(9,0,0),"Night"
))</f>
        <v/>
      </c>
      <c r="O1413" t="str">
        <f t="shared" si="134"/>
        <v/>
      </c>
    </row>
    <row r="1414" spans="1:15" x14ac:dyDescent="0.25">
      <c r="A1414" s="49"/>
      <c r="G1414" t="str">
        <f t="shared" si="132"/>
        <v/>
      </c>
      <c r="H1414" s="13" t="str">
        <f t="shared" si="135"/>
        <v/>
      </c>
      <c r="I1414" t="str">
        <f>IFERROR(INDEX(Analysis!$D$116:$N$137, MATCH(B1414, Analysis!$C$116:$C$137, 0), MATCH(C1414, Analysis!$D$115:$N$115, 0)), "")</f>
        <v/>
      </c>
      <c r="J1414" t="str">
        <f t="shared" si="136"/>
        <v/>
      </c>
      <c r="K1414" s="28" t="str">
        <f t="shared" si="133"/>
        <v/>
      </c>
      <c r="L1414" s="46" t="str">
        <f t="shared" si="137"/>
        <v/>
      </c>
      <c r="M1414" t="str" cm="1">
        <f t="array" ref="M1414">IF(L1414="","",_xlfn.IFS(
  AND(L1414&gt;=TIME(9,0,0), L1414&lt;TIME(16,0,0)),"Morning",
  AND(L1414&gt;=TIME(16,0,0), L1414&lt;TIME(23,59,0)),"Evening",
  L1414&gt;=TIME(23,59,0),"Night",
  L1414&lt;TIME(9,0,0),"Night"
))</f>
        <v/>
      </c>
      <c r="O1414" t="str">
        <f t="shared" si="134"/>
        <v/>
      </c>
    </row>
    <row r="1415" spans="1:15" x14ac:dyDescent="0.25">
      <c r="A1415" s="49"/>
      <c r="G1415" t="str">
        <f t="shared" si="132"/>
        <v/>
      </c>
      <c r="H1415" s="13" t="str">
        <f t="shared" si="135"/>
        <v/>
      </c>
      <c r="I1415" t="str">
        <f>IFERROR(INDEX(Analysis!$D$116:$N$137, MATCH(B1415, Analysis!$C$116:$C$137, 0), MATCH(C1415, Analysis!$D$115:$N$115, 0)), "")</f>
        <v/>
      </c>
      <c r="J1415" t="str">
        <f t="shared" si="136"/>
        <v/>
      </c>
      <c r="K1415" s="28" t="str">
        <f t="shared" si="133"/>
        <v/>
      </c>
      <c r="L1415" s="46" t="str">
        <f t="shared" si="137"/>
        <v/>
      </c>
      <c r="M1415" t="str" cm="1">
        <f t="array" ref="M1415">IF(L1415="","",_xlfn.IFS(
  AND(L1415&gt;=TIME(9,0,0), L1415&lt;TIME(16,0,0)),"Morning",
  AND(L1415&gt;=TIME(16,0,0), L1415&lt;TIME(23,59,0)),"Evening",
  L1415&gt;=TIME(23,59,0),"Night",
  L1415&lt;TIME(9,0,0),"Night"
))</f>
        <v/>
      </c>
      <c r="O1415" t="str">
        <f t="shared" si="134"/>
        <v/>
      </c>
    </row>
    <row r="1416" spans="1:15" x14ac:dyDescent="0.25">
      <c r="A1416" s="49"/>
      <c r="G1416" t="str">
        <f t="shared" si="132"/>
        <v/>
      </c>
      <c r="H1416" s="13" t="str">
        <f t="shared" si="135"/>
        <v/>
      </c>
      <c r="I1416" t="str">
        <f>IFERROR(INDEX(Analysis!$D$116:$N$137, MATCH(B1416, Analysis!$C$116:$C$137, 0), MATCH(C1416, Analysis!$D$115:$N$115, 0)), "")</f>
        <v/>
      </c>
      <c r="J1416" t="str">
        <f t="shared" si="136"/>
        <v/>
      </c>
      <c r="K1416" s="28" t="str">
        <f t="shared" si="133"/>
        <v/>
      </c>
      <c r="L1416" s="46" t="str">
        <f t="shared" si="137"/>
        <v/>
      </c>
      <c r="M1416" t="str" cm="1">
        <f t="array" ref="M1416">IF(L1416="","",_xlfn.IFS(
  AND(L1416&gt;=TIME(9,0,0), L1416&lt;TIME(16,0,0)),"Morning",
  AND(L1416&gt;=TIME(16,0,0), L1416&lt;TIME(23,59,0)),"Evening",
  L1416&gt;=TIME(23,59,0),"Night",
  L1416&lt;TIME(9,0,0),"Night"
))</f>
        <v/>
      </c>
      <c r="O1416" t="str">
        <f t="shared" si="134"/>
        <v/>
      </c>
    </row>
    <row r="1417" spans="1:15" x14ac:dyDescent="0.25">
      <c r="A1417" s="49"/>
      <c r="G1417" t="str">
        <f t="shared" si="132"/>
        <v/>
      </c>
      <c r="H1417" s="13" t="str">
        <f t="shared" si="135"/>
        <v/>
      </c>
      <c r="I1417" t="str">
        <f>IFERROR(INDEX(Analysis!$D$116:$N$137, MATCH(B1417, Analysis!$C$116:$C$137, 0), MATCH(C1417, Analysis!$D$115:$N$115, 0)), "")</f>
        <v/>
      </c>
      <c r="J1417" t="str">
        <f t="shared" si="136"/>
        <v/>
      </c>
      <c r="K1417" s="28" t="str">
        <f t="shared" si="133"/>
        <v/>
      </c>
      <c r="L1417" s="46" t="str">
        <f t="shared" si="137"/>
        <v/>
      </c>
      <c r="M1417" t="str" cm="1">
        <f t="array" ref="M1417">IF(L1417="","",_xlfn.IFS(
  AND(L1417&gt;=TIME(9,0,0), L1417&lt;TIME(16,0,0)),"Morning",
  AND(L1417&gt;=TIME(16,0,0), L1417&lt;TIME(23,59,0)),"Evening",
  L1417&gt;=TIME(23,59,0),"Night",
  L1417&lt;TIME(9,0,0),"Night"
))</f>
        <v/>
      </c>
      <c r="O1417" t="str">
        <f t="shared" si="134"/>
        <v/>
      </c>
    </row>
    <row r="1418" spans="1:15" x14ac:dyDescent="0.25">
      <c r="A1418" s="49"/>
      <c r="G1418" t="str">
        <f t="shared" si="132"/>
        <v/>
      </c>
      <c r="H1418" s="13" t="str">
        <f t="shared" si="135"/>
        <v/>
      </c>
      <c r="I1418" t="str">
        <f>IFERROR(INDEX(Analysis!$D$116:$N$137, MATCH(B1418, Analysis!$C$116:$C$137, 0), MATCH(C1418, Analysis!$D$115:$N$115, 0)), "")</f>
        <v/>
      </c>
      <c r="J1418" t="str">
        <f t="shared" si="136"/>
        <v/>
      </c>
      <c r="K1418" s="28" t="str">
        <f t="shared" si="133"/>
        <v/>
      </c>
      <c r="L1418" s="46" t="str">
        <f t="shared" si="137"/>
        <v/>
      </c>
      <c r="M1418" t="str" cm="1">
        <f t="array" ref="M1418">IF(L1418="","",_xlfn.IFS(
  AND(L1418&gt;=TIME(9,0,0), L1418&lt;TIME(16,0,0)),"Morning",
  AND(L1418&gt;=TIME(16,0,0), L1418&lt;TIME(23,59,0)),"Evening",
  L1418&gt;=TIME(23,59,0),"Night",
  L1418&lt;TIME(9,0,0),"Night"
))</f>
        <v/>
      </c>
      <c r="O1418" t="str">
        <f t="shared" si="134"/>
        <v/>
      </c>
    </row>
    <row r="1419" spans="1:15" x14ac:dyDescent="0.25">
      <c r="A1419" s="49"/>
      <c r="G1419" t="str">
        <f t="shared" si="132"/>
        <v/>
      </c>
      <c r="H1419" s="13" t="str">
        <f t="shared" si="135"/>
        <v/>
      </c>
      <c r="I1419" t="str">
        <f>IFERROR(INDEX(Analysis!$D$116:$N$137, MATCH(B1419, Analysis!$C$116:$C$137, 0), MATCH(C1419, Analysis!$D$115:$N$115, 0)), "")</f>
        <v/>
      </c>
      <c r="J1419" t="str">
        <f t="shared" si="136"/>
        <v/>
      </c>
      <c r="K1419" s="28" t="str">
        <f t="shared" si="133"/>
        <v/>
      </c>
      <c r="L1419" s="46" t="str">
        <f t="shared" si="137"/>
        <v/>
      </c>
      <c r="M1419" t="str" cm="1">
        <f t="array" ref="M1419">IF(L1419="","",_xlfn.IFS(
  AND(L1419&gt;=TIME(9,0,0), L1419&lt;TIME(16,0,0)),"Morning",
  AND(L1419&gt;=TIME(16,0,0), L1419&lt;TIME(23,59,0)),"Evening",
  L1419&gt;=TIME(23,59,0),"Night",
  L1419&lt;TIME(9,0,0),"Night"
))</f>
        <v/>
      </c>
      <c r="O1419" t="str">
        <f t="shared" si="134"/>
        <v/>
      </c>
    </row>
    <row r="1420" spans="1:15" x14ac:dyDescent="0.25">
      <c r="A1420" s="49"/>
      <c r="G1420" t="str">
        <f t="shared" si="132"/>
        <v/>
      </c>
      <c r="H1420" s="13" t="str">
        <f t="shared" si="135"/>
        <v/>
      </c>
      <c r="I1420" t="str">
        <f>IFERROR(INDEX(Analysis!$D$116:$N$137, MATCH(B1420, Analysis!$C$116:$C$137, 0), MATCH(C1420, Analysis!$D$115:$N$115, 0)), "")</f>
        <v/>
      </c>
      <c r="J1420" t="str">
        <f t="shared" si="136"/>
        <v/>
      </c>
      <c r="K1420" s="28" t="str">
        <f t="shared" si="133"/>
        <v/>
      </c>
      <c r="L1420" s="46" t="str">
        <f t="shared" si="137"/>
        <v/>
      </c>
      <c r="M1420" t="str" cm="1">
        <f t="array" ref="M1420">IF(L1420="","",_xlfn.IFS(
  AND(L1420&gt;=TIME(9,0,0), L1420&lt;TIME(16,0,0)),"Morning",
  AND(L1420&gt;=TIME(16,0,0), L1420&lt;TIME(23,59,0)),"Evening",
  L1420&gt;=TIME(23,59,0),"Night",
  L1420&lt;TIME(9,0,0),"Night"
))</f>
        <v/>
      </c>
      <c r="O1420" t="str">
        <f t="shared" si="134"/>
        <v/>
      </c>
    </row>
    <row r="1421" spans="1:15" x14ac:dyDescent="0.25">
      <c r="A1421" s="49"/>
      <c r="G1421" t="str">
        <f t="shared" si="132"/>
        <v/>
      </c>
      <c r="H1421" s="13" t="str">
        <f t="shared" si="135"/>
        <v/>
      </c>
      <c r="I1421" t="str">
        <f>IFERROR(INDEX(Analysis!$D$116:$N$137, MATCH(B1421, Analysis!$C$116:$C$137, 0), MATCH(C1421, Analysis!$D$115:$N$115, 0)), "")</f>
        <v/>
      </c>
      <c r="J1421" t="str">
        <f t="shared" si="136"/>
        <v/>
      </c>
      <c r="K1421" s="28" t="str">
        <f t="shared" si="133"/>
        <v/>
      </c>
      <c r="L1421" s="46" t="str">
        <f t="shared" si="137"/>
        <v/>
      </c>
      <c r="M1421" t="str" cm="1">
        <f t="array" ref="M1421">IF(L1421="","",_xlfn.IFS(
  AND(L1421&gt;=TIME(9,0,0), L1421&lt;TIME(16,0,0)),"Morning",
  AND(L1421&gt;=TIME(16,0,0), L1421&lt;TIME(23,59,0)),"Evening",
  L1421&gt;=TIME(23,59,0),"Night",
  L1421&lt;TIME(9,0,0),"Night"
))</f>
        <v/>
      </c>
      <c r="O1421" t="str">
        <f t="shared" si="134"/>
        <v/>
      </c>
    </row>
    <row r="1422" spans="1:15" x14ac:dyDescent="0.25">
      <c r="A1422" s="49"/>
      <c r="G1422" t="str">
        <f t="shared" si="132"/>
        <v/>
      </c>
      <c r="H1422" s="13" t="str">
        <f t="shared" si="135"/>
        <v/>
      </c>
      <c r="I1422" t="str">
        <f>IFERROR(INDEX(Analysis!$D$116:$N$137, MATCH(B1422, Analysis!$C$116:$C$137, 0), MATCH(C1422, Analysis!$D$115:$N$115, 0)), "")</f>
        <v/>
      </c>
      <c r="J1422" t="str">
        <f t="shared" si="136"/>
        <v/>
      </c>
      <c r="K1422" s="28" t="str">
        <f t="shared" si="133"/>
        <v/>
      </c>
      <c r="L1422" s="46" t="str">
        <f t="shared" si="137"/>
        <v/>
      </c>
      <c r="M1422" t="str" cm="1">
        <f t="array" ref="M1422">IF(L1422="","",_xlfn.IFS(
  AND(L1422&gt;=TIME(9,0,0), L1422&lt;TIME(16,0,0)),"Morning",
  AND(L1422&gt;=TIME(16,0,0), L1422&lt;TIME(23,59,0)),"Evening",
  L1422&gt;=TIME(23,59,0),"Night",
  L1422&lt;TIME(9,0,0),"Night"
))</f>
        <v/>
      </c>
      <c r="O1422" t="str">
        <f t="shared" si="134"/>
        <v/>
      </c>
    </row>
    <row r="1423" spans="1:15" x14ac:dyDescent="0.25">
      <c r="A1423" s="49"/>
      <c r="G1423" t="str">
        <f t="shared" si="132"/>
        <v/>
      </c>
      <c r="H1423" s="13" t="str">
        <f t="shared" si="135"/>
        <v/>
      </c>
      <c r="I1423" t="str">
        <f>IFERROR(INDEX(Analysis!$D$116:$N$137, MATCH(B1423, Analysis!$C$116:$C$137, 0), MATCH(C1423, Analysis!$D$115:$N$115, 0)), "")</f>
        <v/>
      </c>
      <c r="J1423" t="str">
        <f t="shared" si="136"/>
        <v/>
      </c>
      <c r="K1423" s="28" t="str">
        <f t="shared" si="133"/>
        <v/>
      </c>
      <c r="L1423" s="46" t="str">
        <f t="shared" si="137"/>
        <v/>
      </c>
      <c r="M1423" t="str" cm="1">
        <f t="array" ref="M1423">IF(L1423="","",_xlfn.IFS(
  AND(L1423&gt;=TIME(9,0,0), L1423&lt;TIME(16,0,0)),"Morning",
  AND(L1423&gt;=TIME(16,0,0), L1423&lt;TIME(23,59,0)),"Evening",
  L1423&gt;=TIME(23,59,0),"Night",
  L1423&lt;TIME(9,0,0),"Night"
))</f>
        <v/>
      </c>
      <c r="O1423" t="str">
        <f t="shared" si="134"/>
        <v/>
      </c>
    </row>
    <row r="1424" spans="1:15" x14ac:dyDescent="0.25">
      <c r="A1424" s="49"/>
      <c r="G1424" t="str">
        <f t="shared" si="132"/>
        <v/>
      </c>
      <c r="H1424" s="13" t="str">
        <f t="shared" si="135"/>
        <v/>
      </c>
      <c r="I1424" t="str">
        <f>IFERROR(INDEX(Analysis!$D$116:$N$137, MATCH(B1424, Analysis!$C$116:$C$137, 0), MATCH(C1424, Analysis!$D$115:$N$115, 0)), "")</f>
        <v/>
      </c>
      <c r="J1424" t="str">
        <f t="shared" si="136"/>
        <v/>
      </c>
      <c r="K1424" s="28" t="str">
        <f t="shared" si="133"/>
        <v/>
      </c>
      <c r="L1424" s="46" t="str">
        <f t="shared" si="137"/>
        <v/>
      </c>
      <c r="M1424" t="str" cm="1">
        <f t="array" ref="M1424">IF(L1424="","",_xlfn.IFS(
  AND(L1424&gt;=TIME(9,0,0), L1424&lt;TIME(16,0,0)),"Morning",
  AND(L1424&gt;=TIME(16,0,0), L1424&lt;TIME(23,59,0)),"Evening",
  L1424&gt;=TIME(23,59,0),"Night",
  L1424&lt;TIME(9,0,0),"Night"
))</f>
        <v/>
      </c>
      <c r="O1424" t="str">
        <f t="shared" si="134"/>
        <v/>
      </c>
    </row>
    <row r="1425" spans="1:15" x14ac:dyDescent="0.25">
      <c r="A1425" s="49"/>
      <c r="G1425" t="str">
        <f t="shared" si="132"/>
        <v/>
      </c>
      <c r="H1425" s="13" t="str">
        <f t="shared" si="135"/>
        <v/>
      </c>
      <c r="I1425" t="str">
        <f>IFERROR(INDEX(Analysis!$D$116:$N$137, MATCH(B1425, Analysis!$C$116:$C$137, 0), MATCH(C1425, Analysis!$D$115:$N$115, 0)), "")</f>
        <v/>
      </c>
      <c r="J1425" t="str">
        <f t="shared" si="136"/>
        <v/>
      </c>
      <c r="K1425" s="28" t="str">
        <f t="shared" si="133"/>
        <v/>
      </c>
      <c r="L1425" s="46" t="str">
        <f t="shared" si="137"/>
        <v/>
      </c>
      <c r="M1425" t="str" cm="1">
        <f t="array" ref="M1425">IF(L1425="","",_xlfn.IFS(
  AND(L1425&gt;=TIME(9,0,0), L1425&lt;TIME(16,0,0)),"Morning",
  AND(L1425&gt;=TIME(16,0,0), L1425&lt;TIME(23,59,0)),"Evening",
  L1425&gt;=TIME(23,59,0),"Night",
  L1425&lt;TIME(9,0,0),"Night"
))</f>
        <v/>
      </c>
      <c r="O1425" t="str">
        <f t="shared" si="134"/>
        <v/>
      </c>
    </row>
    <row r="1426" spans="1:15" x14ac:dyDescent="0.25">
      <c r="A1426" s="49"/>
      <c r="G1426" t="str">
        <f t="shared" si="132"/>
        <v/>
      </c>
      <c r="H1426" s="13" t="str">
        <f t="shared" si="135"/>
        <v/>
      </c>
      <c r="I1426" t="str">
        <f>IFERROR(INDEX(Analysis!$D$116:$N$137, MATCH(B1426, Analysis!$C$116:$C$137, 0), MATCH(C1426, Analysis!$D$115:$N$115, 0)), "")</f>
        <v/>
      </c>
      <c r="J1426" t="str">
        <f t="shared" si="136"/>
        <v/>
      </c>
      <c r="K1426" s="28" t="str">
        <f t="shared" si="133"/>
        <v/>
      </c>
      <c r="L1426" s="46" t="str">
        <f t="shared" si="137"/>
        <v/>
      </c>
      <c r="M1426" t="str" cm="1">
        <f t="array" ref="M1426">IF(L1426="","",_xlfn.IFS(
  AND(L1426&gt;=TIME(9,0,0), L1426&lt;TIME(16,0,0)),"Morning",
  AND(L1426&gt;=TIME(16,0,0), L1426&lt;TIME(23,59,0)),"Evening",
  L1426&gt;=TIME(23,59,0),"Night",
  L1426&lt;TIME(9,0,0),"Night"
))</f>
        <v/>
      </c>
      <c r="O1426" t="str">
        <f t="shared" si="134"/>
        <v/>
      </c>
    </row>
    <row r="1427" spans="1:15" x14ac:dyDescent="0.25">
      <c r="A1427" s="49"/>
      <c r="G1427" t="str">
        <f t="shared" si="132"/>
        <v/>
      </c>
      <c r="H1427" s="13" t="str">
        <f t="shared" si="135"/>
        <v/>
      </c>
      <c r="I1427" t="str">
        <f>IFERROR(INDEX(Analysis!$D$116:$N$137, MATCH(B1427, Analysis!$C$116:$C$137, 0), MATCH(C1427, Analysis!$D$115:$N$115, 0)), "")</f>
        <v/>
      </c>
      <c r="J1427" t="str">
        <f t="shared" si="136"/>
        <v/>
      </c>
      <c r="K1427" s="28" t="str">
        <f t="shared" si="133"/>
        <v/>
      </c>
      <c r="L1427" s="46" t="str">
        <f t="shared" si="137"/>
        <v/>
      </c>
      <c r="M1427" t="str" cm="1">
        <f t="array" ref="M1427">IF(L1427="","",_xlfn.IFS(
  AND(L1427&gt;=TIME(9,0,0), L1427&lt;TIME(16,0,0)),"Morning",
  AND(L1427&gt;=TIME(16,0,0), L1427&lt;TIME(23,59,0)),"Evening",
  L1427&gt;=TIME(23,59,0),"Night",
  L1427&lt;TIME(9,0,0),"Night"
))</f>
        <v/>
      </c>
      <c r="O1427" t="str">
        <f t="shared" si="134"/>
        <v/>
      </c>
    </row>
    <row r="1428" spans="1:15" x14ac:dyDescent="0.25">
      <c r="A1428" s="49"/>
      <c r="G1428" t="str">
        <f t="shared" si="132"/>
        <v/>
      </c>
      <c r="H1428" s="13" t="str">
        <f t="shared" si="135"/>
        <v/>
      </c>
      <c r="I1428" t="str">
        <f>IFERROR(INDEX(Analysis!$D$116:$N$137, MATCH(B1428, Analysis!$C$116:$C$137, 0), MATCH(C1428, Analysis!$D$115:$N$115, 0)), "")</f>
        <v/>
      </c>
      <c r="J1428" t="str">
        <f t="shared" si="136"/>
        <v/>
      </c>
      <c r="K1428" s="28" t="str">
        <f t="shared" si="133"/>
        <v/>
      </c>
      <c r="L1428" s="46" t="str">
        <f t="shared" si="137"/>
        <v/>
      </c>
      <c r="M1428" t="str" cm="1">
        <f t="array" ref="M1428">IF(L1428="","",_xlfn.IFS(
  AND(L1428&gt;=TIME(9,0,0), L1428&lt;TIME(16,0,0)),"Morning",
  AND(L1428&gt;=TIME(16,0,0), L1428&lt;TIME(23,59,0)),"Evening",
  L1428&gt;=TIME(23,59,0),"Night",
  L1428&lt;TIME(9,0,0),"Night"
))</f>
        <v/>
      </c>
      <c r="O1428" t="str">
        <f t="shared" si="134"/>
        <v/>
      </c>
    </row>
    <row r="1429" spans="1:15" x14ac:dyDescent="0.25">
      <c r="A1429" s="49"/>
      <c r="G1429" t="str">
        <f t="shared" si="132"/>
        <v/>
      </c>
      <c r="H1429" s="13" t="str">
        <f t="shared" si="135"/>
        <v/>
      </c>
      <c r="I1429" t="str">
        <f>IFERROR(INDEX(Analysis!$D$116:$N$137, MATCH(B1429, Analysis!$C$116:$C$137, 0), MATCH(C1429, Analysis!$D$115:$N$115, 0)), "")</f>
        <v/>
      </c>
      <c r="J1429" t="str">
        <f t="shared" si="136"/>
        <v/>
      </c>
      <c r="K1429" s="28" t="str">
        <f t="shared" si="133"/>
        <v/>
      </c>
      <c r="L1429" s="46" t="str">
        <f t="shared" si="137"/>
        <v/>
      </c>
      <c r="M1429" t="str" cm="1">
        <f t="array" ref="M1429">IF(L1429="","",_xlfn.IFS(
  AND(L1429&gt;=TIME(9,0,0), L1429&lt;TIME(16,0,0)),"Morning",
  AND(L1429&gt;=TIME(16,0,0), L1429&lt;TIME(23,59,0)),"Evening",
  L1429&gt;=TIME(23,59,0),"Night",
  L1429&lt;TIME(9,0,0),"Night"
))</f>
        <v/>
      </c>
      <c r="O1429" t="str">
        <f t="shared" si="134"/>
        <v/>
      </c>
    </row>
    <row r="1430" spans="1:15" x14ac:dyDescent="0.25">
      <c r="A1430" s="49"/>
      <c r="G1430" t="str">
        <f t="shared" si="132"/>
        <v/>
      </c>
      <c r="H1430" s="13" t="str">
        <f t="shared" si="135"/>
        <v/>
      </c>
      <c r="I1430" t="str">
        <f>IFERROR(INDEX(Analysis!$D$116:$N$137, MATCH(B1430, Analysis!$C$116:$C$137, 0), MATCH(C1430, Analysis!$D$115:$N$115, 0)), "")</f>
        <v/>
      </c>
      <c r="J1430" t="str">
        <f t="shared" si="136"/>
        <v/>
      </c>
      <c r="K1430" s="28" t="str">
        <f t="shared" si="133"/>
        <v/>
      </c>
      <c r="L1430" s="46" t="str">
        <f t="shared" si="137"/>
        <v/>
      </c>
      <c r="M1430" t="str" cm="1">
        <f t="array" ref="M1430">IF(L1430="","",_xlfn.IFS(
  AND(L1430&gt;=TIME(9,0,0), L1430&lt;TIME(16,0,0)),"Morning",
  AND(L1430&gt;=TIME(16,0,0), L1430&lt;TIME(23,59,0)),"Evening",
  L1430&gt;=TIME(23,59,0),"Night",
  L1430&lt;TIME(9,0,0),"Night"
))</f>
        <v/>
      </c>
      <c r="O1430" t="str">
        <f t="shared" si="134"/>
        <v/>
      </c>
    </row>
    <row r="1431" spans="1:15" x14ac:dyDescent="0.25">
      <c r="A1431" s="49"/>
      <c r="G1431" t="str">
        <f t="shared" si="132"/>
        <v/>
      </c>
      <c r="H1431" s="13" t="str">
        <f t="shared" si="135"/>
        <v/>
      </c>
      <c r="I1431" t="str">
        <f>IFERROR(INDEX(Analysis!$D$116:$N$137, MATCH(B1431, Analysis!$C$116:$C$137, 0), MATCH(C1431, Analysis!$D$115:$N$115, 0)), "")</f>
        <v/>
      </c>
      <c r="J1431" t="str">
        <f t="shared" si="136"/>
        <v/>
      </c>
      <c r="K1431" s="28" t="str">
        <f t="shared" si="133"/>
        <v/>
      </c>
      <c r="L1431" s="46" t="str">
        <f t="shared" si="137"/>
        <v/>
      </c>
      <c r="M1431" t="str" cm="1">
        <f t="array" ref="M1431">IF(L1431="","",_xlfn.IFS(
  AND(L1431&gt;=TIME(9,0,0), L1431&lt;TIME(16,0,0)),"Morning",
  AND(L1431&gt;=TIME(16,0,0), L1431&lt;TIME(23,59,0)),"Evening",
  L1431&gt;=TIME(23,59,0),"Night",
  L1431&lt;TIME(9,0,0),"Night"
))</f>
        <v/>
      </c>
      <c r="O1431" t="str">
        <f t="shared" si="134"/>
        <v/>
      </c>
    </row>
    <row r="1432" spans="1:15" x14ac:dyDescent="0.25">
      <c r="A1432" s="49"/>
      <c r="G1432" t="str">
        <f t="shared" si="132"/>
        <v/>
      </c>
      <c r="H1432" s="13" t="str">
        <f t="shared" si="135"/>
        <v/>
      </c>
      <c r="I1432" t="str">
        <f>IFERROR(INDEX(Analysis!$D$116:$N$137, MATCH(B1432, Analysis!$C$116:$C$137, 0), MATCH(C1432, Analysis!$D$115:$N$115, 0)), "")</f>
        <v/>
      </c>
      <c r="J1432" t="str">
        <f t="shared" si="136"/>
        <v/>
      </c>
      <c r="K1432" s="28" t="str">
        <f t="shared" si="133"/>
        <v/>
      </c>
      <c r="L1432" s="46" t="str">
        <f t="shared" si="137"/>
        <v/>
      </c>
      <c r="M1432" t="str" cm="1">
        <f t="array" ref="M1432">IF(L1432="","",_xlfn.IFS(
  AND(L1432&gt;=TIME(9,0,0), L1432&lt;TIME(16,0,0)),"Morning",
  AND(L1432&gt;=TIME(16,0,0), L1432&lt;TIME(23,59,0)),"Evening",
  L1432&gt;=TIME(23,59,0),"Night",
  L1432&lt;TIME(9,0,0),"Night"
))</f>
        <v/>
      </c>
      <c r="O1432" t="str">
        <f t="shared" si="134"/>
        <v/>
      </c>
    </row>
    <row r="1433" spans="1:15" x14ac:dyDescent="0.25">
      <c r="A1433" s="49"/>
      <c r="G1433" t="str">
        <f t="shared" si="132"/>
        <v/>
      </c>
      <c r="H1433" s="13" t="str">
        <f t="shared" si="135"/>
        <v/>
      </c>
      <c r="I1433" t="str">
        <f>IFERROR(INDEX(Analysis!$D$116:$N$137, MATCH(B1433, Analysis!$C$116:$C$137, 0), MATCH(C1433, Analysis!$D$115:$N$115, 0)), "")</f>
        <v/>
      </c>
      <c r="J1433" t="str">
        <f t="shared" si="136"/>
        <v/>
      </c>
      <c r="K1433" s="28" t="str">
        <f t="shared" si="133"/>
        <v/>
      </c>
      <c r="L1433" s="46" t="str">
        <f t="shared" si="137"/>
        <v/>
      </c>
      <c r="M1433" t="str" cm="1">
        <f t="array" ref="M1433">IF(L1433="","",_xlfn.IFS(
  AND(L1433&gt;=TIME(9,0,0), L1433&lt;TIME(16,0,0)),"Morning",
  AND(L1433&gt;=TIME(16,0,0), L1433&lt;TIME(23,59,0)),"Evening",
  L1433&gt;=TIME(23,59,0),"Night",
  L1433&lt;TIME(9,0,0),"Night"
))</f>
        <v/>
      </c>
      <c r="O1433" t="str">
        <f t="shared" si="134"/>
        <v/>
      </c>
    </row>
    <row r="1434" spans="1:15" x14ac:dyDescent="0.25">
      <c r="A1434" s="49"/>
      <c r="G1434" t="str">
        <f t="shared" si="132"/>
        <v/>
      </c>
      <c r="H1434" s="13" t="str">
        <f t="shared" si="135"/>
        <v/>
      </c>
      <c r="I1434" t="str">
        <f>IFERROR(INDEX(Analysis!$D$116:$N$137, MATCH(B1434, Analysis!$C$116:$C$137, 0), MATCH(C1434, Analysis!$D$115:$N$115, 0)), "")</f>
        <v/>
      </c>
      <c r="J1434" t="str">
        <f t="shared" si="136"/>
        <v/>
      </c>
      <c r="K1434" s="28" t="str">
        <f t="shared" si="133"/>
        <v/>
      </c>
      <c r="L1434" s="46" t="str">
        <f t="shared" si="137"/>
        <v/>
      </c>
      <c r="M1434" t="str" cm="1">
        <f t="array" ref="M1434">IF(L1434="","",_xlfn.IFS(
  AND(L1434&gt;=TIME(9,0,0), L1434&lt;TIME(16,0,0)),"Morning",
  AND(L1434&gt;=TIME(16,0,0), L1434&lt;TIME(23,59,0)),"Evening",
  L1434&gt;=TIME(23,59,0),"Night",
  L1434&lt;TIME(9,0,0),"Night"
))</f>
        <v/>
      </c>
      <c r="O1434" t="str">
        <f t="shared" si="134"/>
        <v/>
      </c>
    </row>
    <row r="1435" spans="1:15" x14ac:dyDescent="0.25">
      <c r="A1435" s="49"/>
      <c r="G1435" t="str">
        <f t="shared" si="132"/>
        <v/>
      </c>
      <c r="H1435" s="13" t="str">
        <f t="shared" si="135"/>
        <v/>
      </c>
      <c r="I1435" t="str">
        <f>IFERROR(INDEX(Analysis!$D$116:$N$137, MATCH(B1435, Analysis!$C$116:$C$137, 0), MATCH(C1435, Analysis!$D$115:$N$115, 0)), "")</f>
        <v/>
      </c>
      <c r="J1435" t="str">
        <f t="shared" si="136"/>
        <v/>
      </c>
      <c r="K1435" s="28" t="str">
        <f t="shared" si="133"/>
        <v/>
      </c>
      <c r="L1435" s="46" t="str">
        <f t="shared" si="137"/>
        <v/>
      </c>
      <c r="M1435" t="str" cm="1">
        <f t="array" ref="M1435">IF(L1435="","",_xlfn.IFS(
  AND(L1435&gt;=TIME(9,0,0), L1435&lt;TIME(16,0,0)),"Morning",
  AND(L1435&gt;=TIME(16,0,0), L1435&lt;TIME(23,59,0)),"Evening",
  L1435&gt;=TIME(23,59,0),"Night",
  L1435&lt;TIME(9,0,0),"Night"
))</f>
        <v/>
      </c>
      <c r="O1435" t="str">
        <f t="shared" si="134"/>
        <v/>
      </c>
    </row>
    <row r="1436" spans="1:15" x14ac:dyDescent="0.25">
      <c r="A1436" s="49"/>
      <c r="G1436" t="str">
        <f t="shared" si="132"/>
        <v/>
      </c>
      <c r="H1436" s="13" t="str">
        <f t="shared" si="135"/>
        <v/>
      </c>
      <c r="I1436" t="str">
        <f>IFERROR(INDEX(Analysis!$D$116:$N$137, MATCH(B1436, Analysis!$C$116:$C$137, 0), MATCH(C1436, Analysis!$D$115:$N$115, 0)), "")</f>
        <v/>
      </c>
      <c r="J1436" t="str">
        <f t="shared" si="136"/>
        <v/>
      </c>
      <c r="K1436" s="28" t="str">
        <f t="shared" si="133"/>
        <v/>
      </c>
      <c r="L1436" s="46" t="str">
        <f t="shared" si="137"/>
        <v/>
      </c>
      <c r="M1436" t="str" cm="1">
        <f t="array" ref="M1436">IF(L1436="","",_xlfn.IFS(
  AND(L1436&gt;=TIME(9,0,0), L1436&lt;TIME(16,0,0)),"Morning",
  AND(L1436&gt;=TIME(16,0,0), L1436&lt;TIME(23,59,0)),"Evening",
  L1436&gt;=TIME(23,59,0),"Night",
  L1436&lt;TIME(9,0,0),"Night"
))</f>
        <v/>
      </c>
      <c r="O1436" t="str">
        <f t="shared" si="134"/>
        <v/>
      </c>
    </row>
    <row r="1437" spans="1:15" x14ac:dyDescent="0.25">
      <c r="A1437" s="49"/>
      <c r="G1437" t="str">
        <f t="shared" si="132"/>
        <v/>
      </c>
      <c r="H1437" s="13" t="str">
        <f t="shared" si="135"/>
        <v/>
      </c>
      <c r="I1437" t="str">
        <f>IFERROR(INDEX(Analysis!$D$116:$N$137, MATCH(B1437, Analysis!$C$116:$C$137, 0), MATCH(C1437, Analysis!$D$115:$N$115, 0)), "")</f>
        <v/>
      </c>
      <c r="J1437" t="str">
        <f t="shared" si="136"/>
        <v/>
      </c>
      <c r="K1437" s="28" t="str">
        <f t="shared" si="133"/>
        <v/>
      </c>
      <c r="L1437" s="46" t="str">
        <f t="shared" si="137"/>
        <v/>
      </c>
      <c r="M1437" t="str" cm="1">
        <f t="array" ref="M1437">IF(L1437="","",_xlfn.IFS(
  AND(L1437&gt;=TIME(9,0,0), L1437&lt;TIME(16,0,0)),"Morning",
  AND(L1437&gt;=TIME(16,0,0), L1437&lt;TIME(23,59,0)),"Evening",
  L1437&gt;=TIME(23,59,0),"Night",
  L1437&lt;TIME(9,0,0),"Night"
))</f>
        <v/>
      </c>
      <c r="O1437" t="str">
        <f t="shared" si="134"/>
        <v/>
      </c>
    </row>
    <row r="1438" spans="1:15" x14ac:dyDescent="0.25">
      <c r="A1438" s="49"/>
      <c r="G1438" t="str">
        <f t="shared" si="132"/>
        <v/>
      </c>
      <c r="H1438" s="13" t="str">
        <f t="shared" si="135"/>
        <v/>
      </c>
      <c r="I1438" t="str">
        <f>IFERROR(INDEX(Analysis!$D$116:$N$137, MATCH(B1438, Analysis!$C$116:$C$137, 0), MATCH(C1438, Analysis!$D$115:$N$115, 0)), "")</f>
        <v/>
      </c>
      <c r="J1438" t="str">
        <f t="shared" si="136"/>
        <v/>
      </c>
      <c r="K1438" s="28" t="str">
        <f t="shared" si="133"/>
        <v/>
      </c>
      <c r="L1438" s="46" t="str">
        <f t="shared" si="137"/>
        <v/>
      </c>
      <c r="M1438" t="str" cm="1">
        <f t="array" ref="M1438">IF(L1438="","",_xlfn.IFS(
  AND(L1438&gt;=TIME(9,0,0), L1438&lt;TIME(16,0,0)),"Morning",
  AND(L1438&gt;=TIME(16,0,0), L1438&lt;TIME(23,59,0)),"Evening",
  L1438&gt;=TIME(23,59,0),"Night",
  L1438&lt;TIME(9,0,0),"Night"
))</f>
        <v/>
      </c>
      <c r="O1438" t="str">
        <f t="shared" si="134"/>
        <v/>
      </c>
    </row>
    <row r="1439" spans="1:15" x14ac:dyDescent="0.25">
      <c r="A1439" s="49"/>
      <c r="G1439" t="str">
        <f t="shared" si="132"/>
        <v/>
      </c>
      <c r="H1439" s="13" t="str">
        <f t="shared" si="135"/>
        <v/>
      </c>
      <c r="I1439" t="str">
        <f>IFERROR(INDEX(Analysis!$D$116:$N$137, MATCH(B1439, Analysis!$C$116:$C$137, 0), MATCH(C1439, Analysis!$D$115:$N$115, 0)), "")</f>
        <v/>
      </c>
      <c r="J1439" t="str">
        <f t="shared" si="136"/>
        <v/>
      </c>
      <c r="K1439" s="28" t="str">
        <f t="shared" si="133"/>
        <v/>
      </c>
      <c r="L1439" s="46" t="str">
        <f t="shared" si="137"/>
        <v/>
      </c>
      <c r="M1439" t="str" cm="1">
        <f t="array" ref="M1439">IF(L1439="","",_xlfn.IFS(
  AND(L1439&gt;=TIME(9,0,0), L1439&lt;TIME(16,0,0)),"Morning",
  AND(L1439&gt;=TIME(16,0,0), L1439&lt;TIME(23,59,0)),"Evening",
  L1439&gt;=TIME(23,59,0),"Night",
  L1439&lt;TIME(9,0,0),"Night"
))</f>
        <v/>
      </c>
      <c r="O1439" t="str">
        <f t="shared" si="134"/>
        <v/>
      </c>
    </row>
    <row r="1440" spans="1:15" x14ac:dyDescent="0.25">
      <c r="A1440" s="49"/>
      <c r="G1440" t="str">
        <f t="shared" si="132"/>
        <v/>
      </c>
      <c r="H1440" s="13" t="str">
        <f t="shared" si="135"/>
        <v/>
      </c>
      <c r="I1440" t="str">
        <f>IFERROR(INDEX(Analysis!$D$116:$N$137, MATCH(B1440, Analysis!$C$116:$C$137, 0), MATCH(C1440, Analysis!$D$115:$N$115, 0)), "")</f>
        <v/>
      </c>
      <c r="J1440" t="str">
        <f t="shared" si="136"/>
        <v/>
      </c>
      <c r="K1440" s="28" t="str">
        <f t="shared" si="133"/>
        <v/>
      </c>
      <c r="L1440" s="46" t="str">
        <f t="shared" si="137"/>
        <v/>
      </c>
      <c r="M1440" t="str" cm="1">
        <f t="array" ref="M1440">IF(L1440="","",_xlfn.IFS(
  AND(L1440&gt;=TIME(9,0,0), L1440&lt;TIME(16,0,0)),"Morning",
  AND(L1440&gt;=TIME(16,0,0), L1440&lt;TIME(23,59,0)),"Evening",
  L1440&gt;=TIME(23,59,0),"Night",
  L1440&lt;TIME(9,0,0),"Night"
))</f>
        <v/>
      </c>
      <c r="O1440" t="str">
        <f t="shared" si="134"/>
        <v/>
      </c>
    </row>
    <row r="1441" spans="1:15" x14ac:dyDescent="0.25">
      <c r="A1441" s="49"/>
      <c r="G1441" t="str">
        <f t="shared" si="132"/>
        <v/>
      </c>
      <c r="H1441" s="13" t="str">
        <f t="shared" si="135"/>
        <v/>
      </c>
      <c r="I1441" t="str">
        <f>IFERROR(INDEX(Analysis!$D$116:$N$137, MATCH(B1441, Analysis!$C$116:$C$137, 0), MATCH(C1441, Analysis!$D$115:$N$115, 0)), "")</f>
        <v/>
      </c>
      <c r="J1441" t="str">
        <f t="shared" si="136"/>
        <v/>
      </c>
      <c r="K1441" s="28" t="str">
        <f t="shared" si="133"/>
        <v/>
      </c>
      <c r="L1441" s="46" t="str">
        <f t="shared" si="137"/>
        <v/>
      </c>
      <c r="M1441" t="str" cm="1">
        <f t="array" ref="M1441">IF(L1441="","",_xlfn.IFS(
  AND(L1441&gt;=TIME(9,0,0), L1441&lt;TIME(16,0,0)),"Morning",
  AND(L1441&gt;=TIME(16,0,0), L1441&lt;TIME(23,59,0)),"Evening",
  L1441&gt;=TIME(23,59,0),"Night",
  L1441&lt;TIME(9,0,0),"Night"
))</f>
        <v/>
      </c>
      <c r="O1441" t="str">
        <f t="shared" si="134"/>
        <v/>
      </c>
    </row>
    <row r="1442" spans="1:15" x14ac:dyDescent="0.25">
      <c r="A1442" s="49"/>
      <c r="G1442" t="str">
        <f t="shared" si="132"/>
        <v/>
      </c>
      <c r="H1442" s="13" t="str">
        <f t="shared" si="135"/>
        <v/>
      </c>
      <c r="I1442" t="str">
        <f>IFERROR(INDEX(Analysis!$D$116:$N$137, MATCH(B1442, Analysis!$C$116:$C$137, 0), MATCH(C1442, Analysis!$D$115:$N$115, 0)), "")</f>
        <v/>
      </c>
      <c r="J1442" t="str">
        <f t="shared" si="136"/>
        <v/>
      </c>
      <c r="K1442" s="28" t="str">
        <f t="shared" si="133"/>
        <v/>
      </c>
      <c r="L1442" s="46" t="str">
        <f t="shared" si="137"/>
        <v/>
      </c>
      <c r="M1442" t="str" cm="1">
        <f t="array" ref="M1442">IF(L1442="","",_xlfn.IFS(
  AND(L1442&gt;=TIME(9,0,0), L1442&lt;TIME(16,0,0)),"Morning",
  AND(L1442&gt;=TIME(16,0,0), L1442&lt;TIME(23,59,0)),"Evening",
  L1442&gt;=TIME(23,59,0),"Night",
  L1442&lt;TIME(9,0,0),"Night"
))</f>
        <v/>
      </c>
      <c r="O1442" t="str">
        <f t="shared" si="134"/>
        <v/>
      </c>
    </row>
    <row r="1443" spans="1:15" x14ac:dyDescent="0.25">
      <c r="A1443" s="49"/>
      <c r="G1443" t="str">
        <f t="shared" si="132"/>
        <v/>
      </c>
      <c r="H1443" s="13" t="str">
        <f t="shared" si="135"/>
        <v/>
      </c>
      <c r="I1443" t="str">
        <f>IFERROR(INDEX(Analysis!$D$116:$N$137, MATCH(B1443, Analysis!$C$116:$C$137, 0), MATCH(C1443, Analysis!$D$115:$N$115, 0)), "")</f>
        <v/>
      </c>
      <c r="J1443" t="str">
        <f t="shared" si="136"/>
        <v/>
      </c>
      <c r="K1443" s="28" t="str">
        <f t="shared" si="133"/>
        <v/>
      </c>
      <c r="L1443" s="46" t="str">
        <f t="shared" si="137"/>
        <v/>
      </c>
      <c r="M1443" t="str" cm="1">
        <f t="array" ref="M1443">IF(L1443="","",_xlfn.IFS(
  AND(L1443&gt;=TIME(9,0,0), L1443&lt;TIME(16,0,0)),"Morning",
  AND(L1443&gt;=TIME(16,0,0), L1443&lt;TIME(23,59,0)),"Evening",
  L1443&gt;=TIME(23,59,0),"Night",
  L1443&lt;TIME(9,0,0),"Night"
))</f>
        <v/>
      </c>
      <c r="O1443" t="str">
        <f t="shared" si="134"/>
        <v/>
      </c>
    </row>
    <row r="1444" spans="1:15" x14ac:dyDescent="0.25">
      <c r="A1444" s="49"/>
      <c r="G1444" t="str">
        <f t="shared" si="132"/>
        <v/>
      </c>
      <c r="H1444" s="13" t="str">
        <f t="shared" si="135"/>
        <v/>
      </c>
      <c r="I1444" t="str">
        <f>IFERROR(INDEX(Analysis!$D$116:$N$137, MATCH(B1444, Analysis!$C$116:$C$137, 0), MATCH(C1444, Analysis!$D$115:$N$115, 0)), "")</f>
        <v/>
      </c>
      <c r="J1444" t="str">
        <f t="shared" si="136"/>
        <v/>
      </c>
      <c r="K1444" s="28" t="str">
        <f t="shared" si="133"/>
        <v/>
      </c>
      <c r="L1444" s="46" t="str">
        <f t="shared" si="137"/>
        <v/>
      </c>
      <c r="M1444" t="str" cm="1">
        <f t="array" ref="M1444">IF(L1444="","",_xlfn.IFS(
  AND(L1444&gt;=TIME(9,0,0), L1444&lt;TIME(16,0,0)),"Morning",
  AND(L1444&gt;=TIME(16,0,0), L1444&lt;TIME(23,59,0)),"Evening",
  L1444&gt;=TIME(23,59,0),"Night",
  L1444&lt;TIME(9,0,0),"Night"
))</f>
        <v/>
      </c>
      <c r="O1444" t="str">
        <f t="shared" si="134"/>
        <v/>
      </c>
    </row>
    <row r="1445" spans="1:15" x14ac:dyDescent="0.25">
      <c r="A1445" s="49"/>
      <c r="G1445" t="str">
        <f t="shared" si="132"/>
        <v/>
      </c>
      <c r="H1445" s="13" t="str">
        <f t="shared" si="135"/>
        <v/>
      </c>
      <c r="I1445" t="str">
        <f>IFERROR(INDEX(Analysis!$D$116:$N$137, MATCH(B1445, Analysis!$C$116:$C$137, 0), MATCH(C1445, Analysis!$D$115:$N$115, 0)), "")</f>
        <v/>
      </c>
      <c r="J1445" t="str">
        <f t="shared" si="136"/>
        <v/>
      </c>
      <c r="K1445" s="28" t="str">
        <f t="shared" si="133"/>
        <v/>
      </c>
      <c r="L1445" s="46" t="str">
        <f t="shared" si="137"/>
        <v/>
      </c>
      <c r="M1445" t="str" cm="1">
        <f t="array" ref="M1445">IF(L1445="","",_xlfn.IFS(
  AND(L1445&gt;=TIME(9,0,0), L1445&lt;TIME(16,0,0)),"Morning",
  AND(L1445&gt;=TIME(16,0,0), L1445&lt;TIME(23,59,0)),"Evening",
  L1445&gt;=TIME(23,59,0),"Night",
  L1445&lt;TIME(9,0,0),"Night"
))</f>
        <v/>
      </c>
      <c r="O1445" t="str">
        <f t="shared" si="134"/>
        <v/>
      </c>
    </row>
    <row r="1446" spans="1:15" x14ac:dyDescent="0.25">
      <c r="A1446" s="49"/>
      <c r="G1446" t="str">
        <f t="shared" si="132"/>
        <v/>
      </c>
      <c r="H1446" s="13" t="str">
        <f t="shared" si="135"/>
        <v/>
      </c>
      <c r="I1446" t="str">
        <f>IFERROR(INDEX(Analysis!$D$116:$N$137, MATCH(B1446, Analysis!$C$116:$C$137, 0), MATCH(C1446, Analysis!$D$115:$N$115, 0)), "")</f>
        <v/>
      </c>
      <c r="J1446" t="str">
        <f t="shared" si="136"/>
        <v/>
      </c>
      <c r="K1446" s="28" t="str">
        <f t="shared" si="133"/>
        <v/>
      </c>
      <c r="L1446" s="46" t="str">
        <f t="shared" si="137"/>
        <v/>
      </c>
      <c r="M1446" t="str" cm="1">
        <f t="array" ref="M1446">IF(L1446="","",_xlfn.IFS(
  AND(L1446&gt;=TIME(9,0,0), L1446&lt;TIME(16,0,0)),"Morning",
  AND(L1446&gt;=TIME(16,0,0), L1446&lt;TIME(23,59,0)),"Evening",
  L1446&gt;=TIME(23,59,0),"Night",
  L1446&lt;TIME(9,0,0),"Night"
))</f>
        <v/>
      </c>
      <c r="O1446" t="str">
        <f t="shared" si="134"/>
        <v/>
      </c>
    </row>
    <row r="1447" spans="1:15" x14ac:dyDescent="0.25">
      <c r="A1447" s="49"/>
      <c r="G1447" t="str">
        <f t="shared" si="132"/>
        <v/>
      </c>
      <c r="H1447" s="13" t="str">
        <f t="shared" si="135"/>
        <v/>
      </c>
      <c r="I1447" t="str">
        <f>IFERROR(INDEX(Analysis!$D$116:$N$137, MATCH(B1447, Analysis!$C$116:$C$137, 0), MATCH(C1447, Analysis!$D$115:$N$115, 0)), "")</f>
        <v/>
      </c>
      <c r="J1447" t="str">
        <f t="shared" si="136"/>
        <v/>
      </c>
      <c r="K1447" s="28" t="str">
        <f t="shared" si="133"/>
        <v/>
      </c>
      <c r="L1447" s="46" t="str">
        <f t="shared" si="137"/>
        <v/>
      </c>
      <c r="M1447" t="str" cm="1">
        <f t="array" ref="M1447">IF(L1447="","",_xlfn.IFS(
  AND(L1447&gt;=TIME(9,0,0), L1447&lt;TIME(16,0,0)),"Morning",
  AND(L1447&gt;=TIME(16,0,0), L1447&lt;TIME(23,59,0)),"Evening",
  L1447&gt;=TIME(23,59,0),"Night",
  L1447&lt;TIME(9,0,0),"Night"
))</f>
        <v/>
      </c>
      <c r="O1447" t="str">
        <f t="shared" si="134"/>
        <v/>
      </c>
    </row>
    <row r="1448" spans="1:15" x14ac:dyDescent="0.25">
      <c r="A1448" s="49"/>
      <c r="G1448" t="str">
        <f t="shared" si="132"/>
        <v/>
      </c>
      <c r="H1448" s="13" t="str">
        <f t="shared" si="135"/>
        <v/>
      </c>
      <c r="I1448" t="str">
        <f>IFERROR(INDEX(Analysis!$D$116:$N$137, MATCH(B1448, Analysis!$C$116:$C$137, 0), MATCH(C1448, Analysis!$D$115:$N$115, 0)), "")</f>
        <v/>
      </c>
      <c r="J1448" t="str">
        <f t="shared" si="136"/>
        <v/>
      </c>
      <c r="K1448" s="28" t="str">
        <f t="shared" si="133"/>
        <v/>
      </c>
      <c r="L1448" s="46" t="str">
        <f t="shared" si="137"/>
        <v/>
      </c>
      <c r="M1448" t="str" cm="1">
        <f t="array" ref="M1448">IF(L1448="","",_xlfn.IFS(
  AND(L1448&gt;=TIME(9,0,0), L1448&lt;TIME(16,0,0)),"Morning",
  AND(L1448&gt;=TIME(16,0,0), L1448&lt;TIME(23,59,0)),"Evening",
  L1448&gt;=TIME(23,59,0),"Night",
  L1448&lt;TIME(9,0,0),"Night"
))</f>
        <v/>
      </c>
      <c r="O1448" t="str">
        <f t="shared" si="134"/>
        <v/>
      </c>
    </row>
    <row r="1449" spans="1:15" x14ac:dyDescent="0.25">
      <c r="A1449" s="49"/>
      <c r="G1449" t="str">
        <f t="shared" si="132"/>
        <v/>
      </c>
      <c r="H1449" s="13" t="str">
        <f t="shared" si="135"/>
        <v/>
      </c>
      <c r="I1449" t="str">
        <f>IFERROR(INDEX(Analysis!$D$116:$N$137, MATCH(B1449, Analysis!$C$116:$C$137, 0), MATCH(C1449, Analysis!$D$115:$N$115, 0)), "")</f>
        <v/>
      </c>
      <c r="J1449" t="str">
        <f t="shared" si="136"/>
        <v/>
      </c>
      <c r="K1449" s="28" t="str">
        <f t="shared" si="133"/>
        <v/>
      </c>
      <c r="L1449" s="46" t="str">
        <f t="shared" si="137"/>
        <v/>
      </c>
      <c r="M1449" t="str" cm="1">
        <f t="array" ref="M1449">IF(L1449="","",_xlfn.IFS(
  AND(L1449&gt;=TIME(9,0,0), L1449&lt;TIME(16,0,0)),"Morning",
  AND(L1449&gt;=TIME(16,0,0), L1449&lt;TIME(23,59,0)),"Evening",
  L1449&gt;=TIME(23,59,0),"Night",
  L1449&lt;TIME(9,0,0),"Night"
))</f>
        <v/>
      </c>
      <c r="O1449" t="str">
        <f t="shared" si="134"/>
        <v/>
      </c>
    </row>
    <row r="1450" spans="1:15" x14ac:dyDescent="0.25">
      <c r="A1450" s="49"/>
      <c r="G1450" t="str">
        <f t="shared" si="132"/>
        <v/>
      </c>
      <c r="H1450" s="13" t="str">
        <f t="shared" si="135"/>
        <v/>
      </c>
      <c r="I1450" t="str">
        <f>IFERROR(INDEX(Analysis!$D$116:$N$137, MATCH(B1450, Analysis!$C$116:$C$137, 0), MATCH(C1450, Analysis!$D$115:$N$115, 0)), "")</f>
        <v/>
      </c>
      <c r="J1450" t="str">
        <f t="shared" si="136"/>
        <v/>
      </c>
      <c r="K1450" s="28" t="str">
        <f t="shared" si="133"/>
        <v/>
      </c>
      <c r="L1450" s="46" t="str">
        <f t="shared" si="137"/>
        <v/>
      </c>
      <c r="M1450" t="str" cm="1">
        <f t="array" ref="M1450">IF(L1450="","",_xlfn.IFS(
  AND(L1450&gt;=TIME(9,0,0), L1450&lt;TIME(16,0,0)),"Morning",
  AND(L1450&gt;=TIME(16,0,0), L1450&lt;TIME(23,59,0)),"Evening",
  L1450&gt;=TIME(23,59,0),"Night",
  L1450&lt;TIME(9,0,0),"Night"
))</f>
        <v/>
      </c>
      <c r="O1450" t="str">
        <f t="shared" si="134"/>
        <v/>
      </c>
    </row>
    <row r="1451" spans="1:15" x14ac:dyDescent="0.25">
      <c r="A1451" s="49"/>
      <c r="G1451" t="str">
        <f t="shared" si="132"/>
        <v/>
      </c>
      <c r="H1451" s="13" t="str">
        <f t="shared" si="135"/>
        <v/>
      </c>
      <c r="I1451" t="str">
        <f>IFERROR(INDEX(Analysis!$D$116:$N$137, MATCH(B1451, Analysis!$C$116:$C$137, 0), MATCH(C1451, Analysis!$D$115:$N$115, 0)), "")</f>
        <v/>
      </c>
      <c r="J1451" t="str">
        <f t="shared" si="136"/>
        <v/>
      </c>
      <c r="K1451" s="28" t="str">
        <f t="shared" si="133"/>
        <v/>
      </c>
      <c r="L1451" s="46" t="str">
        <f t="shared" si="137"/>
        <v/>
      </c>
      <c r="M1451" t="str" cm="1">
        <f t="array" ref="M1451">IF(L1451="","",_xlfn.IFS(
  AND(L1451&gt;=TIME(9,0,0), L1451&lt;TIME(16,0,0)),"Morning",
  AND(L1451&gt;=TIME(16,0,0), L1451&lt;TIME(23,59,0)),"Evening",
  L1451&gt;=TIME(23,59,0),"Night",
  L1451&lt;TIME(9,0,0),"Night"
))</f>
        <v/>
      </c>
      <c r="O1451" t="str">
        <f t="shared" si="134"/>
        <v/>
      </c>
    </row>
    <row r="1452" spans="1:15" x14ac:dyDescent="0.25">
      <c r="A1452" s="49"/>
      <c r="G1452" t="str">
        <f t="shared" si="132"/>
        <v/>
      </c>
      <c r="H1452" s="13" t="str">
        <f t="shared" si="135"/>
        <v/>
      </c>
      <c r="I1452" t="str">
        <f>IFERROR(INDEX(Analysis!$D$116:$N$137, MATCH(B1452, Analysis!$C$116:$C$137, 0), MATCH(C1452, Analysis!$D$115:$N$115, 0)), "")</f>
        <v/>
      </c>
      <c r="J1452" t="str">
        <f t="shared" si="136"/>
        <v/>
      </c>
      <c r="K1452" s="28" t="str">
        <f t="shared" si="133"/>
        <v/>
      </c>
      <c r="L1452" s="46" t="str">
        <f t="shared" si="137"/>
        <v/>
      </c>
      <c r="M1452" t="str" cm="1">
        <f t="array" ref="M1452">IF(L1452="","",_xlfn.IFS(
  AND(L1452&gt;=TIME(9,0,0), L1452&lt;TIME(16,0,0)),"Morning",
  AND(L1452&gt;=TIME(16,0,0), L1452&lt;TIME(23,59,0)),"Evening",
  L1452&gt;=TIME(23,59,0),"Night",
  L1452&lt;TIME(9,0,0),"Night"
))</f>
        <v/>
      </c>
      <c r="O1452" t="str">
        <f t="shared" si="134"/>
        <v/>
      </c>
    </row>
    <row r="1453" spans="1:15" x14ac:dyDescent="0.25">
      <c r="A1453" s="49"/>
      <c r="G1453" t="str">
        <f t="shared" si="132"/>
        <v/>
      </c>
      <c r="H1453" s="13" t="str">
        <f t="shared" si="135"/>
        <v/>
      </c>
      <c r="I1453" t="str">
        <f>IFERROR(INDEX(Analysis!$D$116:$N$137, MATCH(B1453, Analysis!$C$116:$C$137, 0), MATCH(C1453, Analysis!$D$115:$N$115, 0)), "")</f>
        <v/>
      </c>
      <c r="J1453" t="str">
        <f t="shared" si="136"/>
        <v/>
      </c>
      <c r="K1453" s="28" t="str">
        <f t="shared" si="133"/>
        <v/>
      </c>
      <c r="L1453" s="46" t="str">
        <f t="shared" si="137"/>
        <v/>
      </c>
      <c r="M1453" t="str" cm="1">
        <f t="array" ref="M1453">IF(L1453="","",_xlfn.IFS(
  AND(L1453&gt;=TIME(9,0,0), L1453&lt;TIME(16,0,0)),"Morning",
  AND(L1453&gt;=TIME(16,0,0), L1453&lt;TIME(23,59,0)),"Evening",
  L1453&gt;=TIME(23,59,0),"Night",
  L1453&lt;TIME(9,0,0),"Night"
))</f>
        <v/>
      </c>
      <c r="O1453" t="str">
        <f t="shared" si="134"/>
        <v/>
      </c>
    </row>
    <row r="1454" spans="1:15" x14ac:dyDescent="0.25">
      <c r="A1454" s="49"/>
      <c r="G1454" t="str">
        <f t="shared" si="132"/>
        <v/>
      </c>
      <c r="H1454" s="13" t="str">
        <f t="shared" si="135"/>
        <v/>
      </c>
      <c r="I1454" t="str">
        <f>IFERROR(INDEX(Analysis!$D$116:$N$137, MATCH(B1454, Analysis!$C$116:$C$137, 0), MATCH(C1454, Analysis!$D$115:$N$115, 0)), "")</f>
        <v/>
      </c>
      <c r="J1454" t="str">
        <f t="shared" si="136"/>
        <v/>
      </c>
      <c r="K1454" s="28" t="str">
        <f t="shared" si="133"/>
        <v/>
      </c>
      <c r="L1454" s="46" t="str">
        <f t="shared" si="137"/>
        <v/>
      </c>
      <c r="M1454" t="str" cm="1">
        <f t="array" ref="M1454">IF(L1454="","",_xlfn.IFS(
  AND(L1454&gt;=TIME(9,0,0), L1454&lt;TIME(16,0,0)),"Morning",
  AND(L1454&gt;=TIME(16,0,0), L1454&lt;TIME(23,59,0)),"Evening",
  L1454&gt;=TIME(23,59,0),"Night",
  L1454&lt;TIME(9,0,0),"Night"
))</f>
        <v/>
      </c>
      <c r="O1454" t="str">
        <f t="shared" si="134"/>
        <v/>
      </c>
    </row>
    <row r="1455" spans="1:15" x14ac:dyDescent="0.25">
      <c r="A1455" s="49"/>
      <c r="G1455" t="str">
        <f t="shared" si="132"/>
        <v/>
      </c>
      <c r="H1455" s="13" t="str">
        <f t="shared" si="135"/>
        <v/>
      </c>
      <c r="I1455" t="str">
        <f>IFERROR(INDEX(Analysis!$D$116:$N$137, MATCH(B1455, Analysis!$C$116:$C$137, 0), MATCH(C1455, Analysis!$D$115:$N$115, 0)), "")</f>
        <v/>
      </c>
      <c r="J1455" t="str">
        <f t="shared" si="136"/>
        <v/>
      </c>
      <c r="K1455" s="28" t="str">
        <f t="shared" si="133"/>
        <v/>
      </c>
      <c r="L1455" s="46" t="str">
        <f t="shared" si="137"/>
        <v/>
      </c>
      <c r="M1455" t="str" cm="1">
        <f t="array" ref="M1455">IF(L1455="","",_xlfn.IFS(
  AND(L1455&gt;=TIME(9,0,0), L1455&lt;TIME(16,0,0)),"Morning",
  AND(L1455&gt;=TIME(16,0,0), L1455&lt;TIME(23,59,0)),"Evening",
  L1455&gt;=TIME(23,59,0),"Night",
  L1455&lt;TIME(9,0,0),"Night"
))</f>
        <v/>
      </c>
      <c r="O1455" t="str">
        <f t="shared" si="134"/>
        <v/>
      </c>
    </row>
    <row r="1456" spans="1:15" x14ac:dyDescent="0.25">
      <c r="A1456" s="49"/>
      <c r="G1456" t="str">
        <f t="shared" si="132"/>
        <v/>
      </c>
      <c r="H1456" s="13" t="str">
        <f t="shared" si="135"/>
        <v/>
      </c>
      <c r="I1456" t="str">
        <f>IFERROR(INDEX(Analysis!$D$116:$N$137, MATCH(B1456, Analysis!$C$116:$C$137, 0), MATCH(C1456, Analysis!$D$115:$N$115, 0)), "")</f>
        <v/>
      </c>
      <c r="J1456" t="str">
        <f t="shared" si="136"/>
        <v/>
      </c>
      <c r="K1456" s="28" t="str">
        <f t="shared" si="133"/>
        <v/>
      </c>
      <c r="L1456" s="46" t="str">
        <f t="shared" si="137"/>
        <v/>
      </c>
      <c r="M1456" t="str" cm="1">
        <f t="array" ref="M1456">IF(L1456="","",_xlfn.IFS(
  AND(L1456&gt;=TIME(9,0,0), L1456&lt;TIME(16,0,0)),"Morning",
  AND(L1456&gt;=TIME(16,0,0), L1456&lt;TIME(23,59,0)),"Evening",
  L1456&gt;=TIME(23,59,0),"Night",
  L1456&lt;TIME(9,0,0),"Night"
))</f>
        <v/>
      </c>
      <c r="O1456" t="str">
        <f t="shared" si="134"/>
        <v/>
      </c>
    </row>
    <row r="1457" spans="1:15" x14ac:dyDescent="0.25">
      <c r="A1457" s="49"/>
      <c r="G1457" t="str">
        <f t="shared" si="132"/>
        <v/>
      </c>
      <c r="H1457" s="13" t="str">
        <f t="shared" si="135"/>
        <v/>
      </c>
      <c r="I1457" t="str">
        <f>IFERROR(INDEX(Analysis!$D$116:$N$137, MATCH(B1457, Analysis!$C$116:$C$137, 0), MATCH(C1457, Analysis!$D$115:$N$115, 0)), "")</f>
        <v/>
      </c>
      <c r="J1457" t="str">
        <f t="shared" si="136"/>
        <v/>
      </c>
      <c r="K1457" s="28" t="str">
        <f t="shared" si="133"/>
        <v/>
      </c>
      <c r="L1457" s="46" t="str">
        <f t="shared" si="137"/>
        <v/>
      </c>
      <c r="M1457" t="str" cm="1">
        <f t="array" ref="M1457">IF(L1457="","",_xlfn.IFS(
  AND(L1457&gt;=TIME(9,0,0), L1457&lt;TIME(16,0,0)),"Morning",
  AND(L1457&gt;=TIME(16,0,0), L1457&lt;TIME(23,59,0)),"Evening",
  L1457&gt;=TIME(23,59,0),"Night",
  L1457&lt;TIME(9,0,0),"Night"
))</f>
        <v/>
      </c>
      <c r="O1457" t="str">
        <f t="shared" si="134"/>
        <v/>
      </c>
    </row>
    <row r="1458" spans="1:15" x14ac:dyDescent="0.25">
      <c r="A1458" s="49"/>
      <c r="G1458" t="str">
        <f t="shared" si="132"/>
        <v/>
      </c>
      <c r="H1458" s="13" t="str">
        <f t="shared" si="135"/>
        <v/>
      </c>
      <c r="I1458" t="str">
        <f>IFERROR(INDEX(Analysis!$D$116:$N$137, MATCH(B1458, Analysis!$C$116:$C$137, 0), MATCH(C1458, Analysis!$D$115:$N$115, 0)), "")</f>
        <v/>
      </c>
      <c r="J1458" t="str">
        <f t="shared" si="136"/>
        <v/>
      </c>
      <c r="K1458" s="28" t="str">
        <f t="shared" si="133"/>
        <v/>
      </c>
      <c r="L1458" s="46" t="str">
        <f t="shared" si="137"/>
        <v/>
      </c>
      <c r="M1458" t="str" cm="1">
        <f t="array" ref="M1458">IF(L1458="","",_xlfn.IFS(
  AND(L1458&gt;=TIME(9,0,0), L1458&lt;TIME(16,0,0)),"Morning",
  AND(L1458&gt;=TIME(16,0,0), L1458&lt;TIME(23,59,0)),"Evening",
  L1458&gt;=TIME(23,59,0),"Night",
  L1458&lt;TIME(9,0,0),"Night"
))</f>
        <v/>
      </c>
      <c r="O1458" t="str">
        <f t="shared" si="134"/>
        <v/>
      </c>
    </row>
    <row r="1459" spans="1:15" x14ac:dyDescent="0.25">
      <c r="A1459" s="49"/>
      <c r="G1459" t="str">
        <f t="shared" si="132"/>
        <v/>
      </c>
      <c r="H1459" s="13" t="str">
        <f t="shared" si="135"/>
        <v/>
      </c>
      <c r="I1459" t="str">
        <f>IFERROR(INDEX(Analysis!$D$116:$N$137, MATCH(B1459, Analysis!$C$116:$C$137, 0), MATCH(C1459, Analysis!$D$115:$N$115, 0)), "")</f>
        <v/>
      </c>
      <c r="J1459" t="str">
        <f t="shared" si="136"/>
        <v/>
      </c>
      <c r="K1459" s="28" t="str">
        <f t="shared" si="133"/>
        <v/>
      </c>
      <c r="L1459" s="46" t="str">
        <f t="shared" si="137"/>
        <v/>
      </c>
      <c r="M1459" t="str" cm="1">
        <f t="array" ref="M1459">IF(L1459="","",_xlfn.IFS(
  AND(L1459&gt;=TIME(9,0,0), L1459&lt;TIME(16,0,0)),"Morning",
  AND(L1459&gt;=TIME(16,0,0), L1459&lt;TIME(23,59,0)),"Evening",
  L1459&gt;=TIME(23,59,0),"Night",
  L1459&lt;TIME(9,0,0),"Night"
))</f>
        <v/>
      </c>
      <c r="O1459" t="str">
        <f t="shared" si="134"/>
        <v/>
      </c>
    </row>
    <row r="1460" spans="1:15" x14ac:dyDescent="0.25">
      <c r="A1460" s="49"/>
      <c r="G1460" t="str">
        <f t="shared" si="132"/>
        <v/>
      </c>
      <c r="H1460" s="13" t="str">
        <f t="shared" si="135"/>
        <v/>
      </c>
      <c r="I1460" t="str">
        <f>IFERROR(INDEX(Analysis!$D$116:$N$137, MATCH(B1460, Analysis!$C$116:$C$137, 0), MATCH(C1460, Analysis!$D$115:$N$115, 0)), "")</f>
        <v/>
      </c>
      <c r="J1460" t="str">
        <f t="shared" si="136"/>
        <v/>
      </c>
      <c r="K1460" s="28" t="str">
        <f t="shared" si="133"/>
        <v/>
      </c>
      <c r="L1460" s="46" t="str">
        <f t="shared" si="137"/>
        <v/>
      </c>
      <c r="M1460" t="str" cm="1">
        <f t="array" ref="M1460">IF(L1460="","",_xlfn.IFS(
  AND(L1460&gt;=TIME(9,0,0), L1460&lt;TIME(16,0,0)),"Morning",
  AND(L1460&gt;=TIME(16,0,0), L1460&lt;TIME(23,59,0)),"Evening",
  L1460&gt;=TIME(23,59,0),"Night",
  L1460&lt;TIME(9,0,0),"Night"
))</f>
        <v/>
      </c>
      <c r="O1460" t="str">
        <f t="shared" si="134"/>
        <v/>
      </c>
    </row>
    <row r="1461" spans="1:15" x14ac:dyDescent="0.25">
      <c r="A1461" s="49"/>
      <c r="G1461" t="str">
        <f t="shared" si="132"/>
        <v/>
      </c>
      <c r="H1461" s="13" t="str">
        <f t="shared" si="135"/>
        <v/>
      </c>
      <c r="I1461" t="str">
        <f>IFERROR(INDEX(Analysis!$D$116:$N$137, MATCH(B1461, Analysis!$C$116:$C$137, 0), MATCH(C1461, Analysis!$D$115:$N$115, 0)), "")</f>
        <v/>
      </c>
      <c r="J1461" t="str">
        <f t="shared" si="136"/>
        <v/>
      </c>
      <c r="K1461" s="28" t="str">
        <f t="shared" si="133"/>
        <v/>
      </c>
      <c r="L1461" s="46" t="str">
        <f t="shared" si="137"/>
        <v/>
      </c>
      <c r="M1461" t="str" cm="1">
        <f t="array" ref="M1461">IF(L1461="","",_xlfn.IFS(
  AND(L1461&gt;=TIME(9,0,0), L1461&lt;TIME(16,0,0)),"Morning",
  AND(L1461&gt;=TIME(16,0,0), L1461&lt;TIME(23,59,0)),"Evening",
  L1461&gt;=TIME(23,59,0),"Night",
  L1461&lt;TIME(9,0,0),"Night"
))</f>
        <v/>
      </c>
      <c r="O1461" t="str">
        <f t="shared" si="134"/>
        <v/>
      </c>
    </row>
    <row r="1462" spans="1:15" x14ac:dyDescent="0.25">
      <c r="A1462" s="49"/>
      <c r="G1462" t="str">
        <f t="shared" si="132"/>
        <v/>
      </c>
      <c r="H1462" s="13" t="str">
        <f t="shared" si="135"/>
        <v/>
      </c>
      <c r="I1462" t="str">
        <f>IFERROR(INDEX(Analysis!$D$116:$N$137, MATCH(B1462, Analysis!$C$116:$C$137, 0), MATCH(C1462, Analysis!$D$115:$N$115, 0)), "")</f>
        <v/>
      </c>
      <c r="J1462" t="str">
        <f t="shared" si="136"/>
        <v/>
      </c>
      <c r="K1462" s="28" t="str">
        <f t="shared" si="133"/>
        <v/>
      </c>
      <c r="L1462" s="46" t="str">
        <f t="shared" si="137"/>
        <v/>
      </c>
      <c r="M1462" t="str" cm="1">
        <f t="array" ref="M1462">IF(L1462="","",_xlfn.IFS(
  AND(L1462&gt;=TIME(9,0,0), L1462&lt;TIME(16,0,0)),"Morning",
  AND(L1462&gt;=TIME(16,0,0), L1462&lt;TIME(23,59,0)),"Evening",
  L1462&gt;=TIME(23,59,0),"Night",
  L1462&lt;TIME(9,0,0),"Night"
))</f>
        <v/>
      </c>
      <c r="O1462" t="str">
        <f t="shared" si="134"/>
        <v/>
      </c>
    </row>
    <row r="1463" spans="1:15" x14ac:dyDescent="0.25">
      <c r="A1463" s="49"/>
      <c r="G1463" t="str">
        <f t="shared" si="132"/>
        <v/>
      </c>
      <c r="H1463" s="13" t="str">
        <f t="shared" si="135"/>
        <v/>
      </c>
      <c r="I1463" t="str">
        <f>IFERROR(INDEX(Analysis!$D$116:$N$137, MATCH(B1463, Analysis!$C$116:$C$137, 0), MATCH(C1463, Analysis!$D$115:$N$115, 0)), "")</f>
        <v/>
      </c>
      <c r="J1463" t="str">
        <f t="shared" si="136"/>
        <v/>
      </c>
      <c r="K1463" s="28" t="str">
        <f t="shared" si="133"/>
        <v/>
      </c>
      <c r="L1463" s="46" t="str">
        <f t="shared" si="137"/>
        <v/>
      </c>
      <c r="M1463" t="str" cm="1">
        <f t="array" ref="M1463">IF(L1463="","",_xlfn.IFS(
  AND(L1463&gt;=TIME(9,0,0), L1463&lt;TIME(16,0,0)),"Morning",
  AND(L1463&gt;=TIME(16,0,0), L1463&lt;TIME(23,59,0)),"Evening",
  L1463&gt;=TIME(23,59,0),"Night",
  L1463&lt;TIME(9,0,0),"Night"
))</f>
        <v/>
      </c>
      <c r="O1463" t="str">
        <f t="shared" si="134"/>
        <v/>
      </c>
    </row>
    <row r="1464" spans="1:15" x14ac:dyDescent="0.25">
      <c r="A1464" s="49"/>
      <c r="G1464" t="str">
        <f t="shared" si="132"/>
        <v/>
      </c>
      <c r="H1464" s="13" t="str">
        <f t="shared" si="135"/>
        <v/>
      </c>
      <c r="I1464" t="str">
        <f>IFERROR(INDEX(Analysis!$D$116:$N$137, MATCH(B1464, Analysis!$C$116:$C$137, 0), MATCH(C1464, Analysis!$D$115:$N$115, 0)), "")</f>
        <v/>
      </c>
      <c r="J1464" t="str">
        <f t="shared" si="136"/>
        <v/>
      </c>
      <c r="K1464" s="28" t="str">
        <f t="shared" si="133"/>
        <v/>
      </c>
      <c r="L1464" s="46" t="str">
        <f t="shared" si="137"/>
        <v/>
      </c>
      <c r="M1464" t="str" cm="1">
        <f t="array" ref="M1464">IF(L1464="","",_xlfn.IFS(
  AND(L1464&gt;=TIME(9,0,0), L1464&lt;TIME(16,0,0)),"Morning",
  AND(L1464&gt;=TIME(16,0,0), L1464&lt;TIME(23,59,0)),"Evening",
  L1464&gt;=TIME(23,59,0),"Night",
  L1464&lt;TIME(9,0,0),"Night"
))</f>
        <v/>
      </c>
      <c r="O1464" t="str">
        <f t="shared" si="134"/>
        <v/>
      </c>
    </row>
    <row r="1465" spans="1:15" x14ac:dyDescent="0.25">
      <c r="A1465" s="49"/>
      <c r="G1465" t="str">
        <f t="shared" si="132"/>
        <v/>
      </c>
      <c r="H1465" s="13" t="str">
        <f t="shared" si="135"/>
        <v/>
      </c>
      <c r="I1465" t="str">
        <f>IFERROR(INDEX(Analysis!$D$116:$N$137, MATCH(B1465, Analysis!$C$116:$C$137, 0), MATCH(C1465, Analysis!$D$115:$N$115, 0)), "")</f>
        <v/>
      </c>
      <c r="J1465" t="str">
        <f t="shared" si="136"/>
        <v/>
      </c>
      <c r="K1465" s="28" t="str">
        <f t="shared" si="133"/>
        <v/>
      </c>
      <c r="L1465" s="46" t="str">
        <f t="shared" si="137"/>
        <v/>
      </c>
      <c r="M1465" t="str" cm="1">
        <f t="array" ref="M1465">IF(L1465="","",_xlfn.IFS(
  AND(L1465&gt;=TIME(9,0,0), L1465&lt;TIME(16,0,0)),"Morning",
  AND(L1465&gt;=TIME(16,0,0), L1465&lt;TIME(23,59,0)),"Evening",
  L1465&gt;=TIME(23,59,0),"Night",
  L1465&lt;TIME(9,0,0),"Night"
))</f>
        <v/>
      </c>
      <c r="O1465" t="str">
        <f t="shared" si="134"/>
        <v/>
      </c>
    </row>
    <row r="1466" spans="1:15" x14ac:dyDescent="0.25">
      <c r="A1466" s="49"/>
      <c r="G1466" t="str">
        <f t="shared" si="132"/>
        <v/>
      </c>
      <c r="H1466" s="13" t="str">
        <f t="shared" si="135"/>
        <v/>
      </c>
      <c r="I1466" t="str">
        <f>IFERROR(INDEX(Analysis!$D$116:$N$137, MATCH(B1466, Analysis!$C$116:$C$137, 0), MATCH(C1466, Analysis!$D$115:$N$115, 0)), "")</f>
        <v/>
      </c>
      <c r="J1466" t="str">
        <f t="shared" si="136"/>
        <v/>
      </c>
      <c r="K1466" s="28" t="str">
        <f t="shared" si="133"/>
        <v/>
      </c>
      <c r="L1466" s="46" t="str">
        <f t="shared" si="137"/>
        <v/>
      </c>
      <c r="M1466" t="str" cm="1">
        <f t="array" ref="M1466">IF(L1466="","",_xlfn.IFS(
  AND(L1466&gt;=TIME(9,0,0), L1466&lt;TIME(16,0,0)),"Morning",
  AND(L1466&gt;=TIME(16,0,0), L1466&lt;TIME(23,59,0)),"Evening",
  L1466&gt;=TIME(23,59,0),"Night",
  L1466&lt;TIME(9,0,0),"Night"
))</f>
        <v/>
      </c>
      <c r="O1466" t="str">
        <f t="shared" si="134"/>
        <v/>
      </c>
    </row>
    <row r="1467" spans="1:15" x14ac:dyDescent="0.25">
      <c r="A1467" s="49"/>
      <c r="G1467" t="str">
        <f t="shared" si="132"/>
        <v/>
      </c>
      <c r="H1467" s="13" t="str">
        <f t="shared" si="135"/>
        <v/>
      </c>
      <c r="I1467" t="str">
        <f>IFERROR(INDEX(Analysis!$D$116:$N$137, MATCH(B1467, Analysis!$C$116:$C$137, 0), MATCH(C1467, Analysis!$D$115:$N$115, 0)), "")</f>
        <v/>
      </c>
      <c r="J1467" t="str">
        <f t="shared" si="136"/>
        <v/>
      </c>
      <c r="K1467" s="28" t="str">
        <f t="shared" si="133"/>
        <v/>
      </c>
      <c r="L1467" s="46" t="str">
        <f t="shared" si="137"/>
        <v/>
      </c>
      <c r="M1467" t="str" cm="1">
        <f t="array" ref="M1467">IF(L1467="","",_xlfn.IFS(
  AND(L1467&gt;=TIME(9,0,0), L1467&lt;TIME(16,0,0)),"Morning",
  AND(L1467&gt;=TIME(16,0,0), L1467&lt;TIME(23,59,0)),"Evening",
  L1467&gt;=TIME(23,59,0),"Night",
  L1467&lt;TIME(9,0,0),"Night"
))</f>
        <v/>
      </c>
      <c r="O1467" t="str">
        <f t="shared" si="134"/>
        <v/>
      </c>
    </row>
    <row r="1468" spans="1:15" x14ac:dyDescent="0.25">
      <c r="A1468" s="49"/>
      <c r="G1468" t="str">
        <f t="shared" si="132"/>
        <v/>
      </c>
      <c r="H1468" s="13" t="str">
        <f t="shared" si="135"/>
        <v/>
      </c>
      <c r="I1468" t="str">
        <f>IFERROR(INDEX(Analysis!$D$116:$N$137, MATCH(B1468, Analysis!$C$116:$C$137, 0), MATCH(C1468, Analysis!$D$115:$N$115, 0)), "")</f>
        <v/>
      </c>
      <c r="J1468" t="str">
        <f t="shared" si="136"/>
        <v/>
      </c>
      <c r="K1468" s="28" t="str">
        <f t="shared" si="133"/>
        <v/>
      </c>
      <c r="L1468" s="46" t="str">
        <f t="shared" si="137"/>
        <v/>
      </c>
      <c r="M1468" t="str" cm="1">
        <f t="array" ref="M1468">IF(L1468="","",_xlfn.IFS(
  AND(L1468&gt;=TIME(9,0,0), L1468&lt;TIME(16,0,0)),"Morning",
  AND(L1468&gt;=TIME(16,0,0), L1468&lt;TIME(23,59,0)),"Evening",
  L1468&gt;=TIME(23,59,0),"Night",
  L1468&lt;TIME(9,0,0),"Night"
))</f>
        <v/>
      </c>
      <c r="O1468" t="str">
        <f t="shared" si="134"/>
        <v/>
      </c>
    </row>
    <row r="1469" spans="1:15" x14ac:dyDescent="0.25">
      <c r="A1469" s="49"/>
      <c r="G1469" t="str">
        <f t="shared" si="132"/>
        <v/>
      </c>
      <c r="H1469" s="13" t="str">
        <f t="shared" si="135"/>
        <v/>
      </c>
      <c r="I1469" t="str">
        <f>IFERROR(INDEX(Analysis!$D$116:$N$137, MATCH(B1469, Analysis!$C$116:$C$137, 0), MATCH(C1469, Analysis!$D$115:$N$115, 0)), "")</f>
        <v/>
      </c>
      <c r="J1469" t="str">
        <f t="shared" si="136"/>
        <v/>
      </c>
      <c r="K1469" s="28" t="str">
        <f t="shared" si="133"/>
        <v/>
      </c>
      <c r="L1469" s="46" t="str">
        <f t="shared" si="137"/>
        <v/>
      </c>
      <c r="M1469" t="str" cm="1">
        <f t="array" ref="M1469">IF(L1469="","",_xlfn.IFS(
  AND(L1469&gt;=TIME(9,0,0), L1469&lt;TIME(16,0,0)),"Morning",
  AND(L1469&gt;=TIME(16,0,0), L1469&lt;TIME(23,59,0)),"Evening",
  L1469&gt;=TIME(23,59,0),"Night",
  L1469&lt;TIME(9,0,0),"Night"
))</f>
        <v/>
      </c>
      <c r="O1469" t="str">
        <f t="shared" si="134"/>
        <v/>
      </c>
    </row>
    <row r="1470" spans="1:15" x14ac:dyDescent="0.25">
      <c r="A1470" s="49"/>
      <c r="G1470" t="str">
        <f t="shared" si="132"/>
        <v/>
      </c>
      <c r="H1470" s="13" t="str">
        <f t="shared" si="135"/>
        <v/>
      </c>
      <c r="I1470" t="str">
        <f>IFERROR(INDEX(Analysis!$D$116:$N$137, MATCH(B1470, Analysis!$C$116:$C$137, 0), MATCH(C1470, Analysis!$D$115:$N$115, 0)), "")</f>
        <v/>
      </c>
      <c r="J1470" t="str">
        <f t="shared" si="136"/>
        <v/>
      </c>
      <c r="K1470" s="28" t="str">
        <f t="shared" si="133"/>
        <v/>
      </c>
      <c r="L1470" s="46" t="str">
        <f t="shared" si="137"/>
        <v/>
      </c>
      <c r="M1470" t="str" cm="1">
        <f t="array" ref="M1470">IF(L1470="","",_xlfn.IFS(
  AND(L1470&gt;=TIME(9,0,0), L1470&lt;TIME(16,0,0)),"Morning",
  AND(L1470&gt;=TIME(16,0,0), L1470&lt;TIME(23,59,0)),"Evening",
  L1470&gt;=TIME(23,59,0),"Night",
  L1470&lt;TIME(9,0,0),"Night"
))</f>
        <v/>
      </c>
      <c r="O1470" t="str">
        <f t="shared" si="134"/>
        <v/>
      </c>
    </row>
    <row r="1471" spans="1:15" x14ac:dyDescent="0.25">
      <c r="A1471" s="49"/>
      <c r="G1471" t="str">
        <f t="shared" si="132"/>
        <v/>
      </c>
      <c r="H1471" s="13" t="str">
        <f t="shared" si="135"/>
        <v/>
      </c>
      <c r="I1471" t="str">
        <f>IFERROR(INDEX(Analysis!$D$116:$N$137, MATCH(B1471, Analysis!$C$116:$C$137, 0), MATCH(C1471, Analysis!$D$115:$N$115, 0)), "")</f>
        <v/>
      </c>
      <c r="J1471" t="str">
        <f t="shared" si="136"/>
        <v/>
      </c>
      <c r="K1471" s="28" t="str">
        <f t="shared" si="133"/>
        <v/>
      </c>
      <c r="L1471" s="46" t="str">
        <f t="shared" si="137"/>
        <v/>
      </c>
      <c r="M1471" t="str" cm="1">
        <f t="array" ref="M1471">IF(L1471="","",_xlfn.IFS(
  AND(L1471&gt;=TIME(9,0,0), L1471&lt;TIME(16,0,0)),"Morning",
  AND(L1471&gt;=TIME(16,0,0), L1471&lt;TIME(23,59,0)),"Evening",
  L1471&gt;=TIME(23,59,0),"Night",
  L1471&lt;TIME(9,0,0),"Night"
))</f>
        <v/>
      </c>
      <c r="O1471" t="str">
        <f t="shared" si="134"/>
        <v/>
      </c>
    </row>
    <row r="1472" spans="1:15" x14ac:dyDescent="0.25">
      <c r="A1472" s="49"/>
      <c r="G1472" t="str">
        <f t="shared" si="132"/>
        <v/>
      </c>
      <c r="H1472" s="13" t="str">
        <f t="shared" si="135"/>
        <v/>
      </c>
      <c r="I1472" t="str">
        <f>IFERROR(INDEX(Analysis!$D$116:$N$137, MATCH(B1472, Analysis!$C$116:$C$137, 0), MATCH(C1472, Analysis!$D$115:$N$115, 0)), "")</f>
        <v/>
      </c>
      <c r="J1472" t="str">
        <f t="shared" si="136"/>
        <v/>
      </c>
      <c r="K1472" s="28" t="str">
        <f t="shared" si="133"/>
        <v/>
      </c>
      <c r="L1472" s="46" t="str">
        <f t="shared" si="137"/>
        <v/>
      </c>
      <c r="M1472" t="str" cm="1">
        <f t="array" ref="M1472">IF(L1472="","",_xlfn.IFS(
  AND(L1472&gt;=TIME(9,0,0), L1472&lt;TIME(16,0,0)),"Morning",
  AND(L1472&gt;=TIME(16,0,0), L1472&lt;TIME(23,59,0)),"Evening",
  L1472&gt;=TIME(23,59,0),"Night",
  L1472&lt;TIME(9,0,0),"Night"
))</f>
        <v/>
      </c>
      <c r="O1472" t="str">
        <f t="shared" si="134"/>
        <v/>
      </c>
    </row>
    <row r="1473" spans="1:15" x14ac:dyDescent="0.25">
      <c r="A1473" s="49"/>
      <c r="G1473" t="str">
        <f t="shared" si="132"/>
        <v/>
      </c>
      <c r="H1473" s="13" t="str">
        <f t="shared" si="135"/>
        <v/>
      </c>
      <c r="I1473" t="str">
        <f>IFERROR(INDEX(Analysis!$D$116:$N$137, MATCH(B1473, Analysis!$C$116:$C$137, 0), MATCH(C1473, Analysis!$D$115:$N$115, 0)), "")</f>
        <v/>
      </c>
      <c r="J1473" t="str">
        <f t="shared" si="136"/>
        <v/>
      </c>
      <c r="K1473" s="28" t="str">
        <f t="shared" si="133"/>
        <v/>
      </c>
      <c r="L1473" s="46" t="str">
        <f t="shared" si="137"/>
        <v/>
      </c>
      <c r="M1473" t="str" cm="1">
        <f t="array" ref="M1473">IF(L1473="","",_xlfn.IFS(
  AND(L1473&gt;=TIME(9,0,0), L1473&lt;TIME(16,0,0)),"Morning",
  AND(L1473&gt;=TIME(16,0,0), L1473&lt;TIME(23,59,0)),"Evening",
  L1473&gt;=TIME(23,59,0),"Night",
  L1473&lt;TIME(9,0,0),"Night"
))</f>
        <v/>
      </c>
      <c r="O1473" t="str">
        <f t="shared" si="134"/>
        <v/>
      </c>
    </row>
    <row r="1474" spans="1:15" x14ac:dyDescent="0.25">
      <c r="A1474" s="49"/>
      <c r="G1474" t="str">
        <f t="shared" ref="G1474:G1537" si="138">IF(ISBLANK(A1474), "", IF(ISBLANK(F1474), 0, F1474))</f>
        <v/>
      </c>
      <c r="H1474" s="13" t="str">
        <f t="shared" si="135"/>
        <v/>
      </c>
      <c r="I1474" t="str">
        <f>IFERROR(INDEX(Analysis!$D$116:$N$137, MATCH(B1474, Analysis!$C$116:$C$137, 0), MATCH(C1474, Analysis!$D$115:$N$115, 0)), "")</f>
        <v/>
      </c>
      <c r="J1474" t="str">
        <f t="shared" si="136"/>
        <v/>
      </c>
      <c r="K1474" s="28" t="str">
        <f t="shared" ref="K1474:K1537" si="139">IF(ISBLANK(A1474),"",DATE(YEAR(A1474),MONTH(A1474),DAY(A1474)))</f>
        <v/>
      </c>
      <c r="L1474" s="46" t="str">
        <f t="shared" si="137"/>
        <v/>
      </c>
      <c r="M1474" t="str" cm="1">
        <f t="array" ref="M1474">IF(L1474="","",_xlfn.IFS(
  AND(L1474&gt;=TIME(9,0,0), L1474&lt;TIME(16,0,0)),"Morning",
  AND(L1474&gt;=TIME(16,0,0), L1474&lt;TIME(23,59,0)),"Evening",
  L1474&gt;=TIME(23,59,0),"Night",
  L1474&lt;TIME(9,0,0),"Night"
))</f>
        <v/>
      </c>
      <c r="O1474" t="str">
        <f t="shared" ref="O1474:O1537" si="140">IF(N1474="ON", _xlfn.IMAGE(E1474, 1), "")</f>
        <v/>
      </c>
    </row>
    <row r="1475" spans="1:15" x14ac:dyDescent="0.25">
      <c r="A1475" s="49"/>
      <c r="G1475" t="str">
        <f t="shared" si="138"/>
        <v/>
      </c>
      <c r="H1475" s="13" t="str">
        <f t="shared" ref="H1475:H1538" si="141">IF(ISBLANK(E1475),"",HYPERLINK(E1475,"Click here"))</f>
        <v/>
      </c>
      <c r="I1475" t="str">
        <f>IFERROR(INDEX(Analysis!$D$116:$N$137, MATCH(B1475, Analysis!$C$116:$C$137, 0), MATCH(C1475, Analysis!$D$115:$N$115, 0)), "")</f>
        <v/>
      </c>
      <c r="J1475" t="str">
        <f t="shared" ref="J1475:J1538" si="142">IF(ISBLANK(A1475),"",WEEKNUM(A1475))</f>
        <v/>
      </c>
      <c r="K1475" s="28" t="str">
        <f t="shared" si="139"/>
        <v/>
      </c>
      <c r="L1475" s="46" t="str">
        <f t="shared" ref="L1475:L1538" si="143">IF(A1475="", "", A1475 - INT(A1475))</f>
        <v/>
      </c>
      <c r="M1475" t="str" cm="1">
        <f t="array" ref="M1475">IF(L1475="","",_xlfn.IFS(
  AND(L1475&gt;=TIME(9,0,0), L1475&lt;TIME(16,0,0)),"Morning",
  AND(L1475&gt;=TIME(16,0,0), L1475&lt;TIME(23,59,0)),"Evening",
  L1475&gt;=TIME(23,59,0),"Night",
  L1475&lt;TIME(9,0,0),"Night"
))</f>
        <v/>
      </c>
      <c r="O1475" t="str">
        <f t="shared" si="140"/>
        <v/>
      </c>
    </row>
    <row r="1476" spans="1:15" x14ac:dyDescent="0.25">
      <c r="A1476" s="49"/>
      <c r="G1476" t="str">
        <f t="shared" si="138"/>
        <v/>
      </c>
      <c r="H1476" s="13" t="str">
        <f t="shared" si="141"/>
        <v/>
      </c>
      <c r="I1476" t="str">
        <f>IFERROR(INDEX(Analysis!$D$116:$N$137, MATCH(B1476, Analysis!$C$116:$C$137, 0), MATCH(C1476, Analysis!$D$115:$N$115, 0)), "")</f>
        <v/>
      </c>
      <c r="J1476" t="str">
        <f t="shared" si="142"/>
        <v/>
      </c>
      <c r="K1476" s="28" t="str">
        <f t="shared" si="139"/>
        <v/>
      </c>
      <c r="L1476" s="46" t="str">
        <f t="shared" si="143"/>
        <v/>
      </c>
      <c r="M1476" t="str" cm="1">
        <f t="array" ref="M1476">IF(L1476="","",_xlfn.IFS(
  AND(L1476&gt;=TIME(9,0,0), L1476&lt;TIME(16,0,0)),"Morning",
  AND(L1476&gt;=TIME(16,0,0), L1476&lt;TIME(23,59,0)),"Evening",
  L1476&gt;=TIME(23,59,0),"Night",
  L1476&lt;TIME(9,0,0),"Night"
))</f>
        <v/>
      </c>
      <c r="O1476" t="str">
        <f t="shared" si="140"/>
        <v/>
      </c>
    </row>
    <row r="1477" spans="1:15" x14ac:dyDescent="0.25">
      <c r="A1477" s="49"/>
      <c r="G1477" t="str">
        <f t="shared" si="138"/>
        <v/>
      </c>
      <c r="H1477" s="13" t="str">
        <f t="shared" si="141"/>
        <v/>
      </c>
      <c r="I1477" t="str">
        <f>IFERROR(INDEX(Analysis!$D$116:$N$137, MATCH(B1477, Analysis!$C$116:$C$137, 0), MATCH(C1477, Analysis!$D$115:$N$115, 0)), "")</f>
        <v/>
      </c>
      <c r="J1477" t="str">
        <f t="shared" si="142"/>
        <v/>
      </c>
      <c r="K1477" s="28" t="str">
        <f t="shared" si="139"/>
        <v/>
      </c>
      <c r="L1477" s="46" t="str">
        <f t="shared" si="143"/>
        <v/>
      </c>
      <c r="M1477" t="str" cm="1">
        <f t="array" ref="M1477">IF(L1477="","",_xlfn.IFS(
  AND(L1477&gt;=TIME(9,0,0), L1477&lt;TIME(16,0,0)),"Morning",
  AND(L1477&gt;=TIME(16,0,0), L1477&lt;TIME(23,59,0)),"Evening",
  L1477&gt;=TIME(23,59,0),"Night",
  L1477&lt;TIME(9,0,0),"Night"
))</f>
        <v/>
      </c>
      <c r="O1477" t="str">
        <f t="shared" si="140"/>
        <v/>
      </c>
    </row>
    <row r="1478" spans="1:15" x14ac:dyDescent="0.25">
      <c r="A1478" s="49"/>
      <c r="G1478" t="str">
        <f t="shared" si="138"/>
        <v/>
      </c>
      <c r="H1478" s="13" t="str">
        <f t="shared" si="141"/>
        <v/>
      </c>
      <c r="I1478" t="str">
        <f>IFERROR(INDEX(Analysis!$D$116:$N$137, MATCH(B1478, Analysis!$C$116:$C$137, 0), MATCH(C1478, Analysis!$D$115:$N$115, 0)), "")</f>
        <v/>
      </c>
      <c r="J1478" t="str">
        <f t="shared" si="142"/>
        <v/>
      </c>
      <c r="K1478" s="28" t="str">
        <f t="shared" si="139"/>
        <v/>
      </c>
      <c r="L1478" s="46" t="str">
        <f t="shared" si="143"/>
        <v/>
      </c>
      <c r="M1478" t="str" cm="1">
        <f t="array" ref="M1478">IF(L1478="","",_xlfn.IFS(
  AND(L1478&gt;=TIME(9,0,0), L1478&lt;TIME(16,0,0)),"Morning",
  AND(L1478&gt;=TIME(16,0,0), L1478&lt;TIME(23,59,0)),"Evening",
  L1478&gt;=TIME(23,59,0),"Night",
  L1478&lt;TIME(9,0,0),"Night"
))</f>
        <v/>
      </c>
      <c r="O1478" t="str">
        <f t="shared" si="140"/>
        <v/>
      </c>
    </row>
    <row r="1479" spans="1:15" x14ac:dyDescent="0.25">
      <c r="A1479" s="49"/>
      <c r="G1479" t="str">
        <f t="shared" si="138"/>
        <v/>
      </c>
      <c r="H1479" s="13" t="str">
        <f t="shared" si="141"/>
        <v/>
      </c>
      <c r="I1479" t="str">
        <f>IFERROR(INDEX(Analysis!$D$116:$N$137, MATCH(B1479, Analysis!$C$116:$C$137, 0), MATCH(C1479, Analysis!$D$115:$N$115, 0)), "")</f>
        <v/>
      </c>
      <c r="J1479" t="str">
        <f t="shared" si="142"/>
        <v/>
      </c>
      <c r="K1479" s="28" t="str">
        <f t="shared" si="139"/>
        <v/>
      </c>
      <c r="L1479" s="46" t="str">
        <f t="shared" si="143"/>
        <v/>
      </c>
      <c r="M1479" t="str" cm="1">
        <f t="array" ref="M1479">IF(L1479="","",_xlfn.IFS(
  AND(L1479&gt;=TIME(9,0,0), L1479&lt;TIME(16,0,0)),"Morning",
  AND(L1479&gt;=TIME(16,0,0), L1479&lt;TIME(23,59,0)),"Evening",
  L1479&gt;=TIME(23,59,0),"Night",
  L1479&lt;TIME(9,0,0),"Night"
))</f>
        <v/>
      </c>
      <c r="O1479" t="str">
        <f t="shared" si="140"/>
        <v/>
      </c>
    </row>
    <row r="1480" spans="1:15" x14ac:dyDescent="0.25">
      <c r="A1480" s="49"/>
      <c r="G1480" t="str">
        <f t="shared" si="138"/>
        <v/>
      </c>
      <c r="H1480" s="13" t="str">
        <f t="shared" si="141"/>
        <v/>
      </c>
      <c r="I1480" t="str">
        <f>IFERROR(INDEX(Analysis!$D$116:$N$137, MATCH(B1480, Analysis!$C$116:$C$137, 0), MATCH(C1480, Analysis!$D$115:$N$115, 0)), "")</f>
        <v/>
      </c>
      <c r="J1480" t="str">
        <f t="shared" si="142"/>
        <v/>
      </c>
      <c r="K1480" s="28" t="str">
        <f t="shared" si="139"/>
        <v/>
      </c>
      <c r="L1480" s="46" t="str">
        <f t="shared" si="143"/>
        <v/>
      </c>
      <c r="M1480" t="str" cm="1">
        <f t="array" ref="M1480">IF(L1480="","",_xlfn.IFS(
  AND(L1480&gt;=TIME(9,0,0), L1480&lt;TIME(16,0,0)),"Morning",
  AND(L1480&gt;=TIME(16,0,0), L1480&lt;TIME(23,59,0)),"Evening",
  L1480&gt;=TIME(23,59,0),"Night",
  L1480&lt;TIME(9,0,0),"Night"
))</f>
        <v/>
      </c>
      <c r="O1480" t="str">
        <f t="shared" si="140"/>
        <v/>
      </c>
    </row>
    <row r="1481" spans="1:15" x14ac:dyDescent="0.25">
      <c r="A1481" s="49"/>
      <c r="G1481" t="str">
        <f t="shared" si="138"/>
        <v/>
      </c>
      <c r="H1481" s="13" t="str">
        <f t="shared" si="141"/>
        <v/>
      </c>
      <c r="I1481" t="str">
        <f>IFERROR(INDEX(Analysis!$D$116:$N$137, MATCH(B1481, Analysis!$C$116:$C$137, 0), MATCH(C1481, Analysis!$D$115:$N$115, 0)), "")</f>
        <v/>
      </c>
      <c r="J1481" t="str">
        <f t="shared" si="142"/>
        <v/>
      </c>
      <c r="K1481" s="28" t="str">
        <f t="shared" si="139"/>
        <v/>
      </c>
      <c r="L1481" s="46" t="str">
        <f t="shared" si="143"/>
        <v/>
      </c>
      <c r="M1481" t="str" cm="1">
        <f t="array" ref="M1481">IF(L1481="","",_xlfn.IFS(
  AND(L1481&gt;=TIME(9,0,0), L1481&lt;TIME(16,0,0)),"Morning",
  AND(L1481&gt;=TIME(16,0,0), L1481&lt;TIME(23,59,0)),"Evening",
  L1481&gt;=TIME(23,59,0),"Night",
  L1481&lt;TIME(9,0,0),"Night"
))</f>
        <v/>
      </c>
      <c r="O1481" t="str">
        <f t="shared" si="140"/>
        <v/>
      </c>
    </row>
    <row r="1482" spans="1:15" x14ac:dyDescent="0.25">
      <c r="A1482" s="49"/>
      <c r="G1482" t="str">
        <f t="shared" si="138"/>
        <v/>
      </c>
      <c r="H1482" s="13" t="str">
        <f t="shared" si="141"/>
        <v/>
      </c>
      <c r="I1482" t="str">
        <f>IFERROR(INDEX(Analysis!$D$116:$N$137, MATCH(B1482, Analysis!$C$116:$C$137, 0), MATCH(C1482, Analysis!$D$115:$N$115, 0)), "")</f>
        <v/>
      </c>
      <c r="J1482" t="str">
        <f t="shared" si="142"/>
        <v/>
      </c>
      <c r="K1482" s="28" t="str">
        <f t="shared" si="139"/>
        <v/>
      </c>
      <c r="L1482" s="46" t="str">
        <f t="shared" si="143"/>
        <v/>
      </c>
      <c r="M1482" t="str" cm="1">
        <f t="array" ref="M1482">IF(L1482="","",_xlfn.IFS(
  AND(L1482&gt;=TIME(9,0,0), L1482&lt;TIME(16,0,0)),"Morning",
  AND(L1482&gt;=TIME(16,0,0), L1482&lt;TIME(23,59,0)),"Evening",
  L1482&gt;=TIME(23,59,0),"Night",
  L1482&lt;TIME(9,0,0),"Night"
))</f>
        <v/>
      </c>
      <c r="O1482" t="str">
        <f t="shared" si="140"/>
        <v/>
      </c>
    </row>
    <row r="1483" spans="1:15" x14ac:dyDescent="0.25">
      <c r="A1483" s="49"/>
      <c r="G1483" t="str">
        <f t="shared" si="138"/>
        <v/>
      </c>
      <c r="H1483" s="13" t="str">
        <f t="shared" si="141"/>
        <v/>
      </c>
      <c r="I1483" t="str">
        <f>IFERROR(INDEX(Analysis!$D$116:$N$137, MATCH(B1483, Analysis!$C$116:$C$137, 0), MATCH(C1483, Analysis!$D$115:$N$115, 0)), "")</f>
        <v/>
      </c>
      <c r="J1483" t="str">
        <f t="shared" si="142"/>
        <v/>
      </c>
      <c r="K1483" s="28" t="str">
        <f t="shared" si="139"/>
        <v/>
      </c>
      <c r="L1483" s="46" t="str">
        <f t="shared" si="143"/>
        <v/>
      </c>
      <c r="M1483" t="str" cm="1">
        <f t="array" ref="M1483">IF(L1483="","",_xlfn.IFS(
  AND(L1483&gt;=TIME(9,0,0), L1483&lt;TIME(16,0,0)),"Morning",
  AND(L1483&gt;=TIME(16,0,0), L1483&lt;TIME(23,59,0)),"Evening",
  L1483&gt;=TIME(23,59,0),"Night",
  L1483&lt;TIME(9,0,0),"Night"
))</f>
        <v/>
      </c>
      <c r="O1483" t="str">
        <f t="shared" si="140"/>
        <v/>
      </c>
    </row>
    <row r="1484" spans="1:15" x14ac:dyDescent="0.25">
      <c r="A1484" s="49"/>
      <c r="G1484" t="str">
        <f t="shared" si="138"/>
        <v/>
      </c>
      <c r="H1484" s="13" t="str">
        <f t="shared" si="141"/>
        <v/>
      </c>
      <c r="I1484" t="str">
        <f>IFERROR(INDEX(Analysis!$D$116:$N$137, MATCH(B1484, Analysis!$C$116:$C$137, 0), MATCH(C1484, Analysis!$D$115:$N$115, 0)), "")</f>
        <v/>
      </c>
      <c r="J1484" t="str">
        <f t="shared" si="142"/>
        <v/>
      </c>
      <c r="K1484" s="28" t="str">
        <f t="shared" si="139"/>
        <v/>
      </c>
      <c r="L1484" s="46" t="str">
        <f t="shared" si="143"/>
        <v/>
      </c>
      <c r="M1484" t="str" cm="1">
        <f t="array" ref="M1484">IF(L1484="","",_xlfn.IFS(
  AND(L1484&gt;=TIME(9,0,0), L1484&lt;TIME(16,0,0)),"Morning",
  AND(L1484&gt;=TIME(16,0,0), L1484&lt;TIME(23,59,0)),"Evening",
  L1484&gt;=TIME(23,59,0),"Night",
  L1484&lt;TIME(9,0,0),"Night"
))</f>
        <v/>
      </c>
      <c r="O1484" t="str">
        <f t="shared" si="140"/>
        <v/>
      </c>
    </row>
    <row r="1485" spans="1:15" x14ac:dyDescent="0.25">
      <c r="A1485" s="49"/>
      <c r="G1485" t="str">
        <f t="shared" si="138"/>
        <v/>
      </c>
      <c r="H1485" s="13" t="str">
        <f t="shared" si="141"/>
        <v/>
      </c>
      <c r="I1485" t="str">
        <f>IFERROR(INDEX(Analysis!$D$116:$N$137, MATCH(B1485, Analysis!$C$116:$C$137, 0), MATCH(C1485, Analysis!$D$115:$N$115, 0)), "")</f>
        <v/>
      </c>
      <c r="J1485" t="str">
        <f t="shared" si="142"/>
        <v/>
      </c>
      <c r="K1485" s="28" t="str">
        <f t="shared" si="139"/>
        <v/>
      </c>
      <c r="L1485" s="46" t="str">
        <f t="shared" si="143"/>
        <v/>
      </c>
      <c r="M1485" t="str" cm="1">
        <f t="array" ref="M1485">IF(L1485="","",_xlfn.IFS(
  AND(L1485&gt;=TIME(9,0,0), L1485&lt;TIME(16,0,0)),"Morning",
  AND(L1485&gt;=TIME(16,0,0), L1485&lt;TIME(23,59,0)),"Evening",
  L1485&gt;=TIME(23,59,0),"Night",
  L1485&lt;TIME(9,0,0),"Night"
))</f>
        <v/>
      </c>
      <c r="O1485" t="str">
        <f t="shared" si="140"/>
        <v/>
      </c>
    </row>
    <row r="1486" spans="1:15" x14ac:dyDescent="0.25">
      <c r="A1486" s="49"/>
      <c r="G1486" t="str">
        <f t="shared" si="138"/>
        <v/>
      </c>
      <c r="H1486" s="13" t="str">
        <f t="shared" si="141"/>
        <v/>
      </c>
      <c r="I1486" t="str">
        <f>IFERROR(INDEX(Analysis!$D$116:$N$137, MATCH(B1486, Analysis!$C$116:$C$137, 0), MATCH(C1486, Analysis!$D$115:$N$115, 0)), "")</f>
        <v/>
      </c>
      <c r="J1486" t="str">
        <f t="shared" si="142"/>
        <v/>
      </c>
      <c r="K1486" s="28" t="str">
        <f t="shared" si="139"/>
        <v/>
      </c>
      <c r="L1486" s="46" t="str">
        <f t="shared" si="143"/>
        <v/>
      </c>
      <c r="M1486" t="str" cm="1">
        <f t="array" ref="M1486">IF(L1486="","",_xlfn.IFS(
  AND(L1486&gt;=TIME(9,0,0), L1486&lt;TIME(16,0,0)),"Morning",
  AND(L1486&gt;=TIME(16,0,0), L1486&lt;TIME(23,59,0)),"Evening",
  L1486&gt;=TIME(23,59,0),"Night",
  L1486&lt;TIME(9,0,0),"Night"
))</f>
        <v/>
      </c>
      <c r="O1486" t="str">
        <f t="shared" si="140"/>
        <v/>
      </c>
    </row>
    <row r="1487" spans="1:15" x14ac:dyDescent="0.25">
      <c r="A1487" s="49"/>
      <c r="G1487" t="str">
        <f t="shared" si="138"/>
        <v/>
      </c>
      <c r="H1487" s="13" t="str">
        <f t="shared" si="141"/>
        <v/>
      </c>
      <c r="I1487" t="str">
        <f>IFERROR(INDEX(Analysis!$D$116:$N$137, MATCH(B1487, Analysis!$C$116:$C$137, 0), MATCH(C1487, Analysis!$D$115:$N$115, 0)), "")</f>
        <v/>
      </c>
      <c r="J1487" t="str">
        <f t="shared" si="142"/>
        <v/>
      </c>
      <c r="K1487" s="28" t="str">
        <f t="shared" si="139"/>
        <v/>
      </c>
      <c r="L1487" s="46" t="str">
        <f t="shared" si="143"/>
        <v/>
      </c>
      <c r="M1487" t="str" cm="1">
        <f t="array" ref="M1487">IF(L1487="","",_xlfn.IFS(
  AND(L1487&gt;=TIME(9,0,0), L1487&lt;TIME(16,0,0)),"Morning",
  AND(L1487&gt;=TIME(16,0,0), L1487&lt;TIME(23,59,0)),"Evening",
  L1487&gt;=TIME(23,59,0),"Night",
  L1487&lt;TIME(9,0,0),"Night"
))</f>
        <v/>
      </c>
      <c r="O1487" t="str">
        <f t="shared" si="140"/>
        <v/>
      </c>
    </row>
    <row r="1488" spans="1:15" x14ac:dyDescent="0.25">
      <c r="A1488" s="49"/>
      <c r="G1488" t="str">
        <f t="shared" si="138"/>
        <v/>
      </c>
      <c r="H1488" s="13" t="str">
        <f t="shared" si="141"/>
        <v/>
      </c>
      <c r="I1488" t="str">
        <f>IFERROR(INDEX(Analysis!$D$116:$N$137, MATCH(B1488, Analysis!$C$116:$C$137, 0), MATCH(C1488, Analysis!$D$115:$N$115, 0)), "")</f>
        <v/>
      </c>
      <c r="J1488" t="str">
        <f t="shared" si="142"/>
        <v/>
      </c>
      <c r="K1488" s="28" t="str">
        <f t="shared" si="139"/>
        <v/>
      </c>
      <c r="L1488" s="46" t="str">
        <f t="shared" si="143"/>
        <v/>
      </c>
      <c r="M1488" t="str" cm="1">
        <f t="array" ref="M1488">IF(L1488="","",_xlfn.IFS(
  AND(L1488&gt;=TIME(9,0,0), L1488&lt;TIME(16,0,0)),"Morning",
  AND(L1488&gt;=TIME(16,0,0), L1488&lt;TIME(23,59,0)),"Evening",
  L1488&gt;=TIME(23,59,0),"Night",
  L1488&lt;TIME(9,0,0),"Night"
))</f>
        <v/>
      </c>
      <c r="O1488" t="str">
        <f t="shared" si="140"/>
        <v/>
      </c>
    </row>
    <row r="1489" spans="1:15" x14ac:dyDescent="0.25">
      <c r="A1489" s="49"/>
      <c r="G1489" t="str">
        <f t="shared" si="138"/>
        <v/>
      </c>
      <c r="H1489" s="13" t="str">
        <f t="shared" si="141"/>
        <v/>
      </c>
      <c r="I1489" t="str">
        <f>IFERROR(INDEX(Analysis!$D$116:$N$137, MATCH(B1489, Analysis!$C$116:$C$137, 0), MATCH(C1489, Analysis!$D$115:$N$115, 0)), "")</f>
        <v/>
      </c>
      <c r="J1489" t="str">
        <f t="shared" si="142"/>
        <v/>
      </c>
      <c r="K1489" s="28" t="str">
        <f t="shared" si="139"/>
        <v/>
      </c>
      <c r="L1489" s="46" t="str">
        <f t="shared" si="143"/>
        <v/>
      </c>
      <c r="M1489" t="str" cm="1">
        <f t="array" ref="M1489">IF(L1489="","",_xlfn.IFS(
  AND(L1489&gt;=TIME(9,0,0), L1489&lt;TIME(16,0,0)),"Morning",
  AND(L1489&gt;=TIME(16,0,0), L1489&lt;TIME(23,59,0)),"Evening",
  L1489&gt;=TIME(23,59,0),"Night",
  L1489&lt;TIME(9,0,0),"Night"
))</f>
        <v/>
      </c>
      <c r="O1489" t="str">
        <f t="shared" si="140"/>
        <v/>
      </c>
    </row>
    <row r="1490" spans="1:15" x14ac:dyDescent="0.25">
      <c r="A1490" s="49"/>
      <c r="G1490" t="str">
        <f t="shared" si="138"/>
        <v/>
      </c>
      <c r="H1490" s="13" t="str">
        <f t="shared" si="141"/>
        <v/>
      </c>
      <c r="I1490" t="str">
        <f>IFERROR(INDEX(Analysis!$D$116:$N$137, MATCH(B1490, Analysis!$C$116:$C$137, 0), MATCH(C1490, Analysis!$D$115:$N$115, 0)), "")</f>
        <v/>
      </c>
      <c r="J1490" t="str">
        <f t="shared" si="142"/>
        <v/>
      </c>
      <c r="K1490" s="28" t="str">
        <f t="shared" si="139"/>
        <v/>
      </c>
      <c r="L1490" s="46" t="str">
        <f t="shared" si="143"/>
        <v/>
      </c>
      <c r="M1490" t="str" cm="1">
        <f t="array" ref="M1490">IF(L1490="","",_xlfn.IFS(
  AND(L1490&gt;=TIME(9,0,0), L1490&lt;TIME(16,0,0)),"Morning",
  AND(L1490&gt;=TIME(16,0,0), L1490&lt;TIME(23,59,0)),"Evening",
  L1490&gt;=TIME(23,59,0),"Night",
  L1490&lt;TIME(9,0,0),"Night"
))</f>
        <v/>
      </c>
      <c r="O1490" t="str">
        <f t="shared" si="140"/>
        <v/>
      </c>
    </row>
    <row r="1491" spans="1:15" x14ac:dyDescent="0.25">
      <c r="A1491" s="49"/>
      <c r="G1491" t="str">
        <f t="shared" si="138"/>
        <v/>
      </c>
      <c r="H1491" s="13" t="str">
        <f t="shared" si="141"/>
        <v/>
      </c>
      <c r="I1491" t="str">
        <f>IFERROR(INDEX(Analysis!$D$116:$N$137, MATCH(B1491, Analysis!$C$116:$C$137, 0), MATCH(C1491, Analysis!$D$115:$N$115, 0)), "")</f>
        <v/>
      </c>
      <c r="J1491" t="str">
        <f t="shared" si="142"/>
        <v/>
      </c>
      <c r="K1491" s="28" t="str">
        <f t="shared" si="139"/>
        <v/>
      </c>
      <c r="L1491" s="46" t="str">
        <f t="shared" si="143"/>
        <v/>
      </c>
      <c r="M1491" t="str" cm="1">
        <f t="array" ref="M1491">IF(L1491="","",_xlfn.IFS(
  AND(L1491&gt;=TIME(9,0,0), L1491&lt;TIME(16,0,0)),"Morning",
  AND(L1491&gt;=TIME(16,0,0), L1491&lt;TIME(23,59,0)),"Evening",
  L1491&gt;=TIME(23,59,0),"Night",
  L1491&lt;TIME(9,0,0),"Night"
))</f>
        <v/>
      </c>
      <c r="O1491" t="str">
        <f t="shared" si="140"/>
        <v/>
      </c>
    </row>
    <row r="1492" spans="1:15" x14ac:dyDescent="0.25">
      <c r="A1492" s="49"/>
      <c r="G1492" t="str">
        <f t="shared" si="138"/>
        <v/>
      </c>
      <c r="H1492" s="13" t="str">
        <f t="shared" si="141"/>
        <v/>
      </c>
      <c r="I1492" t="str">
        <f>IFERROR(INDEX(Analysis!$D$116:$N$137, MATCH(B1492, Analysis!$C$116:$C$137, 0), MATCH(C1492, Analysis!$D$115:$N$115, 0)), "")</f>
        <v/>
      </c>
      <c r="J1492" t="str">
        <f t="shared" si="142"/>
        <v/>
      </c>
      <c r="K1492" s="28" t="str">
        <f t="shared" si="139"/>
        <v/>
      </c>
      <c r="L1492" s="46" t="str">
        <f t="shared" si="143"/>
        <v/>
      </c>
      <c r="M1492" t="str" cm="1">
        <f t="array" ref="M1492">IF(L1492="","",_xlfn.IFS(
  AND(L1492&gt;=TIME(9,0,0), L1492&lt;TIME(16,0,0)),"Morning",
  AND(L1492&gt;=TIME(16,0,0), L1492&lt;TIME(23,59,0)),"Evening",
  L1492&gt;=TIME(23,59,0),"Night",
  L1492&lt;TIME(9,0,0),"Night"
))</f>
        <v/>
      </c>
      <c r="O1492" t="str">
        <f t="shared" si="140"/>
        <v/>
      </c>
    </row>
    <row r="1493" spans="1:15" x14ac:dyDescent="0.25">
      <c r="A1493" s="49"/>
      <c r="G1493" t="str">
        <f t="shared" si="138"/>
        <v/>
      </c>
      <c r="H1493" s="13" t="str">
        <f t="shared" si="141"/>
        <v/>
      </c>
      <c r="I1493" t="str">
        <f>IFERROR(INDEX(Analysis!$D$116:$N$137, MATCH(B1493, Analysis!$C$116:$C$137, 0), MATCH(C1493, Analysis!$D$115:$N$115, 0)), "")</f>
        <v/>
      </c>
      <c r="J1493" t="str">
        <f t="shared" si="142"/>
        <v/>
      </c>
      <c r="K1493" s="28" t="str">
        <f t="shared" si="139"/>
        <v/>
      </c>
      <c r="L1493" s="46" t="str">
        <f t="shared" si="143"/>
        <v/>
      </c>
      <c r="M1493" t="str" cm="1">
        <f t="array" ref="M1493">IF(L1493="","",_xlfn.IFS(
  AND(L1493&gt;=TIME(9,0,0), L1493&lt;TIME(16,0,0)),"Morning",
  AND(L1493&gt;=TIME(16,0,0), L1493&lt;TIME(23,59,0)),"Evening",
  L1493&gt;=TIME(23,59,0),"Night",
  L1493&lt;TIME(9,0,0),"Night"
))</f>
        <v/>
      </c>
      <c r="O1493" t="str">
        <f t="shared" si="140"/>
        <v/>
      </c>
    </row>
    <row r="1494" spans="1:15" x14ac:dyDescent="0.25">
      <c r="A1494" s="49"/>
      <c r="G1494" t="str">
        <f t="shared" si="138"/>
        <v/>
      </c>
      <c r="H1494" s="13" t="str">
        <f t="shared" si="141"/>
        <v/>
      </c>
      <c r="I1494" t="str">
        <f>IFERROR(INDEX(Analysis!$D$116:$N$137, MATCH(B1494, Analysis!$C$116:$C$137, 0), MATCH(C1494, Analysis!$D$115:$N$115, 0)), "")</f>
        <v/>
      </c>
      <c r="J1494" t="str">
        <f t="shared" si="142"/>
        <v/>
      </c>
      <c r="K1494" s="28" t="str">
        <f t="shared" si="139"/>
        <v/>
      </c>
      <c r="L1494" s="46" t="str">
        <f t="shared" si="143"/>
        <v/>
      </c>
      <c r="M1494" t="str" cm="1">
        <f t="array" ref="M1494">IF(L1494="","",_xlfn.IFS(
  AND(L1494&gt;=TIME(9,0,0), L1494&lt;TIME(16,0,0)),"Morning",
  AND(L1494&gt;=TIME(16,0,0), L1494&lt;TIME(23,59,0)),"Evening",
  L1494&gt;=TIME(23,59,0),"Night",
  L1494&lt;TIME(9,0,0),"Night"
))</f>
        <v/>
      </c>
      <c r="O1494" t="str">
        <f t="shared" si="140"/>
        <v/>
      </c>
    </row>
    <row r="1495" spans="1:15" x14ac:dyDescent="0.25">
      <c r="A1495" s="49"/>
      <c r="G1495" t="str">
        <f t="shared" si="138"/>
        <v/>
      </c>
      <c r="H1495" s="13" t="str">
        <f t="shared" si="141"/>
        <v/>
      </c>
      <c r="I1495" t="str">
        <f>IFERROR(INDEX(Analysis!$D$116:$N$137, MATCH(B1495, Analysis!$C$116:$C$137, 0), MATCH(C1495, Analysis!$D$115:$N$115, 0)), "")</f>
        <v/>
      </c>
      <c r="J1495" t="str">
        <f t="shared" si="142"/>
        <v/>
      </c>
      <c r="K1495" s="28" t="str">
        <f t="shared" si="139"/>
        <v/>
      </c>
      <c r="L1495" s="46" t="str">
        <f t="shared" si="143"/>
        <v/>
      </c>
      <c r="M1495" t="str" cm="1">
        <f t="array" ref="M1495">IF(L1495="","",_xlfn.IFS(
  AND(L1495&gt;=TIME(9,0,0), L1495&lt;TIME(16,0,0)),"Morning",
  AND(L1495&gt;=TIME(16,0,0), L1495&lt;TIME(23,59,0)),"Evening",
  L1495&gt;=TIME(23,59,0),"Night",
  L1495&lt;TIME(9,0,0),"Night"
))</f>
        <v/>
      </c>
      <c r="O1495" t="str">
        <f t="shared" si="140"/>
        <v/>
      </c>
    </row>
    <row r="1496" spans="1:15" x14ac:dyDescent="0.25">
      <c r="A1496" s="49"/>
      <c r="G1496" t="str">
        <f t="shared" si="138"/>
        <v/>
      </c>
      <c r="H1496" s="13" t="str">
        <f t="shared" si="141"/>
        <v/>
      </c>
      <c r="I1496" t="str">
        <f>IFERROR(INDEX(Analysis!$D$116:$N$137, MATCH(B1496, Analysis!$C$116:$C$137, 0), MATCH(C1496, Analysis!$D$115:$N$115, 0)), "")</f>
        <v/>
      </c>
      <c r="J1496" t="str">
        <f t="shared" si="142"/>
        <v/>
      </c>
      <c r="K1496" s="28" t="str">
        <f t="shared" si="139"/>
        <v/>
      </c>
      <c r="L1496" s="46" t="str">
        <f t="shared" si="143"/>
        <v/>
      </c>
      <c r="M1496" t="str" cm="1">
        <f t="array" ref="M1496">IF(L1496="","",_xlfn.IFS(
  AND(L1496&gt;=TIME(9,0,0), L1496&lt;TIME(16,0,0)),"Morning",
  AND(L1496&gt;=TIME(16,0,0), L1496&lt;TIME(23,59,0)),"Evening",
  L1496&gt;=TIME(23,59,0),"Night",
  L1496&lt;TIME(9,0,0),"Night"
))</f>
        <v/>
      </c>
      <c r="O1496" t="str">
        <f t="shared" si="140"/>
        <v/>
      </c>
    </row>
    <row r="1497" spans="1:15" x14ac:dyDescent="0.25">
      <c r="A1497" s="49"/>
      <c r="G1497" t="str">
        <f t="shared" si="138"/>
        <v/>
      </c>
      <c r="H1497" s="13" t="str">
        <f t="shared" si="141"/>
        <v/>
      </c>
      <c r="I1497" t="str">
        <f>IFERROR(INDEX(Analysis!$D$116:$N$137, MATCH(B1497, Analysis!$C$116:$C$137, 0), MATCH(C1497, Analysis!$D$115:$N$115, 0)), "")</f>
        <v/>
      </c>
      <c r="J1497" t="str">
        <f t="shared" si="142"/>
        <v/>
      </c>
      <c r="K1497" s="28" t="str">
        <f t="shared" si="139"/>
        <v/>
      </c>
      <c r="L1497" s="46" t="str">
        <f t="shared" si="143"/>
        <v/>
      </c>
      <c r="M1497" t="str" cm="1">
        <f t="array" ref="M1497">IF(L1497="","",_xlfn.IFS(
  AND(L1497&gt;=TIME(9,0,0), L1497&lt;TIME(16,0,0)),"Morning",
  AND(L1497&gt;=TIME(16,0,0), L1497&lt;TIME(23,59,0)),"Evening",
  L1497&gt;=TIME(23,59,0),"Night",
  L1497&lt;TIME(9,0,0),"Night"
))</f>
        <v/>
      </c>
      <c r="O1497" t="str">
        <f t="shared" si="140"/>
        <v/>
      </c>
    </row>
    <row r="1498" spans="1:15" x14ac:dyDescent="0.25">
      <c r="A1498" s="49"/>
      <c r="G1498" t="str">
        <f t="shared" si="138"/>
        <v/>
      </c>
      <c r="H1498" s="13" t="str">
        <f t="shared" si="141"/>
        <v/>
      </c>
      <c r="I1498" t="str">
        <f>IFERROR(INDEX(Analysis!$D$116:$N$137, MATCH(B1498, Analysis!$C$116:$C$137, 0), MATCH(C1498, Analysis!$D$115:$N$115, 0)), "")</f>
        <v/>
      </c>
      <c r="J1498" t="str">
        <f t="shared" si="142"/>
        <v/>
      </c>
      <c r="K1498" s="28" t="str">
        <f t="shared" si="139"/>
        <v/>
      </c>
      <c r="L1498" s="46" t="str">
        <f t="shared" si="143"/>
        <v/>
      </c>
      <c r="M1498" t="str" cm="1">
        <f t="array" ref="M1498">IF(L1498="","",_xlfn.IFS(
  AND(L1498&gt;=TIME(9,0,0), L1498&lt;TIME(16,0,0)),"Morning",
  AND(L1498&gt;=TIME(16,0,0), L1498&lt;TIME(23,59,0)),"Evening",
  L1498&gt;=TIME(23,59,0),"Night",
  L1498&lt;TIME(9,0,0),"Night"
))</f>
        <v/>
      </c>
      <c r="O1498" t="str">
        <f t="shared" si="140"/>
        <v/>
      </c>
    </row>
    <row r="1499" spans="1:15" x14ac:dyDescent="0.25">
      <c r="A1499" s="49"/>
      <c r="G1499" t="str">
        <f t="shared" si="138"/>
        <v/>
      </c>
      <c r="H1499" s="13" t="str">
        <f t="shared" si="141"/>
        <v/>
      </c>
      <c r="I1499" t="str">
        <f>IFERROR(INDEX(Analysis!$D$116:$N$137, MATCH(B1499, Analysis!$C$116:$C$137, 0), MATCH(C1499, Analysis!$D$115:$N$115, 0)), "")</f>
        <v/>
      </c>
      <c r="J1499" t="str">
        <f t="shared" si="142"/>
        <v/>
      </c>
      <c r="K1499" s="28" t="str">
        <f t="shared" si="139"/>
        <v/>
      </c>
      <c r="L1499" s="46" t="str">
        <f t="shared" si="143"/>
        <v/>
      </c>
      <c r="M1499" t="str" cm="1">
        <f t="array" ref="M1499">IF(L1499="","",_xlfn.IFS(
  AND(L1499&gt;=TIME(9,0,0), L1499&lt;TIME(16,0,0)),"Morning",
  AND(L1499&gt;=TIME(16,0,0), L1499&lt;TIME(23,59,0)),"Evening",
  L1499&gt;=TIME(23,59,0),"Night",
  L1499&lt;TIME(9,0,0),"Night"
))</f>
        <v/>
      </c>
      <c r="O1499" t="str">
        <f t="shared" si="140"/>
        <v/>
      </c>
    </row>
    <row r="1500" spans="1:15" x14ac:dyDescent="0.25">
      <c r="A1500" s="49"/>
      <c r="G1500" t="str">
        <f t="shared" si="138"/>
        <v/>
      </c>
      <c r="H1500" s="13" t="str">
        <f t="shared" si="141"/>
        <v/>
      </c>
      <c r="I1500" t="str">
        <f>IFERROR(INDEX(Analysis!$D$116:$N$137, MATCH(B1500, Analysis!$C$116:$C$137, 0), MATCH(C1500, Analysis!$D$115:$N$115, 0)), "")</f>
        <v/>
      </c>
      <c r="J1500" t="str">
        <f t="shared" si="142"/>
        <v/>
      </c>
      <c r="K1500" s="28" t="str">
        <f t="shared" si="139"/>
        <v/>
      </c>
      <c r="L1500" s="46" t="str">
        <f t="shared" si="143"/>
        <v/>
      </c>
      <c r="M1500" t="str" cm="1">
        <f t="array" ref="M1500">IF(L1500="","",_xlfn.IFS(
  AND(L1500&gt;=TIME(9,0,0), L1500&lt;TIME(16,0,0)),"Morning",
  AND(L1500&gt;=TIME(16,0,0), L1500&lt;TIME(23,59,0)),"Evening",
  L1500&gt;=TIME(23,59,0),"Night",
  L1500&lt;TIME(9,0,0),"Night"
))</f>
        <v/>
      </c>
      <c r="O1500" t="str">
        <f t="shared" si="140"/>
        <v/>
      </c>
    </row>
    <row r="1501" spans="1:15" x14ac:dyDescent="0.25">
      <c r="A1501" s="49"/>
      <c r="G1501" t="str">
        <f t="shared" si="138"/>
        <v/>
      </c>
      <c r="H1501" s="13" t="str">
        <f t="shared" si="141"/>
        <v/>
      </c>
      <c r="I1501" t="str">
        <f>IFERROR(INDEX(Analysis!$D$116:$N$137, MATCH(B1501, Analysis!$C$116:$C$137, 0), MATCH(C1501, Analysis!$D$115:$N$115, 0)), "")</f>
        <v/>
      </c>
      <c r="J1501" t="str">
        <f t="shared" si="142"/>
        <v/>
      </c>
      <c r="K1501" s="28" t="str">
        <f t="shared" si="139"/>
        <v/>
      </c>
      <c r="L1501" s="46" t="str">
        <f t="shared" si="143"/>
        <v/>
      </c>
      <c r="M1501" t="str" cm="1">
        <f t="array" ref="M1501">IF(L1501="","",_xlfn.IFS(
  AND(L1501&gt;=TIME(9,0,0), L1501&lt;TIME(16,0,0)),"Morning",
  AND(L1501&gt;=TIME(16,0,0), L1501&lt;TIME(23,59,0)),"Evening",
  L1501&gt;=TIME(23,59,0),"Night",
  L1501&lt;TIME(9,0,0),"Night"
))</f>
        <v/>
      </c>
      <c r="O1501" t="str">
        <f t="shared" si="140"/>
        <v/>
      </c>
    </row>
    <row r="1502" spans="1:15" x14ac:dyDescent="0.25">
      <c r="A1502" s="49"/>
      <c r="G1502" t="str">
        <f t="shared" si="138"/>
        <v/>
      </c>
      <c r="H1502" s="13" t="str">
        <f t="shared" si="141"/>
        <v/>
      </c>
      <c r="I1502" t="str">
        <f>IFERROR(INDEX(Analysis!$D$116:$N$137, MATCH(B1502, Analysis!$C$116:$C$137, 0), MATCH(C1502, Analysis!$D$115:$N$115, 0)), "")</f>
        <v/>
      </c>
      <c r="J1502" t="str">
        <f t="shared" si="142"/>
        <v/>
      </c>
      <c r="K1502" s="28" t="str">
        <f t="shared" si="139"/>
        <v/>
      </c>
      <c r="L1502" s="46" t="str">
        <f t="shared" si="143"/>
        <v/>
      </c>
      <c r="M1502" t="str" cm="1">
        <f t="array" ref="M1502">IF(L1502="","",_xlfn.IFS(
  AND(L1502&gt;=TIME(9,0,0), L1502&lt;TIME(16,0,0)),"Morning",
  AND(L1502&gt;=TIME(16,0,0), L1502&lt;TIME(23,59,0)),"Evening",
  L1502&gt;=TIME(23,59,0),"Night",
  L1502&lt;TIME(9,0,0),"Night"
))</f>
        <v/>
      </c>
      <c r="O1502" t="str">
        <f t="shared" si="140"/>
        <v/>
      </c>
    </row>
    <row r="1503" spans="1:15" x14ac:dyDescent="0.25">
      <c r="A1503" s="49"/>
      <c r="G1503" t="str">
        <f t="shared" si="138"/>
        <v/>
      </c>
      <c r="H1503" s="13" t="str">
        <f t="shared" si="141"/>
        <v/>
      </c>
      <c r="I1503" t="str">
        <f>IFERROR(INDEX(Analysis!$D$116:$N$137, MATCH(B1503, Analysis!$C$116:$C$137, 0), MATCH(C1503, Analysis!$D$115:$N$115, 0)), "")</f>
        <v/>
      </c>
      <c r="J1503" t="str">
        <f t="shared" si="142"/>
        <v/>
      </c>
      <c r="K1503" s="28" t="str">
        <f t="shared" si="139"/>
        <v/>
      </c>
      <c r="L1503" s="46" t="str">
        <f t="shared" si="143"/>
        <v/>
      </c>
      <c r="M1503" t="str" cm="1">
        <f t="array" ref="M1503">IF(L1503="","",_xlfn.IFS(
  AND(L1503&gt;=TIME(9,0,0), L1503&lt;TIME(16,0,0)),"Morning",
  AND(L1503&gt;=TIME(16,0,0), L1503&lt;TIME(23,59,0)),"Evening",
  L1503&gt;=TIME(23,59,0),"Night",
  L1503&lt;TIME(9,0,0),"Night"
))</f>
        <v/>
      </c>
      <c r="O1503" t="str">
        <f t="shared" si="140"/>
        <v/>
      </c>
    </row>
    <row r="1504" spans="1:15" x14ac:dyDescent="0.25">
      <c r="A1504" s="49"/>
      <c r="G1504" t="str">
        <f t="shared" si="138"/>
        <v/>
      </c>
      <c r="H1504" s="13" t="str">
        <f t="shared" si="141"/>
        <v/>
      </c>
      <c r="I1504" t="str">
        <f>IFERROR(INDEX(Analysis!$D$116:$N$137, MATCH(B1504, Analysis!$C$116:$C$137, 0), MATCH(C1504, Analysis!$D$115:$N$115, 0)), "")</f>
        <v/>
      </c>
      <c r="J1504" t="str">
        <f t="shared" si="142"/>
        <v/>
      </c>
      <c r="K1504" s="28" t="str">
        <f t="shared" si="139"/>
        <v/>
      </c>
      <c r="L1504" s="46" t="str">
        <f t="shared" si="143"/>
        <v/>
      </c>
      <c r="M1504" t="str" cm="1">
        <f t="array" ref="M1504">IF(L1504="","",_xlfn.IFS(
  AND(L1504&gt;=TIME(9,0,0), L1504&lt;TIME(16,0,0)),"Morning",
  AND(L1504&gt;=TIME(16,0,0), L1504&lt;TIME(23,59,0)),"Evening",
  L1504&gt;=TIME(23,59,0),"Night",
  L1504&lt;TIME(9,0,0),"Night"
))</f>
        <v/>
      </c>
      <c r="O1504" t="str">
        <f t="shared" si="140"/>
        <v/>
      </c>
    </row>
    <row r="1505" spans="1:15" x14ac:dyDescent="0.25">
      <c r="A1505" s="49"/>
      <c r="G1505" t="str">
        <f t="shared" si="138"/>
        <v/>
      </c>
      <c r="H1505" s="13" t="str">
        <f t="shared" si="141"/>
        <v/>
      </c>
      <c r="I1505" t="str">
        <f>IFERROR(INDEX(Analysis!$D$116:$N$137, MATCH(B1505, Analysis!$C$116:$C$137, 0), MATCH(C1505, Analysis!$D$115:$N$115, 0)), "")</f>
        <v/>
      </c>
      <c r="J1505" t="str">
        <f t="shared" si="142"/>
        <v/>
      </c>
      <c r="K1505" s="28" t="str">
        <f t="shared" si="139"/>
        <v/>
      </c>
      <c r="L1505" s="46" t="str">
        <f t="shared" si="143"/>
        <v/>
      </c>
      <c r="M1505" t="str" cm="1">
        <f t="array" ref="M1505">IF(L1505="","",_xlfn.IFS(
  AND(L1505&gt;=TIME(9,0,0), L1505&lt;TIME(16,0,0)),"Morning",
  AND(L1505&gt;=TIME(16,0,0), L1505&lt;TIME(23,59,0)),"Evening",
  L1505&gt;=TIME(23,59,0),"Night",
  L1505&lt;TIME(9,0,0),"Night"
))</f>
        <v/>
      </c>
      <c r="O1505" t="str">
        <f t="shared" si="140"/>
        <v/>
      </c>
    </row>
    <row r="1506" spans="1:15" x14ac:dyDescent="0.25">
      <c r="A1506" s="49"/>
      <c r="G1506" t="str">
        <f t="shared" si="138"/>
        <v/>
      </c>
      <c r="H1506" s="13" t="str">
        <f t="shared" si="141"/>
        <v/>
      </c>
      <c r="I1506" t="str">
        <f>IFERROR(INDEX(Analysis!$D$116:$N$137, MATCH(B1506, Analysis!$C$116:$C$137, 0), MATCH(C1506, Analysis!$D$115:$N$115, 0)), "")</f>
        <v/>
      </c>
      <c r="J1506" t="str">
        <f t="shared" si="142"/>
        <v/>
      </c>
      <c r="K1506" s="28" t="str">
        <f t="shared" si="139"/>
        <v/>
      </c>
      <c r="L1506" s="46" t="str">
        <f t="shared" si="143"/>
        <v/>
      </c>
      <c r="M1506" t="str" cm="1">
        <f t="array" ref="M1506">IF(L1506="","",_xlfn.IFS(
  AND(L1506&gt;=TIME(9,0,0), L1506&lt;TIME(16,0,0)),"Morning",
  AND(L1506&gt;=TIME(16,0,0), L1506&lt;TIME(23,59,0)),"Evening",
  L1506&gt;=TIME(23,59,0),"Night",
  L1506&lt;TIME(9,0,0),"Night"
))</f>
        <v/>
      </c>
      <c r="O1506" t="str">
        <f t="shared" si="140"/>
        <v/>
      </c>
    </row>
    <row r="1507" spans="1:15" x14ac:dyDescent="0.25">
      <c r="A1507" s="49"/>
      <c r="G1507" t="str">
        <f t="shared" si="138"/>
        <v/>
      </c>
      <c r="H1507" s="13" t="str">
        <f t="shared" si="141"/>
        <v/>
      </c>
      <c r="I1507" t="str">
        <f>IFERROR(INDEX(Analysis!$D$116:$N$137, MATCH(B1507, Analysis!$C$116:$C$137, 0), MATCH(C1507, Analysis!$D$115:$N$115, 0)), "")</f>
        <v/>
      </c>
      <c r="J1507" t="str">
        <f t="shared" si="142"/>
        <v/>
      </c>
      <c r="K1507" s="28" t="str">
        <f t="shared" si="139"/>
        <v/>
      </c>
      <c r="L1507" s="46" t="str">
        <f t="shared" si="143"/>
        <v/>
      </c>
      <c r="M1507" t="str" cm="1">
        <f t="array" ref="M1507">IF(L1507="","",_xlfn.IFS(
  AND(L1507&gt;=TIME(9,0,0), L1507&lt;TIME(16,0,0)),"Morning",
  AND(L1507&gt;=TIME(16,0,0), L1507&lt;TIME(23,59,0)),"Evening",
  L1507&gt;=TIME(23,59,0),"Night",
  L1507&lt;TIME(9,0,0),"Night"
))</f>
        <v/>
      </c>
      <c r="O1507" t="str">
        <f t="shared" si="140"/>
        <v/>
      </c>
    </row>
    <row r="1508" spans="1:15" x14ac:dyDescent="0.25">
      <c r="A1508" s="49"/>
      <c r="G1508" t="str">
        <f t="shared" si="138"/>
        <v/>
      </c>
      <c r="H1508" s="13" t="str">
        <f t="shared" si="141"/>
        <v/>
      </c>
      <c r="I1508" t="str">
        <f>IFERROR(INDEX(Analysis!$D$116:$N$137, MATCH(B1508, Analysis!$C$116:$C$137, 0), MATCH(C1508, Analysis!$D$115:$N$115, 0)), "")</f>
        <v/>
      </c>
      <c r="J1508" t="str">
        <f t="shared" si="142"/>
        <v/>
      </c>
      <c r="K1508" s="28" t="str">
        <f t="shared" si="139"/>
        <v/>
      </c>
      <c r="L1508" s="46" t="str">
        <f t="shared" si="143"/>
        <v/>
      </c>
      <c r="M1508" t="str" cm="1">
        <f t="array" ref="M1508">IF(L1508="","",_xlfn.IFS(
  AND(L1508&gt;=TIME(9,0,0), L1508&lt;TIME(16,0,0)),"Morning",
  AND(L1508&gt;=TIME(16,0,0), L1508&lt;TIME(23,59,0)),"Evening",
  L1508&gt;=TIME(23,59,0),"Night",
  L1508&lt;TIME(9,0,0),"Night"
))</f>
        <v/>
      </c>
      <c r="O1508" t="str">
        <f t="shared" si="140"/>
        <v/>
      </c>
    </row>
    <row r="1509" spans="1:15" x14ac:dyDescent="0.25">
      <c r="A1509" s="49"/>
      <c r="G1509" t="str">
        <f t="shared" si="138"/>
        <v/>
      </c>
      <c r="H1509" s="13" t="str">
        <f t="shared" si="141"/>
        <v/>
      </c>
      <c r="I1509" t="str">
        <f>IFERROR(INDEX(Analysis!$D$116:$N$137, MATCH(B1509, Analysis!$C$116:$C$137, 0), MATCH(C1509, Analysis!$D$115:$N$115, 0)), "")</f>
        <v/>
      </c>
      <c r="J1509" t="str">
        <f t="shared" si="142"/>
        <v/>
      </c>
      <c r="K1509" s="28" t="str">
        <f t="shared" si="139"/>
        <v/>
      </c>
      <c r="L1509" s="46" t="str">
        <f t="shared" si="143"/>
        <v/>
      </c>
      <c r="M1509" t="str" cm="1">
        <f t="array" ref="M1509">IF(L1509="","",_xlfn.IFS(
  AND(L1509&gt;=TIME(9,0,0), L1509&lt;TIME(16,0,0)),"Morning",
  AND(L1509&gt;=TIME(16,0,0), L1509&lt;TIME(23,59,0)),"Evening",
  L1509&gt;=TIME(23,59,0),"Night",
  L1509&lt;TIME(9,0,0),"Night"
))</f>
        <v/>
      </c>
      <c r="O1509" t="str">
        <f t="shared" si="140"/>
        <v/>
      </c>
    </row>
    <row r="1510" spans="1:15" x14ac:dyDescent="0.25">
      <c r="A1510" s="49"/>
      <c r="G1510" t="str">
        <f t="shared" si="138"/>
        <v/>
      </c>
      <c r="H1510" s="13" t="str">
        <f t="shared" si="141"/>
        <v/>
      </c>
      <c r="I1510" t="str">
        <f>IFERROR(INDEX(Analysis!$D$116:$N$137, MATCH(B1510, Analysis!$C$116:$C$137, 0), MATCH(C1510, Analysis!$D$115:$N$115, 0)), "")</f>
        <v/>
      </c>
      <c r="J1510" t="str">
        <f t="shared" si="142"/>
        <v/>
      </c>
      <c r="K1510" s="28" t="str">
        <f t="shared" si="139"/>
        <v/>
      </c>
      <c r="L1510" s="46" t="str">
        <f t="shared" si="143"/>
        <v/>
      </c>
      <c r="M1510" t="str" cm="1">
        <f t="array" ref="M1510">IF(L1510="","",_xlfn.IFS(
  AND(L1510&gt;=TIME(9,0,0), L1510&lt;TIME(16,0,0)),"Morning",
  AND(L1510&gt;=TIME(16,0,0), L1510&lt;TIME(23,59,0)),"Evening",
  L1510&gt;=TIME(23,59,0),"Night",
  L1510&lt;TIME(9,0,0),"Night"
))</f>
        <v/>
      </c>
      <c r="O1510" t="str">
        <f t="shared" si="140"/>
        <v/>
      </c>
    </row>
    <row r="1511" spans="1:15" x14ac:dyDescent="0.25">
      <c r="A1511" s="49"/>
      <c r="G1511" t="str">
        <f t="shared" si="138"/>
        <v/>
      </c>
      <c r="H1511" s="13" t="str">
        <f t="shared" si="141"/>
        <v/>
      </c>
      <c r="I1511" t="str">
        <f>IFERROR(INDEX(Analysis!$D$116:$N$137, MATCH(B1511, Analysis!$C$116:$C$137, 0), MATCH(C1511, Analysis!$D$115:$N$115, 0)), "")</f>
        <v/>
      </c>
      <c r="J1511" t="str">
        <f t="shared" si="142"/>
        <v/>
      </c>
      <c r="K1511" s="28" t="str">
        <f t="shared" si="139"/>
        <v/>
      </c>
      <c r="L1511" s="46" t="str">
        <f t="shared" si="143"/>
        <v/>
      </c>
      <c r="M1511" t="str" cm="1">
        <f t="array" ref="M1511">IF(L1511="","",_xlfn.IFS(
  AND(L1511&gt;=TIME(9,0,0), L1511&lt;TIME(16,0,0)),"Morning",
  AND(L1511&gt;=TIME(16,0,0), L1511&lt;TIME(23,59,0)),"Evening",
  L1511&gt;=TIME(23,59,0),"Night",
  L1511&lt;TIME(9,0,0),"Night"
))</f>
        <v/>
      </c>
      <c r="O1511" t="str">
        <f t="shared" si="140"/>
        <v/>
      </c>
    </row>
    <row r="1512" spans="1:15" x14ac:dyDescent="0.25">
      <c r="A1512" s="49"/>
      <c r="G1512" t="str">
        <f t="shared" si="138"/>
        <v/>
      </c>
      <c r="H1512" s="13" t="str">
        <f t="shared" si="141"/>
        <v/>
      </c>
      <c r="I1512" t="str">
        <f>IFERROR(INDEX(Analysis!$D$116:$N$137, MATCH(B1512, Analysis!$C$116:$C$137, 0), MATCH(C1512, Analysis!$D$115:$N$115, 0)), "")</f>
        <v/>
      </c>
      <c r="J1512" t="str">
        <f t="shared" si="142"/>
        <v/>
      </c>
      <c r="K1512" s="28" t="str">
        <f t="shared" si="139"/>
        <v/>
      </c>
      <c r="L1512" s="46" t="str">
        <f t="shared" si="143"/>
        <v/>
      </c>
      <c r="M1512" t="str" cm="1">
        <f t="array" ref="M1512">IF(L1512="","",_xlfn.IFS(
  AND(L1512&gt;=TIME(9,0,0), L1512&lt;TIME(16,0,0)),"Morning",
  AND(L1512&gt;=TIME(16,0,0), L1512&lt;TIME(23,59,0)),"Evening",
  L1512&gt;=TIME(23,59,0),"Night",
  L1512&lt;TIME(9,0,0),"Night"
))</f>
        <v/>
      </c>
      <c r="O1512" t="str">
        <f t="shared" si="140"/>
        <v/>
      </c>
    </row>
    <row r="1513" spans="1:15" x14ac:dyDescent="0.25">
      <c r="A1513" s="49"/>
      <c r="G1513" t="str">
        <f t="shared" si="138"/>
        <v/>
      </c>
      <c r="H1513" s="13" t="str">
        <f t="shared" si="141"/>
        <v/>
      </c>
      <c r="I1513" t="str">
        <f>IFERROR(INDEX(Analysis!$D$116:$N$137, MATCH(B1513, Analysis!$C$116:$C$137, 0), MATCH(C1513, Analysis!$D$115:$N$115, 0)), "")</f>
        <v/>
      </c>
      <c r="J1513" t="str">
        <f t="shared" si="142"/>
        <v/>
      </c>
      <c r="K1513" s="28" t="str">
        <f t="shared" si="139"/>
        <v/>
      </c>
      <c r="L1513" s="46" t="str">
        <f t="shared" si="143"/>
        <v/>
      </c>
      <c r="M1513" t="str" cm="1">
        <f t="array" ref="M1513">IF(L1513="","",_xlfn.IFS(
  AND(L1513&gt;=TIME(9,0,0), L1513&lt;TIME(16,0,0)),"Morning",
  AND(L1513&gt;=TIME(16,0,0), L1513&lt;TIME(23,59,0)),"Evening",
  L1513&gt;=TIME(23,59,0),"Night",
  L1513&lt;TIME(9,0,0),"Night"
))</f>
        <v/>
      </c>
      <c r="O1513" t="str">
        <f t="shared" si="140"/>
        <v/>
      </c>
    </row>
    <row r="1514" spans="1:15" x14ac:dyDescent="0.25">
      <c r="A1514" s="49"/>
      <c r="G1514" t="str">
        <f t="shared" si="138"/>
        <v/>
      </c>
      <c r="H1514" s="13" t="str">
        <f t="shared" si="141"/>
        <v/>
      </c>
      <c r="I1514" t="str">
        <f>IFERROR(INDEX(Analysis!$D$116:$N$137, MATCH(B1514, Analysis!$C$116:$C$137, 0), MATCH(C1514, Analysis!$D$115:$N$115, 0)), "")</f>
        <v/>
      </c>
      <c r="J1514" t="str">
        <f t="shared" si="142"/>
        <v/>
      </c>
      <c r="K1514" s="28" t="str">
        <f t="shared" si="139"/>
        <v/>
      </c>
      <c r="L1514" s="46" t="str">
        <f t="shared" si="143"/>
        <v/>
      </c>
      <c r="M1514" t="str" cm="1">
        <f t="array" ref="M1514">IF(L1514="","",_xlfn.IFS(
  AND(L1514&gt;=TIME(9,0,0), L1514&lt;TIME(16,0,0)),"Morning",
  AND(L1514&gt;=TIME(16,0,0), L1514&lt;TIME(23,59,0)),"Evening",
  L1514&gt;=TIME(23,59,0),"Night",
  L1514&lt;TIME(9,0,0),"Night"
))</f>
        <v/>
      </c>
      <c r="O1514" t="str">
        <f t="shared" si="140"/>
        <v/>
      </c>
    </row>
    <row r="1515" spans="1:15" x14ac:dyDescent="0.25">
      <c r="A1515" s="49"/>
      <c r="G1515" t="str">
        <f t="shared" si="138"/>
        <v/>
      </c>
      <c r="H1515" s="13" t="str">
        <f t="shared" si="141"/>
        <v/>
      </c>
      <c r="I1515" t="str">
        <f>IFERROR(INDEX(Analysis!$D$116:$N$137, MATCH(B1515, Analysis!$C$116:$C$137, 0), MATCH(C1515, Analysis!$D$115:$N$115, 0)), "")</f>
        <v/>
      </c>
      <c r="J1515" t="str">
        <f t="shared" si="142"/>
        <v/>
      </c>
      <c r="K1515" s="28" t="str">
        <f t="shared" si="139"/>
        <v/>
      </c>
      <c r="L1515" s="46" t="str">
        <f t="shared" si="143"/>
        <v/>
      </c>
      <c r="M1515" t="str" cm="1">
        <f t="array" ref="M1515">IF(L1515="","",_xlfn.IFS(
  AND(L1515&gt;=TIME(9,0,0), L1515&lt;TIME(16,0,0)),"Morning",
  AND(L1515&gt;=TIME(16,0,0), L1515&lt;TIME(23,59,0)),"Evening",
  L1515&gt;=TIME(23,59,0),"Night",
  L1515&lt;TIME(9,0,0),"Night"
))</f>
        <v/>
      </c>
      <c r="O1515" t="str">
        <f t="shared" si="140"/>
        <v/>
      </c>
    </row>
    <row r="1516" spans="1:15" x14ac:dyDescent="0.25">
      <c r="A1516" s="49"/>
      <c r="G1516" t="str">
        <f t="shared" si="138"/>
        <v/>
      </c>
      <c r="H1516" s="13" t="str">
        <f t="shared" si="141"/>
        <v/>
      </c>
      <c r="I1516" t="str">
        <f>IFERROR(INDEX(Analysis!$D$116:$N$137, MATCH(B1516, Analysis!$C$116:$C$137, 0), MATCH(C1516, Analysis!$D$115:$N$115, 0)), "")</f>
        <v/>
      </c>
      <c r="J1516" t="str">
        <f t="shared" si="142"/>
        <v/>
      </c>
      <c r="K1516" s="28" t="str">
        <f t="shared" si="139"/>
        <v/>
      </c>
      <c r="L1516" s="46" t="str">
        <f t="shared" si="143"/>
        <v/>
      </c>
      <c r="M1516" t="str" cm="1">
        <f t="array" ref="M1516">IF(L1516="","",_xlfn.IFS(
  AND(L1516&gt;=TIME(9,0,0), L1516&lt;TIME(16,0,0)),"Morning",
  AND(L1516&gt;=TIME(16,0,0), L1516&lt;TIME(23,59,0)),"Evening",
  L1516&gt;=TIME(23,59,0),"Night",
  L1516&lt;TIME(9,0,0),"Night"
))</f>
        <v/>
      </c>
      <c r="O1516" t="str">
        <f t="shared" si="140"/>
        <v/>
      </c>
    </row>
    <row r="1517" spans="1:15" x14ac:dyDescent="0.25">
      <c r="A1517" s="49"/>
      <c r="G1517" t="str">
        <f t="shared" si="138"/>
        <v/>
      </c>
      <c r="H1517" s="13" t="str">
        <f t="shared" si="141"/>
        <v/>
      </c>
      <c r="I1517" t="str">
        <f>IFERROR(INDEX(Analysis!$D$116:$N$137, MATCH(B1517, Analysis!$C$116:$C$137, 0), MATCH(C1517, Analysis!$D$115:$N$115, 0)), "")</f>
        <v/>
      </c>
      <c r="J1517" t="str">
        <f t="shared" si="142"/>
        <v/>
      </c>
      <c r="K1517" s="28" t="str">
        <f t="shared" si="139"/>
        <v/>
      </c>
      <c r="L1517" s="46" t="str">
        <f t="shared" si="143"/>
        <v/>
      </c>
      <c r="M1517" t="str" cm="1">
        <f t="array" ref="M1517">IF(L1517="","",_xlfn.IFS(
  AND(L1517&gt;=TIME(9,0,0), L1517&lt;TIME(16,0,0)),"Morning",
  AND(L1517&gt;=TIME(16,0,0), L1517&lt;TIME(23,59,0)),"Evening",
  L1517&gt;=TIME(23,59,0),"Night",
  L1517&lt;TIME(9,0,0),"Night"
))</f>
        <v/>
      </c>
      <c r="O1517" t="str">
        <f t="shared" si="140"/>
        <v/>
      </c>
    </row>
    <row r="1518" spans="1:15" x14ac:dyDescent="0.25">
      <c r="A1518" s="49"/>
      <c r="G1518" t="str">
        <f t="shared" si="138"/>
        <v/>
      </c>
      <c r="H1518" s="13" t="str">
        <f t="shared" si="141"/>
        <v/>
      </c>
      <c r="I1518" t="str">
        <f>IFERROR(INDEX(Analysis!$D$116:$N$137, MATCH(B1518, Analysis!$C$116:$C$137, 0), MATCH(C1518, Analysis!$D$115:$N$115, 0)), "")</f>
        <v/>
      </c>
      <c r="J1518" t="str">
        <f t="shared" si="142"/>
        <v/>
      </c>
      <c r="K1518" s="28" t="str">
        <f t="shared" si="139"/>
        <v/>
      </c>
      <c r="L1518" s="46" t="str">
        <f t="shared" si="143"/>
        <v/>
      </c>
      <c r="M1518" t="str" cm="1">
        <f t="array" ref="M1518">IF(L1518="","",_xlfn.IFS(
  AND(L1518&gt;=TIME(9,0,0), L1518&lt;TIME(16,0,0)),"Morning",
  AND(L1518&gt;=TIME(16,0,0), L1518&lt;TIME(23,59,0)),"Evening",
  L1518&gt;=TIME(23,59,0),"Night",
  L1518&lt;TIME(9,0,0),"Night"
))</f>
        <v/>
      </c>
      <c r="O1518" t="str">
        <f t="shared" si="140"/>
        <v/>
      </c>
    </row>
    <row r="1519" spans="1:15" x14ac:dyDescent="0.25">
      <c r="A1519" s="49"/>
      <c r="G1519" t="str">
        <f t="shared" si="138"/>
        <v/>
      </c>
      <c r="H1519" s="13" t="str">
        <f t="shared" si="141"/>
        <v/>
      </c>
      <c r="I1519" t="str">
        <f>IFERROR(INDEX(Analysis!$D$116:$N$137, MATCH(B1519, Analysis!$C$116:$C$137, 0), MATCH(C1519, Analysis!$D$115:$N$115, 0)), "")</f>
        <v/>
      </c>
      <c r="J1519" t="str">
        <f t="shared" si="142"/>
        <v/>
      </c>
      <c r="K1519" s="28" t="str">
        <f t="shared" si="139"/>
        <v/>
      </c>
      <c r="L1519" s="46" t="str">
        <f t="shared" si="143"/>
        <v/>
      </c>
      <c r="M1519" t="str" cm="1">
        <f t="array" ref="M1519">IF(L1519="","",_xlfn.IFS(
  AND(L1519&gt;=TIME(9,0,0), L1519&lt;TIME(16,0,0)),"Morning",
  AND(L1519&gt;=TIME(16,0,0), L1519&lt;TIME(23,59,0)),"Evening",
  L1519&gt;=TIME(23,59,0),"Night",
  L1519&lt;TIME(9,0,0),"Night"
))</f>
        <v/>
      </c>
      <c r="O1519" t="str">
        <f t="shared" si="140"/>
        <v/>
      </c>
    </row>
    <row r="1520" spans="1:15" x14ac:dyDescent="0.25">
      <c r="A1520" s="49"/>
      <c r="G1520" t="str">
        <f t="shared" si="138"/>
        <v/>
      </c>
      <c r="H1520" s="13" t="str">
        <f t="shared" si="141"/>
        <v/>
      </c>
      <c r="I1520" t="str">
        <f>IFERROR(INDEX(Analysis!$D$116:$N$137, MATCH(B1520, Analysis!$C$116:$C$137, 0), MATCH(C1520, Analysis!$D$115:$N$115, 0)), "")</f>
        <v/>
      </c>
      <c r="J1520" t="str">
        <f t="shared" si="142"/>
        <v/>
      </c>
      <c r="K1520" s="28" t="str">
        <f t="shared" si="139"/>
        <v/>
      </c>
      <c r="L1520" s="46" t="str">
        <f t="shared" si="143"/>
        <v/>
      </c>
      <c r="M1520" t="str" cm="1">
        <f t="array" ref="M1520">IF(L1520="","",_xlfn.IFS(
  AND(L1520&gt;=TIME(9,0,0), L1520&lt;TIME(16,0,0)),"Morning",
  AND(L1520&gt;=TIME(16,0,0), L1520&lt;TIME(23,59,0)),"Evening",
  L1520&gt;=TIME(23,59,0),"Night",
  L1520&lt;TIME(9,0,0),"Night"
))</f>
        <v/>
      </c>
      <c r="O1520" t="str">
        <f t="shared" si="140"/>
        <v/>
      </c>
    </row>
    <row r="1521" spans="1:15" x14ac:dyDescent="0.25">
      <c r="A1521" s="49"/>
      <c r="G1521" t="str">
        <f t="shared" si="138"/>
        <v/>
      </c>
      <c r="H1521" s="13" t="str">
        <f t="shared" si="141"/>
        <v/>
      </c>
      <c r="I1521" t="str">
        <f>IFERROR(INDEX(Analysis!$D$116:$N$137, MATCH(B1521, Analysis!$C$116:$C$137, 0), MATCH(C1521, Analysis!$D$115:$N$115, 0)), "")</f>
        <v/>
      </c>
      <c r="J1521" t="str">
        <f t="shared" si="142"/>
        <v/>
      </c>
      <c r="K1521" s="28" t="str">
        <f t="shared" si="139"/>
        <v/>
      </c>
      <c r="L1521" s="46" t="str">
        <f t="shared" si="143"/>
        <v/>
      </c>
      <c r="M1521" t="str" cm="1">
        <f t="array" ref="M1521">IF(L1521="","",_xlfn.IFS(
  AND(L1521&gt;=TIME(9,0,0), L1521&lt;TIME(16,0,0)),"Morning",
  AND(L1521&gt;=TIME(16,0,0), L1521&lt;TIME(23,59,0)),"Evening",
  L1521&gt;=TIME(23,59,0),"Night",
  L1521&lt;TIME(9,0,0),"Night"
))</f>
        <v/>
      </c>
      <c r="O1521" t="str">
        <f t="shared" si="140"/>
        <v/>
      </c>
    </row>
    <row r="1522" spans="1:15" x14ac:dyDescent="0.25">
      <c r="A1522" s="49"/>
      <c r="G1522" t="str">
        <f t="shared" si="138"/>
        <v/>
      </c>
      <c r="H1522" s="13" t="str">
        <f t="shared" si="141"/>
        <v/>
      </c>
      <c r="I1522" t="str">
        <f>IFERROR(INDEX(Analysis!$D$116:$N$137, MATCH(B1522, Analysis!$C$116:$C$137, 0), MATCH(C1522, Analysis!$D$115:$N$115, 0)), "")</f>
        <v/>
      </c>
      <c r="J1522" t="str">
        <f t="shared" si="142"/>
        <v/>
      </c>
      <c r="K1522" s="28" t="str">
        <f t="shared" si="139"/>
        <v/>
      </c>
      <c r="L1522" s="46" t="str">
        <f t="shared" si="143"/>
        <v/>
      </c>
      <c r="M1522" t="str" cm="1">
        <f t="array" ref="M1522">IF(L1522="","",_xlfn.IFS(
  AND(L1522&gt;=TIME(9,0,0), L1522&lt;TIME(16,0,0)),"Morning",
  AND(L1522&gt;=TIME(16,0,0), L1522&lt;TIME(23,59,0)),"Evening",
  L1522&gt;=TIME(23,59,0),"Night",
  L1522&lt;TIME(9,0,0),"Night"
))</f>
        <v/>
      </c>
      <c r="O1522" t="str">
        <f t="shared" si="140"/>
        <v/>
      </c>
    </row>
    <row r="1523" spans="1:15" x14ac:dyDescent="0.25">
      <c r="A1523" s="49"/>
      <c r="G1523" t="str">
        <f t="shared" si="138"/>
        <v/>
      </c>
      <c r="H1523" s="13" t="str">
        <f t="shared" si="141"/>
        <v/>
      </c>
      <c r="I1523" t="str">
        <f>IFERROR(INDEX(Analysis!$D$116:$N$137, MATCH(B1523, Analysis!$C$116:$C$137, 0), MATCH(C1523, Analysis!$D$115:$N$115, 0)), "")</f>
        <v/>
      </c>
      <c r="J1523" t="str">
        <f t="shared" si="142"/>
        <v/>
      </c>
      <c r="K1523" s="28" t="str">
        <f t="shared" si="139"/>
        <v/>
      </c>
      <c r="L1523" s="46" t="str">
        <f t="shared" si="143"/>
        <v/>
      </c>
      <c r="M1523" t="str" cm="1">
        <f t="array" ref="M1523">IF(L1523="","",_xlfn.IFS(
  AND(L1523&gt;=TIME(9,0,0), L1523&lt;TIME(16,0,0)),"Morning",
  AND(L1523&gt;=TIME(16,0,0), L1523&lt;TIME(23,59,0)),"Evening",
  L1523&gt;=TIME(23,59,0),"Night",
  L1523&lt;TIME(9,0,0),"Night"
))</f>
        <v/>
      </c>
      <c r="O1523" t="str">
        <f t="shared" si="140"/>
        <v/>
      </c>
    </row>
    <row r="1524" spans="1:15" x14ac:dyDescent="0.25">
      <c r="A1524" s="49"/>
      <c r="G1524" t="str">
        <f t="shared" si="138"/>
        <v/>
      </c>
      <c r="H1524" s="13" t="str">
        <f t="shared" si="141"/>
        <v/>
      </c>
      <c r="I1524" t="str">
        <f>IFERROR(INDEX(Analysis!$D$116:$N$137, MATCH(B1524, Analysis!$C$116:$C$137, 0), MATCH(C1524, Analysis!$D$115:$N$115, 0)), "")</f>
        <v/>
      </c>
      <c r="J1524" t="str">
        <f t="shared" si="142"/>
        <v/>
      </c>
      <c r="K1524" s="28" t="str">
        <f t="shared" si="139"/>
        <v/>
      </c>
      <c r="L1524" s="46" t="str">
        <f t="shared" si="143"/>
        <v/>
      </c>
      <c r="M1524" t="str" cm="1">
        <f t="array" ref="M1524">IF(L1524="","",_xlfn.IFS(
  AND(L1524&gt;=TIME(9,0,0), L1524&lt;TIME(16,0,0)),"Morning",
  AND(L1524&gt;=TIME(16,0,0), L1524&lt;TIME(23,59,0)),"Evening",
  L1524&gt;=TIME(23,59,0),"Night",
  L1524&lt;TIME(9,0,0),"Night"
))</f>
        <v/>
      </c>
      <c r="O1524" t="str">
        <f t="shared" si="140"/>
        <v/>
      </c>
    </row>
    <row r="1525" spans="1:15" x14ac:dyDescent="0.25">
      <c r="A1525" s="49"/>
      <c r="G1525" t="str">
        <f t="shared" si="138"/>
        <v/>
      </c>
      <c r="H1525" s="13" t="str">
        <f t="shared" si="141"/>
        <v/>
      </c>
      <c r="I1525" t="str">
        <f>IFERROR(INDEX(Analysis!$D$116:$N$137, MATCH(B1525, Analysis!$C$116:$C$137, 0), MATCH(C1525, Analysis!$D$115:$N$115, 0)), "")</f>
        <v/>
      </c>
      <c r="J1525" t="str">
        <f t="shared" si="142"/>
        <v/>
      </c>
      <c r="K1525" s="28" t="str">
        <f t="shared" si="139"/>
        <v/>
      </c>
      <c r="L1525" s="46" t="str">
        <f t="shared" si="143"/>
        <v/>
      </c>
      <c r="M1525" t="str" cm="1">
        <f t="array" ref="M1525">IF(L1525="","",_xlfn.IFS(
  AND(L1525&gt;=TIME(9,0,0), L1525&lt;TIME(16,0,0)),"Morning",
  AND(L1525&gt;=TIME(16,0,0), L1525&lt;TIME(23,59,0)),"Evening",
  L1525&gt;=TIME(23,59,0),"Night",
  L1525&lt;TIME(9,0,0),"Night"
))</f>
        <v/>
      </c>
      <c r="O1525" t="str">
        <f t="shared" si="140"/>
        <v/>
      </c>
    </row>
    <row r="1526" spans="1:15" x14ac:dyDescent="0.25">
      <c r="A1526" s="49"/>
      <c r="G1526" t="str">
        <f t="shared" si="138"/>
        <v/>
      </c>
      <c r="H1526" s="13" t="str">
        <f t="shared" si="141"/>
        <v/>
      </c>
      <c r="I1526" t="str">
        <f>IFERROR(INDEX(Analysis!$D$116:$N$137, MATCH(B1526, Analysis!$C$116:$C$137, 0), MATCH(C1526, Analysis!$D$115:$N$115, 0)), "")</f>
        <v/>
      </c>
      <c r="J1526" t="str">
        <f t="shared" si="142"/>
        <v/>
      </c>
      <c r="K1526" s="28" t="str">
        <f t="shared" si="139"/>
        <v/>
      </c>
      <c r="L1526" s="46" t="str">
        <f t="shared" si="143"/>
        <v/>
      </c>
      <c r="M1526" t="str" cm="1">
        <f t="array" ref="M1526">IF(L1526="","",_xlfn.IFS(
  AND(L1526&gt;=TIME(9,0,0), L1526&lt;TIME(16,0,0)),"Morning",
  AND(L1526&gt;=TIME(16,0,0), L1526&lt;TIME(23,59,0)),"Evening",
  L1526&gt;=TIME(23,59,0),"Night",
  L1526&lt;TIME(9,0,0),"Night"
))</f>
        <v/>
      </c>
      <c r="O1526" t="str">
        <f t="shared" si="140"/>
        <v/>
      </c>
    </row>
    <row r="1527" spans="1:15" x14ac:dyDescent="0.25">
      <c r="A1527" s="49"/>
      <c r="G1527" t="str">
        <f t="shared" si="138"/>
        <v/>
      </c>
      <c r="H1527" s="13" t="str">
        <f t="shared" si="141"/>
        <v/>
      </c>
      <c r="I1527" t="str">
        <f>IFERROR(INDEX(Analysis!$D$116:$N$137, MATCH(B1527, Analysis!$C$116:$C$137, 0), MATCH(C1527, Analysis!$D$115:$N$115, 0)), "")</f>
        <v/>
      </c>
      <c r="J1527" t="str">
        <f t="shared" si="142"/>
        <v/>
      </c>
      <c r="K1527" s="28" t="str">
        <f t="shared" si="139"/>
        <v/>
      </c>
      <c r="L1527" s="46" t="str">
        <f t="shared" si="143"/>
        <v/>
      </c>
      <c r="M1527" t="str" cm="1">
        <f t="array" ref="M1527">IF(L1527="","",_xlfn.IFS(
  AND(L1527&gt;=TIME(9,0,0), L1527&lt;TIME(16,0,0)),"Morning",
  AND(L1527&gt;=TIME(16,0,0), L1527&lt;TIME(23,59,0)),"Evening",
  L1527&gt;=TIME(23,59,0),"Night",
  L1527&lt;TIME(9,0,0),"Night"
))</f>
        <v/>
      </c>
      <c r="O1527" t="str">
        <f t="shared" si="140"/>
        <v/>
      </c>
    </row>
    <row r="1528" spans="1:15" x14ac:dyDescent="0.25">
      <c r="A1528" s="49"/>
      <c r="G1528" t="str">
        <f t="shared" si="138"/>
        <v/>
      </c>
      <c r="H1528" s="13" t="str">
        <f t="shared" si="141"/>
        <v/>
      </c>
      <c r="I1528" t="str">
        <f>IFERROR(INDEX(Analysis!$D$116:$N$137, MATCH(B1528, Analysis!$C$116:$C$137, 0), MATCH(C1528, Analysis!$D$115:$N$115, 0)), "")</f>
        <v/>
      </c>
      <c r="J1528" t="str">
        <f t="shared" si="142"/>
        <v/>
      </c>
      <c r="K1528" s="28" t="str">
        <f t="shared" si="139"/>
        <v/>
      </c>
      <c r="L1528" s="46" t="str">
        <f t="shared" si="143"/>
        <v/>
      </c>
      <c r="M1528" t="str" cm="1">
        <f t="array" ref="M1528">IF(L1528="","",_xlfn.IFS(
  AND(L1528&gt;=TIME(9,0,0), L1528&lt;TIME(16,0,0)),"Morning",
  AND(L1528&gt;=TIME(16,0,0), L1528&lt;TIME(23,59,0)),"Evening",
  L1528&gt;=TIME(23,59,0),"Night",
  L1528&lt;TIME(9,0,0),"Night"
))</f>
        <v/>
      </c>
      <c r="O1528" t="str">
        <f t="shared" si="140"/>
        <v/>
      </c>
    </row>
    <row r="1529" spans="1:15" x14ac:dyDescent="0.25">
      <c r="A1529" s="49"/>
      <c r="G1529" t="str">
        <f t="shared" si="138"/>
        <v/>
      </c>
      <c r="H1529" s="13" t="str">
        <f t="shared" si="141"/>
        <v/>
      </c>
      <c r="I1529" t="str">
        <f>IFERROR(INDEX(Analysis!$D$116:$N$137, MATCH(B1529, Analysis!$C$116:$C$137, 0), MATCH(C1529, Analysis!$D$115:$N$115, 0)), "")</f>
        <v/>
      </c>
      <c r="J1529" t="str">
        <f t="shared" si="142"/>
        <v/>
      </c>
      <c r="K1529" s="28" t="str">
        <f t="shared" si="139"/>
        <v/>
      </c>
      <c r="L1529" s="46" t="str">
        <f t="shared" si="143"/>
        <v/>
      </c>
      <c r="M1529" t="str" cm="1">
        <f t="array" ref="M1529">IF(L1529="","",_xlfn.IFS(
  AND(L1529&gt;=TIME(9,0,0), L1529&lt;TIME(16,0,0)),"Morning",
  AND(L1529&gt;=TIME(16,0,0), L1529&lt;TIME(23,59,0)),"Evening",
  L1529&gt;=TIME(23,59,0),"Night",
  L1529&lt;TIME(9,0,0),"Night"
))</f>
        <v/>
      </c>
      <c r="O1529" t="str">
        <f t="shared" si="140"/>
        <v/>
      </c>
    </row>
    <row r="1530" spans="1:15" x14ac:dyDescent="0.25">
      <c r="A1530" s="49"/>
      <c r="G1530" t="str">
        <f t="shared" si="138"/>
        <v/>
      </c>
      <c r="H1530" s="13" t="str">
        <f t="shared" si="141"/>
        <v/>
      </c>
      <c r="I1530" t="str">
        <f>IFERROR(INDEX(Analysis!$D$116:$N$137, MATCH(B1530, Analysis!$C$116:$C$137, 0), MATCH(C1530, Analysis!$D$115:$N$115, 0)), "")</f>
        <v/>
      </c>
      <c r="J1530" t="str">
        <f t="shared" si="142"/>
        <v/>
      </c>
      <c r="K1530" s="28" t="str">
        <f t="shared" si="139"/>
        <v/>
      </c>
      <c r="L1530" s="46" t="str">
        <f t="shared" si="143"/>
        <v/>
      </c>
      <c r="M1530" t="str" cm="1">
        <f t="array" ref="M1530">IF(L1530="","",_xlfn.IFS(
  AND(L1530&gt;=TIME(9,0,0), L1530&lt;TIME(16,0,0)),"Morning",
  AND(L1530&gt;=TIME(16,0,0), L1530&lt;TIME(23,59,0)),"Evening",
  L1530&gt;=TIME(23,59,0),"Night",
  L1530&lt;TIME(9,0,0),"Night"
))</f>
        <v/>
      </c>
      <c r="O1530" t="str">
        <f t="shared" si="140"/>
        <v/>
      </c>
    </row>
    <row r="1531" spans="1:15" x14ac:dyDescent="0.25">
      <c r="A1531" s="49"/>
      <c r="G1531" t="str">
        <f t="shared" si="138"/>
        <v/>
      </c>
      <c r="H1531" s="13" t="str">
        <f t="shared" si="141"/>
        <v/>
      </c>
      <c r="I1531" t="str">
        <f>IFERROR(INDEX(Analysis!$D$116:$N$137, MATCH(B1531, Analysis!$C$116:$C$137, 0), MATCH(C1531, Analysis!$D$115:$N$115, 0)), "")</f>
        <v/>
      </c>
      <c r="J1531" t="str">
        <f t="shared" si="142"/>
        <v/>
      </c>
      <c r="K1531" s="28" t="str">
        <f t="shared" si="139"/>
        <v/>
      </c>
      <c r="L1531" s="46" t="str">
        <f t="shared" si="143"/>
        <v/>
      </c>
      <c r="M1531" t="str" cm="1">
        <f t="array" ref="M1531">IF(L1531="","",_xlfn.IFS(
  AND(L1531&gt;=TIME(9,0,0), L1531&lt;TIME(16,0,0)),"Morning",
  AND(L1531&gt;=TIME(16,0,0), L1531&lt;TIME(23,59,0)),"Evening",
  L1531&gt;=TIME(23,59,0),"Night",
  L1531&lt;TIME(9,0,0),"Night"
))</f>
        <v/>
      </c>
      <c r="O1531" t="str">
        <f t="shared" si="140"/>
        <v/>
      </c>
    </row>
    <row r="1532" spans="1:15" x14ac:dyDescent="0.25">
      <c r="A1532" s="49"/>
      <c r="G1532" t="str">
        <f t="shared" si="138"/>
        <v/>
      </c>
      <c r="H1532" s="13" t="str">
        <f t="shared" si="141"/>
        <v/>
      </c>
      <c r="I1532" t="str">
        <f>IFERROR(INDEX(Analysis!$D$116:$N$137, MATCH(B1532, Analysis!$C$116:$C$137, 0), MATCH(C1532, Analysis!$D$115:$N$115, 0)), "")</f>
        <v/>
      </c>
      <c r="J1532" t="str">
        <f t="shared" si="142"/>
        <v/>
      </c>
      <c r="K1532" s="28" t="str">
        <f t="shared" si="139"/>
        <v/>
      </c>
      <c r="L1532" s="46" t="str">
        <f t="shared" si="143"/>
        <v/>
      </c>
      <c r="M1532" t="str" cm="1">
        <f t="array" ref="M1532">IF(L1532="","",_xlfn.IFS(
  AND(L1532&gt;=TIME(9,0,0), L1532&lt;TIME(16,0,0)),"Morning",
  AND(L1532&gt;=TIME(16,0,0), L1532&lt;TIME(23,59,0)),"Evening",
  L1532&gt;=TIME(23,59,0),"Night",
  L1532&lt;TIME(9,0,0),"Night"
))</f>
        <v/>
      </c>
      <c r="O1532" t="str">
        <f t="shared" si="140"/>
        <v/>
      </c>
    </row>
    <row r="1533" spans="1:15" x14ac:dyDescent="0.25">
      <c r="A1533" s="49"/>
      <c r="G1533" t="str">
        <f t="shared" si="138"/>
        <v/>
      </c>
      <c r="H1533" s="13" t="str">
        <f t="shared" si="141"/>
        <v/>
      </c>
      <c r="I1533" t="str">
        <f>IFERROR(INDEX(Analysis!$D$116:$N$137, MATCH(B1533, Analysis!$C$116:$C$137, 0), MATCH(C1533, Analysis!$D$115:$N$115, 0)), "")</f>
        <v/>
      </c>
      <c r="J1533" t="str">
        <f t="shared" si="142"/>
        <v/>
      </c>
      <c r="K1533" s="28" t="str">
        <f t="shared" si="139"/>
        <v/>
      </c>
      <c r="L1533" s="46" t="str">
        <f t="shared" si="143"/>
        <v/>
      </c>
      <c r="M1533" t="str" cm="1">
        <f t="array" ref="M1533">IF(L1533="","",_xlfn.IFS(
  AND(L1533&gt;=TIME(9,0,0), L1533&lt;TIME(16,0,0)),"Morning",
  AND(L1533&gt;=TIME(16,0,0), L1533&lt;TIME(23,59,0)),"Evening",
  L1533&gt;=TIME(23,59,0),"Night",
  L1533&lt;TIME(9,0,0),"Night"
))</f>
        <v/>
      </c>
      <c r="O1533" t="str">
        <f t="shared" si="140"/>
        <v/>
      </c>
    </row>
    <row r="1534" spans="1:15" x14ac:dyDescent="0.25">
      <c r="A1534" s="49"/>
      <c r="G1534" t="str">
        <f t="shared" si="138"/>
        <v/>
      </c>
      <c r="H1534" s="13" t="str">
        <f t="shared" si="141"/>
        <v/>
      </c>
      <c r="I1534" t="str">
        <f>IFERROR(INDEX(Analysis!$D$116:$N$137, MATCH(B1534, Analysis!$C$116:$C$137, 0), MATCH(C1534, Analysis!$D$115:$N$115, 0)), "")</f>
        <v/>
      </c>
      <c r="J1534" t="str">
        <f t="shared" si="142"/>
        <v/>
      </c>
      <c r="K1534" s="28" t="str">
        <f t="shared" si="139"/>
        <v/>
      </c>
      <c r="L1534" s="46" t="str">
        <f t="shared" si="143"/>
        <v/>
      </c>
      <c r="M1534" t="str" cm="1">
        <f t="array" ref="M1534">IF(L1534="","",_xlfn.IFS(
  AND(L1534&gt;=TIME(9,0,0), L1534&lt;TIME(16,0,0)),"Morning",
  AND(L1534&gt;=TIME(16,0,0), L1534&lt;TIME(23,59,0)),"Evening",
  L1534&gt;=TIME(23,59,0),"Night",
  L1534&lt;TIME(9,0,0),"Night"
))</f>
        <v/>
      </c>
      <c r="O1534" t="str">
        <f t="shared" si="140"/>
        <v/>
      </c>
    </row>
    <row r="1535" spans="1:15" x14ac:dyDescent="0.25">
      <c r="A1535" s="49"/>
      <c r="G1535" t="str">
        <f t="shared" si="138"/>
        <v/>
      </c>
      <c r="H1535" s="13" t="str">
        <f t="shared" si="141"/>
        <v/>
      </c>
      <c r="I1535" t="str">
        <f>IFERROR(INDEX(Analysis!$D$116:$N$137, MATCH(B1535, Analysis!$C$116:$C$137, 0), MATCH(C1535, Analysis!$D$115:$N$115, 0)), "")</f>
        <v/>
      </c>
      <c r="J1535" t="str">
        <f t="shared" si="142"/>
        <v/>
      </c>
      <c r="K1535" s="28" t="str">
        <f t="shared" si="139"/>
        <v/>
      </c>
      <c r="L1535" s="46" t="str">
        <f t="shared" si="143"/>
        <v/>
      </c>
      <c r="M1535" t="str" cm="1">
        <f t="array" ref="M1535">IF(L1535="","",_xlfn.IFS(
  AND(L1535&gt;=TIME(9,0,0), L1535&lt;TIME(16,0,0)),"Morning",
  AND(L1535&gt;=TIME(16,0,0), L1535&lt;TIME(23,59,0)),"Evening",
  L1535&gt;=TIME(23,59,0),"Night",
  L1535&lt;TIME(9,0,0),"Night"
))</f>
        <v/>
      </c>
      <c r="O1535" t="str">
        <f t="shared" si="140"/>
        <v/>
      </c>
    </row>
    <row r="1536" spans="1:15" x14ac:dyDescent="0.25">
      <c r="A1536" s="49"/>
      <c r="G1536" t="str">
        <f t="shared" si="138"/>
        <v/>
      </c>
      <c r="H1536" s="13" t="str">
        <f t="shared" si="141"/>
        <v/>
      </c>
      <c r="I1536" t="str">
        <f>IFERROR(INDEX(Analysis!$D$116:$N$137, MATCH(B1536, Analysis!$C$116:$C$137, 0), MATCH(C1536, Analysis!$D$115:$N$115, 0)), "")</f>
        <v/>
      </c>
      <c r="J1536" t="str">
        <f t="shared" si="142"/>
        <v/>
      </c>
      <c r="K1536" s="28" t="str">
        <f t="shared" si="139"/>
        <v/>
      </c>
      <c r="L1536" s="46" t="str">
        <f t="shared" si="143"/>
        <v/>
      </c>
      <c r="M1536" t="str" cm="1">
        <f t="array" ref="M1536">IF(L1536="","",_xlfn.IFS(
  AND(L1536&gt;=TIME(9,0,0), L1536&lt;TIME(16,0,0)),"Morning",
  AND(L1536&gt;=TIME(16,0,0), L1536&lt;TIME(23,59,0)),"Evening",
  L1536&gt;=TIME(23,59,0),"Night",
  L1536&lt;TIME(9,0,0),"Night"
))</f>
        <v/>
      </c>
      <c r="O1536" t="str">
        <f t="shared" si="140"/>
        <v/>
      </c>
    </row>
    <row r="1537" spans="1:15" x14ac:dyDescent="0.25">
      <c r="A1537" s="49"/>
      <c r="G1537" t="str">
        <f t="shared" si="138"/>
        <v/>
      </c>
      <c r="H1537" s="13" t="str">
        <f t="shared" si="141"/>
        <v/>
      </c>
      <c r="I1537" t="str">
        <f>IFERROR(INDEX(Analysis!$D$116:$N$137, MATCH(B1537, Analysis!$C$116:$C$137, 0), MATCH(C1537, Analysis!$D$115:$N$115, 0)), "")</f>
        <v/>
      </c>
      <c r="J1537" t="str">
        <f t="shared" si="142"/>
        <v/>
      </c>
      <c r="K1537" s="28" t="str">
        <f t="shared" si="139"/>
        <v/>
      </c>
      <c r="L1537" s="46" t="str">
        <f t="shared" si="143"/>
        <v/>
      </c>
      <c r="M1537" t="str" cm="1">
        <f t="array" ref="M1537">IF(L1537="","",_xlfn.IFS(
  AND(L1537&gt;=TIME(9,0,0), L1537&lt;TIME(16,0,0)),"Morning",
  AND(L1537&gt;=TIME(16,0,0), L1537&lt;TIME(23,59,0)),"Evening",
  L1537&gt;=TIME(23,59,0),"Night",
  L1537&lt;TIME(9,0,0),"Night"
))</f>
        <v/>
      </c>
      <c r="O1537" t="str">
        <f t="shared" si="140"/>
        <v/>
      </c>
    </row>
    <row r="1538" spans="1:15" x14ac:dyDescent="0.25">
      <c r="A1538" s="49"/>
      <c r="G1538" t="str">
        <f t="shared" ref="G1538:G1601" si="144">IF(ISBLANK(A1538), "", IF(ISBLANK(F1538), 0, F1538))</f>
        <v/>
      </c>
      <c r="H1538" s="13" t="str">
        <f t="shared" si="141"/>
        <v/>
      </c>
      <c r="I1538" t="str">
        <f>IFERROR(INDEX(Analysis!$D$116:$N$137, MATCH(B1538, Analysis!$C$116:$C$137, 0), MATCH(C1538, Analysis!$D$115:$N$115, 0)), "")</f>
        <v/>
      </c>
      <c r="J1538" t="str">
        <f t="shared" si="142"/>
        <v/>
      </c>
      <c r="K1538" s="28" t="str">
        <f t="shared" ref="K1538:K1601" si="145">IF(ISBLANK(A1538),"",DATE(YEAR(A1538),MONTH(A1538),DAY(A1538)))</f>
        <v/>
      </c>
      <c r="L1538" s="46" t="str">
        <f t="shared" si="143"/>
        <v/>
      </c>
      <c r="M1538" t="str" cm="1">
        <f t="array" ref="M1538">IF(L1538="","",_xlfn.IFS(
  AND(L1538&gt;=TIME(9,0,0), L1538&lt;TIME(16,0,0)),"Morning",
  AND(L1538&gt;=TIME(16,0,0), L1538&lt;TIME(23,59,0)),"Evening",
  L1538&gt;=TIME(23,59,0),"Night",
  L1538&lt;TIME(9,0,0),"Night"
))</f>
        <v/>
      </c>
      <c r="O1538" t="str">
        <f t="shared" ref="O1538:O1601" si="146">IF(N1538="ON", _xlfn.IMAGE(E1538, 1), "")</f>
        <v/>
      </c>
    </row>
    <row r="1539" spans="1:15" x14ac:dyDescent="0.25">
      <c r="A1539" s="49"/>
      <c r="G1539" t="str">
        <f t="shared" si="144"/>
        <v/>
      </c>
      <c r="H1539" s="13" t="str">
        <f t="shared" ref="H1539:H1602" si="147">IF(ISBLANK(E1539),"",HYPERLINK(E1539,"Click here"))</f>
        <v/>
      </c>
      <c r="I1539" t="str">
        <f>IFERROR(INDEX(Analysis!$D$116:$N$137, MATCH(B1539, Analysis!$C$116:$C$137, 0), MATCH(C1539, Analysis!$D$115:$N$115, 0)), "")</f>
        <v/>
      </c>
      <c r="J1539" t="str">
        <f t="shared" ref="J1539:J1602" si="148">IF(ISBLANK(A1539),"",WEEKNUM(A1539))</f>
        <v/>
      </c>
      <c r="K1539" s="28" t="str">
        <f t="shared" si="145"/>
        <v/>
      </c>
      <c r="L1539" s="46" t="str">
        <f t="shared" ref="L1539:L1602" si="149">IF(A1539="", "", A1539 - INT(A1539))</f>
        <v/>
      </c>
      <c r="M1539" t="str" cm="1">
        <f t="array" ref="M1539">IF(L1539="","",_xlfn.IFS(
  AND(L1539&gt;=TIME(9,0,0), L1539&lt;TIME(16,0,0)),"Morning",
  AND(L1539&gt;=TIME(16,0,0), L1539&lt;TIME(23,59,0)),"Evening",
  L1539&gt;=TIME(23,59,0),"Night",
  L1539&lt;TIME(9,0,0),"Night"
))</f>
        <v/>
      </c>
      <c r="O1539" t="str">
        <f t="shared" si="146"/>
        <v/>
      </c>
    </row>
    <row r="1540" spans="1:15" x14ac:dyDescent="0.25">
      <c r="A1540" s="49"/>
      <c r="G1540" t="str">
        <f t="shared" si="144"/>
        <v/>
      </c>
      <c r="H1540" s="13" t="str">
        <f t="shared" si="147"/>
        <v/>
      </c>
      <c r="I1540" t="str">
        <f>IFERROR(INDEX(Analysis!$D$116:$N$137, MATCH(B1540, Analysis!$C$116:$C$137, 0), MATCH(C1540, Analysis!$D$115:$N$115, 0)), "")</f>
        <v/>
      </c>
      <c r="J1540" t="str">
        <f t="shared" si="148"/>
        <v/>
      </c>
      <c r="K1540" s="28" t="str">
        <f t="shared" si="145"/>
        <v/>
      </c>
      <c r="L1540" s="46" t="str">
        <f t="shared" si="149"/>
        <v/>
      </c>
      <c r="M1540" t="str" cm="1">
        <f t="array" ref="M1540">IF(L1540="","",_xlfn.IFS(
  AND(L1540&gt;=TIME(9,0,0), L1540&lt;TIME(16,0,0)),"Morning",
  AND(L1540&gt;=TIME(16,0,0), L1540&lt;TIME(23,59,0)),"Evening",
  L1540&gt;=TIME(23,59,0),"Night",
  L1540&lt;TIME(9,0,0),"Night"
))</f>
        <v/>
      </c>
      <c r="O1540" t="str">
        <f t="shared" si="146"/>
        <v/>
      </c>
    </row>
    <row r="1541" spans="1:15" x14ac:dyDescent="0.25">
      <c r="A1541" s="49"/>
      <c r="G1541" t="str">
        <f t="shared" si="144"/>
        <v/>
      </c>
      <c r="H1541" s="13" t="str">
        <f t="shared" si="147"/>
        <v/>
      </c>
      <c r="I1541" t="str">
        <f>IFERROR(INDEX(Analysis!$D$116:$N$137, MATCH(B1541, Analysis!$C$116:$C$137, 0), MATCH(C1541, Analysis!$D$115:$N$115, 0)), "")</f>
        <v/>
      </c>
      <c r="J1541" t="str">
        <f t="shared" si="148"/>
        <v/>
      </c>
      <c r="K1541" s="28" t="str">
        <f t="shared" si="145"/>
        <v/>
      </c>
      <c r="L1541" s="46" t="str">
        <f t="shared" si="149"/>
        <v/>
      </c>
      <c r="M1541" t="str" cm="1">
        <f t="array" ref="M1541">IF(L1541="","",_xlfn.IFS(
  AND(L1541&gt;=TIME(9,0,0), L1541&lt;TIME(16,0,0)),"Morning",
  AND(L1541&gt;=TIME(16,0,0), L1541&lt;TIME(23,59,0)),"Evening",
  L1541&gt;=TIME(23,59,0),"Night",
  L1541&lt;TIME(9,0,0),"Night"
))</f>
        <v/>
      </c>
      <c r="O1541" t="str">
        <f t="shared" si="146"/>
        <v/>
      </c>
    </row>
    <row r="1542" spans="1:15" x14ac:dyDescent="0.25">
      <c r="A1542" s="49"/>
      <c r="G1542" t="str">
        <f t="shared" si="144"/>
        <v/>
      </c>
      <c r="H1542" s="13" t="str">
        <f t="shared" si="147"/>
        <v/>
      </c>
      <c r="I1542" t="str">
        <f>IFERROR(INDEX(Analysis!$D$116:$N$137, MATCH(B1542, Analysis!$C$116:$C$137, 0), MATCH(C1542, Analysis!$D$115:$N$115, 0)), "")</f>
        <v/>
      </c>
      <c r="J1542" t="str">
        <f t="shared" si="148"/>
        <v/>
      </c>
      <c r="K1542" s="28" t="str">
        <f t="shared" si="145"/>
        <v/>
      </c>
      <c r="L1542" s="46" t="str">
        <f t="shared" si="149"/>
        <v/>
      </c>
      <c r="M1542" t="str" cm="1">
        <f t="array" ref="M1542">IF(L1542="","",_xlfn.IFS(
  AND(L1542&gt;=TIME(9,0,0), L1542&lt;TIME(16,0,0)),"Morning",
  AND(L1542&gt;=TIME(16,0,0), L1542&lt;TIME(23,59,0)),"Evening",
  L1542&gt;=TIME(23,59,0),"Night",
  L1542&lt;TIME(9,0,0),"Night"
))</f>
        <v/>
      </c>
      <c r="O1542" t="str">
        <f t="shared" si="146"/>
        <v/>
      </c>
    </row>
    <row r="1543" spans="1:15" x14ac:dyDescent="0.25">
      <c r="A1543" s="49"/>
      <c r="G1543" t="str">
        <f t="shared" si="144"/>
        <v/>
      </c>
      <c r="H1543" s="13" t="str">
        <f t="shared" si="147"/>
        <v/>
      </c>
      <c r="I1543" t="str">
        <f>IFERROR(INDEX(Analysis!$D$116:$N$137, MATCH(B1543, Analysis!$C$116:$C$137, 0), MATCH(C1543, Analysis!$D$115:$N$115, 0)), "")</f>
        <v/>
      </c>
      <c r="J1543" t="str">
        <f t="shared" si="148"/>
        <v/>
      </c>
      <c r="K1543" s="28" t="str">
        <f t="shared" si="145"/>
        <v/>
      </c>
      <c r="L1543" s="46" t="str">
        <f t="shared" si="149"/>
        <v/>
      </c>
      <c r="M1543" t="str" cm="1">
        <f t="array" ref="M1543">IF(L1543="","",_xlfn.IFS(
  AND(L1543&gt;=TIME(9,0,0), L1543&lt;TIME(16,0,0)),"Morning",
  AND(L1543&gt;=TIME(16,0,0), L1543&lt;TIME(23,59,0)),"Evening",
  L1543&gt;=TIME(23,59,0),"Night",
  L1543&lt;TIME(9,0,0),"Night"
))</f>
        <v/>
      </c>
      <c r="O1543" t="str">
        <f t="shared" si="146"/>
        <v/>
      </c>
    </row>
    <row r="1544" spans="1:15" x14ac:dyDescent="0.25">
      <c r="A1544" s="49"/>
      <c r="G1544" t="str">
        <f t="shared" si="144"/>
        <v/>
      </c>
      <c r="H1544" s="13" t="str">
        <f t="shared" si="147"/>
        <v/>
      </c>
      <c r="I1544" t="str">
        <f>IFERROR(INDEX(Analysis!$D$116:$N$137, MATCH(B1544, Analysis!$C$116:$C$137, 0), MATCH(C1544, Analysis!$D$115:$N$115, 0)), "")</f>
        <v/>
      </c>
      <c r="J1544" t="str">
        <f t="shared" si="148"/>
        <v/>
      </c>
      <c r="K1544" s="28" t="str">
        <f t="shared" si="145"/>
        <v/>
      </c>
      <c r="L1544" s="46" t="str">
        <f t="shared" si="149"/>
        <v/>
      </c>
      <c r="M1544" t="str" cm="1">
        <f t="array" ref="M1544">IF(L1544="","",_xlfn.IFS(
  AND(L1544&gt;=TIME(9,0,0), L1544&lt;TIME(16,0,0)),"Morning",
  AND(L1544&gt;=TIME(16,0,0), L1544&lt;TIME(23,59,0)),"Evening",
  L1544&gt;=TIME(23,59,0),"Night",
  L1544&lt;TIME(9,0,0),"Night"
))</f>
        <v/>
      </c>
      <c r="O1544" t="str">
        <f t="shared" si="146"/>
        <v/>
      </c>
    </row>
    <row r="1545" spans="1:15" x14ac:dyDescent="0.25">
      <c r="A1545" s="49"/>
      <c r="G1545" t="str">
        <f t="shared" si="144"/>
        <v/>
      </c>
      <c r="H1545" s="13" t="str">
        <f t="shared" si="147"/>
        <v/>
      </c>
      <c r="I1545" t="str">
        <f>IFERROR(INDEX(Analysis!$D$116:$N$137, MATCH(B1545, Analysis!$C$116:$C$137, 0), MATCH(C1545, Analysis!$D$115:$N$115, 0)), "")</f>
        <v/>
      </c>
      <c r="J1545" t="str">
        <f t="shared" si="148"/>
        <v/>
      </c>
      <c r="K1545" s="28" t="str">
        <f t="shared" si="145"/>
        <v/>
      </c>
      <c r="L1545" s="46" t="str">
        <f t="shared" si="149"/>
        <v/>
      </c>
      <c r="M1545" t="str" cm="1">
        <f t="array" ref="M1545">IF(L1545="","",_xlfn.IFS(
  AND(L1545&gt;=TIME(9,0,0), L1545&lt;TIME(16,0,0)),"Morning",
  AND(L1545&gt;=TIME(16,0,0), L1545&lt;TIME(23,59,0)),"Evening",
  L1545&gt;=TIME(23,59,0),"Night",
  L1545&lt;TIME(9,0,0),"Night"
))</f>
        <v/>
      </c>
      <c r="O1545" t="str">
        <f t="shared" si="146"/>
        <v/>
      </c>
    </row>
    <row r="1546" spans="1:15" x14ac:dyDescent="0.25">
      <c r="A1546" s="49"/>
      <c r="G1546" t="str">
        <f t="shared" si="144"/>
        <v/>
      </c>
      <c r="H1546" s="13" t="str">
        <f t="shared" si="147"/>
        <v/>
      </c>
      <c r="I1546" t="str">
        <f>IFERROR(INDEX(Analysis!$D$116:$N$137, MATCH(B1546, Analysis!$C$116:$C$137, 0), MATCH(C1546, Analysis!$D$115:$N$115, 0)), "")</f>
        <v/>
      </c>
      <c r="J1546" t="str">
        <f t="shared" si="148"/>
        <v/>
      </c>
      <c r="K1546" s="28" t="str">
        <f t="shared" si="145"/>
        <v/>
      </c>
      <c r="L1546" s="46" t="str">
        <f t="shared" si="149"/>
        <v/>
      </c>
      <c r="M1546" t="str" cm="1">
        <f t="array" ref="M1546">IF(L1546="","",_xlfn.IFS(
  AND(L1546&gt;=TIME(9,0,0), L1546&lt;TIME(16,0,0)),"Morning",
  AND(L1546&gt;=TIME(16,0,0), L1546&lt;TIME(23,59,0)),"Evening",
  L1546&gt;=TIME(23,59,0),"Night",
  L1546&lt;TIME(9,0,0),"Night"
))</f>
        <v/>
      </c>
      <c r="O1546" t="str">
        <f t="shared" si="146"/>
        <v/>
      </c>
    </row>
    <row r="1547" spans="1:15" x14ac:dyDescent="0.25">
      <c r="A1547" s="49"/>
      <c r="G1547" t="str">
        <f t="shared" si="144"/>
        <v/>
      </c>
      <c r="H1547" s="13" t="str">
        <f t="shared" si="147"/>
        <v/>
      </c>
      <c r="I1547" t="str">
        <f>IFERROR(INDEX(Analysis!$D$116:$N$137, MATCH(B1547, Analysis!$C$116:$C$137, 0), MATCH(C1547, Analysis!$D$115:$N$115, 0)), "")</f>
        <v/>
      </c>
      <c r="J1547" t="str">
        <f t="shared" si="148"/>
        <v/>
      </c>
      <c r="K1547" s="28" t="str">
        <f t="shared" si="145"/>
        <v/>
      </c>
      <c r="L1547" s="46" t="str">
        <f t="shared" si="149"/>
        <v/>
      </c>
      <c r="M1547" t="str" cm="1">
        <f t="array" ref="M1547">IF(L1547="","",_xlfn.IFS(
  AND(L1547&gt;=TIME(9,0,0), L1547&lt;TIME(16,0,0)),"Morning",
  AND(L1547&gt;=TIME(16,0,0), L1547&lt;TIME(23,59,0)),"Evening",
  L1547&gt;=TIME(23,59,0),"Night",
  L1547&lt;TIME(9,0,0),"Night"
))</f>
        <v/>
      </c>
      <c r="O1547" t="str">
        <f t="shared" si="146"/>
        <v/>
      </c>
    </row>
    <row r="1548" spans="1:15" x14ac:dyDescent="0.25">
      <c r="A1548" s="49"/>
      <c r="G1548" t="str">
        <f t="shared" si="144"/>
        <v/>
      </c>
      <c r="H1548" s="13" t="str">
        <f t="shared" si="147"/>
        <v/>
      </c>
      <c r="I1548" t="str">
        <f>IFERROR(INDEX(Analysis!$D$116:$N$137, MATCH(B1548, Analysis!$C$116:$C$137, 0), MATCH(C1548, Analysis!$D$115:$N$115, 0)), "")</f>
        <v/>
      </c>
      <c r="J1548" t="str">
        <f t="shared" si="148"/>
        <v/>
      </c>
      <c r="K1548" s="28" t="str">
        <f t="shared" si="145"/>
        <v/>
      </c>
      <c r="L1548" s="46" t="str">
        <f t="shared" si="149"/>
        <v/>
      </c>
      <c r="M1548" t="str" cm="1">
        <f t="array" ref="M1548">IF(L1548="","",_xlfn.IFS(
  AND(L1548&gt;=TIME(9,0,0), L1548&lt;TIME(16,0,0)),"Morning",
  AND(L1548&gt;=TIME(16,0,0), L1548&lt;TIME(23,59,0)),"Evening",
  L1548&gt;=TIME(23,59,0),"Night",
  L1548&lt;TIME(9,0,0),"Night"
))</f>
        <v/>
      </c>
      <c r="O1548" t="str">
        <f t="shared" si="146"/>
        <v/>
      </c>
    </row>
    <row r="1549" spans="1:15" x14ac:dyDescent="0.25">
      <c r="A1549" s="49"/>
      <c r="G1549" t="str">
        <f t="shared" si="144"/>
        <v/>
      </c>
      <c r="H1549" s="13" t="str">
        <f t="shared" si="147"/>
        <v/>
      </c>
      <c r="I1549" t="str">
        <f>IFERROR(INDEX(Analysis!$D$116:$N$137, MATCH(B1549, Analysis!$C$116:$C$137, 0), MATCH(C1549, Analysis!$D$115:$N$115, 0)), "")</f>
        <v/>
      </c>
      <c r="J1549" t="str">
        <f t="shared" si="148"/>
        <v/>
      </c>
      <c r="K1549" s="28" t="str">
        <f t="shared" si="145"/>
        <v/>
      </c>
      <c r="L1549" s="46" t="str">
        <f t="shared" si="149"/>
        <v/>
      </c>
      <c r="M1549" t="str" cm="1">
        <f t="array" ref="M1549">IF(L1549="","",_xlfn.IFS(
  AND(L1549&gt;=TIME(9,0,0), L1549&lt;TIME(16,0,0)),"Morning",
  AND(L1549&gt;=TIME(16,0,0), L1549&lt;TIME(23,59,0)),"Evening",
  L1549&gt;=TIME(23,59,0),"Night",
  L1549&lt;TIME(9,0,0),"Night"
))</f>
        <v/>
      </c>
      <c r="O1549" t="str">
        <f t="shared" si="146"/>
        <v/>
      </c>
    </row>
    <row r="1550" spans="1:15" x14ac:dyDescent="0.25">
      <c r="A1550" s="49"/>
      <c r="G1550" t="str">
        <f t="shared" si="144"/>
        <v/>
      </c>
      <c r="H1550" s="13" t="str">
        <f t="shared" si="147"/>
        <v/>
      </c>
      <c r="I1550" t="str">
        <f>IFERROR(INDEX(Analysis!$D$116:$N$137, MATCH(B1550, Analysis!$C$116:$C$137, 0), MATCH(C1550, Analysis!$D$115:$N$115, 0)), "")</f>
        <v/>
      </c>
      <c r="J1550" t="str">
        <f t="shared" si="148"/>
        <v/>
      </c>
      <c r="K1550" s="28" t="str">
        <f t="shared" si="145"/>
        <v/>
      </c>
      <c r="L1550" s="46" t="str">
        <f t="shared" si="149"/>
        <v/>
      </c>
      <c r="M1550" t="str" cm="1">
        <f t="array" ref="M1550">IF(L1550="","",_xlfn.IFS(
  AND(L1550&gt;=TIME(9,0,0), L1550&lt;TIME(16,0,0)),"Morning",
  AND(L1550&gt;=TIME(16,0,0), L1550&lt;TIME(23,59,0)),"Evening",
  L1550&gt;=TIME(23,59,0),"Night",
  L1550&lt;TIME(9,0,0),"Night"
))</f>
        <v/>
      </c>
      <c r="O1550" t="str">
        <f t="shared" si="146"/>
        <v/>
      </c>
    </row>
    <row r="1551" spans="1:15" x14ac:dyDescent="0.25">
      <c r="A1551" s="49"/>
      <c r="G1551" t="str">
        <f t="shared" si="144"/>
        <v/>
      </c>
      <c r="H1551" s="13" t="str">
        <f t="shared" si="147"/>
        <v/>
      </c>
      <c r="I1551" t="str">
        <f>IFERROR(INDEX(Analysis!$D$116:$N$137, MATCH(B1551, Analysis!$C$116:$C$137, 0), MATCH(C1551, Analysis!$D$115:$N$115, 0)), "")</f>
        <v/>
      </c>
      <c r="J1551" t="str">
        <f t="shared" si="148"/>
        <v/>
      </c>
      <c r="K1551" s="28" t="str">
        <f t="shared" si="145"/>
        <v/>
      </c>
      <c r="L1551" s="46" t="str">
        <f t="shared" si="149"/>
        <v/>
      </c>
      <c r="M1551" t="str" cm="1">
        <f t="array" ref="M1551">IF(L1551="","",_xlfn.IFS(
  AND(L1551&gt;=TIME(9,0,0), L1551&lt;TIME(16,0,0)),"Morning",
  AND(L1551&gt;=TIME(16,0,0), L1551&lt;TIME(23,59,0)),"Evening",
  L1551&gt;=TIME(23,59,0),"Night",
  L1551&lt;TIME(9,0,0),"Night"
))</f>
        <v/>
      </c>
      <c r="O1551" t="str">
        <f t="shared" si="146"/>
        <v/>
      </c>
    </row>
    <row r="1552" spans="1:15" x14ac:dyDescent="0.25">
      <c r="A1552" s="49"/>
      <c r="G1552" t="str">
        <f t="shared" si="144"/>
        <v/>
      </c>
      <c r="H1552" s="13" t="str">
        <f t="shared" si="147"/>
        <v/>
      </c>
      <c r="I1552" t="str">
        <f>IFERROR(INDEX(Analysis!$D$116:$N$137, MATCH(B1552, Analysis!$C$116:$C$137, 0), MATCH(C1552, Analysis!$D$115:$N$115, 0)), "")</f>
        <v/>
      </c>
      <c r="J1552" t="str">
        <f t="shared" si="148"/>
        <v/>
      </c>
      <c r="K1552" s="28" t="str">
        <f t="shared" si="145"/>
        <v/>
      </c>
      <c r="L1552" s="46" t="str">
        <f t="shared" si="149"/>
        <v/>
      </c>
      <c r="M1552" t="str" cm="1">
        <f t="array" ref="M1552">IF(L1552="","",_xlfn.IFS(
  AND(L1552&gt;=TIME(9,0,0), L1552&lt;TIME(16,0,0)),"Morning",
  AND(L1552&gt;=TIME(16,0,0), L1552&lt;TIME(23,59,0)),"Evening",
  L1552&gt;=TIME(23,59,0),"Night",
  L1552&lt;TIME(9,0,0),"Night"
))</f>
        <v/>
      </c>
      <c r="O1552" t="str">
        <f t="shared" si="146"/>
        <v/>
      </c>
    </row>
    <row r="1553" spans="1:15" x14ac:dyDescent="0.25">
      <c r="A1553" s="49"/>
      <c r="G1553" t="str">
        <f t="shared" si="144"/>
        <v/>
      </c>
      <c r="H1553" s="13" t="str">
        <f t="shared" si="147"/>
        <v/>
      </c>
      <c r="I1553" t="str">
        <f>IFERROR(INDEX(Analysis!$D$116:$N$137, MATCH(B1553, Analysis!$C$116:$C$137, 0), MATCH(C1553, Analysis!$D$115:$N$115, 0)), "")</f>
        <v/>
      </c>
      <c r="J1553" t="str">
        <f t="shared" si="148"/>
        <v/>
      </c>
      <c r="K1553" s="28" t="str">
        <f t="shared" si="145"/>
        <v/>
      </c>
      <c r="L1553" s="46" t="str">
        <f t="shared" si="149"/>
        <v/>
      </c>
      <c r="M1553" t="str" cm="1">
        <f t="array" ref="M1553">IF(L1553="","",_xlfn.IFS(
  AND(L1553&gt;=TIME(9,0,0), L1553&lt;TIME(16,0,0)),"Morning",
  AND(L1553&gt;=TIME(16,0,0), L1553&lt;TIME(23,59,0)),"Evening",
  L1553&gt;=TIME(23,59,0),"Night",
  L1553&lt;TIME(9,0,0),"Night"
))</f>
        <v/>
      </c>
      <c r="O1553" t="str">
        <f t="shared" si="146"/>
        <v/>
      </c>
    </row>
    <row r="1554" spans="1:15" x14ac:dyDescent="0.25">
      <c r="A1554" s="49"/>
      <c r="G1554" t="str">
        <f t="shared" si="144"/>
        <v/>
      </c>
      <c r="H1554" s="13" t="str">
        <f t="shared" si="147"/>
        <v/>
      </c>
      <c r="I1554" t="str">
        <f>IFERROR(INDEX(Analysis!$D$116:$N$137, MATCH(B1554, Analysis!$C$116:$C$137, 0), MATCH(C1554, Analysis!$D$115:$N$115, 0)), "")</f>
        <v/>
      </c>
      <c r="J1554" t="str">
        <f t="shared" si="148"/>
        <v/>
      </c>
      <c r="K1554" s="28" t="str">
        <f t="shared" si="145"/>
        <v/>
      </c>
      <c r="L1554" s="46" t="str">
        <f t="shared" si="149"/>
        <v/>
      </c>
      <c r="M1554" t="str" cm="1">
        <f t="array" ref="M1554">IF(L1554="","",_xlfn.IFS(
  AND(L1554&gt;=TIME(9,0,0), L1554&lt;TIME(16,0,0)),"Morning",
  AND(L1554&gt;=TIME(16,0,0), L1554&lt;TIME(23,59,0)),"Evening",
  L1554&gt;=TIME(23,59,0),"Night",
  L1554&lt;TIME(9,0,0),"Night"
))</f>
        <v/>
      </c>
      <c r="O1554" t="str">
        <f t="shared" si="146"/>
        <v/>
      </c>
    </row>
    <row r="1555" spans="1:15" x14ac:dyDescent="0.25">
      <c r="A1555" s="49"/>
      <c r="G1555" t="str">
        <f t="shared" si="144"/>
        <v/>
      </c>
      <c r="H1555" s="13" t="str">
        <f t="shared" si="147"/>
        <v/>
      </c>
      <c r="I1555" t="str">
        <f>IFERROR(INDEX(Analysis!$D$116:$N$137, MATCH(B1555, Analysis!$C$116:$C$137, 0), MATCH(C1555, Analysis!$D$115:$N$115, 0)), "")</f>
        <v/>
      </c>
      <c r="J1555" t="str">
        <f t="shared" si="148"/>
        <v/>
      </c>
      <c r="K1555" s="28" t="str">
        <f t="shared" si="145"/>
        <v/>
      </c>
      <c r="L1555" s="46" t="str">
        <f t="shared" si="149"/>
        <v/>
      </c>
      <c r="M1555" t="str" cm="1">
        <f t="array" ref="M1555">IF(L1555="","",_xlfn.IFS(
  AND(L1555&gt;=TIME(9,0,0), L1555&lt;TIME(16,0,0)),"Morning",
  AND(L1555&gt;=TIME(16,0,0), L1555&lt;TIME(23,59,0)),"Evening",
  L1555&gt;=TIME(23,59,0),"Night",
  L1555&lt;TIME(9,0,0),"Night"
))</f>
        <v/>
      </c>
      <c r="O1555" t="str">
        <f t="shared" si="146"/>
        <v/>
      </c>
    </row>
    <row r="1556" spans="1:15" x14ac:dyDescent="0.25">
      <c r="A1556" s="49"/>
      <c r="G1556" t="str">
        <f t="shared" si="144"/>
        <v/>
      </c>
      <c r="H1556" s="13" t="str">
        <f t="shared" si="147"/>
        <v/>
      </c>
      <c r="I1556" t="str">
        <f>IFERROR(INDEX(Analysis!$D$116:$N$137, MATCH(B1556, Analysis!$C$116:$C$137, 0), MATCH(C1556, Analysis!$D$115:$N$115, 0)), "")</f>
        <v/>
      </c>
      <c r="J1556" t="str">
        <f t="shared" si="148"/>
        <v/>
      </c>
      <c r="K1556" s="28" t="str">
        <f t="shared" si="145"/>
        <v/>
      </c>
      <c r="L1556" s="46" t="str">
        <f t="shared" si="149"/>
        <v/>
      </c>
      <c r="M1556" t="str" cm="1">
        <f t="array" ref="M1556">IF(L1556="","",_xlfn.IFS(
  AND(L1556&gt;=TIME(9,0,0), L1556&lt;TIME(16,0,0)),"Morning",
  AND(L1556&gt;=TIME(16,0,0), L1556&lt;TIME(23,59,0)),"Evening",
  L1556&gt;=TIME(23,59,0),"Night",
  L1556&lt;TIME(9,0,0),"Night"
))</f>
        <v/>
      </c>
      <c r="O1556" t="str">
        <f t="shared" si="146"/>
        <v/>
      </c>
    </row>
    <row r="1557" spans="1:15" x14ac:dyDescent="0.25">
      <c r="A1557" s="49"/>
      <c r="G1557" t="str">
        <f t="shared" si="144"/>
        <v/>
      </c>
      <c r="H1557" s="13" t="str">
        <f t="shared" si="147"/>
        <v/>
      </c>
      <c r="I1557" t="str">
        <f>IFERROR(INDEX(Analysis!$D$116:$N$137, MATCH(B1557, Analysis!$C$116:$C$137, 0), MATCH(C1557, Analysis!$D$115:$N$115, 0)), "")</f>
        <v/>
      </c>
      <c r="J1557" t="str">
        <f t="shared" si="148"/>
        <v/>
      </c>
      <c r="K1557" s="28" t="str">
        <f t="shared" si="145"/>
        <v/>
      </c>
      <c r="L1557" s="46" t="str">
        <f t="shared" si="149"/>
        <v/>
      </c>
      <c r="M1557" t="str" cm="1">
        <f t="array" ref="M1557">IF(L1557="","",_xlfn.IFS(
  AND(L1557&gt;=TIME(9,0,0), L1557&lt;TIME(16,0,0)),"Morning",
  AND(L1557&gt;=TIME(16,0,0), L1557&lt;TIME(23,59,0)),"Evening",
  L1557&gt;=TIME(23,59,0),"Night",
  L1557&lt;TIME(9,0,0),"Night"
))</f>
        <v/>
      </c>
      <c r="O1557" t="str">
        <f t="shared" si="146"/>
        <v/>
      </c>
    </row>
    <row r="1558" spans="1:15" x14ac:dyDescent="0.25">
      <c r="A1558" s="49"/>
      <c r="G1558" t="str">
        <f t="shared" si="144"/>
        <v/>
      </c>
      <c r="H1558" s="13" t="str">
        <f t="shared" si="147"/>
        <v/>
      </c>
      <c r="I1558" t="str">
        <f>IFERROR(INDEX(Analysis!$D$116:$N$137, MATCH(B1558, Analysis!$C$116:$C$137, 0), MATCH(C1558, Analysis!$D$115:$N$115, 0)), "")</f>
        <v/>
      </c>
      <c r="J1558" t="str">
        <f t="shared" si="148"/>
        <v/>
      </c>
      <c r="K1558" s="28" t="str">
        <f t="shared" si="145"/>
        <v/>
      </c>
      <c r="L1558" s="46" t="str">
        <f t="shared" si="149"/>
        <v/>
      </c>
      <c r="M1558" t="str" cm="1">
        <f t="array" ref="M1558">IF(L1558="","",_xlfn.IFS(
  AND(L1558&gt;=TIME(9,0,0), L1558&lt;TIME(16,0,0)),"Morning",
  AND(L1558&gt;=TIME(16,0,0), L1558&lt;TIME(23,59,0)),"Evening",
  L1558&gt;=TIME(23,59,0),"Night",
  L1558&lt;TIME(9,0,0),"Night"
))</f>
        <v/>
      </c>
      <c r="O1558" t="str">
        <f t="shared" si="146"/>
        <v/>
      </c>
    </row>
    <row r="1559" spans="1:15" x14ac:dyDescent="0.25">
      <c r="A1559" s="49"/>
      <c r="G1559" t="str">
        <f t="shared" si="144"/>
        <v/>
      </c>
      <c r="H1559" s="13" t="str">
        <f t="shared" si="147"/>
        <v/>
      </c>
      <c r="I1559" t="str">
        <f>IFERROR(INDEX(Analysis!$D$116:$N$137, MATCH(B1559, Analysis!$C$116:$C$137, 0), MATCH(C1559, Analysis!$D$115:$N$115, 0)), "")</f>
        <v/>
      </c>
      <c r="J1559" t="str">
        <f t="shared" si="148"/>
        <v/>
      </c>
      <c r="K1559" s="28" t="str">
        <f t="shared" si="145"/>
        <v/>
      </c>
      <c r="L1559" s="46" t="str">
        <f t="shared" si="149"/>
        <v/>
      </c>
      <c r="M1559" t="str" cm="1">
        <f t="array" ref="M1559">IF(L1559="","",_xlfn.IFS(
  AND(L1559&gt;=TIME(9,0,0), L1559&lt;TIME(16,0,0)),"Morning",
  AND(L1559&gt;=TIME(16,0,0), L1559&lt;TIME(23,59,0)),"Evening",
  L1559&gt;=TIME(23,59,0),"Night",
  L1559&lt;TIME(9,0,0),"Night"
))</f>
        <v/>
      </c>
      <c r="O1559" t="str">
        <f t="shared" si="146"/>
        <v/>
      </c>
    </row>
    <row r="1560" spans="1:15" x14ac:dyDescent="0.25">
      <c r="A1560" s="49"/>
      <c r="G1560" t="str">
        <f t="shared" si="144"/>
        <v/>
      </c>
      <c r="H1560" s="13" t="str">
        <f t="shared" si="147"/>
        <v/>
      </c>
      <c r="I1560" t="str">
        <f>IFERROR(INDEX(Analysis!$D$116:$N$137, MATCH(B1560, Analysis!$C$116:$C$137, 0), MATCH(C1560, Analysis!$D$115:$N$115, 0)), "")</f>
        <v/>
      </c>
      <c r="J1560" t="str">
        <f t="shared" si="148"/>
        <v/>
      </c>
      <c r="K1560" s="28" t="str">
        <f t="shared" si="145"/>
        <v/>
      </c>
      <c r="L1560" s="46" t="str">
        <f t="shared" si="149"/>
        <v/>
      </c>
      <c r="M1560" t="str" cm="1">
        <f t="array" ref="M1560">IF(L1560="","",_xlfn.IFS(
  AND(L1560&gt;=TIME(9,0,0), L1560&lt;TIME(16,0,0)),"Morning",
  AND(L1560&gt;=TIME(16,0,0), L1560&lt;TIME(23,59,0)),"Evening",
  L1560&gt;=TIME(23,59,0),"Night",
  L1560&lt;TIME(9,0,0),"Night"
))</f>
        <v/>
      </c>
      <c r="O1560" t="str">
        <f t="shared" si="146"/>
        <v/>
      </c>
    </row>
    <row r="1561" spans="1:15" x14ac:dyDescent="0.25">
      <c r="A1561" s="49"/>
      <c r="G1561" t="str">
        <f t="shared" si="144"/>
        <v/>
      </c>
      <c r="H1561" s="13" t="str">
        <f t="shared" si="147"/>
        <v/>
      </c>
      <c r="I1561" t="str">
        <f>IFERROR(INDEX(Analysis!$D$116:$N$137, MATCH(B1561, Analysis!$C$116:$C$137, 0), MATCH(C1561, Analysis!$D$115:$N$115, 0)), "")</f>
        <v/>
      </c>
      <c r="J1561" t="str">
        <f t="shared" si="148"/>
        <v/>
      </c>
      <c r="K1561" s="28" t="str">
        <f t="shared" si="145"/>
        <v/>
      </c>
      <c r="L1561" s="46" t="str">
        <f t="shared" si="149"/>
        <v/>
      </c>
      <c r="M1561" t="str" cm="1">
        <f t="array" ref="M1561">IF(L1561="","",_xlfn.IFS(
  AND(L1561&gt;=TIME(9,0,0), L1561&lt;TIME(16,0,0)),"Morning",
  AND(L1561&gt;=TIME(16,0,0), L1561&lt;TIME(23,59,0)),"Evening",
  L1561&gt;=TIME(23,59,0),"Night",
  L1561&lt;TIME(9,0,0),"Night"
))</f>
        <v/>
      </c>
      <c r="O1561" t="str">
        <f t="shared" si="146"/>
        <v/>
      </c>
    </row>
    <row r="1562" spans="1:15" x14ac:dyDescent="0.25">
      <c r="A1562" s="49"/>
      <c r="G1562" t="str">
        <f t="shared" si="144"/>
        <v/>
      </c>
      <c r="H1562" s="13" t="str">
        <f t="shared" si="147"/>
        <v/>
      </c>
      <c r="I1562" t="str">
        <f>IFERROR(INDEX(Analysis!$D$116:$N$137, MATCH(B1562, Analysis!$C$116:$C$137, 0), MATCH(C1562, Analysis!$D$115:$N$115, 0)), "")</f>
        <v/>
      </c>
      <c r="J1562" t="str">
        <f t="shared" si="148"/>
        <v/>
      </c>
      <c r="K1562" s="28" t="str">
        <f t="shared" si="145"/>
        <v/>
      </c>
      <c r="L1562" s="46" t="str">
        <f t="shared" si="149"/>
        <v/>
      </c>
      <c r="M1562" t="str" cm="1">
        <f t="array" ref="M1562">IF(L1562="","",_xlfn.IFS(
  AND(L1562&gt;=TIME(9,0,0), L1562&lt;TIME(16,0,0)),"Morning",
  AND(L1562&gt;=TIME(16,0,0), L1562&lt;TIME(23,59,0)),"Evening",
  L1562&gt;=TIME(23,59,0),"Night",
  L1562&lt;TIME(9,0,0),"Night"
))</f>
        <v/>
      </c>
      <c r="O1562" t="str">
        <f t="shared" si="146"/>
        <v/>
      </c>
    </row>
    <row r="1563" spans="1:15" x14ac:dyDescent="0.25">
      <c r="A1563" s="49"/>
      <c r="G1563" t="str">
        <f t="shared" si="144"/>
        <v/>
      </c>
      <c r="H1563" s="13" t="str">
        <f t="shared" si="147"/>
        <v/>
      </c>
      <c r="I1563" t="str">
        <f>IFERROR(INDEX(Analysis!$D$116:$N$137, MATCH(B1563, Analysis!$C$116:$C$137, 0), MATCH(C1563, Analysis!$D$115:$N$115, 0)), "")</f>
        <v/>
      </c>
      <c r="J1563" t="str">
        <f t="shared" si="148"/>
        <v/>
      </c>
      <c r="K1563" s="28" t="str">
        <f t="shared" si="145"/>
        <v/>
      </c>
      <c r="L1563" s="46" t="str">
        <f t="shared" si="149"/>
        <v/>
      </c>
      <c r="M1563" t="str" cm="1">
        <f t="array" ref="M1563">IF(L1563="","",_xlfn.IFS(
  AND(L1563&gt;=TIME(9,0,0), L1563&lt;TIME(16,0,0)),"Morning",
  AND(L1563&gt;=TIME(16,0,0), L1563&lt;TIME(23,59,0)),"Evening",
  L1563&gt;=TIME(23,59,0),"Night",
  L1563&lt;TIME(9,0,0),"Night"
))</f>
        <v/>
      </c>
      <c r="O1563" t="str">
        <f t="shared" si="146"/>
        <v/>
      </c>
    </row>
    <row r="1564" spans="1:15" x14ac:dyDescent="0.25">
      <c r="A1564" s="49"/>
      <c r="G1564" t="str">
        <f t="shared" si="144"/>
        <v/>
      </c>
      <c r="H1564" s="13" t="str">
        <f t="shared" si="147"/>
        <v/>
      </c>
      <c r="I1564" t="str">
        <f>IFERROR(INDEX(Analysis!$D$116:$N$137, MATCH(B1564, Analysis!$C$116:$C$137, 0), MATCH(C1564, Analysis!$D$115:$N$115, 0)), "")</f>
        <v/>
      </c>
      <c r="J1564" t="str">
        <f t="shared" si="148"/>
        <v/>
      </c>
      <c r="K1564" s="28" t="str">
        <f t="shared" si="145"/>
        <v/>
      </c>
      <c r="L1564" s="46" t="str">
        <f t="shared" si="149"/>
        <v/>
      </c>
      <c r="M1564" t="str" cm="1">
        <f t="array" ref="M1564">IF(L1564="","",_xlfn.IFS(
  AND(L1564&gt;=TIME(9,0,0), L1564&lt;TIME(16,0,0)),"Morning",
  AND(L1564&gt;=TIME(16,0,0), L1564&lt;TIME(23,59,0)),"Evening",
  L1564&gt;=TIME(23,59,0),"Night",
  L1564&lt;TIME(9,0,0),"Night"
))</f>
        <v/>
      </c>
      <c r="O1564" t="str">
        <f t="shared" si="146"/>
        <v/>
      </c>
    </row>
    <row r="1565" spans="1:15" x14ac:dyDescent="0.25">
      <c r="A1565" s="49"/>
      <c r="G1565" t="str">
        <f t="shared" si="144"/>
        <v/>
      </c>
      <c r="H1565" s="13" t="str">
        <f t="shared" si="147"/>
        <v/>
      </c>
      <c r="I1565" t="str">
        <f>IFERROR(INDEX(Analysis!$D$116:$N$137, MATCH(B1565, Analysis!$C$116:$C$137, 0), MATCH(C1565, Analysis!$D$115:$N$115, 0)), "")</f>
        <v/>
      </c>
      <c r="J1565" t="str">
        <f t="shared" si="148"/>
        <v/>
      </c>
      <c r="K1565" s="28" t="str">
        <f t="shared" si="145"/>
        <v/>
      </c>
      <c r="L1565" s="46" t="str">
        <f t="shared" si="149"/>
        <v/>
      </c>
      <c r="M1565" t="str" cm="1">
        <f t="array" ref="M1565">IF(L1565="","",_xlfn.IFS(
  AND(L1565&gt;=TIME(9,0,0), L1565&lt;TIME(16,0,0)),"Morning",
  AND(L1565&gt;=TIME(16,0,0), L1565&lt;TIME(23,59,0)),"Evening",
  L1565&gt;=TIME(23,59,0),"Night",
  L1565&lt;TIME(9,0,0),"Night"
))</f>
        <v/>
      </c>
      <c r="O1565" t="str">
        <f t="shared" si="146"/>
        <v/>
      </c>
    </row>
    <row r="1566" spans="1:15" x14ac:dyDescent="0.25">
      <c r="A1566" s="49"/>
      <c r="G1566" t="str">
        <f t="shared" si="144"/>
        <v/>
      </c>
      <c r="H1566" s="13" t="str">
        <f t="shared" si="147"/>
        <v/>
      </c>
      <c r="I1566" t="str">
        <f>IFERROR(INDEX(Analysis!$D$116:$N$137, MATCH(B1566, Analysis!$C$116:$C$137, 0), MATCH(C1566, Analysis!$D$115:$N$115, 0)), "")</f>
        <v/>
      </c>
      <c r="J1566" t="str">
        <f t="shared" si="148"/>
        <v/>
      </c>
      <c r="K1566" s="28" t="str">
        <f t="shared" si="145"/>
        <v/>
      </c>
      <c r="L1566" s="46" t="str">
        <f t="shared" si="149"/>
        <v/>
      </c>
      <c r="M1566" t="str" cm="1">
        <f t="array" ref="M1566">IF(L1566="","",_xlfn.IFS(
  AND(L1566&gt;=TIME(9,0,0), L1566&lt;TIME(16,0,0)),"Morning",
  AND(L1566&gt;=TIME(16,0,0), L1566&lt;TIME(23,59,0)),"Evening",
  L1566&gt;=TIME(23,59,0),"Night",
  L1566&lt;TIME(9,0,0),"Night"
))</f>
        <v/>
      </c>
      <c r="O1566" t="str">
        <f t="shared" si="146"/>
        <v/>
      </c>
    </row>
    <row r="1567" spans="1:15" x14ac:dyDescent="0.25">
      <c r="A1567" s="49"/>
      <c r="G1567" t="str">
        <f t="shared" si="144"/>
        <v/>
      </c>
      <c r="H1567" s="13" t="str">
        <f t="shared" si="147"/>
        <v/>
      </c>
      <c r="I1567" t="str">
        <f>IFERROR(INDEX(Analysis!$D$116:$N$137, MATCH(B1567, Analysis!$C$116:$C$137, 0), MATCH(C1567, Analysis!$D$115:$N$115, 0)), "")</f>
        <v/>
      </c>
      <c r="J1567" t="str">
        <f t="shared" si="148"/>
        <v/>
      </c>
      <c r="K1567" s="28" t="str">
        <f t="shared" si="145"/>
        <v/>
      </c>
      <c r="L1567" s="46" t="str">
        <f t="shared" si="149"/>
        <v/>
      </c>
      <c r="M1567" t="str" cm="1">
        <f t="array" ref="M1567">IF(L1567="","",_xlfn.IFS(
  AND(L1567&gt;=TIME(9,0,0), L1567&lt;TIME(16,0,0)),"Morning",
  AND(L1567&gt;=TIME(16,0,0), L1567&lt;TIME(23,59,0)),"Evening",
  L1567&gt;=TIME(23,59,0),"Night",
  L1567&lt;TIME(9,0,0),"Night"
))</f>
        <v/>
      </c>
      <c r="O1567" t="str">
        <f t="shared" si="146"/>
        <v/>
      </c>
    </row>
    <row r="1568" spans="1:15" x14ac:dyDescent="0.25">
      <c r="A1568" s="49"/>
      <c r="G1568" t="str">
        <f t="shared" si="144"/>
        <v/>
      </c>
      <c r="H1568" s="13" t="str">
        <f t="shared" si="147"/>
        <v/>
      </c>
      <c r="I1568" t="str">
        <f>IFERROR(INDEX(Analysis!$D$116:$N$137, MATCH(B1568, Analysis!$C$116:$C$137, 0), MATCH(C1568, Analysis!$D$115:$N$115, 0)), "")</f>
        <v/>
      </c>
      <c r="J1568" t="str">
        <f t="shared" si="148"/>
        <v/>
      </c>
      <c r="K1568" s="28" t="str">
        <f t="shared" si="145"/>
        <v/>
      </c>
      <c r="L1568" s="46" t="str">
        <f t="shared" si="149"/>
        <v/>
      </c>
      <c r="M1568" t="str" cm="1">
        <f t="array" ref="M1568">IF(L1568="","",_xlfn.IFS(
  AND(L1568&gt;=TIME(9,0,0), L1568&lt;TIME(16,0,0)),"Morning",
  AND(L1568&gt;=TIME(16,0,0), L1568&lt;TIME(23,59,0)),"Evening",
  L1568&gt;=TIME(23,59,0),"Night",
  L1568&lt;TIME(9,0,0),"Night"
))</f>
        <v/>
      </c>
      <c r="O1568" t="str">
        <f t="shared" si="146"/>
        <v/>
      </c>
    </row>
    <row r="1569" spans="1:15" x14ac:dyDescent="0.25">
      <c r="A1569" s="49"/>
      <c r="G1569" t="str">
        <f t="shared" si="144"/>
        <v/>
      </c>
      <c r="H1569" s="13" t="str">
        <f t="shared" si="147"/>
        <v/>
      </c>
      <c r="I1569" t="str">
        <f>IFERROR(INDEX(Analysis!$D$116:$N$137, MATCH(B1569, Analysis!$C$116:$C$137, 0), MATCH(C1569, Analysis!$D$115:$N$115, 0)), "")</f>
        <v/>
      </c>
      <c r="J1569" t="str">
        <f t="shared" si="148"/>
        <v/>
      </c>
      <c r="K1569" s="28" t="str">
        <f t="shared" si="145"/>
        <v/>
      </c>
      <c r="L1569" s="46" t="str">
        <f t="shared" si="149"/>
        <v/>
      </c>
      <c r="M1569" t="str" cm="1">
        <f t="array" ref="M1569">IF(L1569="","",_xlfn.IFS(
  AND(L1569&gt;=TIME(9,0,0), L1569&lt;TIME(16,0,0)),"Morning",
  AND(L1569&gt;=TIME(16,0,0), L1569&lt;TIME(23,59,0)),"Evening",
  L1569&gt;=TIME(23,59,0),"Night",
  L1569&lt;TIME(9,0,0),"Night"
))</f>
        <v/>
      </c>
      <c r="O1569" t="str">
        <f t="shared" si="146"/>
        <v/>
      </c>
    </row>
    <row r="1570" spans="1:15" x14ac:dyDescent="0.25">
      <c r="A1570" s="49"/>
      <c r="G1570" t="str">
        <f t="shared" si="144"/>
        <v/>
      </c>
      <c r="H1570" s="13" t="str">
        <f t="shared" si="147"/>
        <v/>
      </c>
      <c r="I1570" t="str">
        <f>IFERROR(INDEX(Analysis!$D$116:$N$137, MATCH(B1570, Analysis!$C$116:$C$137, 0), MATCH(C1570, Analysis!$D$115:$N$115, 0)), "")</f>
        <v/>
      </c>
      <c r="J1570" t="str">
        <f t="shared" si="148"/>
        <v/>
      </c>
      <c r="K1570" s="28" t="str">
        <f t="shared" si="145"/>
        <v/>
      </c>
      <c r="L1570" s="46" t="str">
        <f t="shared" si="149"/>
        <v/>
      </c>
      <c r="M1570" t="str" cm="1">
        <f t="array" ref="M1570">IF(L1570="","",_xlfn.IFS(
  AND(L1570&gt;=TIME(9,0,0), L1570&lt;TIME(16,0,0)),"Morning",
  AND(L1570&gt;=TIME(16,0,0), L1570&lt;TIME(23,59,0)),"Evening",
  L1570&gt;=TIME(23,59,0),"Night",
  L1570&lt;TIME(9,0,0),"Night"
))</f>
        <v/>
      </c>
      <c r="O1570" t="str">
        <f t="shared" si="146"/>
        <v/>
      </c>
    </row>
    <row r="1571" spans="1:15" x14ac:dyDescent="0.25">
      <c r="A1571" s="49"/>
      <c r="G1571" t="str">
        <f t="shared" si="144"/>
        <v/>
      </c>
      <c r="H1571" s="13" t="str">
        <f t="shared" si="147"/>
        <v/>
      </c>
      <c r="I1571" t="str">
        <f>IFERROR(INDEX(Analysis!$D$116:$N$137, MATCH(B1571, Analysis!$C$116:$C$137, 0), MATCH(C1571, Analysis!$D$115:$N$115, 0)), "")</f>
        <v/>
      </c>
      <c r="J1571" t="str">
        <f t="shared" si="148"/>
        <v/>
      </c>
      <c r="K1571" s="28" t="str">
        <f t="shared" si="145"/>
        <v/>
      </c>
      <c r="L1571" s="46" t="str">
        <f t="shared" si="149"/>
        <v/>
      </c>
      <c r="M1571" t="str" cm="1">
        <f t="array" ref="M1571">IF(L1571="","",_xlfn.IFS(
  AND(L1571&gt;=TIME(9,0,0), L1571&lt;TIME(16,0,0)),"Morning",
  AND(L1571&gt;=TIME(16,0,0), L1571&lt;TIME(23,59,0)),"Evening",
  L1571&gt;=TIME(23,59,0),"Night",
  L1571&lt;TIME(9,0,0),"Night"
))</f>
        <v/>
      </c>
      <c r="O1571" t="str">
        <f t="shared" si="146"/>
        <v/>
      </c>
    </row>
    <row r="1572" spans="1:15" x14ac:dyDescent="0.25">
      <c r="A1572" s="49"/>
      <c r="G1572" t="str">
        <f t="shared" si="144"/>
        <v/>
      </c>
      <c r="H1572" s="13" t="str">
        <f t="shared" si="147"/>
        <v/>
      </c>
      <c r="I1572" t="str">
        <f>IFERROR(INDEX(Analysis!$D$116:$N$137, MATCH(B1572, Analysis!$C$116:$C$137, 0), MATCH(C1572, Analysis!$D$115:$N$115, 0)), "")</f>
        <v/>
      </c>
      <c r="J1572" t="str">
        <f t="shared" si="148"/>
        <v/>
      </c>
      <c r="K1572" s="28" t="str">
        <f t="shared" si="145"/>
        <v/>
      </c>
      <c r="L1572" s="46" t="str">
        <f t="shared" si="149"/>
        <v/>
      </c>
      <c r="M1572" t="str" cm="1">
        <f t="array" ref="M1572">IF(L1572="","",_xlfn.IFS(
  AND(L1572&gt;=TIME(9,0,0), L1572&lt;TIME(16,0,0)),"Morning",
  AND(L1572&gt;=TIME(16,0,0), L1572&lt;TIME(23,59,0)),"Evening",
  L1572&gt;=TIME(23,59,0),"Night",
  L1572&lt;TIME(9,0,0),"Night"
))</f>
        <v/>
      </c>
      <c r="O1572" t="str">
        <f t="shared" si="146"/>
        <v/>
      </c>
    </row>
    <row r="1573" spans="1:15" x14ac:dyDescent="0.25">
      <c r="A1573" s="49"/>
      <c r="G1573" t="str">
        <f t="shared" si="144"/>
        <v/>
      </c>
      <c r="H1573" s="13" t="str">
        <f t="shared" si="147"/>
        <v/>
      </c>
      <c r="I1573" t="str">
        <f>IFERROR(INDEX(Analysis!$D$116:$N$137, MATCH(B1573, Analysis!$C$116:$C$137, 0), MATCH(C1573, Analysis!$D$115:$N$115, 0)), "")</f>
        <v/>
      </c>
      <c r="J1573" t="str">
        <f t="shared" si="148"/>
        <v/>
      </c>
      <c r="K1573" s="28" t="str">
        <f t="shared" si="145"/>
        <v/>
      </c>
      <c r="L1573" s="46" t="str">
        <f t="shared" si="149"/>
        <v/>
      </c>
      <c r="M1573" t="str" cm="1">
        <f t="array" ref="M1573">IF(L1573="","",_xlfn.IFS(
  AND(L1573&gt;=TIME(9,0,0), L1573&lt;TIME(16,0,0)),"Morning",
  AND(L1573&gt;=TIME(16,0,0), L1573&lt;TIME(23,59,0)),"Evening",
  L1573&gt;=TIME(23,59,0),"Night",
  L1573&lt;TIME(9,0,0),"Night"
))</f>
        <v/>
      </c>
      <c r="O1573" t="str">
        <f t="shared" si="146"/>
        <v/>
      </c>
    </row>
    <row r="1574" spans="1:15" x14ac:dyDescent="0.25">
      <c r="A1574" s="49"/>
      <c r="G1574" t="str">
        <f t="shared" si="144"/>
        <v/>
      </c>
      <c r="H1574" s="13" t="str">
        <f t="shared" si="147"/>
        <v/>
      </c>
      <c r="I1574" t="str">
        <f>IFERROR(INDEX(Analysis!$D$116:$N$137, MATCH(B1574, Analysis!$C$116:$C$137, 0), MATCH(C1574, Analysis!$D$115:$N$115, 0)), "")</f>
        <v/>
      </c>
      <c r="J1574" t="str">
        <f t="shared" si="148"/>
        <v/>
      </c>
      <c r="K1574" s="28" t="str">
        <f t="shared" si="145"/>
        <v/>
      </c>
      <c r="L1574" s="46" t="str">
        <f t="shared" si="149"/>
        <v/>
      </c>
      <c r="M1574" t="str" cm="1">
        <f t="array" ref="M1574">IF(L1574="","",_xlfn.IFS(
  AND(L1574&gt;=TIME(9,0,0), L1574&lt;TIME(16,0,0)),"Morning",
  AND(L1574&gt;=TIME(16,0,0), L1574&lt;TIME(23,59,0)),"Evening",
  L1574&gt;=TIME(23,59,0),"Night",
  L1574&lt;TIME(9,0,0),"Night"
))</f>
        <v/>
      </c>
      <c r="O1574" t="str">
        <f t="shared" si="146"/>
        <v/>
      </c>
    </row>
    <row r="1575" spans="1:15" x14ac:dyDescent="0.25">
      <c r="A1575" s="49"/>
      <c r="G1575" t="str">
        <f t="shared" si="144"/>
        <v/>
      </c>
      <c r="H1575" s="13" t="str">
        <f t="shared" si="147"/>
        <v/>
      </c>
      <c r="I1575" t="str">
        <f>IFERROR(INDEX(Analysis!$D$116:$N$137, MATCH(B1575, Analysis!$C$116:$C$137, 0), MATCH(C1575, Analysis!$D$115:$N$115, 0)), "")</f>
        <v/>
      </c>
      <c r="J1575" t="str">
        <f t="shared" si="148"/>
        <v/>
      </c>
      <c r="K1575" s="28" t="str">
        <f t="shared" si="145"/>
        <v/>
      </c>
      <c r="L1575" s="46" t="str">
        <f t="shared" si="149"/>
        <v/>
      </c>
      <c r="M1575" t="str" cm="1">
        <f t="array" ref="M1575">IF(L1575="","",_xlfn.IFS(
  AND(L1575&gt;=TIME(9,0,0), L1575&lt;TIME(16,0,0)),"Morning",
  AND(L1575&gt;=TIME(16,0,0), L1575&lt;TIME(23,59,0)),"Evening",
  L1575&gt;=TIME(23,59,0),"Night",
  L1575&lt;TIME(9,0,0),"Night"
))</f>
        <v/>
      </c>
      <c r="O1575" t="str">
        <f t="shared" si="146"/>
        <v/>
      </c>
    </row>
    <row r="1576" spans="1:15" x14ac:dyDescent="0.25">
      <c r="A1576" s="49"/>
      <c r="G1576" t="str">
        <f t="shared" si="144"/>
        <v/>
      </c>
      <c r="H1576" s="13" t="str">
        <f t="shared" si="147"/>
        <v/>
      </c>
      <c r="I1576" t="str">
        <f>IFERROR(INDEX(Analysis!$D$116:$N$137, MATCH(B1576, Analysis!$C$116:$C$137, 0), MATCH(C1576, Analysis!$D$115:$N$115, 0)), "")</f>
        <v/>
      </c>
      <c r="J1576" t="str">
        <f t="shared" si="148"/>
        <v/>
      </c>
      <c r="K1576" s="28" t="str">
        <f t="shared" si="145"/>
        <v/>
      </c>
      <c r="L1576" s="46" t="str">
        <f t="shared" si="149"/>
        <v/>
      </c>
      <c r="M1576" t="str" cm="1">
        <f t="array" ref="M1576">IF(L1576="","",_xlfn.IFS(
  AND(L1576&gt;=TIME(9,0,0), L1576&lt;TIME(16,0,0)),"Morning",
  AND(L1576&gt;=TIME(16,0,0), L1576&lt;TIME(23,59,0)),"Evening",
  L1576&gt;=TIME(23,59,0),"Night",
  L1576&lt;TIME(9,0,0),"Night"
))</f>
        <v/>
      </c>
      <c r="O1576" t="str">
        <f t="shared" si="146"/>
        <v/>
      </c>
    </row>
    <row r="1577" spans="1:15" x14ac:dyDescent="0.25">
      <c r="A1577" s="49"/>
      <c r="G1577" t="str">
        <f t="shared" si="144"/>
        <v/>
      </c>
      <c r="H1577" s="13" t="str">
        <f t="shared" si="147"/>
        <v/>
      </c>
      <c r="I1577" t="str">
        <f>IFERROR(INDEX(Analysis!$D$116:$N$137, MATCH(B1577, Analysis!$C$116:$C$137, 0), MATCH(C1577, Analysis!$D$115:$N$115, 0)), "")</f>
        <v/>
      </c>
      <c r="J1577" t="str">
        <f t="shared" si="148"/>
        <v/>
      </c>
      <c r="K1577" s="28" t="str">
        <f t="shared" si="145"/>
        <v/>
      </c>
      <c r="L1577" s="46" t="str">
        <f t="shared" si="149"/>
        <v/>
      </c>
      <c r="M1577" t="str" cm="1">
        <f t="array" ref="M1577">IF(L1577="","",_xlfn.IFS(
  AND(L1577&gt;=TIME(9,0,0), L1577&lt;TIME(16,0,0)),"Morning",
  AND(L1577&gt;=TIME(16,0,0), L1577&lt;TIME(23,59,0)),"Evening",
  L1577&gt;=TIME(23,59,0),"Night",
  L1577&lt;TIME(9,0,0),"Night"
))</f>
        <v/>
      </c>
      <c r="O1577" t="str">
        <f t="shared" si="146"/>
        <v/>
      </c>
    </row>
    <row r="1578" spans="1:15" x14ac:dyDescent="0.25">
      <c r="A1578" s="49"/>
      <c r="G1578" t="str">
        <f t="shared" si="144"/>
        <v/>
      </c>
      <c r="H1578" s="13" t="str">
        <f t="shared" si="147"/>
        <v/>
      </c>
      <c r="I1578" t="str">
        <f>IFERROR(INDEX(Analysis!$D$116:$N$137, MATCH(B1578, Analysis!$C$116:$C$137, 0), MATCH(C1578, Analysis!$D$115:$N$115, 0)), "")</f>
        <v/>
      </c>
      <c r="J1578" t="str">
        <f t="shared" si="148"/>
        <v/>
      </c>
      <c r="K1578" s="28" t="str">
        <f t="shared" si="145"/>
        <v/>
      </c>
      <c r="L1578" s="46" t="str">
        <f t="shared" si="149"/>
        <v/>
      </c>
      <c r="M1578" t="str" cm="1">
        <f t="array" ref="M1578">IF(L1578="","",_xlfn.IFS(
  AND(L1578&gt;=TIME(9,0,0), L1578&lt;TIME(16,0,0)),"Morning",
  AND(L1578&gt;=TIME(16,0,0), L1578&lt;TIME(23,59,0)),"Evening",
  L1578&gt;=TIME(23,59,0),"Night",
  L1578&lt;TIME(9,0,0),"Night"
))</f>
        <v/>
      </c>
      <c r="O1578" t="str">
        <f t="shared" si="146"/>
        <v/>
      </c>
    </row>
    <row r="1579" spans="1:15" x14ac:dyDescent="0.25">
      <c r="A1579" s="49"/>
      <c r="G1579" t="str">
        <f t="shared" si="144"/>
        <v/>
      </c>
      <c r="H1579" s="13" t="str">
        <f t="shared" si="147"/>
        <v/>
      </c>
      <c r="I1579" t="str">
        <f>IFERROR(INDEX(Analysis!$D$116:$N$137, MATCH(B1579, Analysis!$C$116:$C$137, 0), MATCH(C1579, Analysis!$D$115:$N$115, 0)), "")</f>
        <v/>
      </c>
      <c r="J1579" t="str">
        <f t="shared" si="148"/>
        <v/>
      </c>
      <c r="K1579" s="28" t="str">
        <f t="shared" si="145"/>
        <v/>
      </c>
      <c r="L1579" s="46" t="str">
        <f t="shared" si="149"/>
        <v/>
      </c>
      <c r="M1579" t="str" cm="1">
        <f t="array" ref="M1579">IF(L1579="","",_xlfn.IFS(
  AND(L1579&gt;=TIME(9,0,0), L1579&lt;TIME(16,0,0)),"Morning",
  AND(L1579&gt;=TIME(16,0,0), L1579&lt;TIME(23,59,0)),"Evening",
  L1579&gt;=TIME(23,59,0),"Night",
  L1579&lt;TIME(9,0,0),"Night"
))</f>
        <v/>
      </c>
      <c r="O1579" t="str">
        <f t="shared" si="146"/>
        <v/>
      </c>
    </row>
    <row r="1580" spans="1:15" x14ac:dyDescent="0.25">
      <c r="A1580" s="49"/>
      <c r="G1580" t="str">
        <f t="shared" si="144"/>
        <v/>
      </c>
      <c r="H1580" s="13" t="str">
        <f t="shared" si="147"/>
        <v/>
      </c>
      <c r="I1580" t="str">
        <f>IFERROR(INDEX(Analysis!$D$116:$N$137, MATCH(B1580, Analysis!$C$116:$C$137, 0), MATCH(C1580, Analysis!$D$115:$N$115, 0)), "")</f>
        <v/>
      </c>
      <c r="J1580" t="str">
        <f t="shared" si="148"/>
        <v/>
      </c>
      <c r="K1580" s="28" t="str">
        <f t="shared" si="145"/>
        <v/>
      </c>
      <c r="L1580" s="46" t="str">
        <f t="shared" si="149"/>
        <v/>
      </c>
      <c r="M1580" t="str" cm="1">
        <f t="array" ref="M1580">IF(L1580="","",_xlfn.IFS(
  AND(L1580&gt;=TIME(9,0,0), L1580&lt;TIME(16,0,0)),"Morning",
  AND(L1580&gt;=TIME(16,0,0), L1580&lt;TIME(23,59,0)),"Evening",
  L1580&gt;=TIME(23,59,0),"Night",
  L1580&lt;TIME(9,0,0),"Night"
))</f>
        <v/>
      </c>
      <c r="O1580" t="str">
        <f t="shared" si="146"/>
        <v/>
      </c>
    </row>
    <row r="1581" spans="1:15" x14ac:dyDescent="0.25">
      <c r="A1581" s="49"/>
      <c r="G1581" t="str">
        <f t="shared" si="144"/>
        <v/>
      </c>
      <c r="H1581" s="13" t="str">
        <f t="shared" si="147"/>
        <v/>
      </c>
      <c r="I1581" t="str">
        <f>IFERROR(INDEX(Analysis!$D$116:$N$137, MATCH(B1581, Analysis!$C$116:$C$137, 0), MATCH(C1581, Analysis!$D$115:$N$115, 0)), "")</f>
        <v/>
      </c>
      <c r="J1581" t="str">
        <f t="shared" si="148"/>
        <v/>
      </c>
      <c r="K1581" s="28" t="str">
        <f t="shared" si="145"/>
        <v/>
      </c>
      <c r="L1581" s="46" t="str">
        <f t="shared" si="149"/>
        <v/>
      </c>
      <c r="M1581" t="str" cm="1">
        <f t="array" ref="M1581">IF(L1581="","",_xlfn.IFS(
  AND(L1581&gt;=TIME(9,0,0), L1581&lt;TIME(16,0,0)),"Morning",
  AND(L1581&gt;=TIME(16,0,0), L1581&lt;TIME(23,59,0)),"Evening",
  L1581&gt;=TIME(23,59,0),"Night",
  L1581&lt;TIME(9,0,0),"Night"
))</f>
        <v/>
      </c>
      <c r="O1581" t="str">
        <f t="shared" si="146"/>
        <v/>
      </c>
    </row>
    <row r="1582" spans="1:15" x14ac:dyDescent="0.25">
      <c r="A1582" s="49"/>
      <c r="G1582" t="str">
        <f t="shared" si="144"/>
        <v/>
      </c>
      <c r="H1582" s="13" t="str">
        <f t="shared" si="147"/>
        <v/>
      </c>
      <c r="I1582" t="str">
        <f>IFERROR(INDEX(Analysis!$D$116:$N$137, MATCH(B1582, Analysis!$C$116:$C$137, 0), MATCH(C1582, Analysis!$D$115:$N$115, 0)), "")</f>
        <v/>
      </c>
      <c r="J1582" t="str">
        <f t="shared" si="148"/>
        <v/>
      </c>
      <c r="K1582" s="28" t="str">
        <f t="shared" si="145"/>
        <v/>
      </c>
      <c r="L1582" s="46" t="str">
        <f t="shared" si="149"/>
        <v/>
      </c>
      <c r="M1582" t="str" cm="1">
        <f t="array" ref="M1582">IF(L1582="","",_xlfn.IFS(
  AND(L1582&gt;=TIME(9,0,0), L1582&lt;TIME(16,0,0)),"Morning",
  AND(L1582&gt;=TIME(16,0,0), L1582&lt;TIME(23,59,0)),"Evening",
  L1582&gt;=TIME(23,59,0),"Night",
  L1582&lt;TIME(9,0,0),"Night"
))</f>
        <v/>
      </c>
      <c r="O1582" t="str">
        <f t="shared" si="146"/>
        <v/>
      </c>
    </row>
    <row r="1583" spans="1:15" x14ac:dyDescent="0.25">
      <c r="A1583" s="49"/>
      <c r="G1583" t="str">
        <f t="shared" si="144"/>
        <v/>
      </c>
      <c r="H1583" s="13" t="str">
        <f t="shared" si="147"/>
        <v/>
      </c>
      <c r="I1583" t="str">
        <f>IFERROR(INDEX(Analysis!$D$116:$N$137, MATCH(B1583, Analysis!$C$116:$C$137, 0), MATCH(C1583, Analysis!$D$115:$N$115, 0)), "")</f>
        <v/>
      </c>
      <c r="J1583" t="str">
        <f t="shared" si="148"/>
        <v/>
      </c>
      <c r="K1583" s="28" t="str">
        <f t="shared" si="145"/>
        <v/>
      </c>
      <c r="L1583" s="46" t="str">
        <f t="shared" si="149"/>
        <v/>
      </c>
      <c r="M1583" t="str" cm="1">
        <f t="array" ref="M1583">IF(L1583="","",_xlfn.IFS(
  AND(L1583&gt;=TIME(9,0,0), L1583&lt;TIME(16,0,0)),"Morning",
  AND(L1583&gt;=TIME(16,0,0), L1583&lt;TIME(23,59,0)),"Evening",
  L1583&gt;=TIME(23,59,0),"Night",
  L1583&lt;TIME(9,0,0),"Night"
))</f>
        <v/>
      </c>
      <c r="O1583" t="str">
        <f t="shared" si="146"/>
        <v/>
      </c>
    </row>
    <row r="1584" spans="1:15" x14ac:dyDescent="0.25">
      <c r="A1584" s="49"/>
      <c r="G1584" t="str">
        <f t="shared" si="144"/>
        <v/>
      </c>
      <c r="H1584" s="13" t="str">
        <f t="shared" si="147"/>
        <v/>
      </c>
      <c r="I1584" t="str">
        <f>IFERROR(INDEX(Analysis!$D$116:$N$137, MATCH(B1584, Analysis!$C$116:$C$137, 0), MATCH(C1584, Analysis!$D$115:$N$115, 0)), "")</f>
        <v/>
      </c>
      <c r="J1584" t="str">
        <f t="shared" si="148"/>
        <v/>
      </c>
      <c r="K1584" s="28" t="str">
        <f t="shared" si="145"/>
        <v/>
      </c>
      <c r="L1584" s="46" t="str">
        <f t="shared" si="149"/>
        <v/>
      </c>
      <c r="M1584" t="str" cm="1">
        <f t="array" ref="M1584">IF(L1584="","",_xlfn.IFS(
  AND(L1584&gt;=TIME(9,0,0), L1584&lt;TIME(16,0,0)),"Morning",
  AND(L1584&gt;=TIME(16,0,0), L1584&lt;TIME(23,59,0)),"Evening",
  L1584&gt;=TIME(23,59,0),"Night",
  L1584&lt;TIME(9,0,0),"Night"
))</f>
        <v/>
      </c>
      <c r="O1584" t="str">
        <f t="shared" si="146"/>
        <v/>
      </c>
    </row>
    <row r="1585" spans="1:15" x14ac:dyDescent="0.25">
      <c r="A1585" s="49"/>
      <c r="G1585" t="str">
        <f t="shared" si="144"/>
        <v/>
      </c>
      <c r="H1585" s="13" t="str">
        <f t="shared" si="147"/>
        <v/>
      </c>
      <c r="I1585" t="str">
        <f>IFERROR(INDEX(Analysis!$D$116:$N$137, MATCH(B1585, Analysis!$C$116:$C$137, 0), MATCH(C1585, Analysis!$D$115:$N$115, 0)), "")</f>
        <v/>
      </c>
      <c r="J1585" t="str">
        <f t="shared" si="148"/>
        <v/>
      </c>
      <c r="K1585" s="28" t="str">
        <f t="shared" si="145"/>
        <v/>
      </c>
      <c r="L1585" s="46" t="str">
        <f t="shared" si="149"/>
        <v/>
      </c>
      <c r="M1585" t="str" cm="1">
        <f t="array" ref="M1585">IF(L1585="","",_xlfn.IFS(
  AND(L1585&gt;=TIME(9,0,0), L1585&lt;TIME(16,0,0)),"Morning",
  AND(L1585&gt;=TIME(16,0,0), L1585&lt;TIME(23,59,0)),"Evening",
  L1585&gt;=TIME(23,59,0),"Night",
  L1585&lt;TIME(9,0,0),"Night"
))</f>
        <v/>
      </c>
      <c r="O1585" t="str">
        <f t="shared" si="146"/>
        <v/>
      </c>
    </row>
    <row r="1586" spans="1:15" x14ac:dyDescent="0.25">
      <c r="A1586" s="49"/>
      <c r="G1586" t="str">
        <f t="shared" si="144"/>
        <v/>
      </c>
      <c r="H1586" s="13" t="str">
        <f t="shared" si="147"/>
        <v/>
      </c>
      <c r="I1586" t="str">
        <f>IFERROR(INDEX(Analysis!$D$116:$N$137, MATCH(B1586, Analysis!$C$116:$C$137, 0), MATCH(C1586, Analysis!$D$115:$N$115, 0)), "")</f>
        <v/>
      </c>
      <c r="J1586" t="str">
        <f t="shared" si="148"/>
        <v/>
      </c>
      <c r="K1586" s="28" t="str">
        <f t="shared" si="145"/>
        <v/>
      </c>
      <c r="L1586" s="46" t="str">
        <f t="shared" si="149"/>
        <v/>
      </c>
      <c r="M1586" t="str" cm="1">
        <f t="array" ref="M1586">IF(L1586="","",_xlfn.IFS(
  AND(L1586&gt;=TIME(9,0,0), L1586&lt;TIME(16,0,0)),"Morning",
  AND(L1586&gt;=TIME(16,0,0), L1586&lt;TIME(23,59,0)),"Evening",
  L1586&gt;=TIME(23,59,0),"Night",
  L1586&lt;TIME(9,0,0),"Night"
))</f>
        <v/>
      </c>
      <c r="O1586" t="str">
        <f t="shared" si="146"/>
        <v/>
      </c>
    </row>
    <row r="1587" spans="1:15" x14ac:dyDescent="0.25">
      <c r="A1587" s="49"/>
      <c r="G1587" t="str">
        <f t="shared" si="144"/>
        <v/>
      </c>
      <c r="H1587" s="13" t="str">
        <f t="shared" si="147"/>
        <v/>
      </c>
      <c r="I1587" t="str">
        <f>IFERROR(INDEX(Analysis!$D$116:$N$137, MATCH(B1587, Analysis!$C$116:$C$137, 0), MATCH(C1587, Analysis!$D$115:$N$115, 0)), "")</f>
        <v/>
      </c>
      <c r="J1587" t="str">
        <f t="shared" si="148"/>
        <v/>
      </c>
      <c r="K1587" s="28" t="str">
        <f t="shared" si="145"/>
        <v/>
      </c>
      <c r="L1587" s="46" t="str">
        <f t="shared" si="149"/>
        <v/>
      </c>
      <c r="M1587" t="str" cm="1">
        <f t="array" ref="M1587">IF(L1587="","",_xlfn.IFS(
  AND(L1587&gt;=TIME(9,0,0), L1587&lt;TIME(16,0,0)),"Morning",
  AND(L1587&gt;=TIME(16,0,0), L1587&lt;TIME(23,59,0)),"Evening",
  L1587&gt;=TIME(23,59,0),"Night",
  L1587&lt;TIME(9,0,0),"Night"
))</f>
        <v/>
      </c>
      <c r="O1587" t="str">
        <f t="shared" si="146"/>
        <v/>
      </c>
    </row>
    <row r="1588" spans="1:15" x14ac:dyDescent="0.25">
      <c r="A1588" s="49"/>
      <c r="G1588" t="str">
        <f t="shared" si="144"/>
        <v/>
      </c>
      <c r="H1588" s="13" t="str">
        <f t="shared" si="147"/>
        <v/>
      </c>
      <c r="I1588" t="str">
        <f>IFERROR(INDEX(Analysis!$D$116:$N$137, MATCH(B1588, Analysis!$C$116:$C$137, 0), MATCH(C1588, Analysis!$D$115:$N$115, 0)), "")</f>
        <v/>
      </c>
      <c r="J1588" t="str">
        <f t="shared" si="148"/>
        <v/>
      </c>
      <c r="K1588" s="28" t="str">
        <f t="shared" si="145"/>
        <v/>
      </c>
      <c r="L1588" s="46" t="str">
        <f t="shared" si="149"/>
        <v/>
      </c>
      <c r="M1588" t="str" cm="1">
        <f t="array" ref="M1588">IF(L1588="","",_xlfn.IFS(
  AND(L1588&gt;=TIME(9,0,0), L1588&lt;TIME(16,0,0)),"Morning",
  AND(L1588&gt;=TIME(16,0,0), L1588&lt;TIME(23,59,0)),"Evening",
  L1588&gt;=TIME(23,59,0),"Night",
  L1588&lt;TIME(9,0,0),"Night"
))</f>
        <v/>
      </c>
      <c r="O1588" t="str">
        <f t="shared" si="146"/>
        <v/>
      </c>
    </row>
    <row r="1589" spans="1:15" x14ac:dyDescent="0.25">
      <c r="A1589" s="49"/>
      <c r="G1589" t="str">
        <f t="shared" si="144"/>
        <v/>
      </c>
      <c r="H1589" s="13" t="str">
        <f t="shared" si="147"/>
        <v/>
      </c>
      <c r="I1589" t="str">
        <f>IFERROR(INDEX(Analysis!$D$116:$N$137, MATCH(B1589, Analysis!$C$116:$C$137, 0), MATCH(C1589, Analysis!$D$115:$N$115, 0)), "")</f>
        <v/>
      </c>
      <c r="J1589" t="str">
        <f t="shared" si="148"/>
        <v/>
      </c>
      <c r="K1589" s="28" t="str">
        <f t="shared" si="145"/>
        <v/>
      </c>
      <c r="L1589" s="46" t="str">
        <f t="shared" si="149"/>
        <v/>
      </c>
      <c r="M1589" t="str" cm="1">
        <f t="array" ref="M1589">IF(L1589="","",_xlfn.IFS(
  AND(L1589&gt;=TIME(9,0,0), L1589&lt;TIME(16,0,0)),"Morning",
  AND(L1589&gt;=TIME(16,0,0), L1589&lt;TIME(23,59,0)),"Evening",
  L1589&gt;=TIME(23,59,0),"Night",
  L1589&lt;TIME(9,0,0),"Night"
))</f>
        <v/>
      </c>
      <c r="O1589" t="str">
        <f t="shared" si="146"/>
        <v/>
      </c>
    </row>
    <row r="1590" spans="1:15" x14ac:dyDescent="0.25">
      <c r="A1590" s="49"/>
      <c r="G1590" t="str">
        <f t="shared" si="144"/>
        <v/>
      </c>
      <c r="H1590" s="13" t="str">
        <f t="shared" si="147"/>
        <v/>
      </c>
      <c r="I1590" t="str">
        <f>IFERROR(INDEX(Analysis!$D$116:$N$137, MATCH(B1590, Analysis!$C$116:$C$137, 0), MATCH(C1590, Analysis!$D$115:$N$115, 0)), "")</f>
        <v/>
      </c>
      <c r="J1590" t="str">
        <f t="shared" si="148"/>
        <v/>
      </c>
      <c r="K1590" s="28" t="str">
        <f t="shared" si="145"/>
        <v/>
      </c>
      <c r="L1590" s="46" t="str">
        <f t="shared" si="149"/>
        <v/>
      </c>
      <c r="M1590" t="str" cm="1">
        <f t="array" ref="M1590">IF(L1590="","",_xlfn.IFS(
  AND(L1590&gt;=TIME(9,0,0), L1590&lt;TIME(16,0,0)),"Morning",
  AND(L1590&gt;=TIME(16,0,0), L1590&lt;TIME(23,59,0)),"Evening",
  L1590&gt;=TIME(23,59,0),"Night",
  L1590&lt;TIME(9,0,0),"Night"
))</f>
        <v/>
      </c>
      <c r="O1590" t="str">
        <f t="shared" si="146"/>
        <v/>
      </c>
    </row>
    <row r="1591" spans="1:15" x14ac:dyDescent="0.25">
      <c r="A1591" s="49"/>
      <c r="G1591" t="str">
        <f t="shared" si="144"/>
        <v/>
      </c>
      <c r="H1591" s="13" t="str">
        <f t="shared" si="147"/>
        <v/>
      </c>
      <c r="I1591" t="str">
        <f>IFERROR(INDEX(Analysis!$D$116:$N$137, MATCH(B1591, Analysis!$C$116:$C$137, 0), MATCH(C1591, Analysis!$D$115:$N$115, 0)), "")</f>
        <v/>
      </c>
      <c r="J1591" t="str">
        <f t="shared" si="148"/>
        <v/>
      </c>
      <c r="K1591" s="28" t="str">
        <f t="shared" si="145"/>
        <v/>
      </c>
      <c r="L1591" s="46" t="str">
        <f t="shared" si="149"/>
        <v/>
      </c>
      <c r="M1591" t="str" cm="1">
        <f t="array" ref="M1591">IF(L1591="","",_xlfn.IFS(
  AND(L1591&gt;=TIME(9,0,0), L1591&lt;TIME(16,0,0)),"Morning",
  AND(L1591&gt;=TIME(16,0,0), L1591&lt;TIME(23,59,0)),"Evening",
  L1591&gt;=TIME(23,59,0),"Night",
  L1591&lt;TIME(9,0,0),"Night"
))</f>
        <v/>
      </c>
      <c r="O1591" t="str">
        <f t="shared" si="146"/>
        <v/>
      </c>
    </row>
    <row r="1592" spans="1:15" x14ac:dyDescent="0.25">
      <c r="A1592" s="49"/>
      <c r="G1592" t="str">
        <f t="shared" si="144"/>
        <v/>
      </c>
      <c r="H1592" s="13" t="str">
        <f t="shared" si="147"/>
        <v/>
      </c>
      <c r="I1592" t="str">
        <f>IFERROR(INDEX(Analysis!$D$116:$N$137, MATCH(B1592, Analysis!$C$116:$C$137, 0), MATCH(C1592, Analysis!$D$115:$N$115, 0)), "")</f>
        <v/>
      </c>
      <c r="J1592" t="str">
        <f t="shared" si="148"/>
        <v/>
      </c>
      <c r="K1592" s="28" t="str">
        <f t="shared" si="145"/>
        <v/>
      </c>
      <c r="L1592" s="46" t="str">
        <f t="shared" si="149"/>
        <v/>
      </c>
      <c r="M1592" t="str" cm="1">
        <f t="array" ref="M1592">IF(L1592="","",_xlfn.IFS(
  AND(L1592&gt;=TIME(9,0,0), L1592&lt;TIME(16,0,0)),"Morning",
  AND(L1592&gt;=TIME(16,0,0), L1592&lt;TIME(23,59,0)),"Evening",
  L1592&gt;=TIME(23,59,0),"Night",
  L1592&lt;TIME(9,0,0),"Night"
))</f>
        <v/>
      </c>
      <c r="O1592" t="str">
        <f t="shared" si="146"/>
        <v/>
      </c>
    </row>
    <row r="1593" spans="1:15" x14ac:dyDescent="0.25">
      <c r="A1593" s="49"/>
      <c r="G1593" t="str">
        <f t="shared" si="144"/>
        <v/>
      </c>
      <c r="H1593" s="13" t="str">
        <f t="shared" si="147"/>
        <v/>
      </c>
      <c r="I1593" t="str">
        <f>IFERROR(INDEX(Analysis!$D$116:$N$137, MATCH(B1593, Analysis!$C$116:$C$137, 0), MATCH(C1593, Analysis!$D$115:$N$115, 0)), "")</f>
        <v/>
      </c>
      <c r="J1593" t="str">
        <f t="shared" si="148"/>
        <v/>
      </c>
      <c r="K1593" s="28" t="str">
        <f t="shared" si="145"/>
        <v/>
      </c>
      <c r="L1593" s="46" t="str">
        <f t="shared" si="149"/>
        <v/>
      </c>
      <c r="M1593" t="str" cm="1">
        <f t="array" ref="M1593">IF(L1593="","",_xlfn.IFS(
  AND(L1593&gt;=TIME(9,0,0), L1593&lt;TIME(16,0,0)),"Morning",
  AND(L1593&gt;=TIME(16,0,0), L1593&lt;TIME(23,59,0)),"Evening",
  L1593&gt;=TIME(23,59,0),"Night",
  L1593&lt;TIME(9,0,0),"Night"
))</f>
        <v/>
      </c>
      <c r="O1593" t="str">
        <f t="shared" si="146"/>
        <v/>
      </c>
    </row>
    <row r="1594" spans="1:15" x14ac:dyDescent="0.25">
      <c r="A1594" s="49"/>
      <c r="G1594" t="str">
        <f t="shared" si="144"/>
        <v/>
      </c>
      <c r="H1594" s="13" t="str">
        <f t="shared" si="147"/>
        <v/>
      </c>
      <c r="I1594" t="str">
        <f>IFERROR(INDEX(Analysis!$D$116:$N$137, MATCH(B1594, Analysis!$C$116:$C$137, 0), MATCH(C1594, Analysis!$D$115:$N$115, 0)), "")</f>
        <v/>
      </c>
      <c r="J1594" t="str">
        <f t="shared" si="148"/>
        <v/>
      </c>
      <c r="K1594" s="28" t="str">
        <f t="shared" si="145"/>
        <v/>
      </c>
      <c r="L1594" s="46" t="str">
        <f t="shared" si="149"/>
        <v/>
      </c>
      <c r="M1594" t="str" cm="1">
        <f t="array" ref="M1594">IF(L1594="","",_xlfn.IFS(
  AND(L1594&gt;=TIME(9,0,0), L1594&lt;TIME(16,0,0)),"Morning",
  AND(L1594&gt;=TIME(16,0,0), L1594&lt;TIME(23,59,0)),"Evening",
  L1594&gt;=TIME(23,59,0),"Night",
  L1594&lt;TIME(9,0,0),"Night"
))</f>
        <v/>
      </c>
      <c r="O1594" t="str">
        <f t="shared" si="146"/>
        <v/>
      </c>
    </row>
    <row r="1595" spans="1:15" x14ac:dyDescent="0.25">
      <c r="A1595" s="49"/>
      <c r="G1595" t="str">
        <f t="shared" si="144"/>
        <v/>
      </c>
      <c r="H1595" s="13" t="str">
        <f t="shared" si="147"/>
        <v/>
      </c>
      <c r="I1595" t="str">
        <f>IFERROR(INDEX(Analysis!$D$116:$N$137, MATCH(B1595, Analysis!$C$116:$C$137, 0), MATCH(C1595, Analysis!$D$115:$N$115, 0)), "")</f>
        <v/>
      </c>
      <c r="J1595" t="str">
        <f t="shared" si="148"/>
        <v/>
      </c>
      <c r="K1595" s="28" t="str">
        <f t="shared" si="145"/>
        <v/>
      </c>
      <c r="L1595" s="46" t="str">
        <f t="shared" si="149"/>
        <v/>
      </c>
      <c r="M1595" t="str" cm="1">
        <f t="array" ref="M1595">IF(L1595="","",_xlfn.IFS(
  AND(L1595&gt;=TIME(9,0,0), L1595&lt;TIME(16,0,0)),"Morning",
  AND(L1595&gt;=TIME(16,0,0), L1595&lt;TIME(23,59,0)),"Evening",
  L1595&gt;=TIME(23,59,0),"Night",
  L1595&lt;TIME(9,0,0),"Night"
))</f>
        <v/>
      </c>
      <c r="O1595" t="str">
        <f t="shared" si="146"/>
        <v/>
      </c>
    </row>
    <row r="1596" spans="1:15" x14ac:dyDescent="0.25">
      <c r="A1596" s="49"/>
      <c r="G1596" t="str">
        <f t="shared" si="144"/>
        <v/>
      </c>
      <c r="H1596" s="13" t="str">
        <f t="shared" si="147"/>
        <v/>
      </c>
      <c r="I1596" t="str">
        <f>IFERROR(INDEX(Analysis!$D$116:$N$137, MATCH(B1596, Analysis!$C$116:$C$137, 0), MATCH(C1596, Analysis!$D$115:$N$115, 0)), "")</f>
        <v/>
      </c>
      <c r="J1596" t="str">
        <f t="shared" si="148"/>
        <v/>
      </c>
      <c r="K1596" s="28" t="str">
        <f t="shared" si="145"/>
        <v/>
      </c>
      <c r="L1596" s="46" t="str">
        <f t="shared" si="149"/>
        <v/>
      </c>
      <c r="M1596" t="str" cm="1">
        <f t="array" ref="M1596">IF(L1596="","",_xlfn.IFS(
  AND(L1596&gt;=TIME(9,0,0), L1596&lt;TIME(16,0,0)),"Morning",
  AND(L1596&gt;=TIME(16,0,0), L1596&lt;TIME(23,59,0)),"Evening",
  L1596&gt;=TIME(23,59,0),"Night",
  L1596&lt;TIME(9,0,0),"Night"
))</f>
        <v/>
      </c>
      <c r="O1596" t="str">
        <f t="shared" si="146"/>
        <v/>
      </c>
    </row>
    <row r="1597" spans="1:15" x14ac:dyDescent="0.25">
      <c r="A1597" s="49"/>
      <c r="G1597" t="str">
        <f t="shared" si="144"/>
        <v/>
      </c>
      <c r="H1597" s="13" t="str">
        <f t="shared" si="147"/>
        <v/>
      </c>
      <c r="I1597" t="str">
        <f>IFERROR(INDEX(Analysis!$D$116:$N$137, MATCH(B1597, Analysis!$C$116:$C$137, 0), MATCH(C1597, Analysis!$D$115:$N$115, 0)), "")</f>
        <v/>
      </c>
      <c r="J1597" t="str">
        <f t="shared" si="148"/>
        <v/>
      </c>
      <c r="K1597" s="28" t="str">
        <f t="shared" si="145"/>
        <v/>
      </c>
      <c r="L1597" s="46" t="str">
        <f t="shared" si="149"/>
        <v/>
      </c>
      <c r="M1597" t="str" cm="1">
        <f t="array" ref="M1597">IF(L1597="","",_xlfn.IFS(
  AND(L1597&gt;=TIME(9,0,0), L1597&lt;TIME(16,0,0)),"Morning",
  AND(L1597&gt;=TIME(16,0,0), L1597&lt;TIME(23,59,0)),"Evening",
  L1597&gt;=TIME(23,59,0),"Night",
  L1597&lt;TIME(9,0,0),"Night"
))</f>
        <v/>
      </c>
      <c r="O1597" t="str">
        <f t="shared" si="146"/>
        <v/>
      </c>
    </row>
    <row r="1598" spans="1:15" x14ac:dyDescent="0.25">
      <c r="A1598" s="49"/>
      <c r="G1598" t="str">
        <f t="shared" si="144"/>
        <v/>
      </c>
      <c r="H1598" s="13" t="str">
        <f t="shared" si="147"/>
        <v/>
      </c>
      <c r="I1598" t="str">
        <f>IFERROR(INDEX(Analysis!$D$116:$N$137, MATCH(B1598, Analysis!$C$116:$C$137, 0), MATCH(C1598, Analysis!$D$115:$N$115, 0)), "")</f>
        <v/>
      </c>
      <c r="J1598" t="str">
        <f t="shared" si="148"/>
        <v/>
      </c>
      <c r="K1598" s="28" t="str">
        <f t="shared" si="145"/>
        <v/>
      </c>
      <c r="L1598" s="46" t="str">
        <f t="shared" si="149"/>
        <v/>
      </c>
      <c r="M1598" t="str" cm="1">
        <f t="array" ref="M1598">IF(L1598="","",_xlfn.IFS(
  AND(L1598&gt;=TIME(9,0,0), L1598&lt;TIME(16,0,0)),"Morning",
  AND(L1598&gt;=TIME(16,0,0), L1598&lt;TIME(23,59,0)),"Evening",
  L1598&gt;=TIME(23,59,0),"Night",
  L1598&lt;TIME(9,0,0),"Night"
))</f>
        <v/>
      </c>
      <c r="O1598" t="str">
        <f t="shared" si="146"/>
        <v/>
      </c>
    </row>
    <row r="1599" spans="1:15" x14ac:dyDescent="0.25">
      <c r="A1599" s="49"/>
      <c r="G1599" t="str">
        <f t="shared" si="144"/>
        <v/>
      </c>
      <c r="H1599" s="13" t="str">
        <f t="shared" si="147"/>
        <v/>
      </c>
      <c r="I1599" t="str">
        <f>IFERROR(INDEX(Analysis!$D$116:$N$137, MATCH(B1599, Analysis!$C$116:$C$137, 0), MATCH(C1599, Analysis!$D$115:$N$115, 0)), "")</f>
        <v/>
      </c>
      <c r="J1599" t="str">
        <f t="shared" si="148"/>
        <v/>
      </c>
      <c r="K1599" s="28" t="str">
        <f t="shared" si="145"/>
        <v/>
      </c>
      <c r="L1599" s="46" t="str">
        <f t="shared" si="149"/>
        <v/>
      </c>
      <c r="M1599" t="str" cm="1">
        <f t="array" ref="M1599">IF(L1599="","",_xlfn.IFS(
  AND(L1599&gt;=TIME(9,0,0), L1599&lt;TIME(16,0,0)),"Morning",
  AND(L1599&gt;=TIME(16,0,0), L1599&lt;TIME(23,59,0)),"Evening",
  L1599&gt;=TIME(23,59,0),"Night",
  L1599&lt;TIME(9,0,0),"Night"
))</f>
        <v/>
      </c>
      <c r="O1599" t="str">
        <f t="shared" si="146"/>
        <v/>
      </c>
    </row>
    <row r="1600" spans="1:15" x14ac:dyDescent="0.25">
      <c r="A1600" s="49"/>
      <c r="G1600" t="str">
        <f t="shared" si="144"/>
        <v/>
      </c>
      <c r="H1600" s="13" t="str">
        <f t="shared" si="147"/>
        <v/>
      </c>
      <c r="I1600" t="str">
        <f>IFERROR(INDEX(Analysis!$D$116:$N$137, MATCH(B1600, Analysis!$C$116:$C$137, 0), MATCH(C1600, Analysis!$D$115:$N$115, 0)), "")</f>
        <v/>
      </c>
      <c r="J1600" t="str">
        <f t="shared" si="148"/>
        <v/>
      </c>
      <c r="K1600" s="28" t="str">
        <f t="shared" si="145"/>
        <v/>
      </c>
      <c r="L1600" s="46" t="str">
        <f t="shared" si="149"/>
        <v/>
      </c>
      <c r="M1600" t="str" cm="1">
        <f t="array" ref="M1600">IF(L1600="","",_xlfn.IFS(
  AND(L1600&gt;=TIME(9,0,0), L1600&lt;TIME(16,0,0)),"Morning",
  AND(L1600&gt;=TIME(16,0,0), L1600&lt;TIME(23,59,0)),"Evening",
  L1600&gt;=TIME(23,59,0),"Night",
  L1600&lt;TIME(9,0,0),"Night"
))</f>
        <v/>
      </c>
      <c r="O1600" t="str">
        <f t="shared" si="146"/>
        <v/>
      </c>
    </row>
    <row r="1601" spans="1:15" x14ac:dyDescent="0.25">
      <c r="A1601" s="49"/>
      <c r="G1601" t="str">
        <f t="shared" si="144"/>
        <v/>
      </c>
      <c r="H1601" s="13" t="str">
        <f t="shared" si="147"/>
        <v/>
      </c>
      <c r="I1601" t="str">
        <f>IFERROR(INDEX(Analysis!$D$116:$N$137, MATCH(B1601, Analysis!$C$116:$C$137, 0), MATCH(C1601, Analysis!$D$115:$N$115, 0)), "")</f>
        <v/>
      </c>
      <c r="J1601" t="str">
        <f t="shared" si="148"/>
        <v/>
      </c>
      <c r="K1601" s="28" t="str">
        <f t="shared" si="145"/>
        <v/>
      </c>
      <c r="L1601" s="46" t="str">
        <f t="shared" si="149"/>
        <v/>
      </c>
      <c r="M1601" t="str" cm="1">
        <f t="array" ref="M1601">IF(L1601="","",_xlfn.IFS(
  AND(L1601&gt;=TIME(9,0,0), L1601&lt;TIME(16,0,0)),"Morning",
  AND(L1601&gt;=TIME(16,0,0), L1601&lt;TIME(23,59,0)),"Evening",
  L1601&gt;=TIME(23,59,0),"Night",
  L1601&lt;TIME(9,0,0),"Night"
))</f>
        <v/>
      </c>
      <c r="O1601" t="str">
        <f t="shared" si="146"/>
        <v/>
      </c>
    </row>
    <row r="1602" spans="1:15" x14ac:dyDescent="0.25">
      <c r="A1602" s="49"/>
      <c r="G1602" t="str">
        <f t="shared" ref="G1602:G1665" si="150">IF(ISBLANK(A1602), "", IF(ISBLANK(F1602), 0, F1602))</f>
        <v/>
      </c>
      <c r="H1602" s="13" t="str">
        <f t="shared" si="147"/>
        <v/>
      </c>
      <c r="I1602" t="str">
        <f>IFERROR(INDEX(Analysis!$D$116:$N$137, MATCH(B1602, Analysis!$C$116:$C$137, 0), MATCH(C1602, Analysis!$D$115:$N$115, 0)), "")</f>
        <v/>
      </c>
      <c r="J1602" t="str">
        <f t="shared" si="148"/>
        <v/>
      </c>
      <c r="K1602" s="28" t="str">
        <f t="shared" ref="K1602:K1665" si="151">IF(ISBLANK(A1602),"",DATE(YEAR(A1602),MONTH(A1602),DAY(A1602)))</f>
        <v/>
      </c>
      <c r="L1602" s="46" t="str">
        <f t="shared" si="149"/>
        <v/>
      </c>
      <c r="M1602" t="str" cm="1">
        <f t="array" ref="M1602">IF(L1602="","",_xlfn.IFS(
  AND(L1602&gt;=TIME(9,0,0), L1602&lt;TIME(16,0,0)),"Morning",
  AND(L1602&gt;=TIME(16,0,0), L1602&lt;TIME(23,59,0)),"Evening",
  L1602&gt;=TIME(23,59,0),"Night",
  L1602&lt;TIME(9,0,0),"Night"
))</f>
        <v/>
      </c>
      <c r="O1602" t="str">
        <f t="shared" ref="O1602:O1665" si="152">IF(N1602="ON", _xlfn.IMAGE(E1602, 1), "")</f>
        <v/>
      </c>
    </row>
    <row r="1603" spans="1:15" x14ac:dyDescent="0.25">
      <c r="A1603" s="49"/>
      <c r="G1603" t="str">
        <f t="shared" si="150"/>
        <v/>
      </c>
      <c r="H1603" s="13" t="str">
        <f t="shared" ref="H1603:H1666" si="153">IF(ISBLANK(E1603),"",HYPERLINK(E1603,"Click here"))</f>
        <v/>
      </c>
      <c r="I1603" t="str">
        <f>IFERROR(INDEX(Analysis!$D$116:$N$137, MATCH(B1603, Analysis!$C$116:$C$137, 0), MATCH(C1603, Analysis!$D$115:$N$115, 0)), "")</f>
        <v/>
      </c>
      <c r="J1603" t="str">
        <f t="shared" ref="J1603:J1666" si="154">IF(ISBLANK(A1603),"",WEEKNUM(A1603))</f>
        <v/>
      </c>
      <c r="K1603" s="28" t="str">
        <f t="shared" si="151"/>
        <v/>
      </c>
      <c r="L1603" s="46" t="str">
        <f t="shared" ref="L1603:L1666" si="155">IF(A1603="", "", A1603 - INT(A1603))</f>
        <v/>
      </c>
      <c r="M1603" t="str" cm="1">
        <f t="array" ref="M1603">IF(L1603="","",_xlfn.IFS(
  AND(L1603&gt;=TIME(9,0,0), L1603&lt;TIME(16,0,0)),"Morning",
  AND(L1603&gt;=TIME(16,0,0), L1603&lt;TIME(23,59,0)),"Evening",
  L1603&gt;=TIME(23,59,0),"Night",
  L1603&lt;TIME(9,0,0),"Night"
))</f>
        <v/>
      </c>
      <c r="O1603" t="str">
        <f t="shared" si="152"/>
        <v/>
      </c>
    </row>
    <row r="1604" spans="1:15" x14ac:dyDescent="0.25">
      <c r="A1604" s="49"/>
      <c r="G1604" t="str">
        <f t="shared" si="150"/>
        <v/>
      </c>
      <c r="H1604" s="13" t="str">
        <f t="shared" si="153"/>
        <v/>
      </c>
      <c r="I1604" t="str">
        <f>IFERROR(INDEX(Analysis!$D$116:$N$137, MATCH(B1604, Analysis!$C$116:$C$137, 0), MATCH(C1604, Analysis!$D$115:$N$115, 0)), "")</f>
        <v/>
      </c>
      <c r="J1604" t="str">
        <f t="shared" si="154"/>
        <v/>
      </c>
      <c r="K1604" s="28" t="str">
        <f t="shared" si="151"/>
        <v/>
      </c>
      <c r="L1604" s="46" t="str">
        <f t="shared" si="155"/>
        <v/>
      </c>
      <c r="M1604" t="str" cm="1">
        <f t="array" ref="M1604">IF(L1604="","",_xlfn.IFS(
  AND(L1604&gt;=TIME(9,0,0), L1604&lt;TIME(16,0,0)),"Morning",
  AND(L1604&gt;=TIME(16,0,0), L1604&lt;TIME(23,59,0)),"Evening",
  L1604&gt;=TIME(23,59,0),"Night",
  L1604&lt;TIME(9,0,0),"Night"
))</f>
        <v/>
      </c>
      <c r="O1604" t="str">
        <f t="shared" si="152"/>
        <v/>
      </c>
    </row>
    <row r="1605" spans="1:15" x14ac:dyDescent="0.25">
      <c r="A1605" s="49"/>
      <c r="G1605" t="str">
        <f t="shared" si="150"/>
        <v/>
      </c>
      <c r="H1605" s="13" t="str">
        <f t="shared" si="153"/>
        <v/>
      </c>
      <c r="I1605" t="str">
        <f>IFERROR(INDEX(Analysis!$D$116:$N$137, MATCH(B1605, Analysis!$C$116:$C$137, 0), MATCH(C1605, Analysis!$D$115:$N$115, 0)), "")</f>
        <v/>
      </c>
      <c r="J1605" t="str">
        <f t="shared" si="154"/>
        <v/>
      </c>
      <c r="K1605" s="28" t="str">
        <f t="shared" si="151"/>
        <v/>
      </c>
      <c r="L1605" s="46" t="str">
        <f t="shared" si="155"/>
        <v/>
      </c>
      <c r="M1605" t="str" cm="1">
        <f t="array" ref="M1605">IF(L1605="","",_xlfn.IFS(
  AND(L1605&gt;=TIME(9,0,0), L1605&lt;TIME(16,0,0)),"Morning",
  AND(L1605&gt;=TIME(16,0,0), L1605&lt;TIME(23,59,0)),"Evening",
  L1605&gt;=TIME(23,59,0),"Night",
  L1605&lt;TIME(9,0,0),"Night"
))</f>
        <v/>
      </c>
      <c r="O1605" t="str">
        <f t="shared" si="152"/>
        <v/>
      </c>
    </row>
    <row r="1606" spans="1:15" x14ac:dyDescent="0.25">
      <c r="A1606" s="49"/>
      <c r="G1606" t="str">
        <f t="shared" si="150"/>
        <v/>
      </c>
      <c r="H1606" s="13" t="str">
        <f t="shared" si="153"/>
        <v/>
      </c>
      <c r="I1606" t="str">
        <f>IFERROR(INDEX(Analysis!$D$116:$N$137, MATCH(B1606, Analysis!$C$116:$C$137, 0), MATCH(C1606, Analysis!$D$115:$N$115, 0)), "")</f>
        <v/>
      </c>
      <c r="J1606" t="str">
        <f t="shared" si="154"/>
        <v/>
      </c>
      <c r="K1606" s="28" t="str">
        <f t="shared" si="151"/>
        <v/>
      </c>
      <c r="L1606" s="46" t="str">
        <f t="shared" si="155"/>
        <v/>
      </c>
      <c r="M1606" t="str" cm="1">
        <f t="array" ref="M1606">IF(L1606="","",_xlfn.IFS(
  AND(L1606&gt;=TIME(9,0,0), L1606&lt;TIME(16,0,0)),"Morning",
  AND(L1606&gt;=TIME(16,0,0), L1606&lt;TIME(23,59,0)),"Evening",
  L1606&gt;=TIME(23,59,0),"Night",
  L1606&lt;TIME(9,0,0),"Night"
))</f>
        <v/>
      </c>
      <c r="O1606" t="str">
        <f t="shared" si="152"/>
        <v/>
      </c>
    </row>
    <row r="1607" spans="1:15" x14ac:dyDescent="0.25">
      <c r="A1607" s="49"/>
      <c r="G1607" t="str">
        <f t="shared" si="150"/>
        <v/>
      </c>
      <c r="H1607" s="13" t="str">
        <f t="shared" si="153"/>
        <v/>
      </c>
      <c r="I1607" t="str">
        <f>IFERROR(INDEX(Analysis!$D$116:$N$137, MATCH(B1607, Analysis!$C$116:$C$137, 0), MATCH(C1607, Analysis!$D$115:$N$115, 0)), "")</f>
        <v/>
      </c>
      <c r="J1607" t="str">
        <f t="shared" si="154"/>
        <v/>
      </c>
      <c r="K1607" s="28" t="str">
        <f t="shared" si="151"/>
        <v/>
      </c>
      <c r="L1607" s="46" t="str">
        <f t="shared" si="155"/>
        <v/>
      </c>
      <c r="M1607" t="str" cm="1">
        <f t="array" ref="M1607">IF(L1607="","",_xlfn.IFS(
  AND(L1607&gt;=TIME(9,0,0), L1607&lt;TIME(16,0,0)),"Morning",
  AND(L1607&gt;=TIME(16,0,0), L1607&lt;TIME(23,59,0)),"Evening",
  L1607&gt;=TIME(23,59,0),"Night",
  L1607&lt;TIME(9,0,0),"Night"
))</f>
        <v/>
      </c>
      <c r="O1607" t="str">
        <f t="shared" si="152"/>
        <v/>
      </c>
    </row>
    <row r="1608" spans="1:15" x14ac:dyDescent="0.25">
      <c r="A1608" s="49"/>
      <c r="G1608" t="str">
        <f t="shared" si="150"/>
        <v/>
      </c>
      <c r="H1608" s="13" t="str">
        <f t="shared" si="153"/>
        <v/>
      </c>
      <c r="I1608" t="str">
        <f>IFERROR(INDEX(Analysis!$D$116:$N$137, MATCH(B1608, Analysis!$C$116:$C$137, 0), MATCH(C1608, Analysis!$D$115:$N$115, 0)), "")</f>
        <v/>
      </c>
      <c r="J1608" t="str">
        <f t="shared" si="154"/>
        <v/>
      </c>
      <c r="K1608" s="28" t="str">
        <f t="shared" si="151"/>
        <v/>
      </c>
      <c r="L1608" s="46" t="str">
        <f t="shared" si="155"/>
        <v/>
      </c>
      <c r="M1608" t="str" cm="1">
        <f t="array" ref="M1608">IF(L1608="","",_xlfn.IFS(
  AND(L1608&gt;=TIME(9,0,0), L1608&lt;TIME(16,0,0)),"Morning",
  AND(L1608&gt;=TIME(16,0,0), L1608&lt;TIME(23,59,0)),"Evening",
  L1608&gt;=TIME(23,59,0),"Night",
  L1608&lt;TIME(9,0,0),"Night"
))</f>
        <v/>
      </c>
      <c r="O1608" t="str">
        <f t="shared" si="152"/>
        <v/>
      </c>
    </row>
    <row r="1609" spans="1:15" x14ac:dyDescent="0.25">
      <c r="A1609" s="49"/>
      <c r="G1609" t="str">
        <f t="shared" si="150"/>
        <v/>
      </c>
      <c r="H1609" s="13" t="str">
        <f t="shared" si="153"/>
        <v/>
      </c>
      <c r="I1609" t="str">
        <f>IFERROR(INDEX(Analysis!$D$116:$N$137, MATCH(B1609, Analysis!$C$116:$C$137, 0), MATCH(C1609, Analysis!$D$115:$N$115, 0)), "")</f>
        <v/>
      </c>
      <c r="J1609" t="str">
        <f t="shared" si="154"/>
        <v/>
      </c>
      <c r="K1609" s="28" t="str">
        <f t="shared" si="151"/>
        <v/>
      </c>
      <c r="L1609" s="46" t="str">
        <f t="shared" si="155"/>
        <v/>
      </c>
      <c r="M1609" t="str" cm="1">
        <f t="array" ref="M1609">IF(L1609="","",_xlfn.IFS(
  AND(L1609&gt;=TIME(9,0,0), L1609&lt;TIME(16,0,0)),"Morning",
  AND(L1609&gt;=TIME(16,0,0), L1609&lt;TIME(23,59,0)),"Evening",
  L1609&gt;=TIME(23,59,0),"Night",
  L1609&lt;TIME(9,0,0),"Night"
))</f>
        <v/>
      </c>
      <c r="O1609" t="str">
        <f t="shared" si="152"/>
        <v/>
      </c>
    </row>
    <row r="1610" spans="1:15" x14ac:dyDescent="0.25">
      <c r="A1610" s="49"/>
      <c r="G1610" t="str">
        <f t="shared" si="150"/>
        <v/>
      </c>
      <c r="H1610" s="13" t="str">
        <f t="shared" si="153"/>
        <v/>
      </c>
      <c r="I1610" t="str">
        <f>IFERROR(INDEX(Analysis!$D$116:$N$137, MATCH(B1610, Analysis!$C$116:$C$137, 0), MATCH(C1610, Analysis!$D$115:$N$115, 0)), "")</f>
        <v/>
      </c>
      <c r="J1610" t="str">
        <f t="shared" si="154"/>
        <v/>
      </c>
      <c r="K1610" s="28" t="str">
        <f t="shared" si="151"/>
        <v/>
      </c>
      <c r="L1610" s="46" t="str">
        <f t="shared" si="155"/>
        <v/>
      </c>
      <c r="M1610" t="str" cm="1">
        <f t="array" ref="M1610">IF(L1610="","",_xlfn.IFS(
  AND(L1610&gt;=TIME(9,0,0), L1610&lt;TIME(16,0,0)),"Morning",
  AND(L1610&gt;=TIME(16,0,0), L1610&lt;TIME(23,59,0)),"Evening",
  L1610&gt;=TIME(23,59,0),"Night",
  L1610&lt;TIME(9,0,0),"Night"
))</f>
        <v/>
      </c>
      <c r="O1610" t="str">
        <f t="shared" si="152"/>
        <v/>
      </c>
    </row>
    <row r="1611" spans="1:15" x14ac:dyDescent="0.25">
      <c r="A1611" s="49"/>
      <c r="G1611" t="str">
        <f t="shared" si="150"/>
        <v/>
      </c>
      <c r="H1611" s="13" t="str">
        <f t="shared" si="153"/>
        <v/>
      </c>
      <c r="I1611" t="str">
        <f>IFERROR(INDEX(Analysis!$D$116:$N$137, MATCH(B1611, Analysis!$C$116:$C$137, 0), MATCH(C1611, Analysis!$D$115:$N$115, 0)), "")</f>
        <v/>
      </c>
      <c r="J1611" t="str">
        <f t="shared" si="154"/>
        <v/>
      </c>
      <c r="K1611" s="28" t="str">
        <f t="shared" si="151"/>
        <v/>
      </c>
      <c r="L1611" s="46" t="str">
        <f t="shared" si="155"/>
        <v/>
      </c>
      <c r="M1611" t="str" cm="1">
        <f t="array" ref="M1611">IF(L1611="","",_xlfn.IFS(
  AND(L1611&gt;=TIME(9,0,0), L1611&lt;TIME(16,0,0)),"Morning",
  AND(L1611&gt;=TIME(16,0,0), L1611&lt;TIME(23,59,0)),"Evening",
  L1611&gt;=TIME(23,59,0),"Night",
  L1611&lt;TIME(9,0,0),"Night"
))</f>
        <v/>
      </c>
      <c r="O1611" t="str">
        <f t="shared" si="152"/>
        <v/>
      </c>
    </row>
    <row r="1612" spans="1:15" x14ac:dyDescent="0.25">
      <c r="A1612" s="49"/>
      <c r="G1612" t="str">
        <f t="shared" si="150"/>
        <v/>
      </c>
      <c r="H1612" s="13" t="str">
        <f t="shared" si="153"/>
        <v/>
      </c>
      <c r="I1612" t="str">
        <f>IFERROR(INDEX(Analysis!$D$116:$N$137, MATCH(B1612, Analysis!$C$116:$C$137, 0), MATCH(C1612, Analysis!$D$115:$N$115, 0)), "")</f>
        <v/>
      </c>
      <c r="J1612" t="str">
        <f t="shared" si="154"/>
        <v/>
      </c>
      <c r="K1612" s="28" t="str">
        <f t="shared" si="151"/>
        <v/>
      </c>
      <c r="L1612" s="46" t="str">
        <f t="shared" si="155"/>
        <v/>
      </c>
      <c r="M1612" t="str" cm="1">
        <f t="array" ref="M1612">IF(L1612="","",_xlfn.IFS(
  AND(L1612&gt;=TIME(9,0,0), L1612&lt;TIME(16,0,0)),"Morning",
  AND(L1612&gt;=TIME(16,0,0), L1612&lt;TIME(23,59,0)),"Evening",
  L1612&gt;=TIME(23,59,0),"Night",
  L1612&lt;TIME(9,0,0),"Night"
))</f>
        <v/>
      </c>
      <c r="O1612" t="str">
        <f t="shared" si="152"/>
        <v/>
      </c>
    </row>
    <row r="1613" spans="1:15" x14ac:dyDescent="0.25">
      <c r="A1613" s="49"/>
      <c r="G1613" t="str">
        <f t="shared" si="150"/>
        <v/>
      </c>
      <c r="H1613" s="13" t="str">
        <f t="shared" si="153"/>
        <v/>
      </c>
      <c r="I1613" t="str">
        <f>IFERROR(INDEX(Analysis!$D$116:$N$137, MATCH(B1613, Analysis!$C$116:$C$137, 0), MATCH(C1613, Analysis!$D$115:$N$115, 0)), "")</f>
        <v/>
      </c>
      <c r="J1613" t="str">
        <f t="shared" si="154"/>
        <v/>
      </c>
      <c r="K1613" s="28" t="str">
        <f t="shared" si="151"/>
        <v/>
      </c>
      <c r="L1613" s="46" t="str">
        <f t="shared" si="155"/>
        <v/>
      </c>
      <c r="M1613" t="str" cm="1">
        <f t="array" ref="M1613">IF(L1613="","",_xlfn.IFS(
  AND(L1613&gt;=TIME(9,0,0), L1613&lt;TIME(16,0,0)),"Morning",
  AND(L1613&gt;=TIME(16,0,0), L1613&lt;TIME(23,59,0)),"Evening",
  L1613&gt;=TIME(23,59,0),"Night",
  L1613&lt;TIME(9,0,0),"Night"
))</f>
        <v/>
      </c>
      <c r="O1613" t="str">
        <f t="shared" si="152"/>
        <v/>
      </c>
    </row>
    <row r="1614" spans="1:15" x14ac:dyDescent="0.25">
      <c r="A1614" s="49"/>
      <c r="G1614" t="str">
        <f t="shared" si="150"/>
        <v/>
      </c>
      <c r="H1614" s="13" t="str">
        <f t="shared" si="153"/>
        <v/>
      </c>
      <c r="I1614" t="str">
        <f>IFERROR(INDEX(Analysis!$D$116:$N$137, MATCH(B1614, Analysis!$C$116:$C$137, 0), MATCH(C1614, Analysis!$D$115:$N$115, 0)), "")</f>
        <v/>
      </c>
      <c r="J1614" t="str">
        <f t="shared" si="154"/>
        <v/>
      </c>
      <c r="K1614" s="28" t="str">
        <f t="shared" si="151"/>
        <v/>
      </c>
      <c r="L1614" s="46" t="str">
        <f t="shared" si="155"/>
        <v/>
      </c>
      <c r="M1614" t="str" cm="1">
        <f t="array" ref="M1614">IF(L1614="","",_xlfn.IFS(
  AND(L1614&gt;=TIME(9,0,0), L1614&lt;TIME(16,0,0)),"Morning",
  AND(L1614&gt;=TIME(16,0,0), L1614&lt;TIME(23,59,0)),"Evening",
  L1614&gt;=TIME(23,59,0),"Night",
  L1614&lt;TIME(9,0,0),"Night"
))</f>
        <v/>
      </c>
      <c r="O1614" t="str">
        <f t="shared" si="152"/>
        <v/>
      </c>
    </row>
    <row r="1615" spans="1:15" x14ac:dyDescent="0.25">
      <c r="A1615" s="49"/>
      <c r="G1615" t="str">
        <f t="shared" si="150"/>
        <v/>
      </c>
      <c r="H1615" s="13" t="str">
        <f t="shared" si="153"/>
        <v/>
      </c>
      <c r="I1615" t="str">
        <f>IFERROR(INDEX(Analysis!$D$116:$N$137, MATCH(B1615, Analysis!$C$116:$C$137, 0), MATCH(C1615, Analysis!$D$115:$N$115, 0)), "")</f>
        <v/>
      </c>
      <c r="J1615" t="str">
        <f t="shared" si="154"/>
        <v/>
      </c>
      <c r="K1615" s="28" t="str">
        <f t="shared" si="151"/>
        <v/>
      </c>
      <c r="L1615" s="46" t="str">
        <f t="shared" si="155"/>
        <v/>
      </c>
      <c r="M1615" t="str" cm="1">
        <f t="array" ref="M1615">IF(L1615="","",_xlfn.IFS(
  AND(L1615&gt;=TIME(9,0,0), L1615&lt;TIME(16,0,0)),"Morning",
  AND(L1615&gt;=TIME(16,0,0), L1615&lt;TIME(23,59,0)),"Evening",
  L1615&gt;=TIME(23,59,0),"Night",
  L1615&lt;TIME(9,0,0),"Night"
))</f>
        <v/>
      </c>
      <c r="O1615" t="str">
        <f t="shared" si="152"/>
        <v/>
      </c>
    </row>
    <row r="1616" spans="1:15" x14ac:dyDescent="0.25">
      <c r="A1616" s="49"/>
      <c r="G1616" t="str">
        <f t="shared" si="150"/>
        <v/>
      </c>
      <c r="H1616" s="13" t="str">
        <f t="shared" si="153"/>
        <v/>
      </c>
      <c r="I1616" t="str">
        <f>IFERROR(INDEX(Analysis!$D$116:$N$137, MATCH(B1616, Analysis!$C$116:$C$137, 0), MATCH(C1616, Analysis!$D$115:$N$115, 0)), "")</f>
        <v/>
      </c>
      <c r="J1616" t="str">
        <f t="shared" si="154"/>
        <v/>
      </c>
      <c r="K1616" s="28" t="str">
        <f t="shared" si="151"/>
        <v/>
      </c>
      <c r="L1616" s="46" t="str">
        <f t="shared" si="155"/>
        <v/>
      </c>
      <c r="M1616" t="str" cm="1">
        <f t="array" ref="M1616">IF(L1616="","",_xlfn.IFS(
  AND(L1616&gt;=TIME(9,0,0), L1616&lt;TIME(16,0,0)),"Morning",
  AND(L1616&gt;=TIME(16,0,0), L1616&lt;TIME(23,59,0)),"Evening",
  L1616&gt;=TIME(23,59,0),"Night",
  L1616&lt;TIME(9,0,0),"Night"
))</f>
        <v/>
      </c>
      <c r="O1616" t="str">
        <f t="shared" si="152"/>
        <v/>
      </c>
    </row>
    <row r="1617" spans="1:15" x14ac:dyDescent="0.25">
      <c r="A1617" s="49"/>
      <c r="G1617" t="str">
        <f t="shared" si="150"/>
        <v/>
      </c>
      <c r="H1617" s="13" t="str">
        <f t="shared" si="153"/>
        <v/>
      </c>
      <c r="I1617" t="str">
        <f>IFERROR(INDEX(Analysis!$D$116:$N$137, MATCH(B1617, Analysis!$C$116:$C$137, 0), MATCH(C1617, Analysis!$D$115:$N$115, 0)), "")</f>
        <v/>
      </c>
      <c r="J1617" t="str">
        <f t="shared" si="154"/>
        <v/>
      </c>
      <c r="K1617" s="28" t="str">
        <f t="shared" si="151"/>
        <v/>
      </c>
      <c r="L1617" s="46" t="str">
        <f t="shared" si="155"/>
        <v/>
      </c>
      <c r="M1617" t="str" cm="1">
        <f t="array" ref="M1617">IF(L1617="","",_xlfn.IFS(
  AND(L1617&gt;=TIME(9,0,0), L1617&lt;TIME(16,0,0)),"Morning",
  AND(L1617&gt;=TIME(16,0,0), L1617&lt;TIME(23,59,0)),"Evening",
  L1617&gt;=TIME(23,59,0),"Night",
  L1617&lt;TIME(9,0,0),"Night"
))</f>
        <v/>
      </c>
      <c r="O1617" t="str">
        <f t="shared" si="152"/>
        <v/>
      </c>
    </row>
    <row r="1618" spans="1:15" x14ac:dyDescent="0.25">
      <c r="A1618" s="49"/>
      <c r="G1618" t="str">
        <f t="shared" si="150"/>
        <v/>
      </c>
      <c r="H1618" s="13" t="str">
        <f t="shared" si="153"/>
        <v/>
      </c>
      <c r="I1618" t="str">
        <f>IFERROR(INDEX(Analysis!$D$116:$N$137, MATCH(B1618, Analysis!$C$116:$C$137, 0), MATCH(C1618, Analysis!$D$115:$N$115, 0)), "")</f>
        <v/>
      </c>
      <c r="J1618" t="str">
        <f t="shared" si="154"/>
        <v/>
      </c>
      <c r="K1618" s="28" t="str">
        <f t="shared" si="151"/>
        <v/>
      </c>
      <c r="L1618" s="46" t="str">
        <f t="shared" si="155"/>
        <v/>
      </c>
      <c r="M1618" t="str" cm="1">
        <f t="array" ref="M1618">IF(L1618="","",_xlfn.IFS(
  AND(L1618&gt;=TIME(9,0,0), L1618&lt;TIME(16,0,0)),"Morning",
  AND(L1618&gt;=TIME(16,0,0), L1618&lt;TIME(23,59,0)),"Evening",
  L1618&gt;=TIME(23,59,0),"Night",
  L1618&lt;TIME(9,0,0),"Night"
))</f>
        <v/>
      </c>
      <c r="O1618" t="str">
        <f t="shared" si="152"/>
        <v/>
      </c>
    </row>
    <row r="1619" spans="1:15" x14ac:dyDescent="0.25">
      <c r="A1619" s="49"/>
      <c r="G1619" t="str">
        <f t="shared" si="150"/>
        <v/>
      </c>
      <c r="H1619" s="13" t="str">
        <f t="shared" si="153"/>
        <v/>
      </c>
      <c r="I1619" t="str">
        <f>IFERROR(INDEX(Analysis!$D$116:$N$137, MATCH(B1619, Analysis!$C$116:$C$137, 0), MATCH(C1619, Analysis!$D$115:$N$115, 0)), "")</f>
        <v/>
      </c>
      <c r="J1619" t="str">
        <f t="shared" si="154"/>
        <v/>
      </c>
      <c r="K1619" s="28" t="str">
        <f t="shared" si="151"/>
        <v/>
      </c>
      <c r="L1619" s="46" t="str">
        <f t="shared" si="155"/>
        <v/>
      </c>
      <c r="M1619" t="str" cm="1">
        <f t="array" ref="M1619">IF(L1619="","",_xlfn.IFS(
  AND(L1619&gt;=TIME(9,0,0), L1619&lt;TIME(16,0,0)),"Morning",
  AND(L1619&gt;=TIME(16,0,0), L1619&lt;TIME(23,59,0)),"Evening",
  L1619&gt;=TIME(23,59,0),"Night",
  L1619&lt;TIME(9,0,0),"Night"
))</f>
        <v/>
      </c>
      <c r="O1619" t="str">
        <f t="shared" si="152"/>
        <v/>
      </c>
    </row>
    <row r="1620" spans="1:15" x14ac:dyDescent="0.25">
      <c r="A1620" s="49"/>
      <c r="G1620" t="str">
        <f t="shared" si="150"/>
        <v/>
      </c>
      <c r="H1620" s="13" t="str">
        <f t="shared" si="153"/>
        <v/>
      </c>
      <c r="I1620" t="str">
        <f>IFERROR(INDEX(Analysis!$D$116:$N$137, MATCH(B1620, Analysis!$C$116:$C$137, 0), MATCH(C1620, Analysis!$D$115:$N$115, 0)), "")</f>
        <v/>
      </c>
      <c r="J1620" t="str">
        <f t="shared" si="154"/>
        <v/>
      </c>
      <c r="K1620" s="28" t="str">
        <f t="shared" si="151"/>
        <v/>
      </c>
      <c r="L1620" s="46" t="str">
        <f t="shared" si="155"/>
        <v/>
      </c>
      <c r="M1620" t="str" cm="1">
        <f t="array" ref="M1620">IF(L1620="","",_xlfn.IFS(
  AND(L1620&gt;=TIME(9,0,0), L1620&lt;TIME(16,0,0)),"Morning",
  AND(L1620&gt;=TIME(16,0,0), L1620&lt;TIME(23,59,0)),"Evening",
  L1620&gt;=TIME(23,59,0),"Night",
  L1620&lt;TIME(9,0,0),"Night"
))</f>
        <v/>
      </c>
      <c r="O1620" t="str">
        <f t="shared" si="152"/>
        <v/>
      </c>
    </row>
    <row r="1621" spans="1:15" x14ac:dyDescent="0.25">
      <c r="A1621" s="49"/>
      <c r="G1621" t="str">
        <f t="shared" si="150"/>
        <v/>
      </c>
      <c r="H1621" s="13" t="str">
        <f t="shared" si="153"/>
        <v/>
      </c>
      <c r="I1621" t="str">
        <f>IFERROR(INDEX(Analysis!$D$116:$N$137, MATCH(B1621, Analysis!$C$116:$C$137, 0), MATCH(C1621, Analysis!$D$115:$N$115, 0)), "")</f>
        <v/>
      </c>
      <c r="J1621" t="str">
        <f t="shared" si="154"/>
        <v/>
      </c>
      <c r="K1621" s="28" t="str">
        <f t="shared" si="151"/>
        <v/>
      </c>
      <c r="L1621" s="46" t="str">
        <f t="shared" si="155"/>
        <v/>
      </c>
      <c r="M1621" t="str" cm="1">
        <f t="array" ref="M1621">IF(L1621="","",_xlfn.IFS(
  AND(L1621&gt;=TIME(9,0,0), L1621&lt;TIME(16,0,0)),"Morning",
  AND(L1621&gt;=TIME(16,0,0), L1621&lt;TIME(23,59,0)),"Evening",
  L1621&gt;=TIME(23,59,0),"Night",
  L1621&lt;TIME(9,0,0),"Night"
))</f>
        <v/>
      </c>
      <c r="O1621" t="str">
        <f t="shared" si="152"/>
        <v/>
      </c>
    </row>
    <row r="1622" spans="1:15" x14ac:dyDescent="0.25">
      <c r="A1622" s="49"/>
      <c r="G1622" t="str">
        <f t="shared" si="150"/>
        <v/>
      </c>
      <c r="H1622" s="13" t="str">
        <f t="shared" si="153"/>
        <v/>
      </c>
      <c r="I1622" t="str">
        <f>IFERROR(INDEX(Analysis!$D$116:$N$137, MATCH(B1622, Analysis!$C$116:$C$137, 0), MATCH(C1622, Analysis!$D$115:$N$115, 0)), "")</f>
        <v/>
      </c>
      <c r="J1622" t="str">
        <f t="shared" si="154"/>
        <v/>
      </c>
      <c r="K1622" s="28" t="str">
        <f t="shared" si="151"/>
        <v/>
      </c>
      <c r="L1622" s="46" t="str">
        <f t="shared" si="155"/>
        <v/>
      </c>
      <c r="M1622" t="str" cm="1">
        <f t="array" ref="M1622">IF(L1622="","",_xlfn.IFS(
  AND(L1622&gt;=TIME(9,0,0), L1622&lt;TIME(16,0,0)),"Morning",
  AND(L1622&gt;=TIME(16,0,0), L1622&lt;TIME(23,59,0)),"Evening",
  L1622&gt;=TIME(23,59,0),"Night",
  L1622&lt;TIME(9,0,0),"Night"
))</f>
        <v/>
      </c>
      <c r="O1622" t="str">
        <f t="shared" si="152"/>
        <v/>
      </c>
    </row>
    <row r="1623" spans="1:15" x14ac:dyDescent="0.25">
      <c r="A1623" s="49"/>
      <c r="G1623" t="str">
        <f t="shared" si="150"/>
        <v/>
      </c>
      <c r="H1623" s="13" t="str">
        <f t="shared" si="153"/>
        <v/>
      </c>
      <c r="I1623" t="str">
        <f>IFERROR(INDEX(Analysis!$D$116:$N$137, MATCH(B1623, Analysis!$C$116:$C$137, 0), MATCH(C1623, Analysis!$D$115:$N$115, 0)), "")</f>
        <v/>
      </c>
      <c r="J1623" t="str">
        <f t="shared" si="154"/>
        <v/>
      </c>
      <c r="K1623" s="28" t="str">
        <f t="shared" si="151"/>
        <v/>
      </c>
      <c r="L1623" s="46" t="str">
        <f t="shared" si="155"/>
        <v/>
      </c>
      <c r="M1623" t="str" cm="1">
        <f t="array" ref="M1623">IF(L1623="","",_xlfn.IFS(
  AND(L1623&gt;=TIME(9,0,0), L1623&lt;TIME(16,0,0)),"Morning",
  AND(L1623&gt;=TIME(16,0,0), L1623&lt;TIME(23,59,0)),"Evening",
  L1623&gt;=TIME(23,59,0),"Night",
  L1623&lt;TIME(9,0,0),"Night"
))</f>
        <v/>
      </c>
      <c r="O1623" t="str">
        <f t="shared" si="152"/>
        <v/>
      </c>
    </row>
    <row r="1624" spans="1:15" x14ac:dyDescent="0.25">
      <c r="A1624" s="49"/>
      <c r="G1624" t="str">
        <f t="shared" si="150"/>
        <v/>
      </c>
      <c r="H1624" s="13" t="str">
        <f t="shared" si="153"/>
        <v/>
      </c>
      <c r="I1624" t="str">
        <f>IFERROR(INDEX(Analysis!$D$116:$N$137, MATCH(B1624, Analysis!$C$116:$C$137, 0), MATCH(C1624, Analysis!$D$115:$N$115, 0)), "")</f>
        <v/>
      </c>
      <c r="J1624" t="str">
        <f t="shared" si="154"/>
        <v/>
      </c>
      <c r="K1624" s="28" t="str">
        <f t="shared" si="151"/>
        <v/>
      </c>
      <c r="L1624" s="46" t="str">
        <f t="shared" si="155"/>
        <v/>
      </c>
      <c r="M1624" t="str" cm="1">
        <f t="array" ref="M1624">IF(L1624="","",_xlfn.IFS(
  AND(L1624&gt;=TIME(9,0,0), L1624&lt;TIME(16,0,0)),"Morning",
  AND(L1624&gt;=TIME(16,0,0), L1624&lt;TIME(23,59,0)),"Evening",
  L1624&gt;=TIME(23,59,0),"Night",
  L1624&lt;TIME(9,0,0),"Night"
))</f>
        <v/>
      </c>
      <c r="O1624" t="str">
        <f t="shared" si="152"/>
        <v/>
      </c>
    </row>
    <row r="1625" spans="1:15" x14ac:dyDescent="0.25">
      <c r="A1625" s="49"/>
      <c r="G1625" t="str">
        <f t="shared" si="150"/>
        <v/>
      </c>
      <c r="H1625" s="13" t="str">
        <f t="shared" si="153"/>
        <v/>
      </c>
      <c r="I1625" t="str">
        <f>IFERROR(INDEX(Analysis!$D$116:$N$137, MATCH(B1625, Analysis!$C$116:$C$137, 0), MATCH(C1625, Analysis!$D$115:$N$115, 0)), "")</f>
        <v/>
      </c>
      <c r="J1625" t="str">
        <f t="shared" si="154"/>
        <v/>
      </c>
      <c r="K1625" s="28" t="str">
        <f t="shared" si="151"/>
        <v/>
      </c>
      <c r="L1625" s="46" t="str">
        <f t="shared" si="155"/>
        <v/>
      </c>
      <c r="M1625" t="str" cm="1">
        <f t="array" ref="M1625">IF(L1625="","",_xlfn.IFS(
  AND(L1625&gt;=TIME(9,0,0), L1625&lt;TIME(16,0,0)),"Morning",
  AND(L1625&gt;=TIME(16,0,0), L1625&lt;TIME(23,59,0)),"Evening",
  L1625&gt;=TIME(23,59,0),"Night",
  L1625&lt;TIME(9,0,0),"Night"
))</f>
        <v/>
      </c>
      <c r="O1625" t="str">
        <f t="shared" si="152"/>
        <v/>
      </c>
    </row>
    <row r="1626" spans="1:15" x14ac:dyDescent="0.25">
      <c r="A1626" s="49"/>
      <c r="G1626" t="str">
        <f t="shared" si="150"/>
        <v/>
      </c>
      <c r="H1626" s="13" t="str">
        <f t="shared" si="153"/>
        <v/>
      </c>
      <c r="I1626" t="str">
        <f>IFERROR(INDEX(Analysis!$D$116:$N$137, MATCH(B1626, Analysis!$C$116:$C$137, 0), MATCH(C1626, Analysis!$D$115:$N$115, 0)), "")</f>
        <v/>
      </c>
      <c r="J1626" t="str">
        <f t="shared" si="154"/>
        <v/>
      </c>
      <c r="K1626" s="28" t="str">
        <f t="shared" si="151"/>
        <v/>
      </c>
      <c r="L1626" s="46" t="str">
        <f t="shared" si="155"/>
        <v/>
      </c>
      <c r="M1626" t="str" cm="1">
        <f t="array" ref="M1626">IF(L1626="","",_xlfn.IFS(
  AND(L1626&gt;=TIME(9,0,0), L1626&lt;TIME(16,0,0)),"Morning",
  AND(L1626&gt;=TIME(16,0,0), L1626&lt;TIME(23,59,0)),"Evening",
  L1626&gt;=TIME(23,59,0),"Night",
  L1626&lt;TIME(9,0,0),"Night"
))</f>
        <v/>
      </c>
      <c r="O1626" t="str">
        <f t="shared" si="152"/>
        <v/>
      </c>
    </row>
    <row r="1627" spans="1:15" x14ac:dyDescent="0.25">
      <c r="A1627" s="49"/>
      <c r="G1627" t="str">
        <f t="shared" si="150"/>
        <v/>
      </c>
      <c r="H1627" s="13" t="str">
        <f t="shared" si="153"/>
        <v/>
      </c>
      <c r="I1627" t="str">
        <f>IFERROR(INDEX(Analysis!$D$116:$N$137, MATCH(B1627, Analysis!$C$116:$C$137, 0), MATCH(C1627, Analysis!$D$115:$N$115, 0)), "")</f>
        <v/>
      </c>
      <c r="J1627" t="str">
        <f t="shared" si="154"/>
        <v/>
      </c>
      <c r="K1627" s="28" t="str">
        <f t="shared" si="151"/>
        <v/>
      </c>
      <c r="L1627" s="46" t="str">
        <f t="shared" si="155"/>
        <v/>
      </c>
      <c r="M1627" t="str" cm="1">
        <f t="array" ref="M1627">IF(L1627="","",_xlfn.IFS(
  AND(L1627&gt;=TIME(9,0,0), L1627&lt;TIME(16,0,0)),"Morning",
  AND(L1627&gt;=TIME(16,0,0), L1627&lt;TIME(23,59,0)),"Evening",
  L1627&gt;=TIME(23,59,0),"Night",
  L1627&lt;TIME(9,0,0),"Night"
))</f>
        <v/>
      </c>
      <c r="O1627" t="str">
        <f t="shared" si="152"/>
        <v/>
      </c>
    </row>
    <row r="1628" spans="1:15" x14ac:dyDescent="0.25">
      <c r="A1628" s="49"/>
      <c r="G1628" t="str">
        <f t="shared" si="150"/>
        <v/>
      </c>
      <c r="H1628" s="13" t="str">
        <f t="shared" si="153"/>
        <v/>
      </c>
      <c r="I1628" t="str">
        <f>IFERROR(INDEX(Analysis!$D$116:$N$137, MATCH(B1628, Analysis!$C$116:$C$137, 0), MATCH(C1628, Analysis!$D$115:$N$115, 0)), "")</f>
        <v/>
      </c>
      <c r="J1628" t="str">
        <f t="shared" si="154"/>
        <v/>
      </c>
      <c r="K1628" s="28" t="str">
        <f t="shared" si="151"/>
        <v/>
      </c>
      <c r="L1628" s="46" t="str">
        <f t="shared" si="155"/>
        <v/>
      </c>
      <c r="M1628" t="str" cm="1">
        <f t="array" ref="M1628">IF(L1628="","",_xlfn.IFS(
  AND(L1628&gt;=TIME(9,0,0), L1628&lt;TIME(16,0,0)),"Morning",
  AND(L1628&gt;=TIME(16,0,0), L1628&lt;TIME(23,59,0)),"Evening",
  L1628&gt;=TIME(23,59,0),"Night",
  L1628&lt;TIME(9,0,0),"Night"
))</f>
        <v/>
      </c>
      <c r="O1628" t="str">
        <f t="shared" si="152"/>
        <v/>
      </c>
    </row>
    <row r="1629" spans="1:15" x14ac:dyDescent="0.25">
      <c r="A1629" s="49"/>
      <c r="G1629" t="str">
        <f t="shared" si="150"/>
        <v/>
      </c>
      <c r="H1629" s="13" t="str">
        <f t="shared" si="153"/>
        <v/>
      </c>
      <c r="I1629" t="str">
        <f>IFERROR(INDEX(Analysis!$D$116:$N$137, MATCH(B1629, Analysis!$C$116:$C$137, 0), MATCH(C1629, Analysis!$D$115:$N$115, 0)), "")</f>
        <v/>
      </c>
      <c r="J1629" t="str">
        <f t="shared" si="154"/>
        <v/>
      </c>
      <c r="K1629" s="28" t="str">
        <f t="shared" si="151"/>
        <v/>
      </c>
      <c r="L1629" s="46" t="str">
        <f t="shared" si="155"/>
        <v/>
      </c>
      <c r="M1629" t="str" cm="1">
        <f t="array" ref="M1629">IF(L1629="","",_xlfn.IFS(
  AND(L1629&gt;=TIME(9,0,0), L1629&lt;TIME(16,0,0)),"Morning",
  AND(L1629&gt;=TIME(16,0,0), L1629&lt;TIME(23,59,0)),"Evening",
  L1629&gt;=TIME(23,59,0),"Night",
  L1629&lt;TIME(9,0,0),"Night"
))</f>
        <v/>
      </c>
      <c r="O1629" t="str">
        <f t="shared" si="152"/>
        <v/>
      </c>
    </row>
    <row r="1630" spans="1:15" x14ac:dyDescent="0.25">
      <c r="A1630" s="49"/>
      <c r="G1630" t="str">
        <f t="shared" si="150"/>
        <v/>
      </c>
      <c r="H1630" s="13" t="str">
        <f t="shared" si="153"/>
        <v/>
      </c>
      <c r="I1630" t="str">
        <f>IFERROR(INDEX(Analysis!$D$116:$N$137, MATCH(B1630, Analysis!$C$116:$C$137, 0), MATCH(C1630, Analysis!$D$115:$N$115, 0)), "")</f>
        <v/>
      </c>
      <c r="J1630" t="str">
        <f t="shared" si="154"/>
        <v/>
      </c>
      <c r="K1630" s="28" t="str">
        <f t="shared" si="151"/>
        <v/>
      </c>
      <c r="L1630" s="46" t="str">
        <f t="shared" si="155"/>
        <v/>
      </c>
      <c r="M1630" t="str" cm="1">
        <f t="array" ref="M1630">IF(L1630="","",_xlfn.IFS(
  AND(L1630&gt;=TIME(9,0,0), L1630&lt;TIME(16,0,0)),"Morning",
  AND(L1630&gt;=TIME(16,0,0), L1630&lt;TIME(23,59,0)),"Evening",
  L1630&gt;=TIME(23,59,0),"Night",
  L1630&lt;TIME(9,0,0),"Night"
))</f>
        <v/>
      </c>
      <c r="O1630" t="str">
        <f t="shared" si="152"/>
        <v/>
      </c>
    </row>
    <row r="1631" spans="1:15" x14ac:dyDescent="0.25">
      <c r="A1631" s="49"/>
      <c r="G1631" t="str">
        <f t="shared" si="150"/>
        <v/>
      </c>
      <c r="H1631" s="13" t="str">
        <f t="shared" si="153"/>
        <v/>
      </c>
      <c r="I1631" t="str">
        <f>IFERROR(INDEX(Analysis!$D$116:$N$137, MATCH(B1631, Analysis!$C$116:$C$137, 0), MATCH(C1631, Analysis!$D$115:$N$115, 0)), "")</f>
        <v/>
      </c>
      <c r="J1631" t="str">
        <f t="shared" si="154"/>
        <v/>
      </c>
      <c r="K1631" s="28" t="str">
        <f t="shared" si="151"/>
        <v/>
      </c>
      <c r="L1631" s="46" t="str">
        <f t="shared" si="155"/>
        <v/>
      </c>
      <c r="M1631" t="str" cm="1">
        <f t="array" ref="M1631">IF(L1631="","",_xlfn.IFS(
  AND(L1631&gt;=TIME(9,0,0), L1631&lt;TIME(16,0,0)),"Morning",
  AND(L1631&gt;=TIME(16,0,0), L1631&lt;TIME(23,59,0)),"Evening",
  L1631&gt;=TIME(23,59,0),"Night",
  L1631&lt;TIME(9,0,0),"Night"
))</f>
        <v/>
      </c>
      <c r="O1631" t="str">
        <f t="shared" si="152"/>
        <v/>
      </c>
    </row>
    <row r="1632" spans="1:15" x14ac:dyDescent="0.25">
      <c r="A1632" s="49"/>
      <c r="G1632" t="str">
        <f t="shared" si="150"/>
        <v/>
      </c>
      <c r="H1632" s="13" t="str">
        <f t="shared" si="153"/>
        <v/>
      </c>
      <c r="I1632" t="str">
        <f>IFERROR(INDEX(Analysis!$D$116:$N$137, MATCH(B1632, Analysis!$C$116:$C$137, 0), MATCH(C1632, Analysis!$D$115:$N$115, 0)), "")</f>
        <v/>
      </c>
      <c r="J1632" t="str">
        <f t="shared" si="154"/>
        <v/>
      </c>
      <c r="K1632" s="28" t="str">
        <f t="shared" si="151"/>
        <v/>
      </c>
      <c r="L1632" s="46" t="str">
        <f t="shared" si="155"/>
        <v/>
      </c>
      <c r="M1632" t="str" cm="1">
        <f t="array" ref="M1632">IF(L1632="","",_xlfn.IFS(
  AND(L1632&gt;=TIME(9,0,0), L1632&lt;TIME(16,0,0)),"Morning",
  AND(L1632&gt;=TIME(16,0,0), L1632&lt;TIME(23,59,0)),"Evening",
  L1632&gt;=TIME(23,59,0),"Night",
  L1632&lt;TIME(9,0,0),"Night"
))</f>
        <v/>
      </c>
      <c r="O1632" t="str">
        <f t="shared" si="152"/>
        <v/>
      </c>
    </row>
    <row r="1633" spans="1:15" x14ac:dyDescent="0.25">
      <c r="A1633" s="49"/>
      <c r="G1633" t="str">
        <f t="shared" si="150"/>
        <v/>
      </c>
      <c r="H1633" s="13" t="str">
        <f t="shared" si="153"/>
        <v/>
      </c>
      <c r="I1633" t="str">
        <f>IFERROR(INDEX(Analysis!$D$116:$N$137, MATCH(B1633, Analysis!$C$116:$C$137, 0), MATCH(C1633, Analysis!$D$115:$N$115, 0)), "")</f>
        <v/>
      </c>
      <c r="J1633" t="str">
        <f t="shared" si="154"/>
        <v/>
      </c>
      <c r="K1633" s="28" t="str">
        <f t="shared" si="151"/>
        <v/>
      </c>
      <c r="L1633" s="46" t="str">
        <f t="shared" si="155"/>
        <v/>
      </c>
      <c r="M1633" t="str" cm="1">
        <f t="array" ref="M1633">IF(L1633="","",_xlfn.IFS(
  AND(L1633&gt;=TIME(9,0,0), L1633&lt;TIME(16,0,0)),"Morning",
  AND(L1633&gt;=TIME(16,0,0), L1633&lt;TIME(23,59,0)),"Evening",
  L1633&gt;=TIME(23,59,0),"Night",
  L1633&lt;TIME(9,0,0),"Night"
))</f>
        <v/>
      </c>
      <c r="O1633" t="str">
        <f t="shared" si="152"/>
        <v/>
      </c>
    </row>
    <row r="1634" spans="1:15" x14ac:dyDescent="0.25">
      <c r="A1634" s="49"/>
      <c r="G1634" t="str">
        <f t="shared" si="150"/>
        <v/>
      </c>
      <c r="H1634" s="13" t="str">
        <f t="shared" si="153"/>
        <v/>
      </c>
      <c r="I1634" t="str">
        <f>IFERROR(INDEX(Analysis!$D$116:$N$137, MATCH(B1634, Analysis!$C$116:$C$137, 0), MATCH(C1634, Analysis!$D$115:$N$115, 0)), "")</f>
        <v/>
      </c>
      <c r="J1634" t="str">
        <f t="shared" si="154"/>
        <v/>
      </c>
      <c r="K1634" s="28" t="str">
        <f t="shared" si="151"/>
        <v/>
      </c>
      <c r="L1634" s="46" t="str">
        <f t="shared" si="155"/>
        <v/>
      </c>
      <c r="M1634" t="str" cm="1">
        <f t="array" ref="M1634">IF(L1634="","",_xlfn.IFS(
  AND(L1634&gt;=TIME(9,0,0), L1634&lt;TIME(16,0,0)),"Morning",
  AND(L1634&gt;=TIME(16,0,0), L1634&lt;TIME(23,59,0)),"Evening",
  L1634&gt;=TIME(23,59,0),"Night",
  L1634&lt;TIME(9,0,0),"Night"
))</f>
        <v/>
      </c>
      <c r="O1634" t="str">
        <f t="shared" si="152"/>
        <v/>
      </c>
    </row>
    <row r="1635" spans="1:15" x14ac:dyDescent="0.25">
      <c r="A1635" s="49"/>
      <c r="G1635" t="str">
        <f t="shared" si="150"/>
        <v/>
      </c>
      <c r="H1635" s="13" t="str">
        <f t="shared" si="153"/>
        <v/>
      </c>
      <c r="I1635" t="str">
        <f>IFERROR(INDEX(Analysis!$D$116:$N$137, MATCH(B1635, Analysis!$C$116:$C$137, 0), MATCH(C1635, Analysis!$D$115:$N$115, 0)), "")</f>
        <v/>
      </c>
      <c r="J1635" t="str">
        <f t="shared" si="154"/>
        <v/>
      </c>
      <c r="K1635" s="28" t="str">
        <f t="shared" si="151"/>
        <v/>
      </c>
      <c r="L1635" s="46" t="str">
        <f t="shared" si="155"/>
        <v/>
      </c>
      <c r="M1635" t="str" cm="1">
        <f t="array" ref="M1635">IF(L1635="","",_xlfn.IFS(
  AND(L1635&gt;=TIME(9,0,0), L1635&lt;TIME(16,0,0)),"Morning",
  AND(L1635&gt;=TIME(16,0,0), L1635&lt;TIME(23,59,0)),"Evening",
  L1635&gt;=TIME(23,59,0),"Night",
  L1635&lt;TIME(9,0,0),"Night"
))</f>
        <v/>
      </c>
      <c r="O1635" t="str">
        <f t="shared" si="152"/>
        <v/>
      </c>
    </row>
    <row r="1636" spans="1:15" x14ac:dyDescent="0.25">
      <c r="A1636" s="49"/>
      <c r="G1636" t="str">
        <f t="shared" si="150"/>
        <v/>
      </c>
      <c r="H1636" s="13" t="str">
        <f t="shared" si="153"/>
        <v/>
      </c>
      <c r="I1636" t="str">
        <f>IFERROR(INDEX(Analysis!$D$116:$N$137, MATCH(B1636, Analysis!$C$116:$C$137, 0), MATCH(C1636, Analysis!$D$115:$N$115, 0)), "")</f>
        <v/>
      </c>
      <c r="J1636" t="str">
        <f t="shared" si="154"/>
        <v/>
      </c>
      <c r="K1636" s="28" t="str">
        <f t="shared" si="151"/>
        <v/>
      </c>
      <c r="L1636" s="46" t="str">
        <f t="shared" si="155"/>
        <v/>
      </c>
      <c r="M1636" t="str" cm="1">
        <f t="array" ref="M1636">IF(L1636="","",_xlfn.IFS(
  AND(L1636&gt;=TIME(9,0,0), L1636&lt;TIME(16,0,0)),"Morning",
  AND(L1636&gt;=TIME(16,0,0), L1636&lt;TIME(23,59,0)),"Evening",
  L1636&gt;=TIME(23,59,0),"Night",
  L1636&lt;TIME(9,0,0),"Night"
))</f>
        <v/>
      </c>
      <c r="O1636" t="str">
        <f t="shared" si="152"/>
        <v/>
      </c>
    </row>
    <row r="1637" spans="1:15" x14ac:dyDescent="0.25">
      <c r="A1637" s="49"/>
      <c r="G1637" t="str">
        <f t="shared" si="150"/>
        <v/>
      </c>
      <c r="H1637" s="13" t="str">
        <f t="shared" si="153"/>
        <v/>
      </c>
      <c r="I1637" t="str">
        <f>IFERROR(INDEX(Analysis!$D$116:$N$137, MATCH(B1637, Analysis!$C$116:$C$137, 0), MATCH(C1637, Analysis!$D$115:$N$115, 0)), "")</f>
        <v/>
      </c>
      <c r="J1637" t="str">
        <f t="shared" si="154"/>
        <v/>
      </c>
      <c r="K1637" s="28" t="str">
        <f t="shared" si="151"/>
        <v/>
      </c>
      <c r="L1637" s="46" t="str">
        <f t="shared" si="155"/>
        <v/>
      </c>
      <c r="M1637" t="str" cm="1">
        <f t="array" ref="M1637">IF(L1637="","",_xlfn.IFS(
  AND(L1637&gt;=TIME(9,0,0), L1637&lt;TIME(16,0,0)),"Morning",
  AND(L1637&gt;=TIME(16,0,0), L1637&lt;TIME(23,59,0)),"Evening",
  L1637&gt;=TIME(23,59,0),"Night",
  L1637&lt;TIME(9,0,0),"Night"
))</f>
        <v/>
      </c>
      <c r="O1637" t="str">
        <f t="shared" si="152"/>
        <v/>
      </c>
    </row>
    <row r="1638" spans="1:15" x14ac:dyDescent="0.25">
      <c r="A1638" s="49"/>
      <c r="G1638" t="str">
        <f t="shared" si="150"/>
        <v/>
      </c>
      <c r="H1638" s="13" t="str">
        <f t="shared" si="153"/>
        <v/>
      </c>
      <c r="I1638" t="str">
        <f>IFERROR(INDEX(Analysis!$D$116:$N$137, MATCH(B1638, Analysis!$C$116:$C$137, 0), MATCH(C1638, Analysis!$D$115:$N$115, 0)), "")</f>
        <v/>
      </c>
      <c r="J1638" t="str">
        <f t="shared" si="154"/>
        <v/>
      </c>
      <c r="K1638" s="28" t="str">
        <f t="shared" si="151"/>
        <v/>
      </c>
      <c r="L1638" s="46" t="str">
        <f t="shared" si="155"/>
        <v/>
      </c>
      <c r="M1638" t="str" cm="1">
        <f t="array" ref="M1638">IF(L1638="","",_xlfn.IFS(
  AND(L1638&gt;=TIME(9,0,0), L1638&lt;TIME(16,0,0)),"Morning",
  AND(L1638&gt;=TIME(16,0,0), L1638&lt;TIME(23,59,0)),"Evening",
  L1638&gt;=TIME(23,59,0),"Night",
  L1638&lt;TIME(9,0,0),"Night"
))</f>
        <v/>
      </c>
      <c r="O1638" t="str">
        <f t="shared" si="152"/>
        <v/>
      </c>
    </row>
    <row r="1639" spans="1:15" x14ac:dyDescent="0.25">
      <c r="A1639" s="49"/>
      <c r="G1639" t="str">
        <f t="shared" si="150"/>
        <v/>
      </c>
      <c r="H1639" s="13" t="str">
        <f t="shared" si="153"/>
        <v/>
      </c>
      <c r="I1639" t="str">
        <f>IFERROR(INDEX(Analysis!$D$116:$N$137, MATCH(B1639, Analysis!$C$116:$C$137, 0), MATCH(C1639, Analysis!$D$115:$N$115, 0)), "")</f>
        <v/>
      </c>
      <c r="J1639" t="str">
        <f t="shared" si="154"/>
        <v/>
      </c>
      <c r="K1639" s="28" t="str">
        <f t="shared" si="151"/>
        <v/>
      </c>
      <c r="L1639" s="46" t="str">
        <f t="shared" si="155"/>
        <v/>
      </c>
      <c r="M1639" t="str" cm="1">
        <f t="array" ref="M1639">IF(L1639="","",_xlfn.IFS(
  AND(L1639&gt;=TIME(9,0,0), L1639&lt;TIME(16,0,0)),"Morning",
  AND(L1639&gt;=TIME(16,0,0), L1639&lt;TIME(23,59,0)),"Evening",
  L1639&gt;=TIME(23,59,0),"Night",
  L1639&lt;TIME(9,0,0),"Night"
))</f>
        <v/>
      </c>
      <c r="O1639" t="str">
        <f t="shared" si="152"/>
        <v/>
      </c>
    </row>
    <row r="1640" spans="1:15" x14ac:dyDescent="0.25">
      <c r="A1640" s="49"/>
      <c r="G1640" t="str">
        <f t="shared" si="150"/>
        <v/>
      </c>
      <c r="H1640" s="13" t="str">
        <f t="shared" si="153"/>
        <v/>
      </c>
      <c r="I1640" t="str">
        <f>IFERROR(INDEX(Analysis!$D$116:$N$137, MATCH(B1640, Analysis!$C$116:$C$137, 0), MATCH(C1640, Analysis!$D$115:$N$115, 0)), "")</f>
        <v/>
      </c>
      <c r="J1640" t="str">
        <f t="shared" si="154"/>
        <v/>
      </c>
      <c r="K1640" s="28" t="str">
        <f t="shared" si="151"/>
        <v/>
      </c>
      <c r="L1640" s="46" t="str">
        <f t="shared" si="155"/>
        <v/>
      </c>
      <c r="M1640" t="str" cm="1">
        <f t="array" ref="M1640">IF(L1640="","",_xlfn.IFS(
  AND(L1640&gt;=TIME(9,0,0), L1640&lt;TIME(16,0,0)),"Morning",
  AND(L1640&gt;=TIME(16,0,0), L1640&lt;TIME(23,59,0)),"Evening",
  L1640&gt;=TIME(23,59,0),"Night",
  L1640&lt;TIME(9,0,0),"Night"
))</f>
        <v/>
      </c>
      <c r="O1640" t="str">
        <f t="shared" si="152"/>
        <v/>
      </c>
    </row>
    <row r="1641" spans="1:15" x14ac:dyDescent="0.25">
      <c r="A1641" s="49"/>
      <c r="G1641" t="str">
        <f t="shared" si="150"/>
        <v/>
      </c>
      <c r="H1641" s="13" t="str">
        <f t="shared" si="153"/>
        <v/>
      </c>
      <c r="I1641" t="str">
        <f>IFERROR(INDEX(Analysis!$D$116:$N$137, MATCH(B1641, Analysis!$C$116:$C$137, 0), MATCH(C1641, Analysis!$D$115:$N$115, 0)), "")</f>
        <v/>
      </c>
      <c r="J1641" t="str">
        <f t="shared" si="154"/>
        <v/>
      </c>
      <c r="K1641" s="28" t="str">
        <f t="shared" si="151"/>
        <v/>
      </c>
      <c r="L1641" s="46" t="str">
        <f t="shared" si="155"/>
        <v/>
      </c>
      <c r="M1641" t="str" cm="1">
        <f t="array" ref="M1641">IF(L1641="","",_xlfn.IFS(
  AND(L1641&gt;=TIME(9,0,0), L1641&lt;TIME(16,0,0)),"Morning",
  AND(L1641&gt;=TIME(16,0,0), L1641&lt;TIME(23,59,0)),"Evening",
  L1641&gt;=TIME(23,59,0),"Night",
  L1641&lt;TIME(9,0,0),"Night"
))</f>
        <v/>
      </c>
      <c r="O1641" t="str">
        <f t="shared" si="152"/>
        <v/>
      </c>
    </row>
    <row r="1642" spans="1:15" x14ac:dyDescent="0.25">
      <c r="A1642" s="49"/>
      <c r="G1642" t="str">
        <f t="shared" si="150"/>
        <v/>
      </c>
      <c r="H1642" s="13" t="str">
        <f t="shared" si="153"/>
        <v/>
      </c>
      <c r="I1642" t="str">
        <f>IFERROR(INDEX(Analysis!$D$116:$N$137, MATCH(B1642, Analysis!$C$116:$C$137, 0), MATCH(C1642, Analysis!$D$115:$N$115, 0)), "")</f>
        <v/>
      </c>
      <c r="J1642" t="str">
        <f t="shared" si="154"/>
        <v/>
      </c>
      <c r="K1642" s="28" t="str">
        <f t="shared" si="151"/>
        <v/>
      </c>
      <c r="L1642" s="46" t="str">
        <f t="shared" si="155"/>
        <v/>
      </c>
      <c r="M1642" t="str" cm="1">
        <f t="array" ref="M1642">IF(L1642="","",_xlfn.IFS(
  AND(L1642&gt;=TIME(9,0,0), L1642&lt;TIME(16,0,0)),"Morning",
  AND(L1642&gt;=TIME(16,0,0), L1642&lt;TIME(23,59,0)),"Evening",
  L1642&gt;=TIME(23,59,0),"Night",
  L1642&lt;TIME(9,0,0),"Night"
))</f>
        <v/>
      </c>
      <c r="O1642" t="str">
        <f t="shared" si="152"/>
        <v/>
      </c>
    </row>
    <row r="1643" spans="1:15" x14ac:dyDescent="0.25">
      <c r="A1643" s="49"/>
      <c r="G1643" t="str">
        <f t="shared" si="150"/>
        <v/>
      </c>
      <c r="H1643" s="13" t="str">
        <f t="shared" si="153"/>
        <v/>
      </c>
      <c r="I1643" t="str">
        <f>IFERROR(INDEX(Analysis!$D$116:$N$137, MATCH(B1643, Analysis!$C$116:$C$137, 0), MATCH(C1643, Analysis!$D$115:$N$115, 0)), "")</f>
        <v/>
      </c>
      <c r="J1643" t="str">
        <f t="shared" si="154"/>
        <v/>
      </c>
      <c r="K1643" s="28" t="str">
        <f t="shared" si="151"/>
        <v/>
      </c>
      <c r="L1643" s="46" t="str">
        <f t="shared" si="155"/>
        <v/>
      </c>
      <c r="M1643" t="str" cm="1">
        <f t="array" ref="M1643">IF(L1643="","",_xlfn.IFS(
  AND(L1643&gt;=TIME(9,0,0), L1643&lt;TIME(16,0,0)),"Morning",
  AND(L1643&gt;=TIME(16,0,0), L1643&lt;TIME(23,59,0)),"Evening",
  L1643&gt;=TIME(23,59,0),"Night",
  L1643&lt;TIME(9,0,0),"Night"
))</f>
        <v/>
      </c>
      <c r="O1643" t="str">
        <f t="shared" si="152"/>
        <v/>
      </c>
    </row>
    <row r="1644" spans="1:15" x14ac:dyDescent="0.25">
      <c r="A1644" s="49"/>
      <c r="G1644" t="str">
        <f t="shared" si="150"/>
        <v/>
      </c>
      <c r="H1644" s="13" t="str">
        <f t="shared" si="153"/>
        <v/>
      </c>
      <c r="I1644" t="str">
        <f>IFERROR(INDEX(Analysis!$D$116:$N$137, MATCH(B1644, Analysis!$C$116:$C$137, 0), MATCH(C1644, Analysis!$D$115:$N$115, 0)), "")</f>
        <v/>
      </c>
      <c r="J1644" t="str">
        <f t="shared" si="154"/>
        <v/>
      </c>
      <c r="K1644" s="28" t="str">
        <f t="shared" si="151"/>
        <v/>
      </c>
      <c r="L1644" s="46" t="str">
        <f t="shared" si="155"/>
        <v/>
      </c>
      <c r="M1644" t="str" cm="1">
        <f t="array" ref="M1644">IF(L1644="","",_xlfn.IFS(
  AND(L1644&gt;=TIME(9,0,0), L1644&lt;TIME(16,0,0)),"Morning",
  AND(L1644&gt;=TIME(16,0,0), L1644&lt;TIME(23,59,0)),"Evening",
  L1644&gt;=TIME(23,59,0),"Night",
  L1644&lt;TIME(9,0,0),"Night"
))</f>
        <v/>
      </c>
      <c r="O1644" t="str">
        <f t="shared" si="152"/>
        <v/>
      </c>
    </row>
    <row r="1645" spans="1:15" x14ac:dyDescent="0.25">
      <c r="A1645" s="49"/>
      <c r="G1645" t="str">
        <f t="shared" si="150"/>
        <v/>
      </c>
      <c r="H1645" s="13" t="str">
        <f t="shared" si="153"/>
        <v/>
      </c>
      <c r="I1645" t="str">
        <f>IFERROR(INDEX(Analysis!$D$116:$N$137, MATCH(B1645, Analysis!$C$116:$C$137, 0), MATCH(C1645, Analysis!$D$115:$N$115, 0)), "")</f>
        <v/>
      </c>
      <c r="J1645" t="str">
        <f t="shared" si="154"/>
        <v/>
      </c>
      <c r="K1645" s="28" t="str">
        <f t="shared" si="151"/>
        <v/>
      </c>
      <c r="L1645" s="46" t="str">
        <f t="shared" si="155"/>
        <v/>
      </c>
      <c r="M1645" t="str" cm="1">
        <f t="array" ref="M1645">IF(L1645="","",_xlfn.IFS(
  AND(L1645&gt;=TIME(9,0,0), L1645&lt;TIME(16,0,0)),"Morning",
  AND(L1645&gt;=TIME(16,0,0), L1645&lt;TIME(23,59,0)),"Evening",
  L1645&gt;=TIME(23,59,0),"Night",
  L1645&lt;TIME(9,0,0),"Night"
))</f>
        <v/>
      </c>
      <c r="O1645" t="str">
        <f t="shared" si="152"/>
        <v/>
      </c>
    </row>
    <row r="1646" spans="1:15" x14ac:dyDescent="0.25">
      <c r="A1646" s="49"/>
      <c r="G1646" t="str">
        <f t="shared" si="150"/>
        <v/>
      </c>
      <c r="H1646" s="13" t="str">
        <f t="shared" si="153"/>
        <v/>
      </c>
      <c r="I1646" t="str">
        <f>IFERROR(INDEX(Analysis!$D$116:$N$137, MATCH(B1646, Analysis!$C$116:$C$137, 0), MATCH(C1646, Analysis!$D$115:$N$115, 0)), "")</f>
        <v/>
      </c>
      <c r="J1646" t="str">
        <f t="shared" si="154"/>
        <v/>
      </c>
      <c r="K1646" s="28" t="str">
        <f t="shared" si="151"/>
        <v/>
      </c>
      <c r="L1646" s="46" t="str">
        <f t="shared" si="155"/>
        <v/>
      </c>
      <c r="M1646" t="str" cm="1">
        <f t="array" ref="M1646">IF(L1646="","",_xlfn.IFS(
  AND(L1646&gt;=TIME(9,0,0), L1646&lt;TIME(16,0,0)),"Morning",
  AND(L1646&gt;=TIME(16,0,0), L1646&lt;TIME(23,59,0)),"Evening",
  L1646&gt;=TIME(23,59,0),"Night",
  L1646&lt;TIME(9,0,0),"Night"
))</f>
        <v/>
      </c>
      <c r="O1646" t="str">
        <f t="shared" si="152"/>
        <v/>
      </c>
    </row>
    <row r="1647" spans="1:15" x14ac:dyDescent="0.25">
      <c r="A1647" s="49"/>
      <c r="G1647" t="str">
        <f t="shared" si="150"/>
        <v/>
      </c>
      <c r="H1647" s="13" t="str">
        <f t="shared" si="153"/>
        <v/>
      </c>
      <c r="I1647" t="str">
        <f>IFERROR(INDEX(Analysis!$D$116:$N$137, MATCH(B1647, Analysis!$C$116:$C$137, 0), MATCH(C1647, Analysis!$D$115:$N$115, 0)), "")</f>
        <v/>
      </c>
      <c r="J1647" t="str">
        <f t="shared" si="154"/>
        <v/>
      </c>
      <c r="K1647" s="28" t="str">
        <f t="shared" si="151"/>
        <v/>
      </c>
      <c r="L1647" s="46" t="str">
        <f t="shared" si="155"/>
        <v/>
      </c>
      <c r="M1647" t="str" cm="1">
        <f t="array" ref="M1647">IF(L1647="","",_xlfn.IFS(
  AND(L1647&gt;=TIME(9,0,0), L1647&lt;TIME(16,0,0)),"Morning",
  AND(L1647&gt;=TIME(16,0,0), L1647&lt;TIME(23,59,0)),"Evening",
  L1647&gt;=TIME(23,59,0),"Night",
  L1647&lt;TIME(9,0,0),"Night"
))</f>
        <v/>
      </c>
      <c r="O1647" t="str">
        <f t="shared" si="152"/>
        <v/>
      </c>
    </row>
    <row r="1648" spans="1:15" x14ac:dyDescent="0.25">
      <c r="A1648" s="49"/>
      <c r="G1648" t="str">
        <f t="shared" si="150"/>
        <v/>
      </c>
      <c r="H1648" s="13" t="str">
        <f t="shared" si="153"/>
        <v/>
      </c>
      <c r="I1648" t="str">
        <f>IFERROR(INDEX(Analysis!$D$116:$N$137, MATCH(B1648, Analysis!$C$116:$C$137, 0), MATCH(C1648, Analysis!$D$115:$N$115, 0)), "")</f>
        <v/>
      </c>
      <c r="J1648" t="str">
        <f t="shared" si="154"/>
        <v/>
      </c>
      <c r="K1648" s="28" t="str">
        <f t="shared" si="151"/>
        <v/>
      </c>
      <c r="L1648" s="46" t="str">
        <f t="shared" si="155"/>
        <v/>
      </c>
      <c r="M1648" t="str" cm="1">
        <f t="array" ref="M1648">IF(L1648="","",_xlfn.IFS(
  AND(L1648&gt;=TIME(9,0,0), L1648&lt;TIME(16,0,0)),"Morning",
  AND(L1648&gt;=TIME(16,0,0), L1648&lt;TIME(23,59,0)),"Evening",
  L1648&gt;=TIME(23,59,0),"Night",
  L1648&lt;TIME(9,0,0),"Night"
))</f>
        <v/>
      </c>
      <c r="O1648" t="str">
        <f t="shared" si="152"/>
        <v/>
      </c>
    </row>
    <row r="1649" spans="1:15" x14ac:dyDescent="0.25">
      <c r="A1649" s="49"/>
      <c r="G1649" t="str">
        <f t="shared" si="150"/>
        <v/>
      </c>
      <c r="H1649" s="13" t="str">
        <f t="shared" si="153"/>
        <v/>
      </c>
      <c r="I1649" t="str">
        <f>IFERROR(INDEX(Analysis!$D$116:$N$137, MATCH(B1649, Analysis!$C$116:$C$137, 0), MATCH(C1649, Analysis!$D$115:$N$115, 0)), "")</f>
        <v/>
      </c>
      <c r="J1649" t="str">
        <f t="shared" si="154"/>
        <v/>
      </c>
      <c r="K1649" s="28" t="str">
        <f t="shared" si="151"/>
        <v/>
      </c>
      <c r="L1649" s="46" t="str">
        <f t="shared" si="155"/>
        <v/>
      </c>
      <c r="M1649" t="str" cm="1">
        <f t="array" ref="M1649">IF(L1649="","",_xlfn.IFS(
  AND(L1649&gt;=TIME(9,0,0), L1649&lt;TIME(16,0,0)),"Morning",
  AND(L1649&gt;=TIME(16,0,0), L1649&lt;TIME(23,59,0)),"Evening",
  L1649&gt;=TIME(23,59,0),"Night",
  L1649&lt;TIME(9,0,0),"Night"
))</f>
        <v/>
      </c>
      <c r="O1649" t="str">
        <f t="shared" si="152"/>
        <v/>
      </c>
    </row>
    <row r="1650" spans="1:15" x14ac:dyDescent="0.25">
      <c r="A1650" s="49"/>
      <c r="G1650" t="str">
        <f t="shared" si="150"/>
        <v/>
      </c>
      <c r="H1650" s="13" t="str">
        <f t="shared" si="153"/>
        <v/>
      </c>
      <c r="I1650" t="str">
        <f>IFERROR(INDEX(Analysis!$D$116:$N$137, MATCH(B1650, Analysis!$C$116:$C$137, 0), MATCH(C1650, Analysis!$D$115:$N$115, 0)), "")</f>
        <v/>
      </c>
      <c r="J1650" t="str">
        <f t="shared" si="154"/>
        <v/>
      </c>
      <c r="K1650" s="28" t="str">
        <f t="shared" si="151"/>
        <v/>
      </c>
      <c r="L1650" s="46" t="str">
        <f t="shared" si="155"/>
        <v/>
      </c>
      <c r="M1650" t="str" cm="1">
        <f t="array" ref="M1650">IF(L1650="","",_xlfn.IFS(
  AND(L1650&gt;=TIME(9,0,0), L1650&lt;TIME(16,0,0)),"Morning",
  AND(L1650&gt;=TIME(16,0,0), L1650&lt;TIME(23,59,0)),"Evening",
  L1650&gt;=TIME(23,59,0),"Night",
  L1650&lt;TIME(9,0,0),"Night"
))</f>
        <v/>
      </c>
      <c r="O1650" t="str">
        <f t="shared" si="152"/>
        <v/>
      </c>
    </row>
    <row r="1651" spans="1:15" x14ac:dyDescent="0.25">
      <c r="A1651" s="49"/>
      <c r="G1651" t="str">
        <f t="shared" si="150"/>
        <v/>
      </c>
      <c r="H1651" s="13" t="str">
        <f t="shared" si="153"/>
        <v/>
      </c>
      <c r="I1651" t="str">
        <f>IFERROR(INDEX(Analysis!$D$116:$N$137, MATCH(B1651, Analysis!$C$116:$C$137, 0), MATCH(C1651, Analysis!$D$115:$N$115, 0)), "")</f>
        <v/>
      </c>
      <c r="J1651" t="str">
        <f t="shared" si="154"/>
        <v/>
      </c>
      <c r="K1651" s="28" t="str">
        <f t="shared" si="151"/>
        <v/>
      </c>
      <c r="L1651" s="46" t="str">
        <f t="shared" si="155"/>
        <v/>
      </c>
      <c r="M1651" t="str" cm="1">
        <f t="array" ref="M1651">IF(L1651="","",_xlfn.IFS(
  AND(L1651&gt;=TIME(9,0,0), L1651&lt;TIME(16,0,0)),"Morning",
  AND(L1651&gt;=TIME(16,0,0), L1651&lt;TIME(23,59,0)),"Evening",
  L1651&gt;=TIME(23,59,0),"Night",
  L1651&lt;TIME(9,0,0),"Night"
))</f>
        <v/>
      </c>
      <c r="O1651" t="str">
        <f t="shared" si="152"/>
        <v/>
      </c>
    </row>
    <row r="1652" spans="1:15" x14ac:dyDescent="0.25">
      <c r="A1652" s="49"/>
      <c r="G1652" t="str">
        <f t="shared" si="150"/>
        <v/>
      </c>
      <c r="H1652" s="13" t="str">
        <f t="shared" si="153"/>
        <v/>
      </c>
      <c r="I1652" t="str">
        <f>IFERROR(INDEX(Analysis!$D$116:$N$137, MATCH(B1652, Analysis!$C$116:$C$137, 0), MATCH(C1652, Analysis!$D$115:$N$115, 0)), "")</f>
        <v/>
      </c>
      <c r="J1652" t="str">
        <f t="shared" si="154"/>
        <v/>
      </c>
      <c r="K1652" s="28" t="str">
        <f t="shared" si="151"/>
        <v/>
      </c>
      <c r="L1652" s="46" t="str">
        <f t="shared" si="155"/>
        <v/>
      </c>
      <c r="M1652" t="str" cm="1">
        <f t="array" ref="M1652">IF(L1652="","",_xlfn.IFS(
  AND(L1652&gt;=TIME(9,0,0), L1652&lt;TIME(16,0,0)),"Morning",
  AND(L1652&gt;=TIME(16,0,0), L1652&lt;TIME(23,59,0)),"Evening",
  L1652&gt;=TIME(23,59,0),"Night",
  L1652&lt;TIME(9,0,0),"Night"
))</f>
        <v/>
      </c>
      <c r="O1652" t="str">
        <f t="shared" si="152"/>
        <v/>
      </c>
    </row>
    <row r="1653" spans="1:15" x14ac:dyDescent="0.25">
      <c r="A1653" s="49"/>
      <c r="G1653" t="str">
        <f t="shared" si="150"/>
        <v/>
      </c>
      <c r="H1653" s="13" t="str">
        <f t="shared" si="153"/>
        <v/>
      </c>
      <c r="I1653" t="str">
        <f>IFERROR(INDEX(Analysis!$D$116:$N$137, MATCH(B1653, Analysis!$C$116:$C$137, 0), MATCH(C1653, Analysis!$D$115:$N$115, 0)), "")</f>
        <v/>
      </c>
      <c r="J1653" t="str">
        <f t="shared" si="154"/>
        <v/>
      </c>
      <c r="K1653" s="28" t="str">
        <f t="shared" si="151"/>
        <v/>
      </c>
      <c r="L1653" s="46" t="str">
        <f t="shared" si="155"/>
        <v/>
      </c>
      <c r="M1653" t="str" cm="1">
        <f t="array" ref="M1653">IF(L1653="","",_xlfn.IFS(
  AND(L1653&gt;=TIME(9,0,0), L1653&lt;TIME(16,0,0)),"Morning",
  AND(L1653&gt;=TIME(16,0,0), L1653&lt;TIME(23,59,0)),"Evening",
  L1653&gt;=TIME(23,59,0),"Night",
  L1653&lt;TIME(9,0,0),"Night"
))</f>
        <v/>
      </c>
      <c r="O1653" t="str">
        <f t="shared" si="152"/>
        <v/>
      </c>
    </row>
    <row r="1654" spans="1:15" x14ac:dyDescent="0.25">
      <c r="A1654" s="49"/>
      <c r="G1654" t="str">
        <f t="shared" si="150"/>
        <v/>
      </c>
      <c r="H1654" s="13" t="str">
        <f t="shared" si="153"/>
        <v/>
      </c>
      <c r="I1654" t="str">
        <f>IFERROR(INDEX(Analysis!$D$116:$N$137, MATCH(B1654, Analysis!$C$116:$C$137, 0), MATCH(C1654, Analysis!$D$115:$N$115, 0)), "")</f>
        <v/>
      </c>
      <c r="J1654" t="str">
        <f t="shared" si="154"/>
        <v/>
      </c>
      <c r="K1654" s="28" t="str">
        <f t="shared" si="151"/>
        <v/>
      </c>
      <c r="L1654" s="46" t="str">
        <f t="shared" si="155"/>
        <v/>
      </c>
      <c r="M1654" t="str" cm="1">
        <f t="array" ref="M1654">IF(L1654="","",_xlfn.IFS(
  AND(L1654&gt;=TIME(9,0,0), L1654&lt;TIME(16,0,0)),"Morning",
  AND(L1654&gt;=TIME(16,0,0), L1654&lt;TIME(23,59,0)),"Evening",
  L1654&gt;=TIME(23,59,0),"Night",
  L1654&lt;TIME(9,0,0),"Night"
))</f>
        <v/>
      </c>
      <c r="O1654" t="str">
        <f t="shared" si="152"/>
        <v/>
      </c>
    </row>
    <row r="1655" spans="1:15" x14ac:dyDescent="0.25">
      <c r="A1655" s="49"/>
      <c r="G1655" t="str">
        <f t="shared" si="150"/>
        <v/>
      </c>
      <c r="H1655" s="13" t="str">
        <f t="shared" si="153"/>
        <v/>
      </c>
      <c r="I1655" t="str">
        <f>IFERROR(INDEX(Analysis!$D$116:$N$137, MATCH(B1655, Analysis!$C$116:$C$137, 0), MATCH(C1655, Analysis!$D$115:$N$115, 0)), "")</f>
        <v/>
      </c>
      <c r="J1655" t="str">
        <f t="shared" si="154"/>
        <v/>
      </c>
      <c r="K1655" s="28" t="str">
        <f t="shared" si="151"/>
        <v/>
      </c>
      <c r="L1655" s="46" t="str">
        <f t="shared" si="155"/>
        <v/>
      </c>
      <c r="M1655" t="str" cm="1">
        <f t="array" ref="M1655">IF(L1655="","",_xlfn.IFS(
  AND(L1655&gt;=TIME(9,0,0), L1655&lt;TIME(16,0,0)),"Morning",
  AND(L1655&gt;=TIME(16,0,0), L1655&lt;TIME(23,59,0)),"Evening",
  L1655&gt;=TIME(23,59,0),"Night",
  L1655&lt;TIME(9,0,0),"Night"
))</f>
        <v/>
      </c>
      <c r="O1655" t="str">
        <f t="shared" si="152"/>
        <v/>
      </c>
    </row>
    <row r="1656" spans="1:15" x14ac:dyDescent="0.25">
      <c r="A1656" s="49"/>
      <c r="G1656" t="str">
        <f t="shared" si="150"/>
        <v/>
      </c>
      <c r="H1656" s="13" t="str">
        <f t="shared" si="153"/>
        <v/>
      </c>
      <c r="I1656" t="str">
        <f>IFERROR(INDEX(Analysis!$D$116:$N$137, MATCH(B1656, Analysis!$C$116:$C$137, 0), MATCH(C1656, Analysis!$D$115:$N$115, 0)), "")</f>
        <v/>
      </c>
      <c r="J1656" t="str">
        <f t="shared" si="154"/>
        <v/>
      </c>
      <c r="K1656" s="28" t="str">
        <f t="shared" si="151"/>
        <v/>
      </c>
      <c r="L1656" s="46" t="str">
        <f t="shared" si="155"/>
        <v/>
      </c>
      <c r="M1656" t="str" cm="1">
        <f t="array" ref="M1656">IF(L1656="","",_xlfn.IFS(
  AND(L1656&gt;=TIME(9,0,0), L1656&lt;TIME(16,0,0)),"Morning",
  AND(L1656&gt;=TIME(16,0,0), L1656&lt;TIME(23,59,0)),"Evening",
  L1656&gt;=TIME(23,59,0),"Night",
  L1656&lt;TIME(9,0,0),"Night"
))</f>
        <v/>
      </c>
      <c r="O1656" t="str">
        <f t="shared" si="152"/>
        <v/>
      </c>
    </row>
    <row r="1657" spans="1:15" x14ac:dyDescent="0.25">
      <c r="A1657" s="49"/>
      <c r="G1657" t="str">
        <f t="shared" si="150"/>
        <v/>
      </c>
      <c r="H1657" s="13" t="str">
        <f t="shared" si="153"/>
        <v/>
      </c>
      <c r="I1657" t="str">
        <f>IFERROR(INDEX(Analysis!$D$116:$N$137, MATCH(B1657, Analysis!$C$116:$C$137, 0), MATCH(C1657, Analysis!$D$115:$N$115, 0)), "")</f>
        <v/>
      </c>
      <c r="J1657" t="str">
        <f t="shared" si="154"/>
        <v/>
      </c>
      <c r="K1657" s="28" t="str">
        <f t="shared" si="151"/>
        <v/>
      </c>
      <c r="L1657" s="46" t="str">
        <f t="shared" si="155"/>
        <v/>
      </c>
      <c r="M1657" t="str" cm="1">
        <f t="array" ref="M1657">IF(L1657="","",_xlfn.IFS(
  AND(L1657&gt;=TIME(9,0,0), L1657&lt;TIME(16,0,0)),"Morning",
  AND(L1657&gt;=TIME(16,0,0), L1657&lt;TIME(23,59,0)),"Evening",
  L1657&gt;=TIME(23,59,0),"Night",
  L1657&lt;TIME(9,0,0),"Night"
))</f>
        <v/>
      </c>
      <c r="O1657" t="str">
        <f t="shared" si="152"/>
        <v/>
      </c>
    </row>
    <row r="1658" spans="1:15" x14ac:dyDescent="0.25">
      <c r="A1658" s="49"/>
      <c r="G1658" t="str">
        <f t="shared" si="150"/>
        <v/>
      </c>
      <c r="H1658" s="13" t="str">
        <f t="shared" si="153"/>
        <v/>
      </c>
      <c r="I1658" t="str">
        <f>IFERROR(INDEX(Analysis!$D$116:$N$137, MATCH(B1658, Analysis!$C$116:$C$137, 0), MATCH(C1658, Analysis!$D$115:$N$115, 0)), "")</f>
        <v/>
      </c>
      <c r="J1658" t="str">
        <f t="shared" si="154"/>
        <v/>
      </c>
      <c r="K1658" s="28" t="str">
        <f t="shared" si="151"/>
        <v/>
      </c>
      <c r="L1658" s="46" t="str">
        <f t="shared" si="155"/>
        <v/>
      </c>
      <c r="M1658" t="str" cm="1">
        <f t="array" ref="M1658">IF(L1658="","",_xlfn.IFS(
  AND(L1658&gt;=TIME(9,0,0), L1658&lt;TIME(16,0,0)),"Morning",
  AND(L1658&gt;=TIME(16,0,0), L1658&lt;TIME(23,59,0)),"Evening",
  L1658&gt;=TIME(23,59,0),"Night",
  L1658&lt;TIME(9,0,0),"Night"
))</f>
        <v/>
      </c>
      <c r="O1658" t="str">
        <f t="shared" si="152"/>
        <v/>
      </c>
    </row>
    <row r="1659" spans="1:15" x14ac:dyDescent="0.25">
      <c r="A1659" s="49"/>
      <c r="G1659" t="str">
        <f t="shared" si="150"/>
        <v/>
      </c>
      <c r="H1659" s="13" t="str">
        <f t="shared" si="153"/>
        <v/>
      </c>
      <c r="I1659" t="str">
        <f>IFERROR(INDEX(Analysis!$D$116:$N$137, MATCH(B1659, Analysis!$C$116:$C$137, 0), MATCH(C1659, Analysis!$D$115:$N$115, 0)), "")</f>
        <v/>
      </c>
      <c r="J1659" t="str">
        <f t="shared" si="154"/>
        <v/>
      </c>
      <c r="K1659" s="28" t="str">
        <f t="shared" si="151"/>
        <v/>
      </c>
      <c r="L1659" s="46" t="str">
        <f t="shared" si="155"/>
        <v/>
      </c>
      <c r="M1659" t="str" cm="1">
        <f t="array" ref="M1659">IF(L1659="","",_xlfn.IFS(
  AND(L1659&gt;=TIME(9,0,0), L1659&lt;TIME(16,0,0)),"Morning",
  AND(L1659&gt;=TIME(16,0,0), L1659&lt;TIME(23,59,0)),"Evening",
  L1659&gt;=TIME(23,59,0),"Night",
  L1659&lt;TIME(9,0,0),"Night"
))</f>
        <v/>
      </c>
      <c r="O1659" t="str">
        <f t="shared" si="152"/>
        <v/>
      </c>
    </row>
    <row r="1660" spans="1:15" x14ac:dyDescent="0.25">
      <c r="A1660" s="49"/>
      <c r="G1660" t="str">
        <f t="shared" si="150"/>
        <v/>
      </c>
      <c r="H1660" s="13" t="str">
        <f t="shared" si="153"/>
        <v/>
      </c>
      <c r="I1660" t="str">
        <f>IFERROR(INDEX(Analysis!$D$116:$N$137, MATCH(B1660, Analysis!$C$116:$C$137, 0), MATCH(C1660, Analysis!$D$115:$N$115, 0)), "")</f>
        <v/>
      </c>
      <c r="J1660" t="str">
        <f t="shared" si="154"/>
        <v/>
      </c>
      <c r="K1660" s="28" t="str">
        <f t="shared" si="151"/>
        <v/>
      </c>
      <c r="L1660" s="46" t="str">
        <f t="shared" si="155"/>
        <v/>
      </c>
      <c r="M1660" t="str" cm="1">
        <f t="array" ref="M1660">IF(L1660="","",_xlfn.IFS(
  AND(L1660&gt;=TIME(9,0,0), L1660&lt;TIME(16,0,0)),"Morning",
  AND(L1660&gt;=TIME(16,0,0), L1660&lt;TIME(23,59,0)),"Evening",
  L1660&gt;=TIME(23,59,0),"Night",
  L1660&lt;TIME(9,0,0),"Night"
))</f>
        <v/>
      </c>
      <c r="O1660" t="str">
        <f t="shared" si="152"/>
        <v/>
      </c>
    </row>
    <row r="1661" spans="1:15" x14ac:dyDescent="0.25">
      <c r="A1661" s="49"/>
      <c r="G1661" t="str">
        <f t="shared" si="150"/>
        <v/>
      </c>
      <c r="H1661" s="13" t="str">
        <f t="shared" si="153"/>
        <v/>
      </c>
      <c r="I1661" t="str">
        <f>IFERROR(INDEX(Analysis!$D$116:$N$137, MATCH(B1661, Analysis!$C$116:$C$137, 0), MATCH(C1661, Analysis!$D$115:$N$115, 0)), "")</f>
        <v/>
      </c>
      <c r="J1661" t="str">
        <f t="shared" si="154"/>
        <v/>
      </c>
      <c r="K1661" s="28" t="str">
        <f t="shared" si="151"/>
        <v/>
      </c>
      <c r="L1661" s="46" t="str">
        <f t="shared" si="155"/>
        <v/>
      </c>
      <c r="M1661" t="str" cm="1">
        <f t="array" ref="M1661">IF(L1661="","",_xlfn.IFS(
  AND(L1661&gt;=TIME(9,0,0), L1661&lt;TIME(16,0,0)),"Morning",
  AND(L1661&gt;=TIME(16,0,0), L1661&lt;TIME(23,59,0)),"Evening",
  L1661&gt;=TIME(23,59,0),"Night",
  L1661&lt;TIME(9,0,0),"Night"
))</f>
        <v/>
      </c>
      <c r="O1661" t="str">
        <f t="shared" si="152"/>
        <v/>
      </c>
    </row>
    <row r="1662" spans="1:15" x14ac:dyDescent="0.25">
      <c r="A1662" s="49"/>
      <c r="G1662" t="str">
        <f t="shared" si="150"/>
        <v/>
      </c>
      <c r="H1662" s="13" t="str">
        <f t="shared" si="153"/>
        <v/>
      </c>
      <c r="I1662" t="str">
        <f>IFERROR(INDEX(Analysis!$D$116:$N$137, MATCH(B1662, Analysis!$C$116:$C$137, 0), MATCH(C1662, Analysis!$D$115:$N$115, 0)), "")</f>
        <v/>
      </c>
      <c r="J1662" t="str">
        <f t="shared" si="154"/>
        <v/>
      </c>
      <c r="K1662" s="28" t="str">
        <f t="shared" si="151"/>
        <v/>
      </c>
      <c r="L1662" s="46" t="str">
        <f t="shared" si="155"/>
        <v/>
      </c>
      <c r="M1662" t="str" cm="1">
        <f t="array" ref="M1662">IF(L1662="","",_xlfn.IFS(
  AND(L1662&gt;=TIME(9,0,0), L1662&lt;TIME(16,0,0)),"Morning",
  AND(L1662&gt;=TIME(16,0,0), L1662&lt;TIME(23,59,0)),"Evening",
  L1662&gt;=TIME(23,59,0),"Night",
  L1662&lt;TIME(9,0,0),"Night"
))</f>
        <v/>
      </c>
      <c r="O1662" t="str">
        <f t="shared" si="152"/>
        <v/>
      </c>
    </row>
    <row r="1663" spans="1:15" x14ac:dyDescent="0.25">
      <c r="A1663" s="49"/>
      <c r="G1663" t="str">
        <f t="shared" si="150"/>
        <v/>
      </c>
      <c r="H1663" s="13" t="str">
        <f t="shared" si="153"/>
        <v/>
      </c>
      <c r="I1663" t="str">
        <f>IFERROR(INDEX(Analysis!$D$116:$N$137, MATCH(B1663, Analysis!$C$116:$C$137, 0), MATCH(C1663, Analysis!$D$115:$N$115, 0)), "")</f>
        <v/>
      </c>
      <c r="J1663" t="str">
        <f t="shared" si="154"/>
        <v/>
      </c>
      <c r="K1663" s="28" t="str">
        <f t="shared" si="151"/>
        <v/>
      </c>
      <c r="L1663" s="46" t="str">
        <f t="shared" si="155"/>
        <v/>
      </c>
      <c r="M1663" t="str" cm="1">
        <f t="array" ref="M1663">IF(L1663="","",_xlfn.IFS(
  AND(L1663&gt;=TIME(9,0,0), L1663&lt;TIME(16,0,0)),"Morning",
  AND(L1663&gt;=TIME(16,0,0), L1663&lt;TIME(23,59,0)),"Evening",
  L1663&gt;=TIME(23,59,0),"Night",
  L1663&lt;TIME(9,0,0),"Night"
))</f>
        <v/>
      </c>
      <c r="O1663" t="str">
        <f t="shared" si="152"/>
        <v/>
      </c>
    </row>
    <row r="1664" spans="1:15" x14ac:dyDescent="0.25">
      <c r="A1664" s="49"/>
      <c r="G1664" t="str">
        <f t="shared" si="150"/>
        <v/>
      </c>
      <c r="H1664" s="13" t="str">
        <f t="shared" si="153"/>
        <v/>
      </c>
      <c r="I1664" t="str">
        <f>IFERROR(INDEX(Analysis!$D$116:$N$137, MATCH(B1664, Analysis!$C$116:$C$137, 0), MATCH(C1664, Analysis!$D$115:$N$115, 0)), "")</f>
        <v/>
      </c>
      <c r="J1664" t="str">
        <f t="shared" si="154"/>
        <v/>
      </c>
      <c r="K1664" s="28" t="str">
        <f t="shared" si="151"/>
        <v/>
      </c>
      <c r="L1664" s="46" t="str">
        <f t="shared" si="155"/>
        <v/>
      </c>
      <c r="M1664" t="str" cm="1">
        <f t="array" ref="M1664">IF(L1664="","",_xlfn.IFS(
  AND(L1664&gt;=TIME(9,0,0), L1664&lt;TIME(16,0,0)),"Morning",
  AND(L1664&gt;=TIME(16,0,0), L1664&lt;TIME(23,59,0)),"Evening",
  L1664&gt;=TIME(23,59,0),"Night",
  L1664&lt;TIME(9,0,0),"Night"
))</f>
        <v/>
      </c>
      <c r="O1664" t="str">
        <f t="shared" si="152"/>
        <v/>
      </c>
    </row>
    <row r="1665" spans="1:15" x14ac:dyDescent="0.25">
      <c r="A1665" s="49"/>
      <c r="G1665" t="str">
        <f t="shared" si="150"/>
        <v/>
      </c>
      <c r="H1665" s="13" t="str">
        <f t="shared" si="153"/>
        <v/>
      </c>
      <c r="I1665" t="str">
        <f>IFERROR(INDEX(Analysis!$D$116:$N$137, MATCH(B1665, Analysis!$C$116:$C$137, 0), MATCH(C1665, Analysis!$D$115:$N$115, 0)), "")</f>
        <v/>
      </c>
      <c r="J1665" t="str">
        <f t="shared" si="154"/>
        <v/>
      </c>
      <c r="K1665" s="28" t="str">
        <f t="shared" si="151"/>
        <v/>
      </c>
      <c r="L1665" s="46" t="str">
        <f t="shared" si="155"/>
        <v/>
      </c>
      <c r="M1665" t="str" cm="1">
        <f t="array" ref="M1665">IF(L1665="","",_xlfn.IFS(
  AND(L1665&gt;=TIME(9,0,0), L1665&lt;TIME(16,0,0)),"Morning",
  AND(L1665&gt;=TIME(16,0,0), L1665&lt;TIME(23,59,0)),"Evening",
  L1665&gt;=TIME(23,59,0),"Night",
  L1665&lt;TIME(9,0,0),"Night"
))</f>
        <v/>
      </c>
      <c r="O1665" t="str">
        <f t="shared" si="152"/>
        <v/>
      </c>
    </row>
    <row r="1666" spans="1:15" x14ac:dyDescent="0.25">
      <c r="A1666" s="49"/>
      <c r="G1666" t="str">
        <f t="shared" ref="G1666:G1729" si="156">IF(ISBLANK(A1666), "", IF(ISBLANK(F1666), 0, F1666))</f>
        <v/>
      </c>
      <c r="H1666" s="13" t="str">
        <f t="shared" si="153"/>
        <v/>
      </c>
      <c r="I1666" t="str">
        <f>IFERROR(INDEX(Analysis!$D$116:$N$137, MATCH(B1666, Analysis!$C$116:$C$137, 0), MATCH(C1666, Analysis!$D$115:$N$115, 0)), "")</f>
        <v/>
      </c>
      <c r="J1666" t="str">
        <f t="shared" si="154"/>
        <v/>
      </c>
      <c r="K1666" s="28" t="str">
        <f t="shared" ref="K1666:K1729" si="157">IF(ISBLANK(A1666),"",DATE(YEAR(A1666),MONTH(A1666),DAY(A1666)))</f>
        <v/>
      </c>
      <c r="L1666" s="46" t="str">
        <f t="shared" si="155"/>
        <v/>
      </c>
      <c r="M1666" t="str" cm="1">
        <f t="array" ref="M1666">IF(L1666="","",_xlfn.IFS(
  AND(L1666&gt;=TIME(9,0,0), L1666&lt;TIME(16,0,0)),"Morning",
  AND(L1666&gt;=TIME(16,0,0), L1666&lt;TIME(23,59,0)),"Evening",
  L1666&gt;=TIME(23,59,0),"Night",
  L1666&lt;TIME(9,0,0),"Night"
))</f>
        <v/>
      </c>
      <c r="O1666" t="str">
        <f t="shared" ref="O1666:O1729" si="158">IF(N1666="ON", _xlfn.IMAGE(E1666, 1), "")</f>
        <v/>
      </c>
    </row>
    <row r="1667" spans="1:15" x14ac:dyDescent="0.25">
      <c r="A1667" s="49"/>
      <c r="G1667" t="str">
        <f t="shared" si="156"/>
        <v/>
      </c>
      <c r="H1667" s="13" t="str">
        <f t="shared" ref="H1667:H1730" si="159">IF(ISBLANK(E1667),"",HYPERLINK(E1667,"Click here"))</f>
        <v/>
      </c>
      <c r="I1667" t="str">
        <f>IFERROR(INDEX(Analysis!$D$116:$N$137, MATCH(B1667, Analysis!$C$116:$C$137, 0), MATCH(C1667, Analysis!$D$115:$N$115, 0)), "")</f>
        <v/>
      </c>
      <c r="J1667" t="str">
        <f t="shared" ref="J1667:J1730" si="160">IF(ISBLANK(A1667),"",WEEKNUM(A1667))</f>
        <v/>
      </c>
      <c r="K1667" s="28" t="str">
        <f t="shared" si="157"/>
        <v/>
      </c>
      <c r="L1667" s="46" t="str">
        <f t="shared" ref="L1667:L1730" si="161">IF(A1667="", "", A1667 - INT(A1667))</f>
        <v/>
      </c>
      <c r="M1667" t="str" cm="1">
        <f t="array" ref="M1667">IF(L1667="","",_xlfn.IFS(
  AND(L1667&gt;=TIME(9,0,0), L1667&lt;TIME(16,0,0)),"Morning",
  AND(L1667&gt;=TIME(16,0,0), L1667&lt;TIME(23,59,0)),"Evening",
  L1667&gt;=TIME(23,59,0),"Night",
  L1667&lt;TIME(9,0,0),"Night"
))</f>
        <v/>
      </c>
      <c r="O1667" t="str">
        <f t="shared" si="158"/>
        <v/>
      </c>
    </row>
    <row r="1668" spans="1:15" x14ac:dyDescent="0.25">
      <c r="A1668" s="49"/>
      <c r="G1668" t="str">
        <f t="shared" si="156"/>
        <v/>
      </c>
      <c r="H1668" s="13" t="str">
        <f t="shared" si="159"/>
        <v/>
      </c>
      <c r="I1668" t="str">
        <f>IFERROR(INDEX(Analysis!$D$116:$N$137, MATCH(B1668, Analysis!$C$116:$C$137, 0), MATCH(C1668, Analysis!$D$115:$N$115, 0)), "")</f>
        <v/>
      </c>
      <c r="J1668" t="str">
        <f t="shared" si="160"/>
        <v/>
      </c>
      <c r="K1668" s="28" t="str">
        <f t="shared" si="157"/>
        <v/>
      </c>
      <c r="L1668" s="46" t="str">
        <f t="shared" si="161"/>
        <v/>
      </c>
      <c r="M1668" t="str" cm="1">
        <f t="array" ref="M1668">IF(L1668="","",_xlfn.IFS(
  AND(L1668&gt;=TIME(9,0,0), L1668&lt;TIME(16,0,0)),"Morning",
  AND(L1668&gt;=TIME(16,0,0), L1668&lt;TIME(23,59,0)),"Evening",
  L1668&gt;=TIME(23,59,0),"Night",
  L1668&lt;TIME(9,0,0),"Night"
))</f>
        <v/>
      </c>
      <c r="O1668" t="str">
        <f t="shared" si="158"/>
        <v/>
      </c>
    </row>
    <row r="1669" spans="1:15" x14ac:dyDescent="0.25">
      <c r="A1669" s="49"/>
      <c r="G1669" t="str">
        <f t="shared" si="156"/>
        <v/>
      </c>
      <c r="H1669" s="13" t="str">
        <f t="shared" si="159"/>
        <v/>
      </c>
      <c r="I1669" t="str">
        <f>IFERROR(INDEX(Analysis!$D$116:$N$137, MATCH(B1669, Analysis!$C$116:$C$137, 0), MATCH(C1669, Analysis!$D$115:$N$115, 0)), "")</f>
        <v/>
      </c>
      <c r="J1669" t="str">
        <f t="shared" si="160"/>
        <v/>
      </c>
      <c r="K1669" s="28" t="str">
        <f t="shared" si="157"/>
        <v/>
      </c>
      <c r="L1669" s="46" t="str">
        <f t="shared" si="161"/>
        <v/>
      </c>
      <c r="M1669" t="str" cm="1">
        <f t="array" ref="M1669">IF(L1669="","",_xlfn.IFS(
  AND(L1669&gt;=TIME(9,0,0), L1669&lt;TIME(16,0,0)),"Morning",
  AND(L1669&gt;=TIME(16,0,0), L1669&lt;TIME(23,59,0)),"Evening",
  L1669&gt;=TIME(23,59,0),"Night",
  L1669&lt;TIME(9,0,0),"Night"
))</f>
        <v/>
      </c>
      <c r="O1669" t="str">
        <f t="shared" si="158"/>
        <v/>
      </c>
    </row>
    <row r="1670" spans="1:15" x14ac:dyDescent="0.25">
      <c r="A1670" s="49"/>
      <c r="G1670" t="str">
        <f t="shared" si="156"/>
        <v/>
      </c>
      <c r="H1670" s="13" t="str">
        <f t="shared" si="159"/>
        <v/>
      </c>
      <c r="I1670" t="str">
        <f>IFERROR(INDEX(Analysis!$D$116:$N$137, MATCH(B1670, Analysis!$C$116:$C$137, 0), MATCH(C1670, Analysis!$D$115:$N$115, 0)), "")</f>
        <v/>
      </c>
      <c r="J1670" t="str">
        <f t="shared" si="160"/>
        <v/>
      </c>
      <c r="K1670" s="28" t="str">
        <f t="shared" si="157"/>
        <v/>
      </c>
      <c r="L1670" s="46" t="str">
        <f t="shared" si="161"/>
        <v/>
      </c>
      <c r="M1670" t="str" cm="1">
        <f t="array" ref="M1670">IF(L1670="","",_xlfn.IFS(
  AND(L1670&gt;=TIME(9,0,0), L1670&lt;TIME(16,0,0)),"Morning",
  AND(L1670&gt;=TIME(16,0,0), L1670&lt;TIME(23,59,0)),"Evening",
  L1670&gt;=TIME(23,59,0),"Night",
  L1670&lt;TIME(9,0,0),"Night"
))</f>
        <v/>
      </c>
      <c r="O1670" t="str">
        <f t="shared" si="158"/>
        <v/>
      </c>
    </row>
    <row r="1671" spans="1:15" x14ac:dyDescent="0.25">
      <c r="A1671" s="49"/>
      <c r="G1671" t="str">
        <f t="shared" si="156"/>
        <v/>
      </c>
      <c r="H1671" s="13" t="str">
        <f t="shared" si="159"/>
        <v/>
      </c>
      <c r="I1671" t="str">
        <f>IFERROR(INDEX(Analysis!$D$116:$N$137, MATCH(B1671, Analysis!$C$116:$C$137, 0), MATCH(C1671, Analysis!$D$115:$N$115, 0)), "")</f>
        <v/>
      </c>
      <c r="J1671" t="str">
        <f t="shared" si="160"/>
        <v/>
      </c>
      <c r="K1671" s="28" t="str">
        <f t="shared" si="157"/>
        <v/>
      </c>
      <c r="L1671" s="46" t="str">
        <f t="shared" si="161"/>
        <v/>
      </c>
      <c r="M1671" t="str" cm="1">
        <f t="array" ref="M1671">IF(L1671="","",_xlfn.IFS(
  AND(L1671&gt;=TIME(9,0,0), L1671&lt;TIME(16,0,0)),"Morning",
  AND(L1671&gt;=TIME(16,0,0), L1671&lt;TIME(23,59,0)),"Evening",
  L1671&gt;=TIME(23,59,0),"Night",
  L1671&lt;TIME(9,0,0),"Night"
))</f>
        <v/>
      </c>
      <c r="O1671" t="str">
        <f t="shared" si="158"/>
        <v/>
      </c>
    </row>
    <row r="1672" spans="1:15" x14ac:dyDescent="0.25">
      <c r="A1672" s="49"/>
      <c r="G1672" t="str">
        <f t="shared" si="156"/>
        <v/>
      </c>
      <c r="H1672" s="13" t="str">
        <f t="shared" si="159"/>
        <v/>
      </c>
      <c r="I1672" t="str">
        <f>IFERROR(INDEX(Analysis!$D$116:$N$137, MATCH(B1672, Analysis!$C$116:$C$137, 0), MATCH(C1672, Analysis!$D$115:$N$115, 0)), "")</f>
        <v/>
      </c>
      <c r="J1672" t="str">
        <f t="shared" si="160"/>
        <v/>
      </c>
      <c r="K1672" s="28" t="str">
        <f t="shared" si="157"/>
        <v/>
      </c>
      <c r="L1672" s="46" t="str">
        <f t="shared" si="161"/>
        <v/>
      </c>
      <c r="M1672" t="str" cm="1">
        <f t="array" ref="M1672">IF(L1672="","",_xlfn.IFS(
  AND(L1672&gt;=TIME(9,0,0), L1672&lt;TIME(16,0,0)),"Morning",
  AND(L1672&gt;=TIME(16,0,0), L1672&lt;TIME(23,59,0)),"Evening",
  L1672&gt;=TIME(23,59,0),"Night",
  L1672&lt;TIME(9,0,0),"Night"
))</f>
        <v/>
      </c>
      <c r="O1672" t="str">
        <f t="shared" si="158"/>
        <v/>
      </c>
    </row>
    <row r="1673" spans="1:15" x14ac:dyDescent="0.25">
      <c r="A1673" s="49"/>
      <c r="G1673" t="str">
        <f t="shared" si="156"/>
        <v/>
      </c>
      <c r="H1673" s="13" t="str">
        <f t="shared" si="159"/>
        <v/>
      </c>
      <c r="I1673" t="str">
        <f>IFERROR(INDEX(Analysis!$D$116:$N$137, MATCH(B1673, Analysis!$C$116:$C$137, 0), MATCH(C1673, Analysis!$D$115:$N$115, 0)), "")</f>
        <v/>
      </c>
      <c r="J1673" t="str">
        <f t="shared" si="160"/>
        <v/>
      </c>
      <c r="K1673" s="28" t="str">
        <f t="shared" si="157"/>
        <v/>
      </c>
      <c r="L1673" s="46" t="str">
        <f t="shared" si="161"/>
        <v/>
      </c>
      <c r="M1673" t="str" cm="1">
        <f t="array" ref="M1673">IF(L1673="","",_xlfn.IFS(
  AND(L1673&gt;=TIME(9,0,0), L1673&lt;TIME(16,0,0)),"Morning",
  AND(L1673&gt;=TIME(16,0,0), L1673&lt;TIME(23,59,0)),"Evening",
  L1673&gt;=TIME(23,59,0),"Night",
  L1673&lt;TIME(9,0,0),"Night"
))</f>
        <v/>
      </c>
      <c r="O1673" t="str">
        <f t="shared" si="158"/>
        <v/>
      </c>
    </row>
    <row r="1674" spans="1:15" x14ac:dyDescent="0.25">
      <c r="A1674" s="49"/>
      <c r="G1674" t="str">
        <f t="shared" si="156"/>
        <v/>
      </c>
      <c r="H1674" s="13" t="str">
        <f t="shared" si="159"/>
        <v/>
      </c>
      <c r="I1674" t="str">
        <f>IFERROR(INDEX(Analysis!$D$116:$N$137, MATCH(B1674, Analysis!$C$116:$C$137, 0), MATCH(C1674, Analysis!$D$115:$N$115, 0)), "")</f>
        <v/>
      </c>
      <c r="J1674" t="str">
        <f t="shared" si="160"/>
        <v/>
      </c>
      <c r="K1674" s="28" t="str">
        <f t="shared" si="157"/>
        <v/>
      </c>
      <c r="L1674" s="46" t="str">
        <f t="shared" si="161"/>
        <v/>
      </c>
      <c r="M1674" t="str" cm="1">
        <f t="array" ref="M1674">IF(L1674="","",_xlfn.IFS(
  AND(L1674&gt;=TIME(9,0,0), L1674&lt;TIME(16,0,0)),"Morning",
  AND(L1674&gt;=TIME(16,0,0), L1674&lt;TIME(23,59,0)),"Evening",
  L1674&gt;=TIME(23,59,0),"Night",
  L1674&lt;TIME(9,0,0),"Night"
))</f>
        <v/>
      </c>
      <c r="O1674" t="str">
        <f t="shared" si="158"/>
        <v/>
      </c>
    </row>
    <row r="1675" spans="1:15" x14ac:dyDescent="0.25">
      <c r="A1675" s="49"/>
      <c r="G1675" t="str">
        <f t="shared" si="156"/>
        <v/>
      </c>
      <c r="H1675" s="13" t="str">
        <f t="shared" si="159"/>
        <v/>
      </c>
      <c r="I1675" t="str">
        <f>IFERROR(INDEX(Analysis!$D$116:$N$137, MATCH(B1675, Analysis!$C$116:$C$137, 0), MATCH(C1675, Analysis!$D$115:$N$115, 0)), "")</f>
        <v/>
      </c>
      <c r="J1675" t="str">
        <f t="shared" si="160"/>
        <v/>
      </c>
      <c r="K1675" s="28" t="str">
        <f t="shared" si="157"/>
        <v/>
      </c>
      <c r="L1675" s="46" t="str">
        <f t="shared" si="161"/>
        <v/>
      </c>
      <c r="M1675" t="str" cm="1">
        <f t="array" ref="M1675">IF(L1675="","",_xlfn.IFS(
  AND(L1675&gt;=TIME(9,0,0), L1675&lt;TIME(16,0,0)),"Morning",
  AND(L1675&gt;=TIME(16,0,0), L1675&lt;TIME(23,59,0)),"Evening",
  L1675&gt;=TIME(23,59,0),"Night",
  L1675&lt;TIME(9,0,0),"Night"
))</f>
        <v/>
      </c>
      <c r="O1675" t="str">
        <f t="shared" si="158"/>
        <v/>
      </c>
    </row>
    <row r="1676" spans="1:15" x14ac:dyDescent="0.25">
      <c r="A1676" s="49"/>
      <c r="G1676" t="str">
        <f t="shared" si="156"/>
        <v/>
      </c>
      <c r="H1676" s="13" t="str">
        <f t="shared" si="159"/>
        <v/>
      </c>
      <c r="I1676" t="str">
        <f>IFERROR(INDEX(Analysis!$D$116:$N$137, MATCH(B1676, Analysis!$C$116:$C$137, 0), MATCH(C1676, Analysis!$D$115:$N$115, 0)), "")</f>
        <v/>
      </c>
      <c r="J1676" t="str">
        <f t="shared" si="160"/>
        <v/>
      </c>
      <c r="K1676" s="28" t="str">
        <f t="shared" si="157"/>
        <v/>
      </c>
      <c r="L1676" s="46" t="str">
        <f t="shared" si="161"/>
        <v/>
      </c>
      <c r="M1676" t="str" cm="1">
        <f t="array" ref="M1676">IF(L1676="","",_xlfn.IFS(
  AND(L1676&gt;=TIME(9,0,0), L1676&lt;TIME(16,0,0)),"Morning",
  AND(L1676&gt;=TIME(16,0,0), L1676&lt;TIME(23,59,0)),"Evening",
  L1676&gt;=TIME(23,59,0),"Night",
  L1676&lt;TIME(9,0,0),"Night"
))</f>
        <v/>
      </c>
      <c r="O1676" t="str">
        <f t="shared" si="158"/>
        <v/>
      </c>
    </row>
    <row r="1677" spans="1:15" x14ac:dyDescent="0.25">
      <c r="A1677" s="49"/>
      <c r="G1677" t="str">
        <f t="shared" si="156"/>
        <v/>
      </c>
      <c r="H1677" s="13" t="str">
        <f t="shared" si="159"/>
        <v/>
      </c>
      <c r="I1677" t="str">
        <f>IFERROR(INDEX(Analysis!$D$116:$N$137, MATCH(B1677, Analysis!$C$116:$C$137, 0), MATCH(C1677, Analysis!$D$115:$N$115, 0)), "")</f>
        <v/>
      </c>
      <c r="J1677" t="str">
        <f t="shared" si="160"/>
        <v/>
      </c>
      <c r="K1677" s="28" t="str">
        <f t="shared" si="157"/>
        <v/>
      </c>
      <c r="L1677" s="46" t="str">
        <f t="shared" si="161"/>
        <v/>
      </c>
      <c r="M1677" t="str" cm="1">
        <f t="array" ref="M1677">IF(L1677="","",_xlfn.IFS(
  AND(L1677&gt;=TIME(9,0,0), L1677&lt;TIME(16,0,0)),"Morning",
  AND(L1677&gt;=TIME(16,0,0), L1677&lt;TIME(23,59,0)),"Evening",
  L1677&gt;=TIME(23,59,0),"Night",
  L1677&lt;TIME(9,0,0),"Night"
))</f>
        <v/>
      </c>
      <c r="O1677" t="str">
        <f t="shared" si="158"/>
        <v/>
      </c>
    </row>
    <row r="1678" spans="1:15" x14ac:dyDescent="0.25">
      <c r="A1678" s="49"/>
      <c r="G1678" t="str">
        <f t="shared" si="156"/>
        <v/>
      </c>
      <c r="H1678" s="13" t="str">
        <f t="shared" si="159"/>
        <v/>
      </c>
      <c r="I1678" t="str">
        <f>IFERROR(INDEX(Analysis!$D$116:$N$137, MATCH(B1678, Analysis!$C$116:$C$137, 0), MATCH(C1678, Analysis!$D$115:$N$115, 0)), "")</f>
        <v/>
      </c>
      <c r="J1678" t="str">
        <f t="shared" si="160"/>
        <v/>
      </c>
      <c r="K1678" s="28" t="str">
        <f t="shared" si="157"/>
        <v/>
      </c>
      <c r="L1678" s="46" t="str">
        <f t="shared" si="161"/>
        <v/>
      </c>
      <c r="M1678" t="str" cm="1">
        <f t="array" ref="M1678">IF(L1678="","",_xlfn.IFS(
  AND(L1678&gt;=TIME(9,0,0), L1678&lt;TIME(16,0,0)),"Morning",
  AND(L1678&gt;=TIME(16,0,0), L1678&lt;TIME(23,59,0)),"Evening",
  L1678&gt;=TIME(23,59,0),"Night",
  L1678&lt;TIME(9,0,0),"Night"
))</f>
        <v/>
      </c>
      <c r="O1678" t="str">
        <f t="shared" si="158"/>
        <v/>
      </c>
    </row>
    <row r="1679" spans="1:15" x14ac:dyDescent="0.25">
      <c r="A1679" s="49"/>
      <c r="G1679" t="str">
        <f t="shared" si="156"/>
        <v/>
      </c>
      <c r="H1679" s="13" t="str">
        <f t="shared" si="159"/>
        <v/>
      </c>
      <c r="I1679" t="str">
        <f>IFERROR(INDEX(Analysis!$D$116:$N$137, MATCH(B1679, Analysis!$C$116:$C$137, 0), MATCH(C1679, Analysis!$D$115:$N$115, 0)), "")</f>
        <v/>
      </c>
      <c r="J1679" t="str">
        <f t="shared" si="160"/>
        <v/>
      </c>
      <c r="K1679" s="28" t="str">
        <f t="shared" si="157"/>
        <v/>
      </c>
      <c r="L1679" s="46" t="str">
        <f t="shared" si="161"/>
        <v/>
      </c>
      <c r="M1679" t="str" cm="1">
        <f t="array" ref="M1679">IF(L1679="","",_xlfn.IFS(
  AND(L1679&gt;=TIME(9,0,0), L1679&lt;TIME(16,0,0)),"Morning",
  AND(L1679&gt;=TIME(16,0,0), L1679&lt;TIME(23,59,0)),"Evening",
  L1679&gt;=TIME(23,59,0),"Night",
  L1679&lt;TIME(9,0,0),"Night"
))</f>
        <v/>
      </c>
      <c r="O1679" t="str">
        <f t="shared" si="158"/>
        <v/>
      </c>
    </row>
    <row r="1680" spans="1:15" x14ac:dyDescent="0.25">
      <c r="A1680" s="49"/>
      <c r="G1680" t="str">
        <f t="shared" si="156"/>
        <v/>
      </c>
      <c r="H1680" s="13" t="str">
        <f t="shared" si="159"/>
        <v/>
      </c>
      <c r="I1680" t="str">
        <f>IFERROR(INDEX(Analysis!$D$116:$N$137, MATCH(B1680, Analysis!$C$116:$C$137, 0), MATCH(C1680, Analysis!$D$115:$N$115, 0)), "")</f>
        <v/>
      </c>
      <c r="J1680" t="str">
        <f t="shared" si="160"/>
        <v/>
      </c>
      <c r="K1680" s="28" t="str">
        <f t="shared" si="157"/>
        <v/>
      </c>
      <c r="L1680" s="46" t="str">
        <f t="shared" si="161"/>
        <v/>
      </c>
      <c r="M1680" t="str" cm="1">
        <f t="array" ref="M1680">IF(L1680="","",_xlfn.IFS(
  AND(L1680&gt;=TIME(9,0,0), L1680&lt;TIME(16,0,0)),"Morning",
  AND(L1680&gt;=TIME(16,0,0), L1680&lt;TIME(23,59,0)),"Evening",
  L1680&gt;=TIME(23,59,0),"Night",
  L1680&lt;TIME(9,0,0),"Night"
))</f>
        <v/>
      </c>
      <c r="O1680" t="str">
        <f t="shared" si="158"/>
        <v/>
      </c>
    </row>
    <row r="1681" spans="1:15" x14ac:dyDescent="0.25">
      <c r="A1681" s="49"/>
      <c r="G1681" t="str">
        <f t="shared" si="156"/>
        <v/>
      </c>
      <c r="H1681" s="13" t="str">
        <f t="shared" si="159"/>
        <v/>
      </c>
      <c r="I1681" t="str">
        <f>IFERROR(INDEX(Analysis!$D$116:$N$137, MATCH(B1681, Analysis!$C$116:$C$137, 0), MATCH(C1681, Analysis!$D$115:$N$115, 0)), "")</f>
        <v/>
      </c>
      <c r="J1681" t="str">
        <f t="shared" si="160"/>
        <v/>
      </c>
      <c r="K1681" s="28" t="str">
        <f t="shared" si="157"/>
        <v/>
      </c>
      <c r="L1681" s="46" t="str">
        <f t="shared" si="161"/>
        <v/>
      </c>
      <c r="M1681" t="str" cm="1">
        <f t="array" ref="M1681">IF(L1681="","",_xlfn.IFS(
  AND(L1681&gt;=TIME(9,0,0), L1681&lt;TIME(16,0,0)),"Morning",
  AND(L1681&gt;=TIME(16,0,0), L1681&lt;TIME(23,59,0)),"Evening",
  L1681&gt;=TIME(23,59,0),"Night",
  L1681&lt;TIME(9,0,0),"Night"
))</f>
        <v/>
      </c>
      <c r="O1681" t="str">
        <f t="shared" si="158"/>
        <v/>
      </c>
    </row>
    <row r="1682" spans="1:15" x14ac:dyDescent="0.25">
      <c r="A1682" s="49"/>
      <c r="G1682" t="str">
        <f t="shared" si="156"/>
        <v/>
      </c>
      <c r="H1682" s="13" t="str">
        <f t="shared" si="159"/>
        <v/>
      </c>
      <c r="I1682" t="str">
        <f>IFERROR(INDEX(Analysis!$D$116:$N$137, MATCH(B1682, Analysis!$C$116:$C$137, 0), MATCH(C1682, Analysis!$D$115:$N$115, 0)), "")</f>
        <v/>
      </c>
      <c r="J1682" t="str">
        <f t="shared" si="160"/>
        <v/>
      </c>
      <c r="K1682" s="28" t="str">
        <f t="shared" si="157"/>
        <v/>
      </c>
      <c r="L1682" s="46" t="str">
        <f t="shared" si="161"/>
        <v/>
      </c>
      <c r="M1682" t="str" cm="1">
        <f t="array" ref="M1682">IF(L1682="","",_xlfn.IFS(
  AND(L1682&gt;=TIME(9,0,0), L1682&lt;TIME(16,0,0)),"Morning",
  AND(L1682&gt;=TIME(16,0,0), L1682&lt;TIME(23,59,0)),"Evening",
  L1682&gt;=TIME(23,59,0),"Night",
  L1682&lt;TIME(9,0,0),"Night"
))</f>
        <v/>
      </c>
      <c r="O1682" t="str">
        <f t="shared" si="158"/>
        <v/>
      </c>
    </row>
    <row r="1683" spans="1:15" x14ac:dyDescent="0.25">
      <c r="A1683" s="49"/>
      <c r="G1683" t="str">
        <f t="shared" si="156"/>
        <v/>
      </c>
      <c r="H1683" s="13" t="str">
        <f t="shared" si="159"/>
        <v/>
      </c>
      <c r="I1683" t="str">
        <f>IFERROR(INDEX(Analysis!$D$116:$N$137, MATCH(B1683, Analysis!$C$116:$C$137, 0), MATCH(C1683, Analysis!$D$115:$N$115, 0)), "")</f>
        <v/>
      </c>
      <c r="J1683" t="str">
        <f t="shared" si="160"/>
        <v/>
      </c>
      <c r="K1683" s="28" t="str">
        <f t="shared" si="157"/>
        <v/>
      </c>
      <c r="L1683" s="46" t="str">
        <f t="shared" si="161"/>
        <v/>
      </c>
      <c r="M1683" t="str" cm="1">
        <f t="array" ref="M1683">IF(L1683="","",_xlfn.IFS(
  AND(L1683&gt;=TIME(9,0,0), L1683&lt;TIME(16,0,0)),"Morning",
  AND(L1683&gt;=TIME(16,0,0), L1683&lt;TIME(23,59,0)),"Evening",
  L1683&gt;=TIME(23,59,0),"Night",
  L1683&lt;TIME(9,0,0),"Night"
))</f>
        <v/>
      </c>
      <c r="O1683" t="str">
        <f t="shared" si="158"/>
        <v/>
      </c>
    </row>
    <row r="1684" spans="1:15" x14ac:dyDescent="0.25">
      <c r="A1684" s="49"/>
      <c r="G1684" t="str">
        <f t="shared" si="156"/>
        <v/>
      </c>
      <c r="H1684" s="13" t="str">
        <f t="shared" si="159"/>
        <v/>
      </c>
      <c r="I1684" t="str">
        <f>IFERROR(INDEX(Analysis!$D$116:$N$137, MATCH(B1684, Analysis!$C$116:$C$137, 0), MATCH(C1684, Analysis!$D$115:$N$115, 0)), "")</f>
        <v/>
      </c>
      <c r="J1684" t="str">
        <f t="shared" si="160"/>
        <v/>
      </c>
      <c r="K1684" s="28" t="str">
        <f t="shared" si="157"/>
        <v/>
      </c>
      <c r="L1684" s="46" t="str">
        <f t="shared" si="161"/>
        <v/>
      </c>
      <c r="M1684" t="str" cm="1">
        <f t="array" ref="M1684">IF(L1684="","",_xlfn.IFS(
  AND(L1684&gt;=TIME(9,0,0), L1684&lt;TIME(16,0,0)),"Morning",
  AND(L1684&gt;=TIME(16,0,0), L1684&lt;TIME(23,59,0)),"Evening",
  L1684&gt;=TIME(23,59,0),"Night",
  L1684&lt;TIME(9,0,0),"Night"
))</f>
        <v/>
      </c>
      <c r="O1684" t="str">
        <f t="shared" si="158"/>
        <v/>
      </c>
    </row>
    <row r="1685" spans="1:15" x14ac:dyDescent="0.25">
      <c r="A1685" s="49"/>
      <c r="G1685" t="str">
        <f t="shared" si="156"/>
        <v/>
      </c>
      <c r="H1685" s="13" t="str">
        <f t="shared" si="159"/>
        <v/>
      </c>
      <c r="I1685" t="str">
        <f>IFERROR(INDEX(Analysis!$D$116:$N$137, MATCH(B1685, Analysis!$C$116:$C$137, 0), MATCH(C1685, Analysis!$D$115:$N$115, 0)), "")</f>
        <v/>
      </c>
      <c r="J1685" t="str">
        <f t="shared" si="160"/>
        <v/>
      </c>
      <c r="K1685" s="28" t="str">
        <f t="shared" si="157"/>
        <v/>
      </c>
      <c r="L1685" s="46" t="str">
        <f t="shared" si="161"/>
        <v/>
      </c>
      <c r="M1685" t="str" cm="1">
        <f t="array" ref="M1685">IF(L1685="","",_xlfn.IFS(
  AND(L1685&gt;=TIME(9,0,0), L1685&lt;TIME(16,0,0)),"Morning",
  AND(L1685&gt;=TIME(16,0,0), L1685&lt;TIME(23,59,0)),"Evening",
  L1685&gt;=TIME(23,59,0),"Night",
  L1685&lt;TIME(9,0,0),"Night"
))</f>
        <v/>
      </c>
      <c r="O1685" t="str">
        <f t="shared" si="158"/>
        <v/>
      </c>
    </row>
    <row r="1686" spans="1:15" x14ac:dyDescent="0.25">
      <c r="A1686" s="49"/>
      <c r="G1686" t="str">
        <f t="shared" si="156"/>
        <v/>
      </c>
      <c r="H1686" s="13" t="str">
        <f t="shared" si="159"/>
        <v/>
      </c>
      <c r="I1686" t="str">
        <f>IFERROR(INDEX(Analysis!$D$116:$N$137, MATCH(B1686, Analysis!$C$116:$C$137, 0), MATCH(C1686, Analysis!$D$115:$N$115, 0)), "")</f>
        <v/>
      </c>
      <c r="J1686" t="str">
        <f t="shared" si="160"/>
        <v/>
      </c>
      <c r="K1686" s="28" t="str">
        <f t="shared" si="157"/>
        <v/>
      </c>
      <c r="L1686" s="46" t="str">
        <f t="shared" si="161"/>
        <v/>
      </c>
      <c r="M1686" t="str" cm="1">
        <f t="array" ref="M1686">IF(L1686="","",_xlfn.IFS(
  AND(L1686&gt;=TIME(9,0,0), L1686&lt;TIME(16,0,0)),"Morning",
  AND(L1686&gt;=TIME(16,0,0), L1686&lt;TIME(23,59,0)),"Evening",
  L1686&gt;=TIME(23,59,0),"Night",
  L1686&lt;TIME(9,0,0),"Night"
))</f>
        <v/>
      </c>
      <c r="O1686" t="str">
        <f t="shared" si="158"/>
        <v/>
      </c>
    </row>
    <row r="1687" spans="1:15" x14ac:dyDescent="0.25">
      <c r="A1687" s="49"/>
      <c r="G1687" t="str">
        <f t="shared" si="156"/>
        <v/>
      </c>
      <c r="H1687" s="13" t="str">
        <f t="shared" si="159"/>
        <v/>
      </c>
      <c r="I1687" t="str">
        <f>IFERROR(INDEX(Analysis!$D$116:$N$137, MATCH(B1687, Analysis!$C$116:$C$137, 0), MATCH(C1687, Analysis!$D$115:$N$115, 0)), "")</f>
        <v/>
      </c>
      <c r="J1687" t="str">
        <f t="shared" si="160"/>
        <v/>
      </c>
      <c r="K1687" s="28" t="str">
        <f t="shared" si="157"/>
        <v/>
      </c>
      <c r="L1687" s="46" t="str">
        <f t="shared" si="161"/>
        <v/>
      </c>
      <c r="M1687" t="str" cm="1">
        <f t="array" ref="M1687">IF(L1687="","",_xlfn.IFS(
  AND(L1687&gt;=TIME(9,0,0), L1687&lt;TIME(16,0,0)),"Morning",
  AND(L1687&gt;=TIME(16,0,0), L1687&lt;TIME(23,59,0)),"Evening",
  L1687&gt;=TIME(23,59,0),"Night",
  L1687&lt;TIME(9,0,0),"Night"
))</f>
        <v/>
      </c>
      <c r="O1687" t="str">
        <f t="shared" si="158"/>
        <v/>
      </c>
    </row>
    <row r="1688" spans="1:15" x14ac:dyDescent="0.25">
      <c r="A1688" s="49"/>
      <c r="G1688" t="str">
        <f t="shared" si="156"/>
        <v/>
      </c>
      <c r="H1688" s="13" t="str">
        <f t="shared" si="159"/>
        <v/>
      </c>
      <c r="I1688" t="str">
        <f>IFERROR(INDEX(Analysis!$D$116:$N$137, MATCH(B1688, Analysis!$C$116:$C$137, 0), MATCH(C1688, Analysis!$D$115:$N$115, 0)), "")</f>
        <v/>
      </c>
      <c r="J1688" t="str">
        <f t="shared" si="160"/>
        <v/>
      </c>
      <c r="K1688" s="28" t="str">
        <f t="shared" si="157"/>
        <v/>
      </c>
      <c r="L1688" s="46" t="str">
        <f t="shared" si="161"/>
        <v/>
      </c>
      <c r="M1688" t="str" cm="1">
        <f t="array" ref="M1688">IF(L1688="","",_xlfn.IFS(
  AND(L1688&gt;=TIME(9,0,0), L1688&lt;TIME(16,0,0)),"Morning",
  AND(L1688&gt;=TIME(16,0,0), L1688&lt;TIME(23,59,0)),"Evening",
  L1688&gt;=TIME(23,59,0),"Night",
  L1688&lt;TIME(9,0,0),"Night"
))</f>
        <v/>
      </c>
      <c r="O1688" t="str">
        <f t="shared" si="158"/>
        <v/>
      </c>
    </row>
    <row r="1689" spans="1:15" x14ac:dyDescent="0.25">
      <c r="A1689" s="49"/>
      <c r="G1689" t="str">
        <f t="shared" si="156"/>
        <v/>
      </c>
      <c r="H1689" s="13" t="str">
        <f t="shared" si="159"/>
        <v/>
      </c>
      <c r="I1689" t="str">
        <f>IFERROR(INDEX(Analysis!$D$116:$N$137, MATCH(B1689, Analysis!$C$116:$C$137, 0), MATCH(C1689, Analysis!$D$115:$N$115, 0)), "")</f>
        <v/>
      </c>
      <c r="J1689" t="str">
        <f t="shared" si="160"/>
        <v/>
      </c>
      <c r="K1689" s="28" t="str">
        <f t="shared" si="157"/>
        <v/>
      </c>
      <c r="L1689" s="46" t="str">
        <f t="shared" si="161"/>
        <v/>
      </c>
      <c r="M1689" t="str" cm="1">
        <f t="array" ref="M1689">IF(L1689="","",_xlfn.IFS(
  AND(L1689&gt;=TIME(9,0,0), L1689&lt;TIME(16,0,0)),"Morning",
  AND(L1689&gt;=TIME(16,0,0), L1689&lt;TIME(23,59,0)),"Evening",
  L1689&gt;=TIME(23,59,0),"Night",
  L1689&lt;TIME(9,0,0),"Night"
))</f>
        <v/>
      </c>
      <c r="O1689" t="str">
        <f t="shared" si="158"/>
        <v/>
      </c>
    </row>
    <row r="1690" spans="1:15" x14ac:dyDescent="0.25">
      <c r="A1690" s="49"/>
      <c r="G1690" t="str">
        <f t="shared" si="156"/>
        <v/>
      </c>
      <c r="H1690" s="13" t="str">
        <f t="shared" si="159"/>
        <v/>
      </c>
      <c r="I1690" t="str">
        <f>IFERROR(INDEX(Analysis!$D$116:$N$137, MATCH(B1690, Analysis!$C$116:$C$137, 0), MATCH(C1690, Analysis!$D$115:$N$115, 0)), "")</f>
        <v/>
      </c>
      <c r="J1690" t="str">
        <f t="shared" si="160"/>
        <v/>
      </c>
      <c r="K1690" s="28" t="str">
        <f t="shared" si="157"/>
        <v/>
      </c>
      <c r="L1690" s="46" t="str">
        <f t="shared" si="161"/>
        <v/>
      </c>
      <c r="M1690" t="str" cm="1">
        <f t="array" ref="M1690">IF(L1690="","",_xlfn.IFS(
  AND(L1690&gt;=TIME(9,0,0), L1690&lt;TIME(16,0,0)),"Morning",
  AND(L1690&gt;=TIME(16,0,0), L1690&lt;TIME(23,59,0)),"Evening",
  L1690&gt;=TIME(23,59,0),"Night",
  L1690&lt;TIME(9,0,0),"Night"
))</f>
        <v/>
      </c>
      <c r="O1690" t="str">
        <f t="shared" si="158"/>
        <v/>
      </c>
    </row>
    <row r="1691" spans="1:15" x14ac:dyDescent="0.25">
      <c r="A1691" s="49"/>
      <c r="G1691" t="str">
        <f t="shared" si="156"/>
        <v/>
      </c>
      <c r="H1691" s="13" t="str">
        <f t="shared" si="159"/>
        <v/>
      </c>
      <c r="I1691" t="str">
        <f>IFERROR(INDEX(Analysis!$D$116:$N$137, MATCH(B1691, Analysis!$C$116:$C$137, 0), MATCH(C1691, Analysis!$D$115:$N$115, 0)), "")</f>
        <v/>
      </c>
      <c r="J1691" t="str">
        <f t="shared" si="160"/>
        <v/>
      </c>
      <c r="K1691" s="28" t="str">
        <f t="shared" si="157"/>
        <v/>
      </c>
      <c r="L1691" s="46" t="str">
        <f t="shared" si="161"/>
        <v/>
      </c>
      <c r="M1691" t="str" cm="1">
        <f t="array" ref="M1691">IF(L1691="","",_xlfn.IFS(
  AND(L1691&gt;=TIME(9,0,0), L1691&lt;TIME(16,0,0)),"Morning",
  AND(L1691&gt;=TIME(16,0,0), L1691&lt;TIME(23,59,0)),"Evening",
  L1691&gt;=TIME(23,59,0),"Night",
  L1691&lt;TIME(9,0,0),"Night"
))</f>
        <v/>
      </c>
      <c r="O1691" t="str">
        <f t="shared" si="158"/>
        <v/>
      </c>
    </row>
    <row r="1692" spans="1:15" x14ac:dyDescent="0.25">
      <c r="A1692" s="49"/>
      <c r="G1692" t="str">
        <f t="shared" si="156"/>
        <v/>
      </c>
      <c r="H1692" s="13" t="str">
        <f t="shared" si="159"/>
        <v/>
      </c>
      <c r="I1692" t="str">
        <f>IFERROR(INDEX(Analysis!$D$116:$N$137, MATCH(B1692, Analysis!$C$116:$C$137, 0), MATCH(C1692, Analysis!$D$115:$N$115, 0)), "")</f>
        <v/>
      </c>
      <c r="J1692" t="str">
        <f t="shared" si="160"/>
        <v/>
      </c>
      <c r="K1692" s="28" t="str">
        <f t="shared" si="157"/>
        <v/>
      </c>
      <c r="L1692" s="46" t="str">
        <f t="shared" si="161"/>
        <v/>
      </c>
      <c r="M1692" t="str" cm="1">
        <f t="array" ref="M1692">IF(L1692="","",_xlfn.IFS(
  AND(L1692&gt;=TIME(9,0,0), L1692&lt;TIME(16,0,0)),"Morning",
  AND(L1692&gt;=TIME(16,0,0), L1692&lt;TIME(23,59,0)),"Evening",
  L1692&gt;=TIME(23,59,0),"Night",
  L1692&lt;TIME(9,0,0),"Night"
))</f>
        <v/>
      </c>
      <c r="O1692" t="str">
        <f t="shared" si="158"/>
        <v/>
      </c>
    </row>
    <row r="1693" spans="1:15" x14ac:dyDescent="0.25">
      <c r="A1693" s="49"/>
      <c r="G1693" t="str">
        <f t="shared" si="156"/>
        <v/>
      </c>
      <c r="H1693" s="13" t="str">
        <f t="shared" si="159"/>
        <v/>
      </c>
      <c r="I1693" t="str">
        <f>IFERROR(INDEX(Analysis!$D$116:$N$137, MATCH(B1693, Analysis!$C$116:$C$137, 0), MATCH(C1693, Analysis!$D$115:$N$115, 0)), "")</f>
        <v/>
      </c>
      <c r="J1693" t="str">
        <f t="shared" si="160"/>
        <v/>
      </c>
      <c r="K1693" s="28" t="str">
        <f t="shared" si="157"/>
        <v/>
      </c>
      <c r="L1693" s="46" t="str">
        <f t="shared" si="161"/>
        <v/>
      </c>
      <c r="M1693" t="str" cm="1">
        <f t="array" ref="M1693">IF(L1693="","",_xlfn.IFS(
  AND(L1693&gt;=TIME(9,0,0), L1693&lt;TIME(16,0,0)),"Morning",
  AND(L1693&gt;=TIME(16,0,0), L1693&lt;TIME(23,59,0)),"Evening",
  L1693&gt;=TIME(23,59,0),"Night",
  L1693&lt;TIME(9,0,0),"Night"
))</f>
        <v/>
      </c>
      <c r="O1693" t="str">
        <f t="shared" si="158"/>
        <v/>
      </c>
    </row>
    <row r="1694" spans="1:15" x14ac:dyDescent="0.25">
      <c r="A1694" s="49"/>
      <c r="G1694" t="str">
        <f t="shared" si="156"/>
        <v/>
      </c>
      <c r="H1694" s="13" t="str">
        <f t="shared" si="159"/>
        <v/>
      </c>
      <c r="I1694" t="str">
        <f>IFERROR(INDEX(Analysis!$D$116:$N$137, MATCH(B1694, Analysis!$C$116:$C$137, 0), MATCH(C1694, Analysis!$D$115:$N$115, 0)), "")</f>
        <v/>
      </c>
      <c r="J1694" t="str">
        <f t="shared" si="160"/>
        <v/>
      </c>
      <c r="K1694" s="28" t="str">
        <f t="shared" si="157"/>
        <v/>
      </c>
      <c r="L1694" s="46" t="str">
        <f t="shared" si="161"/>
        <v/>
      </c>
      <c r="M1694" t="str" cm="1">
        <f t="array" ref="M1694">IF(L1694="","",_xlfn.IFS(
  AND(L1694&gt;=TIME(9,0,0), L1694&lt;TIME(16,0,0)),"Morning",
  AND(L1694&gt;=TIME(16,0,0), L1694&lt;TIME(23,59,0)),"Evening",
  L1694&gt;=TIME(23,59,0),"Night",
  L1694&lt;TIME(9,0,0),"Night"
))</f>
        <v/>
      </c>
      <c r="O1694" t="str">
        <f t="shared" si="158"/>
        <v/>
      </c>
    </row>
    <row r="1695" spans="1:15" x14ac:dyDescent="0.25">
      <c r="A1695" s="49"/>
      <c r="G1695" t="str">
        <f t="shared" si="156"/>
        <v/>
      </c>
      <c r="H1695" s="13" t="str">
        <f t="shared" si="159"/>
        <v/>
      </c>
      <c r="I1695" t="str">
        <f>IFERROR(INDEX(Analysis!$D$116:$N$137, MATCH(B1695, Analysis!$C$116:$C$137, 0), MATCH(C1695, Analysis!$D$115:$N$115, 0)), "")</f>
        <v/>
      </c>
      <c r="J1695" t="str">
        <f t="shared" si="160"/>
        <v/>
      </c>
      <c r="K1695" s="28" t="str">
        <f t="shared" si="157"/>
        <v/>
      </c>
      <c r="L1695" s="46" t="str">
        <f t="shared" si="161"/>
        <v/>
      </c>
      <c r="M1695" t="str" cm="1">
        <f t="array" ref="M1695">IF(L1695="","",_xlfn.IFS(
  AND(L1695&gt;=TIME(9,0,0), L1695&lt;TIME(16,0,0)),"Morning",
  AND(L1695&gt;=TIME(16,0,0), L1695&lt;TIME(23,59,0)),"Evening",
  L1695&gt;=TIME(23,59,0),"Night",
  L1695&lt;TIME(9,0,0),"Night"
))</f>
        <v/>
      </c>
      <c r="O1695" t="str">
        <f t="shared" si="158"/>
        <v/>
      </c>
    </row>
    <row r="1696" spans="1:15" x14ac:dyDescent="0.25">
      <c r="A1696" s="49"/>
      <c r="G1696" t="str">
        <f t="shared" si="156"/>
        <v/>
      </c>
      <c r="H1696" s="13" t="str">
        <f t="shared" si="159"/>
        <v/>
      </c>
      <c r="I1696" t="str">
        <f>IFERROR(INDEX(Analysis!$D$116:$N$137, MATCH(B1696, Analysis!$C$116:$C$137, 0), MATCH(C1696, Analysis!$D$115:$N$115, 0)), "")</f>
        <v/>
      </c>
      <c r="J1696" t="str">
        <f t="shared" si="160"/>
        <v/>
      </c>
      <c r="K1696" s="28" t="str">
        <f t="shared" si="157"/>
        <v/>
      </c>
      <c r="L1696" s="46" t="str">
        <f t="shared" si="161"/>
        <v/>
      </c>
      <c r="M1696" t="str" cm="1">
        <f t="array" ref="M1696">IF(L1696="","",_xlfn.IFS(
  AND(L1696&gt;=TIME(9,0,0), L1696&lt;TIME(16,0,0)),"Morning",
  AND(L1696&gt;=TIME(16,0,0), L1696&lt;TIME(23,59,0)),"Evening",
  L1696&gt;=TIME(23,59,0),"Night",
  L1696&lt;TIME(9,0,0),"Night"
))</f>
        <v/>
      </c>
      <c r="O1696" t="str">
        <f t="shared" si="158"/>
        <v/>
      </c>
    </row>
    <row r="1697" spans="1:15" x14ac:dyDescent="0.25">
      <c r="A1697" s="49"/>
      <c r="G1697" t="str">
        <f t="shared" si="156"/>
        <v/>
      </c>
      <c r="H1697" s="13" t="str">
        <f t="shared" si="159"/>
        <v/>
      </c>
      <c r="I1697" t="str">
        <f>IFERROR(INDEX(Analysis!$D$116:$N$137, MATCH(B1697, Analysis!$C$116:$C$137, 0), MATCH(C1697, Analysis!$D$115:$N$115, 0)), "")</f>
        <v/>
      </c>
      <c r="J1697" t="str">
        <f t="shared" si="160"/>
        <v/>
      </c>
      <c r="K1697" s="28" t="str">
        <f t="shared" si="157"/>
        <v/>
      </c>
      <c r="L1697" s="46" t="str">
        <f t="shared" si="161"/>
        <v/>
      </c>
      <c r="M1697" t="str" cm="1">
        <f t="array" ref="M1697">IF(L1697="","",_xlfn.IFS(
  AND(L1697&gt;=TIME(9,0,0), L1697&lt;TIME(16,0,0)),"Morning",
  AND(L1697&gt;=TIME(16,0,0), L1697&lt;TIME(23,59,0)),"Evening",
  L1697&gt;=TIME(23,59,0),"Night",
  L1697&lt;TIME(9,0,0),"Night"
))</f>
        <v/>
      </c>
      <c r="O1697" t="str">
        <f t="shared" si="158"/>
        <v/>
      </c>
    </row>
    <row r="1698" spans="1:15" x14ac:dyDescent="0.25">
      <c r="A1698" s="49"/>
      <c r="G1698" t="str">
        <f t="shared" si="156"/>
        <v/>
      </c>
      <c r="H1698" s="13" t="str">
        <f t="shared" si="159"/>
        <v/>
      </c>
      <c r="I1698" t="str">
        <f>IFERROR(INDEX(Analysis!$D$116:$N$137, MATCH(B1698, Analysis!$C$116:$C$137, 0), MATCH(C1698, Analysis!$D$115:$N$115, 0)), "")</f>
        <v/>
      </c>
      <c r="J1698" t="str">
        <f t="shared" si="160"/>
        <v/>
      </c>
      <c r="K1698" s="28" t="str">
        <f t="shared" si="157"/>
        <v/>
      </c>
      <c r="L1698" s="46" t="str">
        <f t="shared" si="161"/>
        <v/>
      </c>
      <c r="M1698" t="str" cm="1">
        <f t="array" ref="M1698">IF(L1698="","",_xlfn.IFS(
  AND(L1698&gt;=TIME(9,0,0), L1698&lt;TIME(16,0,0)),"Morning",
  AND(L1698&gt;=TIME(16,0,0), L1698&lt;TIME(23,59,0)),"Evening",
  L1698&gt;=TIME(23,59,0),"Night",
  L1698&lt;TIME(9,0,0),"Night"
))</f>
        <v/>
      </c>
      <c r="O1698" t="str">
        <f t="shared" si="158"/>
        <v/>
      </c>
    </row>
    <row r="1699" spans="1:15" x14ac:dyDescent="0.25">
      <c r="A1699" s="49"/>
      <c r="G1699" t="str">
        <f t="shared" si="156"/>
        <v/>
      </c>
      <c r="H1699" s="13" t="str">
        <f t="shared" si="159"/>
        <v/>
      </c>
      <c r="I1699" t="str">
        <f>IFERROR(INDEX(Analysis!$D$116:$N$137, MATCH(B1699, Analysis!$C$116:$C$137, 0), MATCH(C1699, Analysis!$D$115:$N$115, 0)), "")</f>
        <v/>
      </c>
      <c r="J1699" t="str">
        <f t="shared" si="160"/>
        <v/>
      </c>
      <c r="K1699" s="28" t="str">
        <f t="shared" si="157"/>
        <v/>
      </c>
      <c r="L1699" s="46" t="str">
        <f t="shared" si="161"/>
        <v/>
      </c>
      <c r="M1699" t="str" cm="1">
        <f t="array" ref="M1699">IF(L1699="","",_xlfn.IFS(
  AND(L1699&gt;=TIME(9,0,0), L1699&lt;TIME(16,0,0)),"Morning",
  AND(L1699&gt;=TIME(16,0,0), L1699&lt;TIME(23,59,0)),"Evening",
  L1699&gt;=TIME(23,59,0),"Night",
  L1699&lt;TIME(9,0,0),"Night"
))</f>
        <v/>
      </c>
      <c r="O1699" t="str">
        <f t="shared" si="158"/>
        <v/>
      </c>
    </row>
    <row r="1700" spans="1:15" x14ac:dyDescent="0.25">
      <c r="A1700" s="49"/>
      <c r="G1700" t="str">
        <f t="shared" si="156"/>
        <v/>
      </c>
      <c r="H1700" s="13" t="str">
        <f t="shared" si="159"/>
        <v/>
      </c>
      <c r="I1700" t="str">
        <f>IFERROR(INDEX(Analysis!$D$116:$N$137, MATCH(B1700, Analysis!$C$116:$C$137, 0), MATCH(C1700, Analysis!$D$115:$N$115, 0)), "")</f>
        <v/>
      </c>
      <c r="J1700" t="str">
        <f t="shared" si="160"/>
        <v/>
      </c>
      <c r="K1700" s="28" t="str">
        <f t="shared" si="157"/>
        <v/>
      </c>
      <c r="L1700" s="46" t="str">
        <f t="shared" si="161"/>
        <v/>
      </c>
      <c r="M1700" t="str" cm="1">
        <f t="array" ref="M1700">IF(L1700="","",_xlfn.IFS(
  AND(L1700&gt;=TIME(9,0,0), L1700&lt;TIME(16,0,0)),"Morning",
  AND(L1700&gt;=TIME(16,0,0), L1700&lt;TIME(23,59,0)),"Evening",
  L1700&gt;=TIME(23,59,0),"Night",
  L1700&lt;TIME(9,0,0),"Night"
))</f>
        <v/>
      </c>
      <c r="O1700" t="str">
        <f t="shared" si="158"/>
        <v/>
      </c>
    </row>
    <row r="1701" spans="1:15" x14ac:dyDescent="0.25">
      <c r="A1701" s="49"/>
      <c r="G1701" t="str">
        <f t="shared" si="156"/>
        <v/>
      </c>
      <c r="H1701" s="13" t="str">
        <f t="shared" si="159"/>
        <v/>
      </c>
      <c r="I1701" t="str">
        <f>IFERROR(INDEX(Analysis!$D$116:$N$137, MATCH(B1701, Analysis!$C$116:$C$137, 0), MATCH(C1701, Analysis!$D$115:$N$115, 0)), "")</f>
        <v/>
      </c>
      <c r="J1701" t="str">
        <f t="shared" si="160"/>
        <v/>
      </c>
      <c r="K1701" s="28" t="str">
        <f t="shared" si="157"/>
        <v/>
      </c>
      <c r="L1701" s="46" t="str">
        <f t="shared" si="161"/>
        <v/>
      </c>
      <c r="M1701" t="str" cm="1">
        <f t="array" ref="M1701">IF(L1701="","",_xlfn.IFS(
  AND(L1701&gt;=TIME(9,0,0), L1701&lt;TIME(16,0,0)),"Morning",
  AND(L1701&gt;=TIME(16,0,0), L1701&lt;TIME(23,59,0)),"Evening",
  L1701&gt;=TIME(23,59,0),"Night",
  L1701&lt;TIME(9,0,0),"Night"
))</f>
        <v/>
      </c>
      <c r="O1701" t="str">
        <f t="shared" si="158"/>
        <v/>
      </c>
    </row>
    <row r="1702" spans="1:15" x14ac:dyDescent="0.25">
      <c r="A1702" s="49"/>
      <c r="G1702" t="str">
        <f t="shared" si="156"/>
        <v/>
      </c>
      <c r="H1702" s="13" t="str">
        <f t="shared" si="159"/>
        <v/>
      </c>
      <c r="I1702" t="str">
        <f>IFERROR(INDEX(Analysis!$D$116:$N$137, MATCH(B1702, Analysis!$C$116:$C$137, 0), MATCH(C1702, Analysis!$D$115:$N$115, 0)), "")</f>
        <v/>
      </c>
      <c r="J1702" t="str">
        <f t="shared" si="160"/>
        <v/>
      </c>
      <c r="K1702" s="28" t="str">
        <f t="shared" si="157"/>
        <v/>
      </c>
      <c r="L1702" s="46" t="str">
        <f t="shared" si="161"/>
        <v/>
      </c>
      <c r="M1702" t="str" cm="1">
        <f t="array" ref="M1702">IF(L1702="","",_xlfn.IFS(
  AND(L1702&gt;=TIME(9,0,0), L1702&lt;TIME(16,0,0)),"Morning",
  AND(L1702&gt;=TIME(16,0,0), L1702&lt;TIME(23,59,0)),"Evening",
  L1702&gt;=TIME(23,59,0),"Night",
  L1702&lt;TIME(9,0,0),"Night"
))</f>
        <v/>
      </c>
      <c r="O1702" t="str">
        <f t="shared" si="158"/>
        <v/>
      </c>
    </row>
    <row r="1703" spans="1:15" x14ac:dyDescent="0.25">
      <c r="A1703" s="49"/>
      <c r="G1703" t="str">
        <f t="shared" si="156"/>
        <v/>
      </c>
      <c r="H1703" s="13" t="str">
        <f t="shared" si="159"/>
        <v/>
      </c>
      <c r="I1703" t="str">
        <f>IFERROR(INDEX(Analysis!$D$116:$N$137, MATCH(B1703, Analysis!$C$116:$C$137, 0), MATCH(C1703, Analysis!$D$115:$N$115, 0)), "")</f>
        <v/>
      </c>
      <c r="J1703" t="str">
        <f t="shared" si="160"/>
        <v/>
      </c>
      <c r="K1703" s="28" t="str">
        <f t="shared" si="157"/>
        <v/>
      </c>
      <c r="L1703" s="46" t="str">
        <f t="shared" si="161"/>
        <v/>
      </c>
      <c r="M1703" t="str" cm="1">
        <f t="array" ref="M1703">IF(L1703="","",_xlfn.IFS(
  AND(L1703&gt;=TIME(9,0,0), L1703&lt;TIME(16,0,0)),"Morning",
  AND(L1703&gt;=TIME(16,0,0), L1703&lt;TIME(23,59,0)),"Evening",
  L1703&gt;=TIME(23,59,0),"Night",
  L1703&lt;TIME(9,0,0),"Night"
))</f>
        <v/>
      </c>
      <c r="O1703" t="str">
        <f t="shared" si="158"/>
        <v/>
      </c>
    </row>
    <row r="1704" spans="1:15" x14ac:dyDescent="0.25">
      <c r="A1704" s="49"/>
      <c r="G1704" t="str">
        <f t="shared" si="156"/>
        <v/>
      </c>
      <c r="H1704" s="13" t="str">
        <f t="shared" si="159"/>
        <v/>
      </c>
      <c r="I1704" t="str">
        <f>IFERROR(INDEX(Analysis!$D$116:$N$137, MATCH(B1704, Analysis!$C$116:$C$137, 0), MATCH(C1704, Analysis!$D$115:$N$115, 0)), "")</f>
        <v/>
      </c>
      <c r="J1704" t="str">
        <f t="shared" si="160"/>
        <v/>
      </c>
      <c r="K1704" s="28" t="str">
        <f t="shared" si="157"/>
        <v/>
      </c>
      <c r="L1704" s="46" t="str">
        <f t="shared" si="161"/>
        <v/>
      </c>
      <c r="M1704" t="str" cm="1">
        <f t="array" ref="M1704">IF(L1704="","",_xlfn.IFS(
  AND(L1704&gt;=TIME(9,0,0), L1704&lt;TIME(16,0,0)),"Morning",
  AND(L1704&gt;=TIME(16,0,0), L1704&lt;TIME(23,59,0)),"Evening",
  L1704&gt;=TIME(23,59,0),"Night",
  L1704&lt;TIME(9,0,0),"Night"
))</f>
        <v/>
      </c>
      <c r="O1704" t="str">
        <f t="shared" si="158"/>
        <v/>
      </c>
    </row>
    <row r="1705" spans="1:15" x14ac:dyDescent="0.25">
      <c r="A1705" s="49"/>
      <c r="G1705" t="str">
        <f t="shared" si="156"/>
        <v/>
      </c>
      <c r="H1705" s="13" t="str">
        <f t="shared" si="159"/>
        <v/>
      </c>
      <c r="I1705" t="str">
        <f>IFERROR(INDEX(Analysis!$D$116:$N$137, MATCH(B1705, Analysis!$C$116:$C$137, 0), MATCH(C1705, Analysis!$D$115:$N$115, 0)), "")</f>
        <v/>
      </c>
      <c r="J1705" t="str">
        <f t="shared" si="160"/>
        <v/>
      </c>
      <c r="K1705" s="28" t="str">
        <f t="shared" si="157"/>
        <v/>
      </c>
      <c r="L1705" s="46" t="str">
        <f t="shared" si="161"/>
        <v/>
      </c>
      <c r="M1705" t="str" cm="1">
        <f t="array" ref="M1705">IF(L1705="","",_xlfn.IFS(
  AND(L1705&gt;=TIME(9,0,0), L1705&lt;TIME(16,0,0)),"Morning",
  AND(L1705&gt;=TIME(16,0,0), L1705&lt;TIME(23,59,0)),"Evening",
  L1705&gt;=TIME(23,59,0),"Night",
  L1705&lt;TIME(9,0,0),"Night"
))</f>
        <v/>
      </c>
      <c r="O1705" t="str">
        <f t="shared" si="158"/>
        <v/>
      </c>
    </row>
    <row r="1706" spans="1:15" x14ac:dyDescent="0.25">
      <c r="A1706" s="49"/>
      <c r="G1706" t="str">
        <f t="shared" si="156"/>
        <v/>
      </c>
      <c r="H1706" s="13" t="str">
        <f t="shared" si="159"/>
        <v/>
      </c>
      <c r="I1706" t="str">
        <f>IFERROR(INDEX(Analysis!$D$116:$N$137, MATCH(B1706, Analysis!$C$116:$C$137, 0), MATCH(C1706, Analysis!$D$115:$N$115, 0)), "")</f>
        <v/>
      </c>
      <c r="J1706" t="str">
        <f t="shared" si="160"/>
        <v/>
      </c>
      <c r="K1706" s="28" t="str">
        <f t="shared" si="157"/>
        <v/>
      </c>
      <c r="L1706" s="46" t="str">
        <f t="shared" si="161"/>
        <v/>
      </c>
      <c r="M1706" t="str" cm="1">
        <f t="array" ref="M1706">IF(L1706="","",_xlfn.IFS(
  AND(L1706&gt;=TIME(9,0,0), L1706&lt;TIME(16,0,0)),"Morning",
  AND(L1706&gt;=TIME(16,0,0), L1706&lt;TIME(23,59,0)),"Evening",
  L1706&gt;=TIME(23,59,0),"Night",
  L1706&lt;TIME(9,0,0),"Night"
))</f>
        <v/>
      </c>
      <c r="O1706" t="str">
        <f t="shared" si="158"/>
        <v/>
      </c>
    </row>
    <row r="1707" spans="1:15" x14ac:dyDescent="0.25">
      <c r="A1707" s="49"/>
      <c r="G1707" t="str">
        <f t="shared" si="156"/>
        <v/>
      </c>
      <c r="H1707" s="13" t="str">
        <f t="shared" si="159"/>
        <v/>
      </c>
      <c r="I1707" t="str">
        <f>IFERROR(INDEX(Analysis!$D$116:$N$137, MATCH(B1707, Analysis!$C$116:$C$137, 0), MATCH(C1707, Analysis!$D$115:$N$115, 0)), "")</f>
        <v/>
      </c>
      <c r="J1707" t="str">
        <f t="shared" si="160"/>
        <v/>
      </c>
      <c r="K1707" s="28" t="str">
        <f t="shared" si="157"/>
        <v/>
      </c>
      <c r="L1707" s="46" t="str">
        <f t="shared" si="161"/>
        <v/>
      </c>
      <c r="M1707" t="str" cm="1">
        <f t="array" ref="M1707">IF(L1707="","",_xlfn.IFS(
  AND(L1707&gt;=TIME(9,0,0), L1707&lt;TIME(16,0,0)),"Morning",
  AND(L1707&gt;=TIME(16,0,0), L1707&lt;TIME(23,59,0)),"Evening",
  L1707&gt;=TIME(23,59,0),"Night",
  L1707&lt;TIME(9,0,0),"Night"
))</f>
        <v/>
      </c>
      <c r="O1707" t="str">
        <f t="shared" si="158"/>
        <v/>
      </c>
    </row>
    <row r="1708" spans="1:15" x14ac:dyDescent="0.25">
      <c r="A1708" s="49"/>
      <c r="G1708" t="str">
        <f t="shared" si="156"/>
        <v/>
      </c>
      <c r="H1708" s="13" t="str">
        <f t="shared" si="159"/>
        <v/>
      </c>
      <c r="I1708" t="str">
        <f>IFERROR(INDEX(Analysis!$D$116:$N$137, MATCH(B1708, Analysis!$C$116:$C$137, 0), MATCH(C1708, Analysis!$D$115:$N$115, 0)), "")</f>
        <v/>
      </c>
      <c r="J1708" t="str">
        <f t="shared" si="160"/>
        <v/>
      </c>
      <c r="K1708" s="28" t="str">
        <f t="shared" si="157"/>
        <v/>
      </c>
      <c r="L1708" s="46" t="str">
        <f t="shared" si="161"/>
        <v/>
      </c>
      <c r="M1708" t="str" cm="1">
        <f t="array" ref="M1708">IF(L1708="","",_xlfn.IFS(
  AND(L1708&gt;=TIME(9,0,0), L1708&lt;TIME(16,0,0)),"Morning",
  AND(L1708&gt;=TIME(16,0,0), L1708&lt;TIME(23,59,0)),"Evening",
  L1708&gt;=TIME(23,59,0),"Night",
  L1708&lt;TIME(9,0,0),"Night"
))</f>
        <v/>
      </c>
      <c r="O1708" t="str">
        <f t="shared" si="158"/>
        <v/>
      </c>
    </row>
    <row r="1709" spans="1:15" x14ac:dyDescent="0.25">
      <c r="A1709" s="49"/>
      <c r="G1709" t="str">
        <f t="shared" si="156"/>
        <v/>
      </c>
      <c r="H1709" s="13" t="str">
        <f t="shared" si="159"/>
        <v/>
      </c>
      <c r="I1709" t="str">
        <f>IFERROR(INDEX(Analysis!$D$116:$N$137, MATCH(B1709, Analysis!$C$116:$C$137, 0), MATCH(C1709, Analysis!$D$115:$N$115, 0)), "")</f>
        <v/>
      </c>
      <c r="J1709" t="str">
        <f t="shared" si="160"/>
        <v/>
      </c>
      <c r="K1709" s="28" t="str">
        <f t="shared" si="157"/>
        <v/>
      </c>
      <c r="L1709" s="46" t="str">
        <f t="shared" si="161"/>
        <v/>
      </c>
      <c r="M1709" t="str" cm="1">
        <f t="array" ref="M1709">IF(L1709="","",_xlfn.IFS(
  AND(L1709&gt;=TIME(9,0,0), L1709&lt;TIME(16,0,0)),"Morning",
  AND(L1709&gt;=TIME(16,0,0), L1709&lt;TIME(23,59,0)),"Evening",
  L1709&gt;=TIME(23,59,0),"Night",
  L1709&lt;TIME(9,0,0),"Night"
))</f>
        <v/>
      </c>
      <c r="O1709" t="str">
        <f t="shared" si="158"/>
        <v/>
      </c>
    </row>
    <row r="1710" spans="1:15" x14ac:dyDescent="0.25">
      <c r="A1710" s="49"/>
      <c r="G1710" t="str">
        <f t="shared" si="156"/>
        <v/>
      </c>
      <c r="H1710" s="13" t="str">
        <f t="shared" si="159"/>
        <v/>
      </c>
      <c r="I1710" t="str">
        <f>IFERROR(INDEX(Analysis!$D$116:$N$137, MATCH(B1710, Analysis!$C$116:$C$137, 0), MATCH(C1710, Analysis!$D$115:$N$115, 0)), "")</f>
        <v/>
      </c>
      <c r="J1710" t="str">
        <f t="shared" si="160"/>
        <v/>
      </c>
      <c r="K1710" s="28" t="str">
        <f t="shared" si="157"/>
        <v/>
      </c>
      <c r="L1710" s="46" t="str">
        <f t="shared" si="161"/>
        <v/>
      </c>
      <c r="M1710" t="str" cm="1">
        <f t="array" ref="M1710">IF(L1710="","",_xlfn.IFS(
  AND(L1710&gt;=TIME(9,0,0), L1710&lt;TIME(16,0,0)),"Morning",
  AND(L1710&gt;=TIME(16,0,0), L1710&lt;TIME(23,59,0)),"Evening",
  L1710&gt;=TIME(23,59,0),"Night",
  L1710&lt;TIME(9,0,0),"Night"
))</f>
        <v/>
      </c>
      <c r="O1710" t="str">
        <f t="shared" si="158"/>
        <v/>
      </c>
    </row>
    <row r="1711" spans="1:15" x14ac:dyDescent="0.25">
      <c r="A1711" s="49"/>
      <c r="G1711" t="str">
        <f t="shared" si="156"/>
        <v/>
      </c>
      <c r="H1711" s="13" t="str">
        <f t="shared" si="159"/>
        <v/>
      </c>
      <c r="I1711" t="str">
        <f>IFERROR(INDEX(Analysis!$D$116:$N$137, MATCH(B1711, Analysis!$C$116:$C$137, 0), MATCH(C1711, Analysis!$D$115:$N$115, 0)), "")</f>
        <v/>
      </c>
      <c r="J1711" t="str">
        <f t="shared" si="160"/>
        <v/>
      </c>
      <c r="K1711" s="28" t="str">
        <f t="shared" si="157"/>
        <v/>
      </c>
      <c r="L1711" s="46" t="str">
        <f t="shared" si="161"/>
        <v/>
      </c>
      <c r="M1711" t="str" cm="1">
        <f t="array" ref="M1711">IF(L1711="","",_xlfn.IFS(
  AND(L1711&gt;=TIME(9,0,0), L1711&lt;TIME(16,0,0)),"Morning",
  AND(L1711&gt;=TIME(16,0,0), L1711&lt;TIME(23,59,0)),"Evening",
  L1711&gt;=TIME(23,59,0),"Night",
  L1711&lt;TIME(9,0,0),"Night"
))</f>
        <v/>
      </c>
      <c r="O1711" t="str">
        <f t="shared" si="158"/>
        <v/>
      </c>
    </row>
    <row r="1712" spans="1:15" x14ac:dyDescent="0.25">
      <c r="A1712" s="49"/>
      <c r="G1712" t="str">
        <f t="shared" si="156"/>
        <v/>
      </c>
      <c r="H1712" s="13" t="str">
        <f t="shared" si="159"/>
        <v/>
      </c>
      <c r="I1712" t="str">
        <f>IFERROR(INDEX(Analysis!$D$116:$N$137, MATCH(B1712, Analysis!$C$116:$C$137, 0), MATCH(C1712, Analysis!$D$115:$N$115, 0)), "")</f>
        <v/>
      </c>
      <c r="J1712" t="str">
        <f t="shared" si="160"/>
        <v/>
      </c>
      <c r="K1712" s="28" t="str">
        <f t="shared" si="157"/>
        <v/>
      </c>
      <c r="L1712" s="46" t="str">
        <f t="shared" si="161"/>
        <v/>
      </c>
      <c r="M1712" t="str" cm="1">
        <f t="array" ref="M1712">IF(L1712="","",_xlfn.IFS(
  AND(L1712&gt;=TIME(9,0,0), L1712&lt;TIME(16,0,0)),"Morning",
  AND(L1712&gt;=TIME(16,0,0), L1712&lt;TIME(23,59,0)),"Evening",
  L1712&gt;=TIME(23,59,0),"Night",
  L1712&lt;TIME(9,0,0),"Night"
))</f>
        <v/>
      </c>
      <c r="O1712" t="str">
        <f t="shared" si="158"/>
        <v/>
      </c>
    </row>
    <row r="1713" spans="1:15" x14ac:dyDescent="0.25">
      <c r="A1713" s="49"/>
      <c r="G1713" t="str">
        <f t="shared" si="156"/>
        <v/>
      </c>
      <c r="H1713" s="13" t="str">
        <f t="shared" si="159"/>
        <v/>
      </c>
      <c r="I1713" t="str">
        <f>IFERROR(INDEX(Analysis!$D$116:$N$137, MATCH(B1713, Analysis!$C$116:$C$137, 0), MATCH(C1713, Analysis!$D$115:$N$115, 0)), "")</f>
        <v/>
      </c>
      <c r="J1713" t="str">
        <f t="shared" si="160"/>
        <v/>
      </c>
      <c r="K1713" s="28" t="str">
        <f t="shared" si="157"/>
        <v/>
      </c>
      <c r="L1713" s="46" t="str">
        <f t="shared" si="161"/>
        <v/>
      </c>
      <c r="M1713" t="str" cm="1">
        <f t="array" ref="M1713">IF(L1713="","",_xlfn.IFS(
  AND(L1713&gt;=TIME(9,0,0), L1713&lt;TIME(16,0,0)),"Morning",
  AND(L1713&gt;=TIME(16,0,0), L1713&lt;TIME(23,59,0)),"Evening",
  L1713&gt;=TIME(23,59,0),"Night",
  L1713&lt;TIME(9,0,0),"Night"
))</f>
        <v/>
      </c>
      <c r="O1713" t="str">
        <f t="shared" si="158"/>
        <v/>
      </c>
    </row>
    <row r="1714" spans="1:15" x14ac:dyDescent="0.25">
      <c r="A1714" s="49"/>
      <c r="G1714" t="str">
        <f t="shared" si="156"/>
        <v/>
      </c>
      <c r="H1714" s="13" t="str">
        <f t="shared" si="159"/>
        <v/>
      </c>
      <c r="I1714" t="str">
        <f>IFERROR(INDEX(Analysis!$D$116:$N$137, MATCH(B1714, Analysis!$C$116:$C$137, 0), MATCH(C1714, Analysis!$D$115:$N$115, 0)), "")</f>
        <v/>
      </c>
      <c r="J1714" t="str">
        <f t="shared" si="160"/>
        <v/>
      </c>
      <c r="K1714" s="28" t="str">
        <f t="shared" si="157"/>
        <v/>
      </c>
      <c r="L1714" s="46" t="str">
        <f t="shared" si="161"/>
        <v/>
      </c>
      <c r="M1714" t="str" cm="1">
        <f t="array" ref="M1714">IF(L1714="","",_xlfn.IFS(
  AND(L1714&gt;=TIME(9,0,0), L1714&lt;TIME(16,0,0)),"Morning",
  AND(L1714&gt;=TIME(16,0,0), L1714&lt;TIME(23,59,0)),"Evening",
  L1714&gt;=TIME(23,59,0),"Night",
  L1714&lt;TIME(9,0,0),"Night"
))</f>
        <v/>
      </c>
      <c r="O1714" t="str">
        <f t="shared" si="158"/>
        <v/>
      </c>
    </row>
    <row r="1715" spans="1:15" x14ac:dyDescent="0.25">
      <c r="A1715" s="49"/>
      <c r="G1715" t="str">
        <f t="shared" si="156"/>
        <v/>
      </c>
      <c r="H1715" s="13" t="str">
        <f t="shared" si="159"/>
        <v/>
      </c>
      <c r="I1715" t="str">
        <f>IFERROR(INDEX(Analysis!$D$116:$N$137, MATCH(B1715, Analysis!$C$116:$C$137, 0), MATCH(C1715, Analysis!$D$115:$N$115, 0)), "")</f>
        <v/>
      </c>
      <c r="J1715" t="str">
        <f t="shared" si="160"/>
        <v/>
      </c>
      <c r="K1715" s="28" t="str">
        <f t="shared" si="157"/>
        <v/>
      </c>
      <c r="L1715" s="46" t="str">
        <f t="shared" si="161"/>
        <v/>
      </c>
      <c r="M1715" t="str" cm="1">
        <f t="array" ref="M1715">IF(L1715="","",_xlfn.IFS(
  AND(L1715&gt;=TIME(9,0,0), L1715&lt;TIME(16,0,0)),"Morning",
  AND(L1715&gt;=TIME(16,0,0), L1715&lt;TIME(23,59,0)),"Evening",
  L1715&gt;=TIME(23,59,0),"Night",
  L1715&lt;TIME(9,0,0),"Night"
))</f>
        <v/>
      </c>
      <c r="O1715" t="str">
        <f t="shared" si="158"/>
        <v/>
      </c>
    </row>
    <row r="1716" spans="1:15" x14ac:dyDescent="0.25">
      <c r="A1716" s="49"/>
      <c r="G1716" t="str">
        <f t="shared" si="156"/>
        <v/>
      </c>
      <c r="H1716" s="13" t="str">
        <f t="shared" si="159"/>
        <v/>
      </c>
      <c r="I1716" t="str">
        <f>IFERROR(INDEX(Analysis!$D$116:$N$137, MATCH(B1716, Analysis!$C$116:$C$137, 0), MATCH(C1716, Analysis!$D$115:$N$115, 0)), "")</f>
        <v/>
      </c>
      <c r="J1716" t="str">
        <f t="shared" si="160"/>
        <v/>
      </c>
      <c r="K1716" s="28" t="str">
        <f t="shared" si="157"/>
        <v/>
      </c>
      <c r="L1716" s="46" t="str">
        <f t="shared" si="161"/>
        <v/>
      </c>
      <c r="M1716" t="str" cm="1">
        <f t="array" ref="M1716">IF(L1716="","",_xlfn.IFS(
  AND(L1716&gt;=TIME(9,0,0), L1716&lt;TIME(16,0,0)),"Morning",
  AND(L1716&gt;=TIME(16,0,0), L1716&lt;TIME(23,59,0)),"Evening",
  L1716&gt;=TIME(23,59,0),"Night",
  L1716&lt;TIME(9,0,0),"Night"
))</f>
        <v/>
      </c>
      <c r="O1716" t="str">
        <f t="shared" si="158"/>
        <v/>
      </c>
    </row>
    <row r="1717" spans="1:15" x14ac:dyDescent="0.25">
      <c r="A1717" s="49"/>
      <c r="G1717" t="str">
        <f t="shared" si="156"/>
        <v/>
      </c>
      <c r="H1717" s="13" t="str">
        <f t="shared" si="159"/>
        <v/>
      </c>
      <c r="I1717" t="str">
        <f>IFERROR(INDEX(Analysis!$D$116:$N$137, MATCH(B1717, Analysis!$C$116:$C$137, 0), MATCH(C1717, Analysis!$D$115:$N$115, 0)), "")</f>
        <v/>
      </c>
      <c r="J1717" t="str">
        <f t="shared" si="160"/>
        <v/>
      </c>
      <c r="K1717" s="28" t="str">
        <f t="shared" si="157"/>
        <v/>
      </c>
      <c r="L1717" s="46" t="str">
        <f t="shared" si="161"/>
        <v/>
      </c>
      <c r="M1717" t="str" cm="1">
        <f t="array" ref="M1717">IF(L1717="","",_xlfn.IFS(
  AND(L1717&gt;=TIME(9,0,0), L1717&lt;TIME(16,0,0)),"Morning",
  AND(L1717&gt;=TIME(16,0,0), L1717&lt;TIME(23,59,0)),"Evening",
  L1717&gt;=TIME(23,59,0),"Night",
  L1717&lt;TIME(9,0,0),"Night"
))</f>
        <v/>
      </c>
      <c r="O1717" t="str">
        <f t="shared" si="158"/>
        <v/>
      </c>
    </row>
    <row r="1718" spans="1:15" x14ac:dyDescent="0.25">
      <c r="A1718" s="49"/>
      <c r="G1718" t="str">
        <f t="shared" si="156"/>
        <v/>
      </c>
      <c r="H1718" s="13" t="str">
        <f t="shared" si="159"/>
        <v/>
      </c>
      <c r="I1718" t="str">
        <f>IFERROR(INDEX(Analysis!$D$116:$N$137, MATCH(B1718, Analysis!$C$116:$C$137, 0), MATCH(C1718, Analysis!$D$115:$N$115, 0)), "")</f>
        <v/>
      </c>
      <c r="J1718" t="str">
        <f t="shared" si="160"/>
        <v/>
      </c>
      <c r="K1718" s="28" t="str">
        <f t="shared" si="157"/>
        <v/>
      </c>
      <c r="L1718" s="46" t="str">
        <f t="shared" si="161"/>
        <v/>
      </c>
      <c r="M1718" t="str" cm="1">
        <f t="array" ref="M1718">IF(L1718="","",_xlfn.IFS(
  AND(L1718&gt;=TIME(9,0,0), L1718&lt;TIME(16,0,0)),"Morning",
  AND(L1718&gt;=TIME(16,0,0), L1718&lt;TIME(23,59,0)),"Evening",
  L1718&gt;=TIME(23,59,0),"Night",
  L1718&lt;TIME(9,0,0),"Night"
))</f>
        <v/>
      </c>
      <c r="O1718" t="str">
        <f t="shared" si="158"/>
        <v/>
      </c>
    </row>
    <row r="1719" spans="1:15" x14ac:dyDescent="0.25">
      <c r="A1719" s="49"/>
      <c r="G1719" t="str">
        <f t="shared" si="156"/>
        <v/>
      </c>
      <c r="H1719" s="13" t="str">
        <f t="shared" si="159"/>
        <v/>
      </c>
      <c r="I1719" t="str">
        <f>IFERROR(INDEX(Analysis!$D$116:$N$137, MATCH(B1719, Analysis!$C$116:$C$137, 0), MATCH(C1719, Analysis!$D$115:$N$115, 0)), "")</f>
        <v/>
      </c>
      <c r="J1719" t="str">
        <f t="shared" si="160"/>
        <v/>
      </c>
      <c r="K1719" s="28" t="str">
        <f t="shared" si="157"/>
        <v/>
      </c>
      <c r="L1719" s="46" t="str">
        <f t="shared" si="161"/>
        <v/>
      </c>
      <c r="M1719" t="str" cm="1">
        <f t="array" ref="M1719">IF(L1719="","",_xlfn.IFS(
  AND(L1719&gt;=TIME(9,0,0), L1719&lt;TIME(16,0,0)),"Morning",
  AND(L1719&gt;=TIME(16,0,0), L1719&lt;TIME(23,59,0)),"Evening",
  L1719&gt;=TIME(23,59,0),"Night",
  L1719&lt;TIME(9,0,0),"Night"
))</f>
        <v/>
      </c>
      <c r="O1719" t="str">
        <f t="shared" si="158"/>
        <v/>
      </c>
    </row>
    <row r="1720" spans="1:15" x14ac:dyDescent="0.25">
      <c r="A1720" s="49"/>
      <c r="G1720" t="str">
        <f t="shared" si="156"/>
        <v/>
      </c>
      <c r="H1720" s="13" t="str">
        <f t="shared" si="159"/>
        <v/>
      </c>
      <c r="I1720" t="str">
        <f>IFERROR(INDEX(Analysis!$D$116:$N$137, MATCH(B1720, Analysis!$C$116:$C$137, 0), MATCH(C1720, Analysis!$D$115:$N$115, 0)), "")</f>
        <v/>
      </c>
      <c r="J1720" t="str">
        <f t="shared" si="160"/>
        <v/>
      </c>
      <c r="K1720" s="28" t="str">
        <f t="shared" si="157"/>
        <v/>
      </c>
      <c r="L1720" s="46" t="str">
        <f t="shared" si="161"/>
        <v/>
      </c>
      <c r="M1720" t="str" cm="1">
        <f t="array" ref="M1720">IF(L1720="","",_xlfn.IFS(
  AND(L1720&gt;=TIME(9,0,0), L1720&lt;TIME(16,0,0)),"Morning",
  AND(L1720&gt;=TIME(16,0,0), L1720&lt;TIME(23,59,0)),"Evening",
  L1720&gt;=TIME(23,59,0),"Night",
  L1720&lt;TIME(9,0,0),"Night"
))</f>
        <v/>
      </c>
      <c r="O1720" t="str">
        <f t="shared" si="158"/>
        <v/>
      </c>
    </row>
    <row r="1721" spans="1:15" x14ac:dyDescent="0.25">
      <c r="A1721" s="49"/>
      <c r="G1721" t="str">
        <f t="shared" si="156"/>
        <v/>
      </c>
      <c r="H1721" s="13" t="str">
        <f t="shared" si="159"/>
        <v/>
      </c>
      <c r="I1721" t="str">
        <f>IFERROR(INDEX(Analysis!$D$116:$N$137, MATCH(B1721, Analysis!$C$116:$C$137, 0), MATCH(C1721, Analysis!$D$115:$N$115, 0)), "")</f>
        <v/>
      </c>
      <c r="J1721" t="str">
        <f t="shared" si="160"/>
        <v/>
      </c>
      <c r="K1721" s="28" t="str">
        <f t="shared" si="157"/>
        <v/>
      </c>
      <c r="L1721" s="46" t="str">
        <f t="shared" si="161"/>
        <v/>
      </c>
      <c r="M1721" t="str" cm="1">
        <f t="array" ref="M1721">IF(L1721="","",_xlfn.IFS(
  AND(L1721&gt;=TIME(9,0,0), L1721&lt;TIME(16,0,0)),"Morning",
  AND(L1721&gt;=TIME(16,0,0), L1721&lt;TIME(23,59,0)),"Evening",
  L1721&gt;=TIME(23,59,0),"Night",
  L1721&lt;TIME(9,0,0),"Night"
))</f>
        <v/>
      </c>
      <c r="O1721" t="str">
        <f t="shared" si="158"/>
        <v/>
      </c>
    </row>
    <row r="1722" spans="1:15" x14ac:dyDescent="0.25">
      <c r="A1722" s="49"/>
      <c r="G1722" t="str">
        <f t="shared" si="156"/>
        <v/>
      </c>
      <c r="H1722" s="13" t="str">
        <f t="shared" si="159"/>
        <v/>
      </c>
      <c r="I1722" t="str">
        <f>IFERROR(INDEX(Analysis!$D$116:$N$137, MATCH(B1722, Analysis!$C$116:$C$137, 0), MATCH(C1722, Analysis!$D$115:$N$115, 0)), "")</f>
        <v/>
      </c>
      <c r="J1722" t="str">
        <f t="shared" si="160"/>
        <v/>
      </c>
      <c r="K1722" s="28" t="str">
        <f t="shared" si="157"/>
        <v/>
      </c>
      <c r="L1722" s="46" t="str">
        <f t="shared" si="161"/>
        <v/>
      </c>
      <c r="M1722" t="str" cm="1">
        <f t="array" ref="M1722">IF(L1722="","",_xlfn.IFS(
  AND(L1722&gt;=TIME(9,0,0), L1722&lt;TIME(16,0,0)),"Morning",
  AND(L1722&gt;=TIME(16,0,0), L1722&lt;TIME(23,59,0)),"Evening",
  L1722&gt;=TIME(23,59,0),"Night",
  L1722&lt;TIME(9,0,0),"Night"
))</f>
        <v/>
      </c>
      <c r="O1722" t="str">
        <f t="shared" si="158"/>
        <v/>
      </c>
    </row>
    <row r="1723" spans="1:15" x14ac:dyDescent="0.25">
      <c r="A1723" s="49"/>
      <c r="G1723" t="str">
        <f t="shared" si="156"/>
        <v/>
      </c>
      <c r="H1723" s="13" t="str">
        <f t="shared" si="159"/>
        <v/>
      </c>
      <c r="I1723" t="str">
        <f>IFERROR(INDEX(Analysis!$D$116:$N$137, MATCH(B1723, Analysis!$C$116:$C$137, 0), MATCH(C1723, Analysis!$D$115:$N$115, 0)), "")</f>
        <v/>
      </c>
      <c r="J1723" t="str">
        <f t="shared" si="160"/>
        <v/>
      </c>
      <c r="K1723" s="28" t="str">
        <f t="shared" si="157"/>
        <v/>
      </c>
      <c r="L1723" s="46" t="str">
        <f t="shared" si="161"/>
        <v/>
      </c>
      <c r="M1723" t="str" cm="1">
        <f t="array" ref="M1723">IF(L1723="","",_xlfn.IFS(
  AND(L1723&gt;=TIME(9,0,0), L1723&lt;TIME(16,0,0)),"Morning",
  AND(L1723&gt;=TIME(16,0,0), L1723&lt;TIME(23,59,0)),"Evening",
  L1723&gt;=TIME(23,59,0),"Night",
  L1723&lt;TIME(9,0,0),"Night"
))</f>
        <v/>
      </c>
      <c r="O1723" t="str">
        <f t="shared" si="158"/>
        <v/>
      </c>
    </row>
    <row r="1724" spans="1:15" x14ac:dyDescent="0.25">
      <c r="A1724" s="49"/>
      <c r="G1724" t="str">
        <f t="shared" si="156"/>
        <v/>
      </c>
      <c r="H1724" s="13" t="str">
        <f t="shared" si="159"/>
        <v/>
      </c>
      <c r="I1724" t="str">
        <f>IFERROR(INDEX(Analysis!$D$116:$N$137, MATCH(B1724, Analysis!$C$116:$C$137, 0), MATCH(C1724, Analysis!$D$115:$N$115, 0)), "")</f>
        <v/>
      </c>
      <c r="J1724" t="str">
        <f t="shared" si="160"/>
        <v/>
      </c>
      <c r="K1724" s="28" t="str">
        <f t="shared" si="157"/>
        <v/>
      </c>
      <c r="L1724" s="46" t="str">
        <f t="shared" si="161"/>
        <v/>
      </c>
      <c r="M1724" t="str" cm="1">
        <f t="array" ref="M1724">IF(L1724="","",_xlfn.IFS(
  AND(L1724&gt;=TIME(9,0,0), L1724&lt;TIME(16,0,0)),"Morning",
  AND(L1724&gt;=TIME(16,0,0), L1724&lt;TIME(23,59,0)),"Evening",
  L1724&gt;=TIME(23,59,0),"Night",
  L1724&lt;TIME(9,0,0),"Night"
))</f>
        <v/>
      </c>
      <c r="O1724" t="str">
        <f t="shared" si="158"/>
        <v/>
      </c>
    </row>
    <row r="1725" spans="1:15" x14ac:dyDescent="0.25">
      <c r="A1725" s="49"/>
      <c r="G1725" t="str">
        <f t="shared" si="156"/>
        <v/>
      </c>
      <c r="H1725" s="13" t="str">
        <f t="shared" si="159"/>
        <v/>
      </c>
      <c r="I1725" t="str">
        <f>IFERROR(INDEX(Analysis!$D$116:$N$137, MATCH(B1725, Analysis!$C$116:$C$137, 0), MATCH(C1725, Analysis!$D$115:$N$115, 0)), "")</f>
        <v/>
      </c>
      <c r="J1725" t="str">
        <f t="shared" si="160"/>
        <v/>
      </c>
      <c r="K1725" s="28" t="str">
        <f t="shared" si="157"/>
        <v/>
      </c>
      <c r="L1725" s="46" t="str">
        <f t="shared" si="161"/>
        <v/>
      </c>
      <c r="M1725" t="str" cm="1">
        <f t="array" ref="M1725">IF(L1725="","",_xlfn.IFS(
  AND(L1725&gt;=TIME(9,0,0), L1725&lt;TIME(16,0,0)),"Morning",
  AND(L1725&gt;=TIME(16,0,0), L1725&lt;TIME(23,59,0)),"Evening",
  L1725&gt;=TIME(23,59,0),"Night",
  L1725&lt;TIME(9,0,0),"Night"
))</f>
        <v/>
      </c>
      <c r="O1725" t="str">
        <f t="shared" si="158"/>
        <v/>
      </c>
    </row>
    <row r="1726" spans="1:15" x14ac:dyDescent="0.25">
      <c r="A1726" s="49"/>
      <c r="G1726" t="str">
        <f t="shared" si="156"/>
        <v/>
      </c>
      <c r="H1726" s="13" t="str">
        <f t="shared" si="159"/>
        <v/>
      </c>
      <c r="I1726" t="str">
        <f>IFERROR(INDEX(Analysis!$D$116:$N$137, MATCH(B1726, Analysis!$C$116:$C$137, 0), MATCH(C1726, Analysis!$D$115:$N$115, 0)), "")</f>
        <v/>
      </c>
      <c r="J1726" t="str">
        <f t="shared" si="160"/>
        <v/>
      </c>
      <c r="K1726" s="28" t="str">
        <f t="shared" si="157"/>
        <v/>
      </c>
      <c r="L1726" s="46" t="str">
        <f t="shared" si="161"/>
        <v/>
      </c>
      <c r="M1726" t="str" cm="1">
        <f t="array" ref="M1726">IF(L1726="","",_xlfn.IFS(
  AND(L1726&gt;=TIME(9,0,0), L1726&lt;TIME(16,0,0)),"Morning",
  AND(L1726&gt;=TIME(16,0,0), L1726&lt;TIME(23,59,0)),"Evening",
  L1726&gt;=TIME(23,59,0),"Night",
  L1726&lt;TIME(9,0,0),"Night"
))</f>
        <v/>
      </c>
      <c r="O1726" t="str">
        <f t="shared" si="158"/>
        <v/>
      </c>
    </row>
    <row r="1727" spans="1:15" x14ac:dyDescent="0.25">
      <c r="A1727" s="49"/>
      <c r="G1727" t="str">
        <f t="shared" si="156"/>
        <v/>
      </c>
      <c r="H1727" s="13" t="str">
        <f t="shared" si="159"/>
        <v/>
      </c>
      <c r="I1727" t="str">
        <f>IFERROR(INDEX(Analysis!$D$116:$N$137, MATCH(B1727, Analysis!$C$116:$C$137, 0), MATCH(C1727, Analysis!$D$115:$N$115, 0)), "")</f>
        <v/>
      </c>
      <c r="J1727" t="str">
        <f t="shared" si="160"/>
        <v/>
      </c>
      <c r="K1727" s="28" t="str">
        <f t="shared" si="157"/>
        <v/>
      </c>
      <c r="L1727" s="46" t="str">
        <f t="shared" si="161"/>
        <v/>
      </c>
      <c r="M1727" t="str" cm="1">
        <f t="array" ref="M1727">IF(L1727="","",_xlfn.IFS(
  AND(L1727&gt;=TIME(9,0,0), L1727&lt;TIME(16,0,0)),"Morning",
  AND(L1727&gt;=TIME(16,0,0), L1727&lt;TIME(23,59,0)),"Evening",
  L1727&gt;=TIME(23,59,0),"Night",
  L1727&lt;TIME(9,0,0),"Night"
))</f>
        <v/>
      </c>
      <c r="O1727" t="str">
        <f t="shared" si="158"/>
        <v/>
      </c>
    </row>
    <row r="1728" spans="1:15" x14ac:dyDescent="0.25">
      <c r="A1728" s="49"/>
      <c r="G1728" t="str">
        <f t="shared" si="156"/>
        <v/>
      </c>
      <c r="H1728" s="13" t="str">
        <f t="shared" si="159"/>
        <v/>
      </c>
      <c r="I1728" t="str">
        <f>IFERROR(INDEX(Analysis!$D$116:$N$137, MATCH(B1728, Analysis!$C$116:$C$137, 0), MATCH(C1728, Analysis!$D$115:$N$115, 0)), "")</f>
        <v/>
      </c>
      <c r="J1728" t="str">
        <f t="shared" si="160"/>
        <v/>
      </c>
      <c r="K1728" s="28" t="str">
        <f t="shared" si="157"/>
        <v/>
      </c>
      <c r="L1728" s="46" t="str">
        <f t="shared" si="161"/>
        <v/>
      </c>
      <c r="M1728" t="str" cm="1">
        <f t="array" ref="M1728">IF(L1728="","",_xlfn.IFS(
  AND(L1728&gt;=TIME(9,0,0), L1728&lt;TIME(16,0,0)),"Morning",
  AND(L1728&gt;=TIME(16,0,0), L1728&lt;TIME(23,59,0)),"Evening",
  L1728&gt;=TIME(23,59,0),"Night",
  L1728&lt;TIME(9,0,0),"Night"
))</f>
        <v/>
      </c>
      <c r="O1728" t="str">
        <f t="shared" si="158"/>
        <v/>
      </c>
    </row>
    <row r="1729" spans="1:15" x14ac:dyDescent="0.25">
      <c r="A1729" s="49"/>
      <c r="G1729" t="str">
        <f t="shared" si="156"/>
        <v/>
      </c>
      <c r="H1729" s="13" t="str">
        <f t="shared" si="159"/>
        <v/>
      </c>
      <c r="I1729" t="str">
        <f>IFERROR(INDEX(Analysis!$D$116:$N$137, MATCH(B1729, Analysis!$C$116:$C$137, 0), MATCH(C1729, Analysis!$D$115:$N$115, 0)), "")</f>
        <v/>
      </c>
      <c r="J1729" t="str">
        <f t="shared" si="160"/>
        <v/>
      </c>
      <c r="K1729" s="28" t="str">
        <f t="shared" si="157"/>
        <v/>
      </c>
      <c r="L1729" s="46" t="str">
        <f t="shared" si="161"/>
        <v/>
      </c>
      <c r="M1729" t="str" cm="1">
        <f t="array" ref="M1729">IF(L1729="","",_xlfn.IFS(
  AND(L1729&gt;=TIME(9,0,0), L1729&lt;TIME(16,0,0)),"Morning",
  AND(L1729&gt;=TIME(16,0,0), L1729&lt;TIME(23,59,0)),"Evening",
  L1729&gt;=TIME(23,59,0),"Night",
  L1729&lt;TIME(9,0,0),"Night"
))</f>
        <v/>
      </c>
      <c r="O1729" t="str">
        <f t="shared" si="158"/>
        <v/>
      </c>
    </row>
    <row r="1730" spans="1:15" x14ac:dyDescent="0.25">
      <c r="A1730" s="49"/>
      <c r="G1730" t="str">
        <f t="shared" ref="G1730:G1793" si="162">IF(ISBLANK(A1730), "", IF(ISBLANK(F1730), 0, F1730))</f>
        <v/>
      </c>
      <c r="H1730" s="13" t="str">
        <f t="shared" si="159"/>
        <v/>
      </c>
      <c r="I1730" t="str">
        <f>IFERROR(INDEX(Analysis!$D$116:$N$137, MATCH(B1730, Analysis!$C$116:$C$137, 0), MATCH(C1730, Analysis!$D$115:$N$115, 0)), "")</f>
        <v/>
      </c>
      <c r="J1730" t="str">
        <f t="shared" si="160"/>
        <v/>
      </c>
      <c r="K1730" s="28" t="str">
        <f t="shared" ref="K1730:K1793" si="163">IF(ISBLANK(A1730),"",DATE(YEAR(A1730),MONTH(A1730),DAY(A1730)))</f>
        <v/>
      </c>
      <c r="L1730" s="46" t="str">
        <f t="shared" si="161"/>
        <v/>
      </c>
      <c r="M1730" t="str" cm="1">
        <f t="array" ref="M1730">IF(L1730="","",_xlfn.IFS(
  AND(L1730&gt;=TIME(9,0,0), L1730&lt;TIME(16,0,0)),"Morning",
  AND(L1730&gt;=TIME(16,0,0), L1730&lt;TIME(23,59,0)),"Evening",
  L1730&gt;=TIME(23,59,0),"Night",
  L1730&lt;TIME(9,0,0),"Night"
))</f>
        <v/>
      </c>
      <c r="O1730" t="str">
        <f t="shared" ref="O1730:O1793" si="164">IF(N1730="ON", _xlfn.IMAGE(E1730, 1), "")</f>
        <v/>
      </c>
    </row>
    <row r="1731" spans="1:15" x14ac:dyDescent="0.25">
      <c r="A1731" s="49"/>
      <c r="G1731" t="str">
        <f t="shared" si="162"/>
        <v/>
      </c>
      <c r="H1731" s="13" t="str">
        <f t="shared" ref="H1731:H1794" si="165">IF(ISBLANK(E1731),"",HYPERLINK(E1731,"Click here"))</f>
        <v/>
      </c>
      <c r="I1731" t="str">
        <f>IFERROR(INDEX(Analysis!$D$116:$N$137, MATCH(B1731, Analysis!$C$116:$C$137, 0), MATCH(C1731, Analysis!$D$115:$N$115, 0)), "")</f>
        <v/>
      </c>
      <c r="J1731" t="str">
        <f t="shared" ref="J1731:J1794" si="166">IF(ISBLANK(A1731),"",WEEKNUM(A1731))</f>
        <v/>
      </c>
      <c r="K1731" s="28" t="str">
        <f t="shared" si="163"/>
        <v/>
      </c>
      <c r="L1731" s="46" t="str">
        <f t="shared" ref="L1731:L1794" si="167">IF(A1731="", "", A1731 - INT(A1731))</f>
        <v/>
      </c>
      <c r="M1731" t="str" cm="1">
        <f t="array" ref="M1731">IF(L1731="","",_xlfn.IFS(
  AND(L1731&gt;=TIME(9,0,0), L1731&lt;TIME(16,0,0)),"Morning",
  AND(L1731&gt;=TIME(16,0,0), L1731&lt;TIME(23,59,0)),"Evening",
  L1731&gt;=TIME(23,59,0),"Night",
  L1731&lt;TIME(9,0,0),"Night"
))</f>
        <v/>
      </c>
      <c r="O1731" t="str">
        <f t="shared" si="164"/>
        <v/>
      </c>
    </row>
    <row r="1732" spans="1:15" x14ac:dyDescent="0.25">
      <c r="A1732" s="49"/>
      <c r="G1732" t="str">
        <f t="shared" si="162"/>
        <v/>
      </c>
      <c r="H1732" s="13" t="str">
        <f t="shared" si="165"/>
        <v/>
      </c>
      <c r="I1732" t="str">
        <f>IFERROR(INDEX(Analysis!$D$116:$N$137, MATCH(B1732, Analysis!$C$116:$C$137, 0), MATCH(C1732, Analysis!$D$115:$N$115, 0)), "")</f>
        <v/>
      </c>
      <c r="J1732" t="str">
        <f t="shared" si="166"/>
        <v/>
      </c>
      <c r="K1732" s="28" t="str">
        <f t="shared" si="163"/>
        <v/>
      </c>
      <c r="L1732" s="46" t="str">
        <f t="shared" si="167"/>
        <v/>
      </c>
      <c r="M1732" t="str" cm="1">
        <f t="array" ref="M1732">IF(L1732="","",_xlfn.IFS(
  AND(L1732&gt;=TIME(9,0,0), L1732&lt;TIME(16,0,0)),"Morning",
  AND(L1732&gt;=TIME(16,0,0), L1732&lt;TIME(23,59,0)),"Evening",
  L1732&gt;=TIME(23,59,0),"Night",
  L1732&lt;TIME(9,0,0),"Night"
))</f>
        <v/>
      </c>
      <c r="O1732" t="str">
        <f t="shared" si="164"/>
        <v/>
      </c>
    </row>
    <row r="1733" spans="1:15" x14ac:dyDescent="0.25">
      <c r="A1733" s="49"/>
      <c r="G1733" t="str">
        <f t="shared" si="162"/>
        <v/>
      </c>
      <c r="H1733" s="13" t="str">
        <f t="shared" si="165"/>
        <v/>
      </c>
      <c r="I1733" t="str">
        <f>IFERROR(INDEX(Analysis!$D$116:$N$137, MATCH(B1733, Analysis!$C$116:$C$137, 0), MATCH(C1733, Analysis!$D$115:$N$115, 0)), "")</f>
        <v/>
      </c>
      <c r="J1733" t="str">
        <f t="shared" si="166"/>
        <v/>
      </c>
      <c r="K1733" s="28" t="str">
        <f t="shared" si="163"/>
        <v/>
      </c>
      <c r="L1733" s="46" t="str">
        <f t="shared" si="167"/>
        <v/>
      </c>
      <c r="M1733" t="str" cm="1">
        <f t="array" ref="M1733">IF(L1733="","",_xlfn.IFS(
  AND(L1733&gt;=TIME(9,0,0), L1733&lt;TIME(16,0,0)),"Morning",
  AND(L1733&gt;=TIME(16,0,0), L1733&lt;TIME(23,59,0)),"Evening",
  L1733&gt;=TIME(23,59,0),"Night",
  L1733&lt;TIME(9,0,0),"Night"
))</f>
        <v/>
      </c>
      <c r="O1733" t="str">
        <f t="shared" si="164"/>
        <v/>
      </c>
    </row>
    <row r="1734" spans="1:15" x14ac:dyDescent="0.25">
      <c r="A1734" s="49"/>
      <c r="G1734" t="str">
        <f t="shared" si="162"/>
        <v/>
      </c>
      <c r="H1734" s="13" t="str">
        <f t="shared" si="165"/>
        <v/>
      </c>
      <c r="I1734" t="str">
        <f>IFERROR(INDEX(Analysis!$D$116:$N$137, MATCH(B1734, Analysis!$C$116:$C$137, 0), MATCH(C1734, Analysis!$D$115:$N$115, 0)), "")</f>
        <v/>
      </c>
      <c r="J1734" t="str">
        <f t="shared" si="166"/>
        <v/>
      </c>
      <c r="K1734" s="28" t="str">
        <f t="shared" si="163"/>
        <v/>
      </c>
      <c r="L1734" s="46" t="str">
        <f t="shared" si="167"/>
        <v/>
      </c>
      <c r="M1734" t="str" cm="1">
        <f t="array" ref="M1734">IF(L1734="","",_xlfn.IFS(
  AND(L1734&gt;=TIME(9,0,0), L1734&lt;TIME(16,0,0)),"Morning",
  AND(L1734&gt;=TIME(16,0,0), L1734&lt;TIME(23,59,0)),"Evening",
  L1734&gt;=TIME(23,59,0),"Night",
  L1734&lt;TIME(9,0,0),"Night"
))</f>
        <v/>
      </c>
      <c r="O1734" t="str">
        <f t="shared" si="164"/>
        <v/>
      </c>
    </row>
    <row r="1735" spans="1:15" x14ac:dyDescent="0.25">
      <c r="A1735" s="49"/>
      <c r="G1735" t="str">
        <f t="shared" si="162"/>
        <v/>
      </c>
      <c r="H1735" s="13" t="str">
        <f t="shared" si="165"/>
        <v/>
      </c>
      <c r="I1735" t="str">
        <f>IFERROR(INDEX(Analysis!$D$116:$N$137, MATCH(B1735, Analysis!$C$116:$C$137, 0), MATCH(C1735, Analysis!$D$115:$N$115, 0)), "")</f>
        <v/>
      </c>
      <c r="J1735" t="str">
        <f t="shared" si="166"/>
        <v/>
      </c>
      <c r="K1735" s="28" t="str">
        <f t="shared" si="163"/>
        <v/>
      </c>
      <c r="L1735" s="46" t="str">
        <f t="shared" si="167"/>
        <v/>
      </c>
      <c r="M1735" t="str" cm="1">
        <f t="array" ref="M1735">IF(L1735="","",_xlfn.IFS(
  AND(L1735&gt;=TIME(9,0,0), L1735&lt;TIME(16,0,0)),"Morning",
  AND(L1735&gt;=TIME(16,0,0), L1735&lt;TIME(23,59,0)),"Evening",
  L1735&gt;=TIME(23,59,0),"Night",
  L1735&lt;TIME(9,0,0),"Night"
))</f>
        <v/>
      </c>
      <c r="O1735" t="str">
        <f t="shared" si="164"/>
        <v/>
      </c>
    </row>
    <row r="1736" spans="1:15" x14ac:dyDescent="0.25">
      <c r="A1736" s="49"/>
      <c r="G1736" t="str">
        <f t="shared" si="162"/>
        <v/>
      </c>
      <c r="H1736" s="13" t="str">
        <f t="shared" si="165"/>
        <v/>
      </c>
      <c r="I1736" t="str">
        <f>IFERROR(INDEX(Analysis!$D$116:$N$137, MATCH(B1736, Analysis!$C$116:$C$137, 0), MATCH(C1736, Analysis!$D$115:$N$115, 0)), "")</f>
        <v/>
      </c>
      <c r="J1736" t="str">
        <f t="shared" si="166"/>
        <v/>
      </c>
      <c r="K1736" s="28" t="str">
        <f t="shared" si="163"/>
        <v/>
      </c>
      <c r="L1736" s="46" t="str">
        <f t="shared" si="167"/>
        <v/>
      </c>
      <c r="M1736" t="str" cm="1">
        <f t="array" ref="M1736">IF(L1736="","",_xlfn.IFS(
  AND(L1736&gt;=TIME(9,0,0), L1736&lt;TIME(16,0,0)),"Morning",
  AND(L1736&gt;=TIME(16,0,0), L1736&lt;TIME(23,59,0)),"Evening",
  L1736&gt;=TIME(23,59,0),"Night",
  L1736&lt;TIME(9,0,0),"Night"
))</f>
        <v/>
      </c>
      <c r="O1736" t="str">
        <f t="shared" si="164"/>
        <v/>
      </c>
    </row>
    <row r="1737" spans="1:15" x14ac:dyDescent="0.25">
      <c r="A1737" s="49"/>
      <c r="G1737" t="str">
        <f t="shared" si="162"/>
        <v/>
      </c>
      <c r="H1737" s="13" t="str">
        <f t="shared" si="165"/>
        <v/>
      </c>
      <c r="I1737" t="str">
        <f>IFERROR(INDEX(Analysis!$D$116:$N$137, MATCH(B1737, Analysis!$C$116:$C$137, 0), MATCH(C1737, Analysis!$D$115:$N$115, 0)), "")</f>
        <v/>
      </c>
      <c r="J1737" t="str">
        <f t="shared" si="166"/>
        <v/>
      </c>
      <c r="K1737" s="28" t="str">
        <f t="shared" si="163"/>
        <v/>
      </c>
      <c r="L1737" s="46" t="str">
        <f t="shared" si="167"/>
        <v/>
      </c>
      <c r="M1737" t="str" cm="1">
        <f t="array" ref="M1737">IF(L1737="","",_xlfn.IFS(
  AND(L1737&gt;=TIME(9,0,0), L1737&lt;TIME(16,0,0)),"Morning",
  AND(L1737&gt;=TIME(16,0,0), L1737&lt;TIME(23,59,0)),"Evening",
  L1737&gt;=TIME(23,59,0),"Night",
  L1737&lt;TIME(9,0,0),"Night"
))</f>
        <v/>
      </c>
      <c r="O1737" t="str">
        <f t="shared" si="164"/>
        <v/>
      </c>
    </row>
    <row r="1738" spans="1:15" x14ac:dyDescent="0.25">
      <c r="A1738" s="49"/>
      <c r="G1738" t="str">
        <f t="shared" si="162"/>
        <v/>
      </c>
      <c r="H1738" s="13" t="str">
        <f t="shared" si="165"/>
        <v/>
      </c>
      <c r="I1738" t="str">
        <f>IFERROR(INDEX(Analysis!$D$116:$N$137, MATCH(B1738, Analysis!$C$116:$C$137, 0), MATCH(C1738, Analysis!$D$115:$N$115, 0)), "")</f>
        <v/>
      </c>
      <c r="J1738" t="str">
        <f t="shared" si="166"/>
        <v/>
      </c>
      <c r="K1738" s="28" t="str">
        <f t="shared" si="163"/>
        <v/>
      </c>
      <c r="L1738" s="46" t="str">
        <f t="shared" si="167"/>
        <v/>
      </c>
      <c r="M1738" t="str" cm="1">
        <f t="array" ref="M1738">IF(L1738="","",_xlfn.IFS(
  AND(L1738&gt;=TIME(9,0,0), L1738&lt;TIME(16,0,0)),"Morning",
  AND(L1738&gt;=TIME(16,0,0), L1738&lt;TIME(23,59,0)),"Evening",
  L1738&gt;=TIME(23,59,0),"Night",
  L1738&lt;TIME(9,0,0),"Night"
))</f>
        <v/>
      </c>
      <c r="O1738" t="str">
        <f t="shared" si="164"/>
        <v/>
      </c>
    </row>
    <row r="1739" spans="1:15" x14ac:dyDescent="0.25">
      <c r="A1739" s="49"/>
      <c r="G1739" t="str">
        <f t="shared" si="162"/>
        <v/>
      </c>
      <c r="H1739" s="13" t="str">
        <f t="shared" si="165"/>
        <v/>
      </c>
      <c r="I1739" t="str">
        <f>IFERROR(INDEX(Analysis!$D$116:$N$137, MATCH(B1739, Analysis!$C$116:$C$137, 0), MATCH(C1739, Analysis!$D$115:$N$115, 0)), "")</f>
        <v/>
      </c>
      <c r="J1739" t="str">
        <f t="shared" si="166"/>
        <v/>
      </c>
      <c r="K1739" s="28" t="str">
        <f t="shared" si="163"/>
        <v/>
      </c>
      <c r="L1739" s="46" t="str">
        <f t="shared" si="167"/>
        <v/>
      </c>
      <c r="M1739" t="str" cm="1">
        <f t="array" ref="M1739">IF(L1739="","",_xlfn.IFS(
  AND(L1739&gt;=TIME(9,0,0), L1739&lt;TIME(16,0,0)),"Morning",
  AND(L1739&gt;=TIME(16,0,0), L1739&lt;TIME(23,59,0)),"Evening",
  L1739&gt;=TIME(23,59,0),"Night",
  L1739&lt;TIME(9,0,0),"Night"
))</f>
        <v/>
      </c>
      <c r="O1739" t="str">
        <f t="shared" si="164"/>
        <v/>
      </c>
    </row>
    <row r="1740" spans="1:15" x14ac:dyDescent="0.25">
      <c r="A1740" s="49"/>
      <c r="G1740" t="str">
        <f t="shared" si="162"/>
        <v/>
      </c>
      <c r="H1740" s="13" t="str">
        <f t="shared" si="165"/>
        <v/>
      </c>
      <c r="I1740" t="str">
        <f>IFERROR(INDEX(Analysis!$D$116:$N$137, MATCH(B1740, Analysis!$C$116:$C$137, 0), MATCH(C1740, Analysis!$D$115:$N$115, 0)), "")</f>
        <v/>
      </c>
      <c r="J1740" t="str">
        <f t="shared" si="166"/>
        <v/>
      </c>
      <c r="K1740" s="28" t="str">
        <f t="shared" si="163"/>
        <v/>
      </c>
      <c r="L1740" s="46" t="str">
        <f t="shared" si="167"/>
        <v/>
      </c>
      <c r="M1740" t="str" cm="1">
        <f t="array" ref="M1740">IF(L1740="","",_xlfn.IFS(
  AND(L1740&gt;=TIME(9,0,0), L1740&lt;TIME(16,0,0)),"Morning",
  AND(L1740&gt;=TIME(16,0,0), L1740&lt;TIME(23,59,0)),"Evening",
  L1740&gt;=TIME(23,59,0),"Night",
  L1740&lt;TIME(9,0,0),"Night"
))</f>
        <v/>
      </c>
      <c r="O1740" t="str">
        <f t="shared" si="164"/>
        <v/>
      </c>
    </row>
    <row r="1741" spans="1:15" x14ac:dyDescent="0.25">
      <c r="A1741" s="49"/>
      <c r="G1741" t="str">
        <f t="shared" si="162"/>
        <v/>
      </c>
      <c r="H1741" s="13" t="str">
        <f t="shared" si="165"/>
        <v/>
      </c>
      <c r="I1741" t="str">
        <f>IFERROR(INDEX(Analysis!$D$116:$N$137, MATCH(B1741, Analysis!$C$116:$C$137, 0), MATCH(C1741, Analysis!$D$115:$N$115, 0)), "")</f>
        <v/>
      </c>
      <c r="J1741" t="str">
        <f t="shared" si="166"/>
        <v/>
      </c>
      <c r="K1741" s="28" t="str">
        <f t="shared" si="163"/>
        <v/>
      </c>
      <c r="L1741" s="46" t="str">
        <f t="shared" si="167"/>
        <v/>
      </c>
      <c r="M1741" t="str" cm="1">
        <f t="array" ref="M1741">IF(L1741="","",_xlfn.IFS(
  AND(L1741&gt;=TIME(9,0,0), L1741&lt;TIME(16,0,0)),"Morning",
  AND(L1741&gt;=TIME(16,0,0), L1741&lt;TIME(23,59,0)),"Evening",
  L1741&gt;=TIME(23,59,0),"Night",
  L1741&lt;TIME(9,0,0),"Night"
))</f>
        <v/>
      </c>
      <c r="O1741" t="str">
        <f t="shared" si="164"/>
        <v/>
      </c>
    </row>
    <row r="1742" spans="1:15" x14ac:dyDescent="0.25">
      <c r="A1742" s="49"/>
      <c r="G1742" t="str">
        <f t="shared" si="162"/>
        <v/>
      </c>
      <c r="H1742" s="13" t="str">
        <f t="shared" si="165"/>
        <v/>
      </c>
      <c r="I1742" t="str">
        <f>IFERROR(INDEX(Analysis!$D$116:$N$137, MATCH(B1742, Analysis!$C$116:$C$137, 0), MATCH(C1742, Analysis!$D$115:$N$115, 0)), "")</f>
        <v/>
      </c>
      <c r="J1742" t="str">
        <f t="shared" si="166"/>
        <v/>
      </c>
      <c r="K1742" s="28" t="str">
        <f t="shared" si="163"/>
        <v/>
      </c>
      <c r="L1742" s="46" t="str">
        <f t="shared" si="167"/>
        <v/>
      </c>
      <c r="M1742" t="str" cm="1">
        <f t="array" ref="M1742">IF(L1742="","",_xlfn.IFS(
  AND(L1742&gt;=TIME(9,0,0), L1742&lt;TIME(16,0,0)),"Morning",
  AND(L1742&gt;=TIME(16,0,0), L1742&lt;TIME(23,59,0)),"Evening",
  L1742&gt;=TIME(23,59,0),"Night",
  L1742&lt;TIME(9,0,0),"Night"
))</f>
        <v/>
      </c>
      <c r="O1742" t="str">
        <f t="shared" si="164"/>
        <v/>
      </c>
    </row>
    <row r="1743" spans="1:15" x14ac:dyDescent="0.25">
      <c r="A1743" s="49"/>
      <c r="G1743" t="str">
        <f t="shared" si="162"/>
        <v/>
      </c>
      <c r="H1743" s="13" t="str">
        <f t="shared" si="165"/>
        <v/>
      </c>
      <c r="I1743" t="str">
        <f>IFERROR(INDEX(Analysis!$D$116:$N$137, MATCH(B1743, Analysis!$C$116:$C$137, 0), MATCH(C1743, Analysis!$D$115:$N$115, 0)), "")</f>
        <v/>
      </c>
      <c r="J1743" t="str">
        <f t="shared" si="166"/>
        <v/>
      </c>
      <c r="K1743" s="28" t="str">
        <f t="shared" si="163"/>
        <v/>
      </c>
      <c r="L1743" s="46" t="str">
        <f t="shared" si="167"/>
        <v/>
      </c>
      <c r="M1743" t="str" cm="1">
        <f t="array" ref="M1743">IF(L1743="","",_xlfn.IFS(
  AND(L1743&gt;=TIME(9,0,0), L1743&lt;TIME(16,0,0)),"Morning",
  AND(L1743&gt;=TIME(16,0,0), L1743&lt;TIME(23,59,0)),"Evening",
  L1743&gt;=TIME(23,59,0),"Night",
  L1743&lt;TIME(9,0,0),"Night"
))</f>
        <v/>
      </c>
      <c r="O1743" t="str">
        <f t="shared" si="164"/>
        <v/>
      </c>
    </row>
    <row r="1744" spans="1:15" x14ac:dyDescent="0.25">
      <c r="A1744" s="49"/>
      <c r="G1744" t="str">
        <f t="shared" si="162"/>
        <v/>
      </c>
      <c r="H1744" s="13" t="str">
        <f t="shared" si="165"/>
        <v/>
      </c>
      <c r="I1744" t="str">
        <f>IFERROR(INDEX(Analysis!$D$116:$N$137, MATCH(B1744, Analysis!$C$116:$C$137, 0), MATCH(C1744, Analysis!$D$115:$N$115, 0)), "")</f>
        <v/>
      </c>
      <c r="J1744" t="str">
        <f t="shared" si="166"/>
        <v/>
      </c>
      <c r="K1744" s="28" t="str">
        <f t="shared" si="163"/>
        <v/>
      </c>
      <c r="L1744" s="46" t="str">
        <f t="shared" si="167"/>
        <v/>
      </c>
      <c r="M1744" t="str" cm="1">
        <f t="array" ref="M1744">IF(L1744="","",_xlfn.IFS(
  AND(L1744&gt;=TIME(9,0,0), L1744&lt;TIME(16,0,0)),"Morning",
  AND(L1744&gt;=TIME(16,0,0), L1744&lt;TIME(23,59,0)),"Evening",
  L1744&gt;=TIME(23,59,0),"Night",
  L1744&lt;TIME(9,0,0),"Night"
))</f>
        <v/>
      </c>
      <c r="O1744" t="str">
        <f t="shared" si="164"/>
        <v/>
      </c>
    </row>
    <row r="1745" spans="1:15" x14ac:dyDescent="0.25">
      <c r="A1745" s="49"/>
      <c r="G1745" t="str">
        <f t="shared" si="162"/>
        <v/>
      </c>
      <c r="H1745" s="13" t="str">
        <f t="shared" si="165"/>
        <v/>
      </c>
      <c r="I1745" t="str">
        <f>IFERROR(INDEX(Analysis!$D$116:$N$137, MATCH(B1745, Analysis!$C$116:$C$137, 0), MATCH(C1745, Analysis!$D$115:$N$115, 0)), "")</f>
        <v/>
      </c>
      <c r="J1745" t="str">
        <f t="shared" si="166"/>
        <v/>
      </c>
      <c r="K1745" s="28" t="str">
        <f t="shared" si="163"/>
        <v/>
      </c>
      <c r="L1745" s="46" t="str">
        <f t="shared" si="167"/>
        <v/>
      </c>
      <c r="M1745" t="str" cm="1">
        <f t="array" ref="M1745">IF(L1745="","",_xlfn.IFS(
  AND(L1745&gt;=TIME(9,0,0), L1745&lt;TIME(16,0,0)),"Morning",
  AND(L1745&gt;=TIME(16,0,0), L1745&lt;TIME(23,59,0)),"Evening",
  L1745&gt;=TIME(23,59,0),"Night",
  L1745&lt;TIME(9,0,0),"Night"
))</f>
        <v/>
      </c>
      <c r="O1745" t="str">
        <f t="shared" si="164"/>
        <v/>
      </c>
    </row>
    <row r="1746" spans="1:15" x14ac:dyDescent="0.25">
      <c r="A1746" s="49"/>
      <c r="G1746" t="str">
        <f t="shared" si="162"/>
        <v/>
      </c>
      <c r="H1746" s="13" t="str">
        <f t="shared" si="165"/>
        <v/>
      </c>
      <c r="I1746" t="str">
        <f>IFERROR(INDEX(Analysis!$D$116:$N$137, MATCH(B1746, Analysis!$C$116:$C$137, 0), MATCH(C1746, Analysis!$D$115:$N$115, 0)), "")</f>
        <v/>
      </c>
      <c r="J1746" t="str">
        <f t="shared" si="166"/>
        <v/>
      </c>
      <c r="K1746" s="28" t="str">
        <f t="shared" si="163"/>
        <v/>
      </c>
      <c r="L1746" s="46" t="str">
        <f t="shared" si="167"/>
        <v/>
      </c>
      <c r="M1746" t="str" cm="1">
        <f t="array" ref="M1746">IF(L1746="","",_xlfn.IFS(
  AND(L1746&gt;=TIME(9,0,0), L1746&lt;TIME(16,0,0)),"Morning",
  AND(L1746&gt;=TIME(16,0,0), L1746&lt;TIME(23,59,0)),"Evening",
  L1746&gt;=TIME(23,59,0),"Night",
  L1746&lt;TIME(9,0,0),"Night"
))</f>
        <v/>
      </c>
      <c r="O1746" t="str">
        <f t="shared" si="164"/>
        <v/>
      </c>
    </row>
    <row r="1747" spans="1:15" x14ac:dyDescent="0.25">
      <c r="A1747" s="49"/>
      <c r="G1747" t="str">
        <f t="shared" si="162"/>
        <v/>
      </c>
      <c r="H1747" s="13" t="str">
        <f t="shared" si="165"/>
        <v/>
      </c>
      <c r="I1747" t="str">
        <f>IFERROR(INDEX(Analysis!$D$116:$N$137, MATCH(B1747, Analysis!$C$116:$C$137, 0), MATCH(C1747, Analysis!$D$115:$N$115, 0)), "")</f>
        <v/>
      </c>
      <c r="J1747" t="str">
        <f t="shared" si="166"/>
        <v/>
      </c>
      <c r="K1747" s="28" t="str">
        <f t="shared" si="163"/>
        <v/>
      </c>
      <c r="L1747" s="46" t="str">
        <f t="shared" si="167"/>
        <v/>
      </c>
      <c r="M1747" t="str" cm="1">
        <f t="array" ref="M1747">IF(L1747="","",_xlfn.IFS(
  AND(L1747&gt;=TIME(9,0,0), L1747&lt;TIME(16,0,0)),"Morning",
  AND(L1747&gt;=TIME(16,0,0), L1747&lt;TIME(23,59,0)),"Evening",
  L1747&gt;=TIME(23,59,0),"Night",
  L1747&lt;TIME(9,0,0),"Night"
))</f>
        <v/>
      </c>
      <c r="O1747" t="str">
        <f t="shared" si="164"/>
        <v/>
      </c>
    </row>
    <row r="1748" spans="1:15" x14ac:dyDescent="0.25">
      <c r="A1748" s="49"/>
      <c r="G1748" t="str">
        <f t="shared" si="162"/>
        <v/>
      </c>
      <c r="H1748" s="13" t="str">
        <f t="shared" si="165"/>
        <v/>
      </c>
      <c r="I1748" t="str">
        <f>IFERROR(INDEX(Analysis!$D$116:$N$137, MATCH(B1748, Analysis!$C$116:$C$137, 0), MATCH(C1748, Analysis!$D$115:$N$115, 0)), "")</f>
        <v/>
      </c>
      <c r="J1748" t="str">
        <f t="shared" si="166"/>
        <v/>
      </c>
      <c r="K1748" s="28" t="str">
        <f t="shared" si="163"/>
        <v/>
      </c>
      <c r="L1748" s="46" t="str">
        <f t="shared" si="167"/>
        <v/>
      </c>
      <c r="M1748" t="str" cm="1">
        <f t="array" ref="M1748">IF(L1748="","",_xlfn.IFS(
  AND(L1748&gt;=TIME(9,0,0), L1748&lt;TIME(16,0,0)),"Morning",
  AND(L1748&gt;=TIME(16,0,0), L1748&lt;TIME(23,59,0)),"Evening",
  L1748&gt;=TIME(23,59,0),"Night",
  L1748&lt;TIME(9,0,0),"Night"
))</f>
        <v/>
      </c>
      <c r="O1748" t="str">
        <f t="shared" si="164"/>
        <v/>
      </c>
    </row>
    <row r="1749" spans="1:15" x14ac:dyDescent="0.25">
      <c r="A1749" s="49"/>
      <c r="G1749" t="str">
        <f t="shared" si="162"/>
        <v/>
      </c>
      <c r="H1749" s="13" t="str">
        <f t="shared" si="165"/>
        <v/>
      </c>
      <c r="I1749" t="str">
        <f>IFERROR(INDEX(Analysis!$D$116:$N$137, MATCH(B1749, Analysis!$C$116:$C$137, 0), MATCH(C1749, Analysis!$D$115:$N$115, 0)), "")</f>
        <v/>
      </c>
      <c r="J1749" t="str">
        <f t="shared" si="166"/>
        <v/>
      </c>
      <c r="K1749" s="28" t="str">
        <f t="shared" si="163"/>
        <v/>
      </c>
      <c r="L1749" s="46" t="str">
        <f t="shared" si="167"/>
        <v/>
      </c>
      <c r="M1749" t="str" cm="1">
        <f t="array" ref="M1749">IF(L1749="","",_xlfn.IFS(
  AND(L1749&gt;=TIME(9,0,0), L1749&lt;TIME(16,0,0)),"Morning",
  AND(L1749&gt;=TIME(16,0,0), L1749&lt;TIME(23,59,0)),"Evening",
  L1749&gt;=TIME(23,59,0),"Night",
  L1749&lt;TIME(9,0,0),"Night"
))</f>
        <v/>
      </c>
      <c r="O1749" t="str">
        <f t="shared" si="164"/>
        <v/>
      </c>
    </row>
    <row r="1750" spans="1:15" x14ac:dyDescent="0.25">
      <c r="A1750" s="49"/>
      <c r="G1750" t="str">
        <f t="shared" si="162"/>
        <v/>
      </c>
      <c r="H1750" s="13" t="str">
        <f t="shared" si="165"/>
        <v/>
      </c>
      <c r="I1750" t="str">
        <f>IFERROR(INDEX(Analysis!$D$116:$N$137, MATCH(B1750, Analysis!$C$116:$C$137, 0), MATCH(C1750, Analysis!$D$115:$N$115, 0)), "")</f>
        <v/>
      </c>
      <c r="J1750" t="str">
        <f t="shared" si="166"/>
        <v/>
      </c>
      <c r="K1750" s="28" t="str">
        <f t="shared" si="163"/>
        <v/>
      </c>
      <c r="L1750" s="46" t="str">
        <f t="shared" si="167"/>
        <v/>
      </c>
      <c r="M1750" t="str" cm="1">
        <f t="array" ref="M1750">IF(L1750="","",_xlfn.IFS(
  AND(L1750&gt;=TIME(9,0,0), L1750&lt;TIME(16,0,0)),"Morning",
  AND(L1750&gt;=TIME(16,0,0), L1750&lt;TIME(23,59,0)),"Evening",
  L1750&gt;=TIME(23,59,0),"Night",
  L1750&lt;TIME(9,0,0),"Night"
))</f>
        <v/>
      </c>
      <c r="O1750" t="str">
        <f t="shared" si="164"/>
        <v/>
      </c>
    </row>
    <row r="1751" spans="1:15" x14ac:dyDescent="0.25">
      <c r="A1751" s="49"/>
      <c r="G1751" t="str">
        <f t="shared" si="162"/>
        <v/>
      </c>
      <c r="H1751" s="13" t="str">
        <f t="shared" si="165"/>
        <v/>
      </c>
      <c r="I1751" t="str">
        <f>IFERROR(INDEX(Analysis!$D$116:$N$137, MATCH(B1751, Analysis!$C$116:$C$137, 0), MATCH(C1751, Analysis!$D$115:$N$115, 0)), "")</f>
        <v/>
      </c>
      <c r="J1751" t="str">
        <f t="shared" si="166"/>
        <v/>
      </c>
      <c r="K1751" s="28" t="str">
        <f t="shared" si="163"/>
        <v/>
      </c>
      <c r="L1751" s="46" t="str">
        <f t="shared" si="167"/>
        <v/>
      </c>
      <c r="M1751" t="str" cm="1">
        <f t="array" ref="M1751">IF(L1751="","",_xlfn.IFS(
  AND(L1751&gt;=TIME(9,0,0), L1751&lt;TIME(16,0,0)),"Morning",
  AND(L1751&gt;=TIME(16,0,0), L1751&lt;TIME(23,59,0)),"Evening",
  L1751&gt;=TIME(23,59,0),"Night",
  L1751&lt;TIME(9,0,0),"Night"
))</f>
        <v/>
      </c>
      <c r="O1751" t="str">
        <f t="shared" si="164"/>
        <v/>
      </c>
    </row>
    <row r="1752" spans="1:15" x14ac:dyDescent="0.25">
      <c r="A1752" s="49"/>
      <c r="G1752" t="str">
        <f t="shared" si="162"/>
        <v/>
      </c>
      <c r="H1752" s="13" t="str">
        <f t="shared" si="165"/>
        <v/>
      </c>
      <c r="I1752" t="str">
        <f>IFERROR(INDEX(Analysis!$D$116:$N$137, MATCH(B1752, Analysis!$C$116:$C$137, 0), MATCH(C1752, Analysis!$D$115:$N$115, 0)), "")</f>
        <v/>
      </c>
      <c r="J1752" t="str">
        <f t="shared" si="166"/>
        <v/>
      </c>
      <c r="K1752" s="28" t="str">
        <f t="shared" si="163"/>
        <v/>
      </c>
      <c r="L1752" s="46" t="str">
        <f t="shared" si="167"/>
        <v/>
      </c>
      <c r="M1752" t="str" cm="1">
        <f t="array" ref="M1752">IF(L1752="","",_xlfn.IFS(
  AND(L1752&gt;=TIME(9,0,0), L1752&lt;TIME(16,0,0)),"Morning",
  AND(L1752&gt;=TIME(16,0,0), L1752&lt;TIME(23,59,0)),"Evening",
  L1752&gt;=TIME(23,59,0),"Night",
  L1752&lt;TIME(9,0,0),"Night"
))</f>
        <v/>
      </c>
      <c r="O1752" t="str">
        <f t="shared" si="164"/>
        <v/>
      </c>
    </row>
    <row r="1753" spans="1:15" x14ac:dyDescent="0.25">
      <c r="A1753" s="49"/>
      <c r="G1753" t="str">
        <f t="shared" si="162"/>
        <v/>
      </c>
      <c r="H1753" s="13" t="str">
        <f t="shared" si="165"/>
        <v/>
      </c>
      <c r="I1753" t="str">
        <f>IFERROR(INDEX(Analysis!$D$116:$N$137, MATCH(B1753, Analysis!$C$116:$C$137, 0), MATCH(C1753, Analysis!$D$115:$N$115, 0)), "")</f>
        <v/>
      </c>
      <c r="J1753" t="str">
        <f t="shared" si="166"/>
        <v/>
      </c>
      <c r="K1753" s="28" t="str">
        <f t="shared" si="163"/>
        <v/>
      </c>
      <c r="L1753" s="46" t="str">
        <f t="shared" si="167"/>
        <v/>
      </c>
      <c r="M1753" t="str" cm="1">
        <f t="array" ref="M1753">IF(L1753="","",_xlfn.IFS(
  AND(L1753&gt;=TIME(9,0,0), L1753&lt;TIME(16,0,0)),"Morning",
  AND(L1753&gt;=TIME(16,0,0), L1753&lt;TIME(23,59,0)),"Evening",
  L1753&gt;=TIME(23,59,0),"Night",
  L1753&lt;TIME(9,0,0),"Night"
))</f>
        <v/>
      </c>
      <c r="O1753" t="str">
        <f t="shared" si="164"/>
        <v/>
      </c>
    </row>
    <row r="1754" spans="1:15" x14ac:dyDescent="0.25">
      <c r="A1754" s="49"/>
      <c r="G1754" t="str">
        <f t="shared" si="162"/>
        <v/>
      </c>
      <c r="H1754" s="13" t="str">
        <f t="shared" si="165"/>
        <v/>
      </c>
      <c r="I1754" t="str">
        <f>IFERROR(INDEX(Analysis!$D$116:$N$137, MATCH(B1754, Analysis!$C$116:$C$137, 0), MATCH(C1754, Analysis!$D$115:$N$115, 0)), "")</f>
        <v/>
      </c>
      <c r="J1754" t="str">
        <f t="shared" si="166"/>
        <v/>
      </c>
      <c r="K1754" s="28" t="str">
        <f t="shared" si="163"/>
        <v/>
      </c>
      <c r="L1754" s="46" t="str">
        <f t="shared" si="167"/>
        <v/>
      </c>
      <c r="M1754" t="str" cm="1">
        <f t="array" ref="M1754">IF(L1754="","",_xlfn.IFS(
  AND(L1754&gt;=TIME(9,0,0), L1754&lt;TIME(16,0,0)),"Morning",
  AND(L1754&gt;=TIME(16,0,0), L1754&lt;TIME(23,59,0)),"Evening",
  L1754&gt;=TIME(23,59,0),"Night",
  L1754&lt;TIME(9,0,0),"Night"
))</f>
        <v/>
      </c>
      <c r="O1754" t="str">
        <f t="shared" si="164"/>
        <v/>
      </c>
    </row>
    <row r="1755" spans="1:15" x14ac:dyDescent="0.25">
      <c r="A1755" s="49"/>
      <c r="G1755" t="str">
        <f t="shared" si="162"/>
        <v/>
      </c>
      <c r="H1755" s="13" t="str">
        <f t="shared" si="165"/>
        <v/>
      </c>
      <c r="I1755" t="str">
        <f>IFERROR(INDEX(Analysis!$D$116:$N$137, MATCH(B1755, Analysis!$C$116:$C$137, 0), MATCH(C1755, Analysis!$D$115:$N$115, 0)), "")</f>
        <v/>
      </c>
      <c r="J1755" t="str">
        <f t="shared" si="166"/>
        <v/>
      </c>
      <c r="K1755" s="28" t="str">
        <f t="shared" si="163"/>
        <v/>
      </c>
      <c r="L1755" s="46" t="str">
        <f t="shared" si="167"/>
        <v/>
      </c>
      <c r="M1755" t="str" cm="1">
        <f t="array" ref="M1755">IF(L1755="","",_xlfn.IFS(
  AND(L1755&gt;=TIME(9,0,0), L1755&lt;TIME(16,0,0)),"Morning",
  AND(L1755&gt;=TIME(16,0,0), L1755&lt;TIME(23,59,0)),"Evening",
  L1755&gt;=TIME(23,59,0),"Night",
  L1755&lt;TIME(9,0,0),"Night"
))</f>
        <v/>
      </c>
      <c r="O1755" t="str">
        <f t="shared" si="164"/>
        <v/>
      </c>
    </row>
    <row r="1756" spans="1:15" x14ac:dyDescent="0.25">
      <c r="A1756" s="49"/>
      <c r="G1756" t="str">
        <f t="shared" si="162"/>
        <v/>
      </c>
      <c r="H1756" s="13" t="str">
        <f t="shared" si="165"/>
        <v/>
      </c>
      <c r="I1756" t="str">
        <f>IFERROR(INDEX(Analysis!$D$116:$N$137, MATCH(B1756, Analysis!$C$116:$C$137, 0), MATCH(C1756, Analysis!$D$115:$N$115, 0)), "")</f>
        <v/>
      </c>
      <c r="J1756" t="str">
        <f t="shared" si="166"/>
        <v/>
      </c>
      <c r="K1756" s="28" t="str">
        <f t="shared" si="163"/>
        <v/>
      </c>
      <c r="L1756" s="46" t="str">
        <f t="shared" si="167"/>
        <v/>
      </c>
      <c r="M1756" t="str" cm="1">
        <f t="array" ref="M1756">IF(L1756="","",_xlfn.IFS(
  AND(L1756&gt;=TIME(9,0,0), L1756&lt;TIME(16,0,0)),"Morning",
  AND(L1756&gt;=TIME(16,0,0), L1756&lt;TIME(23,59,0)),"Evening",
  L1756&gt;=TIME(23,59,0),"Night",
  L1756&lt;TIME(9,0,0),"Night"
))</f>
        <v/>
      </c>
      <c r="O1756" t="str">
        <f t="shared" si="164"/>
        <v/>
      </c>
    </row>
    <row r="1757" spans="1:15" x14ac:dyDescent="0.25">
      <c r="A1757" s="49"/>
      <c r="G1757" t="str">
        <f t="shared" si="162"/>
        <v/>
      </c>
      <c r="H1757" s="13" t="str">
        <f t="shared" si="165"/>
        <v/>
      </c>
      <c r="I1757" t="str">
        <f>IFERROR(INDEX(Analysis!$D$116:$N$137, MATCH(B1757, Analysis!$C$116:$C$137, 0), MATCH(C1757, Analysis!$D$115:$N$115, 0)), "")</f>
        <v/>
      </c>
      <c r="J1757" t="str">
        <f t="shared" si="166"/>
        <v/>
      </c>
      <c r="K1757" s="28" t="str">
        <f t="shared" si="163"/>
        <v/>
      </c>
      <c r="L1757" s="46" t="str">
        <f t="shared" si="167"/>
        <v/>
      </c>
      <c r="M1757" t="str" cm="1">
        <f t="array" ref="M1757">IF(L1757="","",_xlfn.IFS(
  AND(L1757&gt;=TIME(9,0,0), L1757&lt;TIME(16,0,0)),"Morning",
  AND(L1757&gt;=TIME(16,0,0), L1757&lt;TIME(23,59,0)),"Evening",
  L1757&gt;=TIME(23,59,0),"Night",
  L1757&lt;TIME(9,0,0),"Night"
))</f>
        <v/>
      </c>
      <c r="O1757" t="str">
        <f t="shared" si="164"/>
        <v/>
      </c>
    </row>
    <row r="1758" spans="1:15" x14ac:dyDescent="0.25">
      <c r="A1758" s="49"/>
      <c r="G1758" t="str">
        <f t="shared" si="162"/>
        <v/>
      </c>
      <c r="H1758" s="13" t="str">
        <f t="shared" si="165"/>
        <v/>
      </c>
      <c r="I1758" t="str">
        <f>IFERROR(INDEX(Analysis!$D$116:$N$137, MATCH(B1758, Analysis!$C$116:$C$137, 0), MATCH(C1758, Analysis!$D$115:$N$115, 0)), "")</f>
        <v/>
      </c>
      <c r="J1758" t="str">
        <f t="shared" si="166"/>
        <v/>
      </c>
      <c r="K1758" s="28" t="str">
        <f t="shared" si="163"/>
        <v/>
      </c>
      <c r="L1758" s="46" t="str">
        <f t="shared" si="167"/>
        <v/>
      </c>
      <c r="M1758" t="str" cm="1">
        <f t="array" ref="M1758">IF(L1758="","",_xlfn.IFS(
  AND(L1758&gt;=TIME(9,0,0), L1758&lt;TIME(16,0,0)),"Morning",
  AND(L1758&gt;=TIME(16,0,0), L1758&lt;TIME(23,59,0)),"Evening",
  L1758&gt;=TIME(23,59,0),"Night",
  L1758&lt;TIME(9,0,0),"Night"
))</f>
        <v/>
      </c>
      <c r="O1758" t="str">
        <f t="shared" si="164"/>
        <v/>
      </c>
    </row>
    <row r="1759" spans="1:15" x14ac:dyDescent="0.25">
      <c r="A1759" s="49"/>
      <c r="G1759" t="str">
        <f t="shared" si="162"/>
        <v/>
      </c>
      <c r="H1759" s="13" t="str">
        <f t="shared" si="165"/>
        <v/>
      </c>
      <c r="I1759" t="str">
        <f>IFERROR(INDEX(Analysis!$D$116:$N$137, MATCH(B1759, Analysis!$C$116:$C$137, 0), MATCH(C1759, Analysis!$D$115:$N$115, 0)), "")</f>
        <v/>
      </c>
      <c r="J1759" t="str">
        <f t="shared" si="166"/>
        <v/>
      </c>
      <c r="K1759" s="28" t="str">
        <f t="shared" si="163"/>
        <v/>
      </c>
      <c r="L1759" s="46" t="str">
        <f t="shared" si="167"/>
        <v/>
      </c>
      <c r="M1759" t="str" cm="1">
        <f t="array" ref="M1759">IF(L1759="","",_xlfn.IFS(
  AND(L1759&gt;=TIME(9,0,0), L1759&lt;TIME(16,0,0)),"Morning",
  AND(L1759&gt;=TIME(16,0,0), L1759&lt;TIME(23,59,0)),"Evening",
  L1759&gt;=TIME(23,59,0),"Night",
  L1759&lt;TIME(9,0,0),"Night"
))</f>
        <v/>
      </c>
      <c r="O1759" t="str">
        <f t="shared" si="164"/>
        <v/>
      </c>
    </row>
    <row r="1760" spans="1:15" x14ac:dyDescent="0.25">
      <c r="A1760" s="49"/>
      <c r="G1760" t="str">
        <f t="shared" si="162"/>
        <v/>
      </c>
      <c r="H1760" s="13" t="str">
        <f t="shared" si="165"/>
        <v/>
      </c>
      <c r="I1760" t="str">
        <f>IFERROR(INDEX(Analysis!$D$116:$N$137, MATCH(B1760, Analysis!$C$116:$C$137, 0), MATCH(C1760, Analysis!$D$115:$N$115, 0)), "")</f>
        <v/>
      </c>
      <c r="J1760" t="str">
        <f t="shared" si="166"/>
        <v/>
      </c>
      <c r="K1760" s="28" t="str">
        <f t="shared" si="163"/>
        <v/>
      </c>
      <c r="L1760" s="46" t="str">
        <f t="shared" si="167"/>
        <v/>
      </c>
      <c r="M1760" t="str" cm="1">
        <f t="array" ref="M1760">IF(L1760="","",_xlfn.IFS(
  AND(L1760&gt;=TIME(9,0,0), L1760&lt;TIME(16,0,0)),"Morning",
  AND(L1760&gt;=TIME(16,0,0), L1760&lt;TIME(23,59,0)),"Evening",
  L1760&gt;=TIME(23,59,0),"Night",
  L1760&lt;TIME(9,0,0),"Night"
))</f>
        <v/>
      </c>
      <c r="O1760" t="str">
        <f t="shared" si="164"/>
        <v/>
      </c>
    </row>
    <row r="1761" spans="1:15" x14ac:dyDescent="0.25">
      <c r="A1761" s="49"/>
      <c r="G1761" t="str">
        <f t="shared" si="162"/>
        <v/>
      </c>
      <c r="H1761" s="13" t="str">
        <f t="shared" si="165"/>
        <v/>
      </c>
      <c r="I1761" t="str">
        <f>IFERROR(INDEX(Analysis!$D$116:$N$137, MATCH(B1761, Analysis!$C$116:$C$137, 0), MATCH(C1761, Analysis!$D$115:$N$115, 0)), "")</f>
        <v/>
      </c>
      <c r="J1761" t="str">
        <f t="shared" si="166"/>
        <v/>
      </c>
      <c r="K1761" s="28" t="str">
        <f t="shared" si="163"/>
        <v/>
      </c>
      <c r="L1761" s="46" t="str">
        <f t="shared" si="167"/>
        <v/>
      </c>
      <c r="M1761" t="str" cm="1">
        <f t="array" ref="M1761">IF(L1761="","",_xlfn.IFS(
  AND(L1761&gt;=TIME(9,0,0), L1761&lt;TIME(16,0,0)),"Morning",
  AND(L1761&gt;=TIME(16,0,0), L1761&lt;TIME(23,59,0)),"Evening",
  L1761&gt;=TIME(23,59,0),"Night",
  L1761&lt;TIME(9,0,0),"Night"
))</f>
        <v/>
      </c>
      <c r="O1761" t="str">
        <f t="shared" si="164"/>
        <v/>
      </c>
    </row>
    <row r="1762" spans="1:15" x14ac:dyDescent="0.25">
      <c r="A1762" s="49"/>
      <c r="G1762" t="str">
        <f t="shared" si="162"/>
        <v/>
      </c>
      <c r="H1762" s="13" t="str">
        <f t="shared" si="165"/>
        <v/>
      </c>
      <c r="I1762" t="str">
        <f>IFERROR(INDEX(Analysis!$D$116:$N$137, MATCH(B1762, Analysis!$C$116:$C$137, 0), MATCH(C1762, Analysis!$D$115:$N$115, 0)), "")</f>
        <v/>
      </c>
      <c r="J1762" t="str">
        <f t="shared" si="166"/>
        <v/>
      </c>
      <c r="K1762" s="28" t="str">
        <f t="shared" si="163"/>
        <v/>
      </c>
      <c r="L1762" s="46" t="str">
        <f t="shared" si="167"/>
        <v/>
      </c>
      <c r="M1762" t="str" cm="1">
        <f t="array" ref="M1762">IF(L1762="","",_xlfn.IFS(
  AND(L1762&gt;=TIME(9,0,0), L1762&lt;TIME(16,0,0)),"Morning",
  AND(L1762&gt;=TIME(16,0,0), L1762&lt;TIME(23,59,0)),"Evening",
  L1762&gt;=TIME(23,59,0),"Night",
  L1762&lt;TIME(9,0,0),"Night"
))</f>
        <v/>
      </c>
      <c r="O1762" t="str">
        <f t="shared" si="164"/>
        <v/>
      </c>
    </row>
    <row r="1763" spans="1:15" x14ac:dyDescent="0.25">
      <c r="A1763" s="49"/>
      <c r="G1763" t="str">
        <f t="shared" si="162"/>
        <v/>
      </c>
      <c r="H1763" s="13" t="str">
        <f t="shared" si="165"/>
        <v/>
      </c>
      <c r="I1763" t="str">
        <f>IFERROR(INDEX(Analysis!$D$116:$N$137, MATCH(B1763, Analysis!$C$116:$C$137, 0), MATCH(C1763, Analysis!$D$115:$N$115, 0)), "")</f>
        <v/>
      </c>
      <c r="J1763" t="str">
        <f t="shared" si="166"/>
        <v/>
      </c>
      <c r="K1763" s="28" t="str">
        <f t="shared" si="163"/>
        <v/>
      </c>
      <c r="L1763" s="46" t="str">
        <f t="shared" si="167"/>
        <v/>
      </c>
      <c r="M1763" t="str" cm="1">
        <f t="array" ref="M1763">IF(L1763="","",_xlfn.IFS(
  AND(L1763&gt;=TIME(9,0,0), L1763&lt;TIME(16,0,0)),"Morning",
  AND(L1763&gt;=TIME(16,0,0), L1763&lt;TIME(23,59,0)),"Evening",
  L1763&gt;=TIME(23,59,0),"Night",
  L1763&lt;TIME(9,0,0),"Night"
))</f>
        <v/>
      </c>
      <c r="O1763" t="str">
        <f t="shared" si="164"/>
        <v/>
      </c>
    </row>
    <row r="1764" spans="1:15" x14ac:dyDescent="0.25">
      <c r="A1764" s="49"/>
      <c r="G1764" t="str">
        <f t="shared" si="162"/>
        <v/>
      </c>
      <c r="H1764" s="13" t="str">
        <f t="shared" si="165"/>
        <v/>
      </c>
      <c r="I1764" t="str">
        <f>IFERROR(INDEX(Analysis!$D$116:$N$137, MATCH(B1764, Analysis!$C$116:$C$137, 0), MATCH(C1764, Analysis!$D$115:$N$115, 0)), "")</f>
        <v/>
      </c>
      <c r="J1764" t="str">
        <f t="shared" si="166"/>
        <v/>
      </c>
      <c r="K1764" s="28" t="str">
        <f t="shared" si="163"/>
        <v/>
      </c>
      <c r="L1764" s="46" t="str">
        <f t="shared" si="167"/>
        <v/>
      </c>
      <c r="M1764" t="str" cm="1">
        <f t="array" ref="M1764">IF(L1764="","",_xlfn.IFS(
  AND(L1764&gt;=TIME(9,0,0), L1764&lt;TIME(16,0,0)),"Morning",
  AND(L1764&gt;=TIME(16,0,0), L1764&lt;TIME(23,59,0)),"Evening",
  L1764&gt;=TIME(23,59,0),"Night",
  L1764&lt;TIME(9,0,0),"Night"
))</f>
        <v/>
      </c>
      <c r="O1764" t="str">
        <f t="shared" si="164"/>
        <v/>
      </c>
    </row>
    <row r="1765" spans="1:15" x14ac:dyDescent="0.25">
      <c r="A1765" s="49"/>
      <c r="G1765" t="str">
        <f t="shared" si="162"/>
        <v/>
      </c>
      <c r="H1765" s="13" t="str">
        <f t="shared" si="165"/>
        <v/>
      </c>
      <c r="I1765" t="str">
        <f>IFERROR(INDEX(Analysis!$D$116:$N$137, MATCH(B1765, Analysis!$C$116:$C$137, 0), MATCH(C1765, Analysis!$D$115:$N$115, 0)), "")</f>
        <v/>
      </c>
      <c r="J1765" t="str">
        <f t="shared" si="166"/>
        <v/>
      </c>
      <c r="K1765" s="28" t="str">
        <f t="shared" si="163"/>
        <v/>
      </c>
      <c r="L1765" s="46" t="str">
        <f t="shared" si="167"/>
        <v/>
      </c>
      <c r="M1765" t="str" cm="1">
        <f t="array" ref="M1765">IF(L1765="","",_xlfn.IFS(
  AND(L1765&gt;=TIME(9,0,0), L1765&lt;TIME(16,0,0)),"Morning",
  AND(L1765&gt;=TIME(16,0,0), L1765&lt;TIME(23,59,0)),"Evening",
  L1765&gt;=TIME(23,59,0),"Night",
  L1765&lt;TIME(9,0,0),"Night"
))</f>
        <v/>
      </c>
      <c r="O1765" t="str">
        <f t="shared" si="164"/>
        <v/>
      </c>
    </row>
    <row r="1766" spans="1:15" x14ac:dyDescent="0.25">
      <c r="A1766" s="49"/>
      <c r="G1766" t="str">
        <f t="shared" si="162"/>
        <v/>
      </c>
      <c r="H1766" s="13" t="str">
        <f t="shared" si="165"/>
        <v/>
      </c>
      <c r="I1766" t="str">
        <f>IFERROR(INDEX(Analysis!$D$116:$N$137, MATCH(B1766, Analysis!$C$116:$C$137, 0), MATCH(C1766, Analysis!$D$115:$N$115, 0)), "")</f>
        <v/>
      </c>
      <c r="J1766" t="str">
        <f t="shared" si="166"/>
        <v/>
      </c>
      <c r="K1766" s="28" t="str">
        <f t="shared" si="163"/>
        <v/>
      </c>
      <c r="L1766" s="46" t="str">
        <f t="shared" si="167"/>
        <v/>
      </c>
      <c r="M1766" t="str" cm="1">
        <f t="array" ref="M1766">IF(L1766="","",_xlfn.IFS(
  AND(L1766&gt;=TIME(9,0,0), L1766&lt;TIME(16,0,0)),"Morning",
  AND(L1766&gt;=TIME(16,0,0), L1766&lt;TIME(23,59,0)),"Evening",
  L1766&gt;=TIME(23,59,0),"Night",
  L1766&lt;TIME(9,0,0),"Night"
))</f>
        <v/>
      </c>
      <c r="O1766" t="str">
        <f t="shared" si="164"/>
        <v/>
      </c>
    </row>
    <row r="1767" spans="1:15" x14ac:dyDescent="0.25">
      <c r="A1767" s="49"/>
      <c r="G1767" t="str">
        <f t="shared" si="162"/>
        <v/>
      </c>
      <c r="H1767" s="13" t="str">
        <f t="shared" si="165"/>
        <v/>
      </c>
      <c r="I1767" t="str">
        <f>IFERROR(INDEX(Analysis!$D$116:$N$137, MATCH(B1767, Analysis!$C$116:$C$137, 0), MATCH(C1767, Analysis!$D$115:$N$115, 0)), "")</f>
        <v/>
      </c>
      <c r="J1767" t="str">
        <f t="shared" si="166"/>
        <v/>
      </c>
      <c r="K1767" s="28" t="str">
        <f t="shared" si="163"/>
        <v/>
      </c>
      <c r="L1767" s="46" t="str">
        <f t="shared" si="167"/>
        <v/>
      </c>
      <c r="M1767" t="str" cm="1">
        <f t="array" ref="M1767">IF(L1767="","",_xlfn.IFS(
  AND(L1767&gt;=TIME(9,0,0), L1767&lt;TIME(16,0,0)),"Morning",
  AND(L1767&gt;=TIME(16,0,0), L1767&lt;TIME(23,59,0)),"Evening",
  L1767&gt;=TIME(23,59,0),"Night",
  L1767&lt;TIME(9,0,0),"Night"
))</f>
        <v/>
      </c>
      <c r="O1767" t="str">
        <f t="shared" si="164"/>
        <v/>
      </c>
    </row>
    <row r="1768" spans="1:15" x14ac:dyDescent="0.25">
      <c r="A1768" s="49"/>
      <c r="G1768" t="str">
        <f t="shared" si="162"/>
        <v/>
      </c>
      <c r="H1768" s="13" t="str">
        <f t="shared" si="165"/>
        <v/>
      </c>
      <c r="I1768" t="str">
        <f>IFERROR(INDEX(Analysis!$D$116:$N$137, MATCH(B1768, Analysis!$C$116:$C$137, 0), MATCH(C1768, Analysis!$D$115:$N$115, 0)), "")</f>
        <v/>
      </c>
      <c r="J1768" t="str">
        <f t="shared" si="166"/>
        <v/>
      </c>
      <c r="K1768" s="28" t="str">
        <f t="shared" si="163"/>
        <v/>
      </c>
      <c r="L1768" s="46" t="str">
        <f t="shared" si="167"/>
        <v/>
      </c>
      <c r="M1768" t="str" cm="1">
        <f t="array" ref="M1768">IF(L1768="","",_xlfn.IFS(
  AND(L1768&gt;=TIME(9,0,0), L1768&lt;TIME(16,0,0)),"Morning",
  AND(L1768&gt;=TIME(16,0,0), L1768&lt;TIME(23,59,0)),"Evening",
  L1768&gt;=TIME(23,59,0),"Night",
  L1768&lt;TIME(9,0,0),"Night"
))</f>
        <v/>
      </c>
      <c r="O1768" t="str">
        <f t="shared" si="164"/>
        <v/>
      </c>
    </row>
    <row r="1769" spans="1:15" x14ac:dyDescent="0.25">
      <c r="A1769" s="49"/>
      <c r="G1769" t="str">
        <f t="shared" si="162"/>
        <v/>
      </c>
      <c r="H1769" s="13" t="str">
        <f t="shared" si="165"/>
        <v/>
      </c>
      <c r="I1769" t="str">
        <f>IFERROR(INDEX(Analysis!$D$116:$N$137, MATCH(B1769, Analysis!$C$116:$C$137, 0), MATCH(C1769, Analysis!$D$115:$N$115, 0)), "")</f>
        <v/>
      </c>
      <c r="J1769" t="str">
        <f t="shared" si="166"/>
        <v/>
      </c>
      <c r="K1769" s="28" t="str">
        <f t="shared" si="163"/>
        <v/>
      </c>
      <c r="L1769" s="46" t="str">
        <f t="shared" si="167"/>
        <v/>
      </c>
      <c r="M1769" t="str" cm="1">
        <f t="array" ref="M1769">IF(L1769="","",_xlfn.IFS(
  AND(L1769&gt;=TIME(9,0,0), L1769&lt;TIME(16,0,0)),"Morning",
  AND(L1769&gt;=TIME(16,0,0), L1769&lt;TIME(23,59,0)),"Evening",
  L1769&gt;=TIME(23,59,0),"Night",
  L1769&lt;TIME(9,0,0),"Night"
))</f>
        <v/>
      </c>
      <c r="O1769" t="str">
        <f t="shared" si="164"/>
        <v/>
      </c>
    </row>
    <row r="1770" spans="1:15" x14ac:dyDescent="0.25">
      <c r="A1770" s="49"/>
      <c r="G1770" t="str">
        <f t="shared" si="162"/>
        <v/>
      </c>
      <c r="H1770" s="13" t="str">
        <f t="shared" si="165"/>
        <v/>
      </c>
      <c r="I1770" t="str">
        <f>IFERROR(INDEX(Analysis!$D$116:$N$137, MATCH(B1770, Analysis!$C$116:$C$137, 0), MATCH(C1770, Analysis!$D$115:$N$115, 0)), "")</f>
        <v/>
      </c>
      <c r="J1770" t="str">
        <f t="shared" si="166"/>
        <v/>
      </c>
      <c r="K1770" s="28" t="str">
        <f t="shared" si="163"/>
        <v/>
      </c>
      <c r="L1770" s="46" t="str">
        <f t="shared" si="167"/>
        <v/>
      </c>
      <c r="M1770" t="str" cm="1">
        <f t="array" ref="M1770">IF(L1770="","",_xlfn.IFS(
  AND(L1770&gt;=TIME(9,0,0), L1770&lt;TIME(16,0,0)),"Morning",
  AND(L1770&gt;=TIME(16,0,0), L1770&lt;TIME(23,59,0)),"Evening",
  L1770&gt;=TIME(23,59,0),"Night",
  L1770&lt;TIME(9,0,0),"Night"
))</f>
        <v/>
      </c>
      <c r="O1770" t="str">
        <f t="shared" si="164"/>
        <v/>
      </c>
    </row>
    <row r="1771" spans="1:15" x14ac:dyDescent="0.25">
      <c r="A1771" s="49"/>
      <c r="G1771" t="str">
        <f t="shared" si="162"/>
        <v/>
      </c>
      <c r="H1771" s="13" t="str">
        <f t="shared" si="165"/>
        <v/>
      </c>
      <c r="I1771" t="str">
        <f>IFERROR(INDEX(Analysis!$D$116:$N$137, MATCH(B1771, Analysis!$C$116:$C$137, 0), MATCH(C1771, Analysis!$D$115:$N$115, 0)), "")</f>
        <v/>
      </c>
      <c r="J1771" t="str">
        <f t="shared" si="166"/>
        <v/>
      </c>
      <c r="K1771" s="28" t="str">
        <f t="shared" si="163"/>
        <v/>
      </c>
      <c r="L1771" s="46" t="str">
        <f t="shared" si="167"/>
        <v/>
      </c>
      <c r="M1771" t="str" cm="1">
        <f t="array" ref="M1771">IF(L1771="","",_xlfn.IFS(
  AND(L1771&gt;=TIME(9,0,0), L1771&lt;TIME(16,0,0)),"Morning",
  AND(L1771&gt;=TIME(16,0,0), L1771&lt;TIME(23,59,0)),"Evening",
  L1771&gt;=TIME(23,59,0),"Night",
  L1771&lt;TIME(9,0,0),"Night"
))</f>
        <v/>
      </c>
      <c r="O1771" t="str">
        <f t="shared" si="164"/>
        <v/>
      </c>
    </row>
    <row r="1772" spans="1:15" x14ac:dyDescent="0.25">
      <c r="A1772" s="49"/>
      <c r="G1772" t="str">
        <f t="shared" si="162"/>
        <v/>
      </c>
      <c r="H1772" s="13" t="str">
        <f t="shared" si="165"/>
        <v/>
      </c>
      <c r="I1772" t="str">
        <f>IFERROR(INDEX(Analysis!$D$116:$N$137, MATCH(B1772, Analysis!$C$116:$C$137, 0), MATCH(C1772, Analysis!$D$115:$N$115, 0)), "")</f>
        <v/>
      </c>
      <c r="J1772" t="str">
        <f t="shared" si="166"/>
        <v/>
      </c>
      <c r="K1772" s="28" t="str">
        <f t="shared" si="163"/>
        <v/>
      </c>
      <c r="L1772" s="46" t="str">
        <f t="shared" si="167"/>
        <v/>
      </c>
      <c r="M1772" t="str" cm="1">
        <f t="array" ref="M1772">IF(L1772="","",_xlfn.IFS(
  AND(L1772&gt;=TIME(9,0,0), L1772&lt;TIME(16,0,0)),"Morning",
  AND(L1772&gt;=TIME(16,0,0), L1772&lt;TIME(23,59,0)),"Evening",
  L1772&gt;=TIME(23,59,0),"Night",
  L1772&lt;TIME(9,0,0),"Night"
))</f>
        <v/>
      </c>
      <c r="O1772" t="str">
        <f t="shared" si="164"/>
        <v/>
      </c>
    </row>
    <row r="1773" spans="1:15" x14ac:dyDescent="0.25">
      <c r="A1773" s="49"/>
      <c r="G1773" t="str">
        <f t="shared" si="162"/>
        <v/>
      </c>
      <c r="H1773" s="13" t="str">
        <f t="shared" si="165"/>
        <v/>
      </c>
      <c r="I1773" t="str">
        <f>IFERROR(INDEX(Analysis!$D$116:$N$137, MATCH(B1773, Analysis!$C$116:$C$137, 0), MATCH(C1773, Analysis!$D$115:$N$115, 0)), "")</f>
        <v/>
      </c>
      <c r="J1773" t="str">
        <f t="shared" si="166"/>
        <v/>
      </c>
      <c r="K1773" s="28" t="str">
        <f t="shared" si="163"/>
        <v/>
      </c>
      <c r="L1773" s="46" t="str">
        <f t="shared" si="167"/>
        <v/>
      </c>
      <c r="M1773" t="str" cm="1">
        <f t="array" ref="M1773">IF(L1773="","",_xlfn.IFS(
  AND(L1773&gt;=TIME(9,0,0), L1773&lt;TIME(16,0,0)),"Morning",
  AND(L1773&gt;=TIME(16,0,0), L1773&lt;TIME(23,59,0)),"Evening",
  L1773&gt;=TIME(23,59,0),"Night",
  L1773&lt;TIME(9,0,0),"Night"
))</f>
        <v/>
      </c>
      <c r="O1773" t="str">
        <f t="shared" si="164"/>
        <v/>
      </c>
    </row>
    <row r="1774" spans="1:15" x14ac:dyDescent="0.25">
      <c r="A1774" s="49"/>
      <c r="G1774" t="str">
        <f t="shared" si="162"/>
        <v/>
      </c>
      <c r="H1774" s="13" t="str">
        <f t="shared" si="165"/>
        <v/>
      </c>
      <c r="I1774" t="str">
        <f>IFERROR(INDEX(Analysis!$D$116:$N$137, MATCH(B1774, Analysis!$C$116:$C$137, 0), MATCH(C1774, Analysis!$D$115:$N$115, 0)), "")</f>
        <v/>
      </c>
      <c r="J1774" t="str">
        <f t="shared" si="166"/>
        <v/>
      </c>
      <c r="K1774" s="28" t="str">
        <f t="shared" si="163"/>
        <v/>
      </c>
      <c r="L1774" s="46" t="str">
        <f t="shared" si="167"/>
        <v/>
      </c>
      <c r="M1774" t="str" cm="1">
        <f t="array" ref="M1774">IF(L1774="","",_xlfn.IFS(
  AND(L1774&gt;=TIME(9,0,0), L1774&lt;TIME(16,0,0)),"Morning",
  AND(L1774&gt;=TIME(16,0,0), L1774&lt;TIME(23,59,0)),"Evening",
  L1774&gt;=TIME(23,59,0),"Night",
  L1774&lt;TIME(9,0,0),"Night"
))</f>
        <v/>
      </c>
      <c r="O1774" t="str">
        <f t="shared" si="164"/>
        <v/>
      </c>
    </row>
    <row r="1775" spans="1:15" x14ac:dyDescent="0.25">
      <c r="A1775" s="49"/>
      <c r="G1775" t="str">
        <f t="shared" si="162"/>
        <v/>
      </c>
      <c r="H1775" s="13" t="str">
        <f t="shared" si="165"/>
        <v/>
      </c>
      <c r="I1775" t="str">
        <f>IFERROR(INDEX(Analysis!$D$116:$N$137, MATCH(B1775, Analysis!$C$116:$C$137, 0), MATCH(C1775, Analysis!$D$115:$N$115, 0)), "")</f>
        <v/>
      </c>
      <c r="J1775" t="str">
        <f t="shared" si="166"/>
        <v/>
      </c>
      <c r="K1775" s="28" t="str">
        <f t="shared" si="163"/>
        <v/>
      </c>
      <c r="L1775" s="46" t="str">
        <f t="shared" si="167"/>
        <v/>
      </c>
      <c r="M1775" t="str" cm="1">
        <f t="array" ref="M1775">IF(L1775="","",_xlfn.IFS(
  AND(L1775&gt;=TIME(9,0,0), L1775&lt;TIME(16,0,0)),"Morning",
  AND(L1775&gt;=TIME(16,0,0), L1775&lt;TIME(23,59,0)),"Evening",
  L1775&gt;=TIME(23,59,0),"Night",
  L1775&lt;TIME(9,0,0),"Night"
))</f>
        <v/>
      </c>
      <c r="O1775" t="str">
        <f t="shared" si="164"/>
        <v/>
      </c>
    </row>
    <row r="1776" spans="1:15" x14ac:dyDescent="0.25">
      <c r="A1776" s="49"/>
      <c r="G1776" t="str">
        <f t="shared" si="162"/>
        <v/>
      </c>
      <c r="H1776" s="13" t="str">
        <f t="shared" si="165"/>
        <v/>
      </c>
      <c r="I1776" t="str">
        <f>IFERROR(INDEX(Analysis!$D$116:$N$137, MATCH(B1776, Analysis!$C$116:$C$137, 0), MATCH(C1776, Analysis!$D$115:$N$115, 0)), "")</f>
        <v/>
      </c>
      <c r="J1776" t="str">
        <f t="shared" si="166"/>
        <v/>
      </c>
      <c r="K1776" s="28" t="str">
        <f t="shared" si="163"/>
        <v/>
      </c>
      <c r="L1776" s="46" t="str">
        <f t="shared" si="167"/>
        <v/>
      </c>
      <c r="M1776" t="str" cm="1">
        <f t="array" ref="M1776">IF(L1776="","",_xlfn.IFS(
  AND(L1776&gt;=TIME(9,0,0), L1776&lt;TIME(16,0,0)),"Morning",
  AND(L1776&gt;=TIME(16,0,0), L1776&lt;TIME(23,59,0)),"Evening",
  L1776&gt;=TIME(23,59,0),"Night",
  L1776&lt;TIME(9,0,0),"Night"
))</f>
        <v/>
      </c>
      <c r="O1776" t="str">
        <f t="shared" si="164"/>
        <v/>
      </c>
    </row>
    <row r="1777" spans="7:15" x14ac:dyDescent="0.25">
      <c r="G1777" t="str">
        <f t="shared" si="162"/>
        <v/>
      </c>
      <c r="H1777" s="13" t="str">
        <f t="shared" si="165"/>
        <v/>
      </c>
      <c r="I1777" t="str">
        <f>IFERROR(INDEX(Analysis!$D$116:$N$137, MATCH(B1777, Analysis!$C$116:$C$137, 0), MATCH(C1777, Analysis!$D$115:$N$115, 0)), "")</f>
        <v/>
      </c>
      <c r="J1777" t="str">
        <f t="shared" si="166"/>
        <v/>
      </c>
      <c r="K1777" s="28" t="str">
        <f t="shared" si="163"/>
        <v/>
      </c>
      <c r="L1777" s="46" t="str">
        <f t="shared" si="167"/>
        <v/>
      </c>
      <c r="M1777" t="str" cm="1">
        <f t="array" ref="M1777">IF(L1777="","",_xlfn.IFS(
  AND(L1777&gt;=TIME(9,0,0), L1777&lt;TIME(16,0,0)),"Morning",
  AND(L1777&gt;=TIME(16,0,0), L1777&lt;TIME(23,59,0)),"Evening",
  L1777&gt;=TIME(23,59,0),"Night",
  L1777&lt;TIME(9,0,0),"Night"
))</f>
        <v/>
      </c>
      <c r="O1777" t="str">
        <f t="shared" si="164"/>
        <v/>
      </c>
    </row>
    <row r="1778" spans="7:15" x14ac:dyDescent="0.25">
      <c r="G1778" t="str">
        <f t="shared" si="162"/>
        <v/>
      </c>
      <c r="H1778" s="13" t="str">
        <f t="shared" si="165"/>
        <v/>
      </c>
      <c r="I1778" t="str">
        <f>IFERROR(INDEX(Analysis!$D$116:$N$137, MATCH(B1778, Analysis!$C$116:$C$137, 0), MATCH(C1778, Analysis!$D$115:$N$115, 0)), "")</f>
        <v/>
      </c>
      <c r="J1778" t="str">
        <f t="shared" si="166"/>
        <v/>
      </c>
      <c r="K1778" s="28" t="str">
        <f t="shared" si="163"/>
        <v/>
      </c>
      <c r="L1778" s="46" t="str">
        <f t="shared" si="167"/>
        <v/>
      </c>
      <c r="M1778" t="str" cm="1">
        <f t="array" ref="M1778">IF(L1778="","",_xlfn.IFS(
  AND(L1778&gt;=TIME(9,0,0), L1778&lt;TIME(16,0,0)),"Morning",
  AND(L1778&gt;=TIME(16,0,0), L1778&lt;TIME(23,59,0)),"Evening",
  L1778&gt;=TIME(23,59,0),"Night",
  L1778&lt;TIME(9,0,0),"Night"
))</f>
        <v/>
      </c>
      <c r="O1778" t="str">
        <f t="shared" si="164"/>
        <v/>
      </c>
    </row>
    <row r="1779" spans="7:15" x14ac:dyDescent="0.25">
      <c r="G1779" t="str">
        <f t="shared" si="162"/>
        <v/>
      </c>
      <c r="H1779" s="13" t="str">
        <f t="shared" si="165"/>
        <v/>
      </c>
      <c r="I1779" t="str">
        <f>IFERROR(INDEX(Analysis!$D$116:$N$137, MATCH(B1779, Analysis!$C$116:$C$137, 0), MATCH(C1779, Analysis!$D$115:$N$115, 0)), "")</f>
        <v/>
      </c>
      <c r="J1779" t="str">
        <f t="shared" si="166"/>
        <v/>
      </c>
      <c r="K1779" s="28" t="str">
        <f t="shared" si="163"/>
        <v/>
      </c>
      <c r="L1779" s="46" t="str">
        <f t="shared" si="167"/>
        <v/>
      </c>
      <c r="M1779" t="str" cm="1">
        <f t="array" ref="M1779">IF(L1779="","",_xlfn.IFS(
  AND(L1779&gt;=TIME(9,0,0), L1779&lt;TIME(16,0,0)),"Morning",
  AND(L1779&gt;=TIME(16,0,0), L1779&lt;TIME(23,59,0)),"Evening",
  L1779&gt;=TIME(23,59,0),"Night",
  L1779&lt;TIME(9,0,0),"Night"
))</f>
        <v/>
      </c>
      <c r="O1779" t="str">
        <f t="shared" si="164"/>
        <v/>
      </c>
    </row>
    <row r="1780" spans="7:15" x14ac:dyDescent="0.25">
      <c r="G1780" t="str">
        <f t="shared" si="162"/>
        <v/>
      </c>
      <c r="H1780" s="13" t="str">
        <f t="shared" si="165"/>
        <v/>
      </c>
      <c r="I1780" t="str">
        <f>IFERROR(INDEX(Analysis!$D$116:$N$137, MATCH(B1780, Analysis!$C$116:$C$137, 0), MATCH(C1780, Analysis!$D$115:$N$115, 0)), "")</f>
        <v/>
      </c>
      <c r="J1780" t="str">
        <f t="shared" si="166"/>
        <v/>
      </c>
      <c r="K1780" s="28" t="str">
        <f t="shared" si="163"/>
        <v/>
      </c>
      <c r="L1780" s="46" t="str">
        <f t="shared" si="167"/>
        <v/>
      </c>
      <c r="M1780" t="str" cm="1">
        <f t="array" ref="M1780">IF(L1780="","",_xlfn.IFS(
  AND(L1780&gt;=TIME(9,0,0), L1780&lt;TIME(16,0,0)),"Morning",
  AND(L1780&gt;=TIME(16,0,0), L1780&lt;TIME(23,59,0)),"Evening",
  L1780&gt;=TIME(23,59,0),"Night",
  L1780&lt;TIME(9,0,0),"Night"
))</f>
        <v/>
      </c>
      <c r="O1780" t="str">
        <f t="shared" si="164"/>
        <v/>
      </c>
    </row>
    <row r="1781" spans="7:15" x14ac:dyDescent="0.25">
      <c r="G1781" t="str">
        <f t="shared" si="162"/>
        <v/>
      </c>
      <c r="H1781" s="13" t="str">
        <f t="shared" si="165"/>
        <v/>
      </c>
      <c r="I1781" t="str">
        <f>IFERROR(INDEX(Analysis!$D$116:$N$137, MATCH(B1781, Analysis!$C$116:$C$137, 0), MATCH(C1781, Analysis!$D$115:$N$115, 0)), "")</f>
        <v/>
      </c>
      <c r="J1781" t="str">
        <f t="shared" si="166"/>
        <v/>
      </c>
      <c r="K1781" s="28" t="str">
        <f t="shared" si="163"/>
        <v/>
      </c>
      <c r="L1781" s="46" t="str">
        <f t="shared" si="167"/>
        <v/>
      </c>
      <c r="M1781" t="str" cm="1">
        <f t="array" ref="M1781">IF(L1781="","",_xlfn.IFS(
  AND(L1781&gt;=TIME(9,0,0), L1781&lt;TIME(16,0,0)),"Morning",
  AND(L1781&gt;=TIME(16,0,0), L1781&lt;TIME(23,59,0)),"Evening",
  L1781&gt;=TIME(23,59,0),"Night",
  L1781&lt;TIME(9,0,0),"Night"
))</f>
        <v/>
      </c>
      <c r="O1781" t="str">
        <f t="shared" si="164"/>
        <v/>
      </c>
    </row>
    <row r="1782" spans="7:15" x14ac:dyDescent="0.25">
      <c r="G1782" t="str">
        <f t="shared" si="162"/>
        <v/>
      </c>
      <c r="H1782" s="13" t="str">
        <f t="shared" si="165"/>
        <v/>
      </c>
      <c r="I1782" t="str">
        <f>IFERROR(INDEX(Analysis!$D$116:$N$137, MATCH(B1782, Analysis!$C$116:$C$137, 0), MATCH(C1782, Analysis!$D$115:$N$115, 0)), "")</f>
        <v/>
      </c>
      <c r="J1782" t="str">
        <f t="shared" si="166"/>
        <v/>
      </c>
      <c r="K1782" s="28" t="str">
        <f t="shared" si="163"/>
        <v/>
      </c>
      <c r="L1782" s="46" t="str">
        <f t="shared" si="167"/>
        <v/>
      </c>
      <c r="M1782" t="str" cm="1">
        <f t="array" ref="M1782">IF(L1782="","",_xlfn.IFS(
  AND(L1782&gt;=TIME(9,0,0), L1782&lt;TIME(16,0,0)),"Morning",
  AND(L1782&gt;=TIME(16,0,0), L1782&lt;TIME(23,59,0)),"Evening",
  L1782&gt;=TIME(23,59,0),"Night",
  L1782&lt;TIME(9,0,0),"Night"
))</f>
        <v/>
      </c>
      <c r="O1782" t="str">
        <f t="shared" si="164"/>
        <v/>
      </c>
    </row>
    <row r="1783" spans="7:15" x14ac:dyDescent="0.25">
      <c r="G1783" t="str">
        <f t="shared" si="162"/>
        <v/>
      </c>
      <c r="H1783" s="13" t="str">
        <f t="shared" si="165"/>
        <v/>
      </c>
      <c r="I1783" t="str">
        <f>IFERROR(INDEX(Analysis!$D$116:$N$137, MATCH(B1783, Analysis!$C$116:$C$137, 0), MATCH(C1783, Analysis!$D$115:$N$115, 0)), "")</f>
        <v/>
      </c>
      <c r="J1783" t="str">
        <f t="shared" si="166"/>
        <v/>
      </c>
      <c r="K1783" s="28" t="str">
        <f t="shared" si="163"/>
        <v/>
      </c>
      <c r="L1783" s="46" t="str">
        <f t="shared" si="167"/>
        <v/>
      </c>
      <c r="M1783" t="str" cm="1">
        <f t="array" ref="M1783">IF(L1783="","",_xlfn.IFS(
  AND(L1783&gt;=TIME(9,0,0), L1783&lt;TIME(16,0,0)),"Morning",
  AND(L1783&gt;=TIME(16,0,0), L1783&lt;TIME(23,59,0)),"Evening",
  L1783&gt;=TIME(23,59,0),"Night",
  L1783&lt;TIME(9,0,0),"Night"
))</f>
        <v/>
      </c>
      <c r="O1783" t="str">
        <f t="shared" si="164"/>
        <v/>
      </c>
    </row>
    <row r="1784" spans="7:15" x14ac:dyDescent="0.25">
      <c r="G1784" t="str">
        <f t="shared" si="162"/>
        <v/>
      </c>
      <c r="H1784" s="13" t="str">
        <f t="shared" si="165"/>
        <v/>
      </c>
      <c r="I1784" t="str">
        <f>IFERROR(INDEX(Analysis!$D$116:$N$137, MATCH(B1784, Analysis!$C$116:$C$137, 0), MATCH(C1784, Analysis!$D$115:$N$115, 0)), "")</f>
        <v/>
      </c>
      <c r="J1784" t="str">
        <f t="shared" si="166"/>
        <v/>
      </c>
      <c r="K1784" s="28" t="str">
        <f t="shared" si="163"/>
        <v/>
      </c>
      <c r="L1784" s="46" t="str">
        <f t="shared" si="167"/>
        <v/>
      </c>
      <c r="M1784" t="str" cm="1">
        <f t="array" ref="M1784">IF(L1784="","",_xlfn.IFS(
  AND(L1784&gt;=TIME(9,0,0), L1784&lt;TIME(16,0,0)),"Morning",
  AND(L1784&gt;=TIME(16,0,0), L1784&lt;TIME(23,59,0)),"Evening",
  L1784&gt;=TIME(23,59,0),"Night",
  L1784&lt;TIME(9,0,0),"Night"
))</f>
        <v/>
      </c>
      <c r="O1784" t="str">
        <f t="shared" si="164"/>
        <v/>
      </c>
    </row>
    <row r="1785" spans="7:15" x14ac:dyDescent="0.25">
      <c r="G1785" t="str">
        <f t="shared" si="162"/>
        <v/>
      </c>
      <c r="H1785" s="13" t="str">
        <f t="shared" si="165"/>
        <v/>
      </c>
      <c r="I1785" t="str">
        <f>IFERROR(INDEX(Analysis!$D$116:$N$137, MATCH(B1785, Analysis!$C$116:$C$137, 0), MATCH(C1785, Analysis!$D$115:$N$115, 0)), "")</f>
        <v/>
      </c>
      <c r="J1785" t="str">
        <f t="shared" si="166"/>
        <v/>
      </c>
      <c r="K1785" s="28" t="str">
        <f t="shared" si="163"/>
        <v/>
      </c>
      <c r="L1785" s="46" t="str">
        <f t="shared" si="167"/>
        <v/>
      </c>
      <c r="M1785" t="str" cm="1">
        <f t="array" ref="M1785">IF(L1785="","",_xlfn.IFS(
  AND(L1785&gt;=TIME(9,0,0), L1785&lt;TIME(16,0,0)),"Morning",
  AND(L1785&gt;=TIME(16,0,0), L1785&lt;TIME(23,59,0)),"Evening",
  L1785&gt;=TIME(23,59,0),"Night",
  L1785&lt;TIME(9,0,0),"Night"
))</f>
        <v/>
      </c>
      <c r="O1785" t="str">
        <f t="shared" si="164"/>
        <v/>
      </c>
    </row>
    <row r="1786" spans="7:15" x14ac:dyDescent="0.25">
      <c r="G1786" t="str">
        <f t="shared" si="162"/>
        <v/>
      </c>
      <c r="H1786" s="13" t="str">
        <f t="shared" si="165"/>
        <v/>
      </c>
      <c r="I1786" t="str">
        <f>IFERROR(INDEX(Analysis!$D$116:$N$137, MATCH(B1786, Analysis!$C$116:$C$137, 0), MATCH(C1786, Analysis!$D$115:$N$115, 0)), "")</f>
        <v/>
      </c>
      <c r="J1786" t="str">
        <f t="shared" si="166"/>
        <v/>
      </c>
      <c r="K1786" s="28" t="str">
        <f t="shared" si="163"/>
        <v/>
      </c>
      <c r="L1786" s="46" t="str">
        <f t="shared" si="167"/>
        <v/>
      </c>
      <c r="M1786" t="str" cm="1">
        <f t="array" ref="M1786">IF(L1786="","",_xlfn.IFS(
  AND(L1786&gt;=TIME(9,0,0), L1786&lt;TIME(16,0,0)),"Morning",
  AND(L1786&gt;=TIME(16,0,0), L1786&lt;TIME(23,59,0)),"Evening",
  L1786&gt;=TIME(23,59,0),"Night",
  L1786&lt;TIME(9,0,0),"Night"
))</f>
        <v/>
      </c>
      <c r="O1786" t="str">
        <f t="shared" si="164"/>
        <v/>
      </c>
    </row>
    <row r="1787" spans="7:15" x14ac:dyDescent="0.25">
      <c r="G1787" t="str">
        <f t="shared" si="162"/>
        <v/>
      </c>
      <c r="H1787" s="13" t="str">
        <f t="shared" si="165"/>
        <v/>
      </c>
      <c r="I1787" t="str">
        <f>IFERROR(INDEX(Analysis!$D$116:$N$137, MATCH(B1787, Analysis!$C$116:$C$137, 0), MATCH(C1787, Analysis!$D$115:$N$115, 0)), "")</f>
        <v/>
      </c>
      <c r="J1787" t="str">
        <f t="shared" si="166"/>
        <v/>
      </c>
      <c r="K1787" s="28" t="str">
        <f t="shared" si="163"/>
        <v/>
      </c>
      <c r="L1787" s="46" t="str">
        <f t="shared" si="167"/>
        <v/>
      </c>
      <c r="M1787" t="str" cm="1">
        <f t="array" ref="M1787">IF(L1787="","",_xlfn.IFS(
  AND(L1787&gt;=TIME(9,0,0), L1787&lt;TIME(16,0,0)),"Morning",
  AND(L1787&gt;=TIME(16,0,0), L1787&lt;TIME(23,59,0)),"Evening",
  L1787&gt;=TIME(23,59,0),"Night",
  L1787&lt;TIME(9,0,0),"Night"
))</f>
        <v/>
      </c>
      <c r="O1787" t="str">
        <f t="shared" si="164"/>
        <v/>
      </c>
    </row>
    <row r="1788" spans="7:15" x14ac:dyDescent="0.25">
      <c r="G1788" t="str">
        <f t="shared" si="162"/>
        <v/>
      </c>
      <c r="H1788" s="13" t="str">
        <f t="shared" si="165"/>
        <v/>
      </c>
      <c r="I1788" t="str">
        <f>IFERROR(INDEX(Analysis!$D$116:$N$137, MATCH(B1788, Analysis!$C$116:$C$137, 0), MATCH(C1788, Analysis!$D$115:$N$115, 0)), "")</f>
        <v/>
      </c>
      <c r="J1788" t="str">
        <f t="shared" si="166"/>
        <v/>
      </c>
      <c r="K1788" s="28" t="str">
        <f t="shared" si="163"/>
        <v/>
      </c>
      <c r="L1788" s="46" t="str">
        <f t="shared" si="167"/>
        <v/>
      </c>
      <c r="M1788" t="str" cm="1">
        <f t="array" ref="M1788">IF(L1788="","",_xlfn.IFS(
  AND(L1788&gt;=TIME(9,0,0), L1788&lt;TIME(16,0,0)),"Morning",
  AND(L1788&gt;=TIME(16,0,0), L1788&lt;TIME(23,59,0)),"Evening",
  L1788&gt;=TIME(23,59,0),"Night",
  L1788&lt;TIME(9,0,0),"Night"
))</f>
        <v/>
      </c>
      <c r="O1788" t="str">
        <f t="shared" si="164"/>
        <v/>
      </c>
    </row>
    <row r="1789" spans="7:15" x14ac:dyDescent="0.25">
      <c r="G1789" t="str">
        <f t="shared" si="162"/>
        <v/>
      </c>
      <c r="H1789" s="13" t="str">
        <f t="shared" si="165"/>
        <v/>
      </c>
      <c r="I1789" t="str">
        <f>IFERROR(INDEX(Analysis!$D$116:$N$137, MATCH(B1789, Analysis!$C$116:$C$137, 0), MATCH(C1789, Analysis!$D$115:$N$115, 0)), "")</f>
        <v/>
      </c>
      <c r="J1789" t="str">
        <f t="shared" si="166"/>
        <v/>
      </c>
      <c r="K1789" s="28" t="str">
        <f t="shared" si="163"/>
        <v/>
      </c>
      <c r="L1789" s="46" t="str">
        <f t="shared" si="167"/>
        <v/>
      </c>
      <c r="M1789" t="str" cm="1">
        <f t="array" ref="M1789">IF(L1789="","",_xlfn.IFS(
  AND(L1789&gt;=TIME(9,0,0), L1789&lt;TIME(16,0,0)),"Morning",
  AND(L1789&gt;=TIME(16,0,0), L1789&lt;TIME(23,59,0)),"Evening",
  L1789&gt;=TIME(23,59,0),"Night",
  L1789&lt;TIME(9,0,0),"Night"
))</f>
        <v/>
      </c>
      <c r="O1789" t="str">
        <f t="shared" si="164"/>
        <v/>
      </c>
    </row>
    <row r="1790" spans="7:15" x14ac:dyDescent="0.25">
      <c r="G1790" t="str">
        <f t="shared" si="162"/>
        <v/>
      </c>
      <c r="H1790" s="13" t="str">
        <f t="shared" si="165"/>
        <v/>
      </c>
      <c r="I1790" t="str">
        <f>IFERROR(INDEX(Analysis!$D$116:$N$137, MATCH(B1790, Analysis!$C$116:$C$137, 0), MATCH(C1790, Analysis!$D$115:$N$115, 0)), "")</f>
        <v/>
      </c>
      <c r="J1790" t="str">
        <f t="shared" si="166"/>
        <v/>
      </c>
      <c r="K1790" s="28" t="str">
        <f t="shared" si="163"/>
        <v/>
      </c>
      <c r="L1790" s="46" t="str">
        <f t="shared" si="167"/>
        <v/>
      </c>
      <c r="M1790" t="str" cm="1">
        <f t="array" ref="M1790">IF(L1790="","",_xlfn.IFS(
  AND(L1790&gt;=TIME(9,0,0), L1790&lt;TIME(16,0,0)),"Morning",
  AND(L1790&gt;=TIME(16,0,0), L1790&lt;TIME(23,59,0)),"Evening",
  L1790&gt;=TIME(23,59,0),"Night",
  L1790&lt;TIME(9,0,0),"Night"
))</f>
        <v/>
      </c>
      <c r="O1790" t="str">
        <f t="shared" si="164"/>
        <v/>
      </c>
    </row>
    <row r="1791" spans="7:15" x14ac:dyDescent="0.25">
      <c r="G1791" t="str">
        <f t="shared" si="162"/>
        <v/>
      </c>
      <c r="H1791" s="13" t="str">
        <f t="shared" si="165"/>
        <v/>
      </c>
      <c r="I1791" t="str">
        <f>IFERROR(INDEX(Analysis!$D$116:$N$137, MATCH(B1791, Analysis!$C$116:$C$137, 0), MATCH(C1791, Analysis!$D$115:$N$115, 0)), "")</f>
        <v/>
      </c>
      <c r="J1791" t="str">
        <f t="shared" si="166"/>
        <v/>
      </c>
      <c r="K1791" s="28" t="str">
        <f t="shared" si="163"/>
        <v/>
      </c>
      <c r="L1791" s="46" t="str">
        <f t="shared" si="167"/>
        <v/>
      </c>
      <c r="M1791" t="str" cm="1">
        <f t="array" ref="M1791">IF(L1791="","",_xlfn.IFS(
  AND(L1791&gt;=TIME(9,0,0), L1791&lt;TIME(16,0,0)),"Morning",
  AND(L1791&gt;=TIME(16,0,0), L1791&lt;TIME(23,59,0)),"Evening",
  L1791&gt;=TIME(23,59,0),"Night",
  L1791&lt;TIME(9,0,0),"Night"
))</f>
        <v/>
      </c>
      <c r="O1791" t="str">
        <f t="shared" si="164"/>
        <v/>
      </c>
    </row>
    <row r="1792" spans="7:15" x14ac:dyDescent="0.25">
      <c r="G1792" t="str">
        <f t="shared" si="162"/>
        <v/>
      </c>
      <c r="H1792" s="13" t="str">
        <f t="shared" si="165"/>
        <v/>
      </c>
      <c r="I1792" t="str">
        <f>IFERROR(INDEX(Analysis!$D$116:$N$137, MATCH(B1792, Analysis!$C$116:$C$137, 0), MATCH(C1792, Analysis!$D$115:$N$115, 0)), "")</f>
        <v/>
      </c>
      <c r="J1792" t="str">
        <f t="shared" si="166"/>
        <v/>
      </c>
      <c r="K1792" s="28" t="str">
        <f t="shared" si="163"/>
        <v/>
      </c>
      <c r="L1792" s="46" t="str">
        <f t="shared" si="167"/>
        <v/>
      </c>
      <c r="M1792" t="str" cm="1">
        <f t="array" ref="M1792">IF(L1792="","",_xlfn.IFS(
  AND(L1792&gt;=TIME(9,0,0), L1792&lt;TIME(16,0,0)),"Morning",
  AND(L1792&gt;=TIME(16,0,0), L1792&lt;TIME(23,59,0)),"Evening",
  L1792&gt;=TIME(23,59,0),"Night",
  L1792&lt;TIME(9,0,0),"Night"
))</f>
        <v/>
      </c>
      <c r="O1792" t="str">
        <f t="shared" si="164"/>
        <v/>
      </c>
    </row>
    <row r="1793" spans="7:15" x14ac:dyDescent="0.25">
      <c r="G1793" t="str">
        <f t="shared" si="162"/>
        <v/>
      </c>
      <c r="H1793" s="13" t="str">
        <f t="shared" si="165"/>
        <v/>
      </c>
      <c r="I1793" t="str">
        <f>IFERROR(INDEX(Analysis!$D$116:$N$137, MATCH(B1793, Analysis!$C$116:$C$137, 0), MATCH(C1793, Analysis!$D$115:$N$115, 0)), "")</f>
        <v/>
      </c>
      <c r="J1793" t="str">
        <f t="shared" si="166"/>
        <v/>
      </c>
      <c r="K1793" s="28" t="str">
        <f t="shared" si="163"/>
        <v/>
      </c>
      <c r="L1793" s="46" t="str">
        <f t="shared" si="167"/>
        <v/>
      </c>
      <c r="M1793" t="str" cm="1">
        <f t="array" ref="M1793">IF(L1793="","",_xlfn.IFS(
  AND(L1793&gt;=TIME(9,0,0), L1793&lt;TIME(16,0,0)),"Morning",
  AND(L1793&gt;=TIME(16,0,0), L1793&lt;TIME(23,59,0)),"Evening",
  L1793&gt;=TIME(23,59,0),"Night",
  L1793&lt;TIME(9,0,0),"Night"
))</f>
        <v/>
      </c>
      <c r="O1793" t="str">
        <f t="shared" si="164"/>
        <v/>
      </c>
    </row>
    <row r="1794" spans="7:15" x14ac:dyDescent="0.25">
      <c r="G1794" t="str">
        <f t="shared" ref="G1794:G1857" si="168">IF(ISBLANK(A1794), "", IF(ISBLANK(F1794), 0, F1794))</f>
        <v/>
      </c>
      <c r="H1794" s="13" t="str">
        <f t="shared" si="165"/>
        <v/>
      </c>
      <c r="I1794" t="str">
        <f>IFERROR(INDEX(Analysis!$D$116:$N$137, MATCH(B1794, Analysis!$C$116:$C$137, 0), MATCH(C1794, Analysis!$D$115:$N$115, 0)), "")</f>
        <v/>
      </c>
      <c r="J1794" t="str">
        <f t="shared" si="166"/>
        <v/>
      </c>
      <c r="K1794" s="28" t="str">
        <f t="shared" ref="K1794:K1857" si="169">IF(ISBLANK(A1794),"",DATE(YEAR(A1794),MONTH(A1794),DAY(A1794)))</f>
        <v/>
      </c>
      <c r="L1794" s="46" t="str">
        <f t="shared" si="167"/>
        <v/>
      </c>
      <c r="M1794" t="str" cm="1">
        <f t="array" ref="M1794">IF(L1794="","",_xlfn.IFS(
  AND(L1794&gt;=TIME(9,0,0), L1794&lt;TIME(16,0,0)),"Morning",
  AND(L1794&gt;=TIME(16,0,0), L1794&lt;TIME(23,59,0)),"Evening",
  L1794&gt;=TIME(23,59,0),"Night",
  L1794&lt;TIME(9,0,0),"Night"
))</f>
        <v/>
      </c>
      <c r="O1794" t="str">
        <f t="shared" ref="O1794:O1857" si="170">IF(N1794="ON", _xlfn.IMAGE(E1794, 1), "")</f>
        <v/>
      </c>
    </row>
    <row r="1795" spans="7:15" x14ac:dyDescent="0.25">
      <c r="G1795" t="str">
        <f t="shared" si="168"/>
        <v/>
      </c>
      <c r="H1795" s="13" t="str">
        <f t="shared" ref="H1795:H1858" si="171">IF(ISBLANK(E1795),"",HYPERLINK(E1795,"Click here"))</f>
        <v/>
      </c>
      <c r="I1795" t="str">
        <f>IFERROR(INDEX(Analysis!$D$116:$N$137, MATCH(B1795, Analysis!$C$116:$C$137, 0), MATCH(C1795, Analysis!$D$115:$N$115, 0)), "")</f>
        <v/>
      </c>
      <c r="J1795" t="str">
        <f t="shared" ref="J1795:J1858" si="172">IF(ISBLANK(A1795),"",WEEKNUM(A1795))</f>
        <v/>
      </c>
      <c r="K1795" s="28" t="str">
        <f t="shared" si="169"/>
        <v/>
      </c>
      <c r="L1795" s="46" t="str">
        <f t="shared" ref="L1795:L1858" si="173">IF(A1795="", "", A1795 - INT(A1795))</f>
        <v/>
      </c>
      <c r="M1795" t="str" cm="1">
        <f t="array" ref="M1795">IF(L1795="","",_xlfn.IFS(
  AND(L1795&gt;=TIME(9,0,0), L1795&lt;TIME(16,0,0)),"Morning",
  AND(L1795&gt;=TIME(16,0,0), L1795&lt;TIME(23,59,0)),"Evening",
  L1795&gt;=TIME(23,59,0),"Night",
  L1795&lt;TIME(9,0,0),"Night"
))</f>
        <v/>
      </c>
      <c r="O1795" t="str">
        <f t="shared" si="170"/>
        <v/>
      </c>
    </row>
    <row r="1796" spans="7:15" x14ac:dyDescent="0.25">
      <c r="G1796" t="str">
        <f t="shared" si="168"/>
        <v/>
      </c>
      <c r="H1796" s="13" t="str">
        <f t="shared" si="171"/>
        <v/>
      </c>
      <c r="I1796" t="str">
        <f>IFERROR(INDEX(Analysis!$D$116:$N$137, MATCH(B1796, Analysis!$C$116:$C$137, 0), MATCH(C1796, Analysis!$D$115:$N$115, 0)), "")</f>
        <v/>
      </c>
      <c r="J1796" t="str">
        <f t="shared" si="172"/>
        <v/>
      </c>
      <c r="K1796" s="28" t="str">
        <f t="shared" si="169"/>
        <v/>
      </c>
      <c r="L1796" s="46" t="str">
        <f t="shared" si="173"/>
        <v/>
      </c>
      <c r="M1796" t="str" cm="1">
        <f t="array" ref="M1796">IF(L1796="","",_xlfn.IFS(
  AND(L1796&gt;=TIME(9,0,0), L1796&lt;TIME(16,0,0)),"Morning",
  AND(L1796&gt;=TIME(16,0,0), L1796&lt;TIME(23,59,0)),"Evening",
  L1796&gt;=TIME(23,59,0),"Night",
  L1796&lt;TIME(9,0,0),"Night"
))</f>
        <v/>
      </c>
      <c r="O1796" t="str">
        <f t="shared" si="170"/>
        <v/>
      </c>
    </row>
    <row r="1797" spans="7:15" x14ac:dyDescent="0.25">
      <c r="G1797" t="str">
        <f t="shared" si="168"/>
        <v/>
      </c>
      <c r="H1797" s="13" t="str">
        <f t="shared" si="171"/>
        <v/>
      </c>
      <c r="I1797" t="str">
        <f>IFERROR(INDEX(Analysis!$D$116:$N$137, MATCH(B1797, Analysis!$C$116:$C$137, 0), MATCH(C1797, Analysis!$D$115:$N$115, 0)), "")</f>
        <v/>
      </c>
      <c r="J1797" t="str">
        <f t="shared" si="172"/>
        <v/>
      </c>
      <c r="K1797" s="28" t="str">
        <f t="shared" si="169"/>
        <v/>
      </c>
      <c r="L1797" s="46" t="str">
        <f t="shared" si="173"/>
        <v/>
      </c>
      <c r="M1797" t="str" cm="1">
        <f t="array" ref="M1797">IF(L1797="","",_xlfn.IFS(
  AND(L1797&gt;=TIME(9,0,0), L1797&lt;TIME(16,0,0)),"Morning",
  AND(L1797&gt;=TIME(16,0,0), L1797&lt;TIME(23,59,0)),"Evening",
  L1797&gt;=TIME(23,59,0),"Night",
  L1797&lt;TIME(9,0,0),"Night"
))</f>
        <v/>
      </c>
      <c r="O1797" t="str">
        <f t="shared" si="170"/>
        <v/>
      </c>
    </row>
    <row r="1798" spans="7:15" x14ac:dyDescent="0.25">
      <c r="G1798" t="str">
        <f t="shared" si="168"/>
        <v/>
      </c>
      <c r="H1798" s="13" t="str">
        <f t="shared" si="171"/>
        <v/>
      </c>
      <c r="I1798" t="str">
        <f>IFERROR(INDEX(Analysis!$D$116:$N$137, MATCH(B1798, Analysis!$C$116:$C$137, 0), MATCH(C1798, Analysis!$D$115:$N$115, 0)), "")</f>
        <v/>
      </c>
      <c r="J1798" t="str">
        <f t="shared" si="172"/>
        <v/>
      </c>
      <c r="K1798" s="28" t="str">
        <f t="shared" si="169"/>
        <v/>
      </c>
      <c r="L1798" s="46" t="str">
        <f t="shared" si="173"/>
        <v/>
      </c>
      <c r="M1798" t="str" cm="1">
        <f t="array" ref="M1798">IF(L1798="","",_xlfn.IFS(
  AND(L1798&gt;=TIME(9,0,0), L1798&lt;TIME(16,0,0)),"Morning",
  AND(L1798&gt;=TIME(16,0,0), L1798&lt;TIME(23,59,0)),"Evening",
  L1798&gt;=TIME(23,59,0),"Night",
  L1798&lt;TIME(9,0,0),"Night"
))</f>
        <v/>
      </c>
      <c r="O1798" t="str">
        <f t="shared" si="170"/>
        <v/>
      </c>
    </row>
    <row r="1799" spans="7:15" x14ac:dyDescent="0.25">
      <c r="G1799" t="str">
        <f t="shared" si="168"/>
        <v/>
      </c>
      <c r="H1799" s="13" t="str">
        <f t="shared" si="171"/>
        <v/>
      </c>
      <c r="I1799" t="str">
        <f>IFERROR(INDEX(Analysis!$D$116:$N$137, MATCH(B1799, Analysis!$C$116:$C$137, 0), MATCH(C1799, Analysis!$D$115:$N$115, 0)), "")</f>
        <v/>
      </c>
      <c r="J1799" t="str">
        <f t="shared" si="172"/>
        <v/>
      </c>
      <c r="K1799" s="28" t="str">
        <f t="shared" si="169"/>
        <v/>
      </c>
      <c r="L1799" s="46" t="str">
        <f t="shared" si="173"/>
        <v/>
      </c>
      <c r="M1799" t="str" cm="1">
        <f t="array" ref="M1799">IF(L1799="","",_xlfn.IFS(
  AND(L1799&gt;=TIME(9,0,0), L1799&lt;TIME(16,0,0)),"Morning",
  AND(L1799&gt;=TIME(16,0,0), L1799&lt;TIME(23,59,0)),"Evening",
  L1799&gt;=TIME(23,59,0),"Night",
  L1799&lt;TIME(9,0,0),"Night"
))</f>
        <v/>
      </c>
      <c r="O1799" t="str">
        <f t="shared" si="170"/>
        <v/>
      </c>
    </row>
    <row r="1800" spans="7:15" x14ac:dyDescent="0.25">
      <c r="G1800" t="str">
        <f t="shared" si="168"/>
        <v/>
      </c>
      <c r="H1800" s="13" t="str">
        <f t="shared" si="171"/>
        <v/>
      </c>
      <c r="I1800" t="str">
        <f>IFERROR(INDEX(Analysis!$D$116:$N$137, MATCH(B1800, Analysis!$C$116:$C$137, 0), MATCH(C1800, Analysis!$D$115:$N$115, 0)), "")</f>
        <v/>
      </c>
      <c r="J1800" t="str">
        <f t="shared" si="172"/>
        <v/>
      </c>
      <c r="K1800" s="28" t="str">
        <f t="shared" si="169"/>
        <v/>
      </c>
      <c r="L1800" s="46" t="str">
        <f t="shared" si="173"/>
        <v/>
      </c>
      <c r="M1800" t="str" cm="1">
        <f t="array" ref="M1800">IF(L1800="","",_xlfn.IFS(
  AND(L1800&gt;=TIME(9,0,0), L1800&lt;TIME(16,0,0)),"Morning",
  AND(L1800&gt;=TIME(16,0,0), L1800&lt;TIME(23,59,0)),"Evening",
  L1800&gt;=TIME(23,59,0),"Night",
  L1800&lt;TIME(9,0,0),"Night"
))</f>
        <v/>
      </c>
      <c r="O1800" t="str">
        <f t="shared" si="170"/>
        <v/>
      </c>
    </row>
    <row r="1801" spans="7:15" x14ac:dyDescent="0.25">
      <c r="G1801" t="str">
        <f t="shared" si="168"/>
        <v/>
      </c>
      <c r="H1801" s="13" t="str">
        <f t="shared" si="171"/>
        <v/>
      </c>
      <c r="I1801" t="str">
        <f>IFERROR(INDEX(Analysis!$D$116:$N$137, MATCH(B1801, Analysis!$C$116:$C$137, 0), MATCH(C1801, Analysis!$D$115:$N$115, 0)), "")</f>
        <v/>
      </c>
      <c r="J1801" t="str">
        <f t="shared" si="172"/>
        <v/>
      </c>
      <c r="K1801" s="28" t="str">
        <f t="shared" si="169"/>
        <v/>
      </c>
      <c r="L1801" s="46" t="str">
        <f t="shared" si="173"/>
        <v/>
      </c>
      <c r="M1801" t="str" cm="1">
        <f t="array" ref="M1801">IF(L1801="","",_xlfn.IFS(
  AND(L1801&gt;=TIME(9,0,0), L1801&lt;TIME(16,0,0)),"Morning",
  AND(L1801&gt;=TIME(16,0,0), L1801&lt;TIME(23,59,0)),"Evening",
  L1801&gt;=TIME(23,59,0),"Night",
  L1801&lt;TIME(9,0,0),"Night"
))</f>
        <v/>
      </c>
      <c r="O1801" t="str">
        <f t="shared" si="170"/>
        <v/>
      </c>
    </row>
    <row r="1802" spans="7:15" x14ac:dyDescent="0.25">
      <c r="G1802" t="str">
        <f t="shared" si="168"/>
        <v/>
      </c>
      <c r="H1802" s="13" t="str">
        <f t="shared" si="171"/>
        <v/>
      </c>
      <c r="I1802" t="str">
        <f>IFERROR(INDEX(Analysis!$D$116:$N$137, MATCH(B1802, Analysis!$C$116:$C$137, 0), MATCH(C1802, Analysis!$D$115:$N$115, 0)), "")</f>
        <v/>
      </c>
      <c r="J1802" t="str">
        <f t="shared" si="172"/>
        <v/>
      </c>
      <c r="K1802" s="28" t="str">
        <f t="shared" si="169"/>
        <v/>
      </c>
      <c r="L1802" s="46" t="str">
        <f t="shared" si="173"/>
        <v/>
      </c>
      <c r="M1802" t="str" cm="1">
        <f t="array" ref="M1802">IF(L1802="","",_xlfn.IFS(
  AND(L1802&gt;=TIME(9,0,0), L1802&lt;TIME(16,0,0)),"Morning",
  AND(L1802&gt;=TIME(16,0,0), L1802&lt;TIME(23,59,0)),"Evening",
  L1802&gt;=TIME(23,59,0),"Night",
  L1802&lt;TIME(9,0,0),"Night"
))</f>
        <v/>
      </c>
      <c r="O1802" t="str">
        <f t="shared" si="170"/>
        <v/>
      </c>
    </row>
    <row r="1803" spans="7:15" x14ac:dyDescent="0.25">
      <c r="G1803" t="str">
        <f t="shared" si="168"/>
        <v/>
      </c>
      <c r="H1803" s="13" t="str">
        <f t="shared" si="171"/>
        <v/>
      </c>
      <c r="I1803" t="str">
        <f>IFERROR(INDEX(Analysis!$D$116:$N$137, MATCH(B1803, Analysis!$C$116:$C$137, 0), MATCH(C1803, Analysis!$D$115:$N$115, 0)), "")</f>
        <v/>
      </c>
      <c r="J1803" t="str">
        <f t="shared" si="172"/>
        <v/>
      </c>
      <c r="K1803" s="28" t="str">
        <f t="shared" si="169"/>
        <v/>
      </c>
      <c r="L1803" s="46" t="str">
        <f t="shared" si="173"/>
        <v/>
      </c>
      <c r="M1803" t="str" cm="1">
        <f t="array" ref="M1803">IF(L1803="","",_xlfn.IFS(
  AND(L1803&gt;=TIME(9,0,0), L1803&lt;TIME(16,0,0)),"Morning",
  AND(L1803&gt;=TIME(16,0,0), L1803&lt;TIME(23,59,0)),"Evening",
  L1803&gt;=TIME(23,59,0),"Night",
  L1803&lt;TIME(9,0,0),"Night"
))</f>
        <v/>
      </c>
      <c r="O1803" t="str">
        <f t="shared" si="170"/>
        <v/>
      </c>
    </row>
    <row r="1804" spans="7:15" x14ac:dyDescent="0.25">
      <c r="G1804" t="str">
        <f t="shared" si="168"/>
        <v/>
      </c>
      <c r="H1804" s="13" t="str">
        <f t="shared" si="171"/>
        <v/>
      </c>
      <c r="I1804" t="str">
        <f>IFERROR(INDEX(Analysis!$D$116:$N$137, MATCH(B1804, Analysis!$C$116:$C$137, 0), MATCH(C1804, Analysis!$D$115:$N$115, 0)), "")</f>
        <v/>
      </c>
      <c r="J1804" t="str">
        <f t="shared" si="172"/>
        <v/>
      </c>
      <c r="K1804" s="28" t="str">
        <f t="shared" si="169"/>
        <v/>
      </c>
      <c r="L1804" s="46" t="str">
        <f t="shared" si="173"/>
        <v/>
      </c>
      <c r="M1804" t="str" cm="1">
        <f t="array" ref="M1804">IF(L1804="","",_xlfn.IFS(
  AND(L1804&gt;=TIME(9,0,0), L1804&lt;TIME(16,0,0)),"Morning",
  AND(L1804&gt;=TIME(16,0,0), L1804&lt;TIME(23,59,0)),"Evening",
  L1804&gt;=TIME(23,59,0),"Night",
  L1804&lt;TIME(9,0,0),"Night"
))</f>
        <v/>
      </c>
      <c r="O1804" t="str">
        <f t="shared" si="170"/>
        <v/>
      </c>
    </row>
    <row r="1805" spans="7:15" x14ac:dyDescent="0.25">
      <c r="G1805" t="str">
        <f t="shared" si="168"/>
        <v/>
      </c>
      <c r="H1805" s="13" t="str">
        <f t="shared" si="171"/>
        <v/>
      </c>
      <c r="I1805" t="str">
        <f>IFERROR(INDEX(Analysis!$D$116:$N$137, MATCH(B1805, Analysis!$C$116:$C$137, 0), MATCH(C1805, Analysis!$D$115:$N$115, 0)), "")</f>
        <v/>
      </c>
      <c r="J1805" t="str">
        <f t="shared" si="172"/>
        <v/>
      </c>
      <c r="K1805" s="28" t="str">
        <f t="shared" si="169"/>
        <v/>
      </c>
      <c r="L1805" s="46" t="str">
        <f t="shared" si="173"/>
        <v/>
      </c>
      <c r="M1805" t="str" cm="1">
        <f t="array" ref="M1805">IF(L1805="","",_xlfn.IFS(
  AND(L1805&gt;=TIME(9,0,0), L1805&lt;TIME(16,0,0)),"Morning",
  AND(L1805&gt;=TIME(16,0,0), L1805&lt;TIME(23,59,0)),"Evening",
  L1805&gt;=TIME(23,59,0),"Night",
  L1805&lt;TIME(9,0,0),"Night"
))</f>
        <v/>
      </c>
      <c r="O1805" t="str">
        <f t="shared" si="170"/>
        <v/>
      </c>
    </row>
    <row r="1806" spans="7:15" x14ac:dyDescent="0.25">
      <c r="G1806" t="str">
        <f t="shared" si="168"/>
        <v/>
      </c>
      <c r="H1806" s="13" t="str">
        <f t="shared" si="171"/>
        <v/>
      </c>
      <c r="I1806" t="str">
        <f>IFERROR(INDEX(Analysis!$D$116:$N$137, MATCH(B1806, Analysis!$C$116:$C$137, 0), MATCH(C1806, Analysis!$D$115:$N$115, 0)), "")</f>
        <v/>
      </c>
      <c r="J1806" t="str">
        <f t="shared" si="172"/>
        <v/>
      </c>
      <c r="K1806" s="28" t="str">
        <f t="shared" si="169"/>
        <v/>
      </c>
      <c r="L1806" s="46" t="str">
        <f t="shared" si="173"/>
        <v/>
      </c>
      <c r="M1806" t="str" cm="1">
        <f t="array" ref="M1806">IF(L1806="","",_xlfn.IFS(
  AND(L1806&gt;=TIME(9,0,0), L1806&lt;TIME(16,0,0)),"Morning",
  AND(L1806&gt;=TIME(16,0,0), L1806&lt;TIME(23,59,0)),"Evening",
  L1806&gt;=TIME(23,59,0),"Night",
  L1806&lt;TIME(9,0,0),"Night"
))</f>
        <v/>
      </c>
      <c r="O1806" t="str">
        <f t="shared" si="170"/>
        <v/>
      </c>
    </row>
    <row r="1807" spans="7:15" x14ac:dyDescent="0.25">
      <c r="G1807" t="str">
        <f t="shared" si="168"/>
        <v/>
      </c>
      <c r="H1807" s="13" t="str">
        <f t="shared" si="171"/>
        <v/>
      </c>
      <c r="I1807" t="str">
        <f>IFERROR(INDEX(Analysis!$D$116:$N$137, MATCH(B1807, Analysis!$C$116:$C$137, 0), MATCH(C1807, Analysis!$D$115:$N$115, 0)), "")</f>
        <v/>
      </c>
      <c r="J1807" t="str">
        <f t="shared" si="172"/>
        <v/>
      </c>
      <c r="K1807" s="28" t="str">
        <f t="shared" si="169"/>
        <v/>
      </c>
      <c r="L1807" s="46" t="str">
        <f t="shared" si="173"/>
        <v/>
      </c>
      <c r="M1807" t="str" cm="1">
        <f t="array" ref="M1807">IF(L1807="","",_xlfn.IFS(
  AND(L1807&gt;=TIME(9,0,0), L1807&lt;TIME(16,0,0)),"Morning",
  AND(L1807&gt;=TIME(16,0,0), L1807&lt;TIME(23,59,0)),"Evening",
  L1807&gt;=TIME(23,59,0),"Night",
  L1807&lt;TIME(9,0,0),"Night"
))</f>
        <v/>
      </c>
      <c r="O1807" t="str">
        <f t="shared" si="170"/>
        <v/>
      </c>
    </row>
    <row r="1808" spans="7:15" x14ac:dyDescent="0.25">
      <c r="G1808" t="str">
        <f t="shared" si="168"/>
        <v/>
      </c>
      <c r="H1808" s="13" t="str">
        <f t="shared" si="171"/>
        <v/>
      </c>
      <c r="I1808" t="str">
        <f>IFERROR(INDEX(Analysis!$D$116:$N$137, MATCH(B1808, Analysis!$C$116:$C$137, 0), MATCH(C1808, Analysis!$D$115:$N$115, 0)), "")</f>
        <v/>
      </c>
      <c r="J1808" t="str">
        <f t="shared" si="172"/>
        <v/>
      </c>
      <c r="K1808" s="28" t="str">
        <f t="shared" si="169"/>
        <v/>
      </c>
      <c r="L1808" s="46" t="str">
        <f t="shared" si="173"/>
        <v/>
      </c>
      <c r="M1808" t="str" cm="1">
        <f t="array" ref="M1808">IF(L1808="","",_xlfn.IFS(
  AND(L1808&gt;=TIME(9,0,0), L1808&lt;TIME(16,0,0)),"Morning",
  AND(L1808&gt;=TIME(16,0,0), L1808&lt;TIME(23,59,0)),"Evening",
  L1808&gt;=TIME(23,59,0),"Night",
  L1808&lt;TIME(9,0,0),"Night"
))</f>
        <v/>
      </c>
      <c r="O1808" t="str">
        <f t="shared" si="170"/>
        <v/>
      </c>
    </row>
    <row r="1809" spans="7:15" x14ac:dyDescent="0.25">
      <c r="G1809" t="str">
        <f t="shared" si="168"/>
        <v/>
      </c>
      <c r="H1809" s="13" t="str">
        <f t="shared" si="171"/>
        <v/>
      </c>
      <c r="I1809" t="str">
        <f>IFERROR(INDEX(Analysis!$D$116:$N$137, MATCH(B1809, Analysis!$C$116:$C$137, 0), MATCH(C1809, Analysis!$D$115:$N$115, 0)), "")</f>
        <v/>
      </c>
      <c r="J1809" t="str">
        <f t="shared" si="172"/>
        <v/>
      </c>
      <c r="K1809" s="28" t="str">
        <f t="shared" si="169"/>
        <v/>
      </c>
      <c r="L1809" s="46" t="str">
        <f t="shared" si="173"/>
        <v/>
      </c>
      <c r="M1809" t="str" cm="1">
        <f t="array" ref="M1809">IF(L1809="","",_xlfn.IFS(
  AND(L1809&gt;=TIME(9,0,0), L1809&lt;TIME(16,0,0)),"Morning",
  AND(L1809&gt;=TIME(16,0,0), L1809&lt;TIME(23,59,0)),"Evening",
  L1809&gt;=TIME(23,59,0),"Night",
  L1809&lt;TIME(9,0,0),"Night"
))</f>
        <v/>
      </c>
      <c r="O1809" t="str">
        <f t="shared" si="170"/>
        <v/>
      </c>
    </row>
    <row r="1810" spans="7:15" x14ac:dyDescent="0.25">
      <c r="G1810" t="str">
        <f t="shared" si="168"/>
        <v/>
      </c>
      <c r="H1810" s="13" t="str">
        <f t="shared" si="171"/>
        <v/>
      </c>
      <c r="I1810" t="str">
        <f>IFERROR(INDEX(Analysis!$D$116:$N$137, MATCH(B1810, Analysis!$C$116:$C$137, 0), MATCH(C1810, Analysis!$D$115:$N$115, 0)), "")</f>
        <v/>
      </c>
      <c r="J1810" t="str">
        <f t="shared" si="172"/>
        <v/>
      </c>
      <c r="K1810" s="28" t="str">
        <f t="shared" si="169"/>
        <v/>
      </c>
      <c r="L1810" s="46" t="str">
        <f t="shared" si="173"/>
        <v/>
      </c>
      <c r="M1810" t="str" cm="1">
        <f t="array" ref="M1810">IF(L1810="","",_xlfn.IFS(
  AND(L1810&gt;=TIME(9,0,0), L1810&lt;TIME(16,0,0)),"Morning",
  AND(L1810&gt;=TIME(16,0,0), L1810&lt;TIME(23,59,0)),"Evening",
  L1810&gt;=TIME(23,59,0),"Night",
  L1810&lt;TIME(9,0,0),"Night"
))</f>
        <v/>
      </c>
      <c r="O1810" t="str">
        <f t="shared" si="170"/>
        <v/>
      </c>
    </row>
    <row r="1811" spans="7:15" x14ac:dyDescent="0.25">
      <c r="G1811" t="str">
        <f t="shared" si="168"/>
        <v/>
      </c>
      <c r="H1811" s="13" t="str">
        <f t="shared" si="171"/>
        <v/>
      </c>
      <c r="I1811" t="str">
        <f>IFERROR(INDEX(Analysis!$D$116:$N$137, MATCH(B1811, Analysis!$C$116:$C$137, 0), MATCH(C1811, Analysis!$D$115:$N$115, 0)), "")</f>
        <v/>
      </c>
      <c r="J1811" t="str">
        <f t="shared" si="172"/>
        <v/>
      </c>
      <c r="K1811" s="28" t="str">
        <f t="shared" si="169"/>
        <v/>
      </c>
      <c r="L1811" s="46" t="str">
        <f t="shared" si="173"/>
        <v/>
      </c>
      <c r="M1811" t="str" cm="1">
        <f t="array" ref="M1811">IF(L1811="","",_xlfn.IFS(
  AND(L1811&gt;=TIME(9,0,0), L1811&lt;TIME(16,0,0)),"Morning",
  AND(L1811&gt;=TIME(16,0,0), L1811&lt;TIME(23,59,0)),"Evening",
  L1811&gt;=TIME(23,59,0),"Night",
  L1811&lt;TIME(9,0,0),"Night"
))</f>
        <v/>
      </c>
      <c r="O1811" t="str">
        <f t="shared" si="170"/>
        <v/>
      </c>
    </row>
    <row r="1812" spans="7:15" x14ac:dyDescent="0.25">
      <c r="G1812" t="str">
        <f t="shared" si="168"/>
        <v/>
      </c>
      <c r="H1812" s="13" t="str">
        <f t="shared" si="171"/>
        <v/>
      </c>
      <c r="I1812" t="str">
        <f>IFERROR(INDEX(Analysis!$D$116:$N$137, MATCH(B1812, Analysis!$C$116:$C$137, 0), MATCH(C1812, Analysis!$D$115:$N$115, 0)), "")</f>
        <v/>
      </c>
      <c r="J1812" t="str">
        <f t="shared" si="172"/>
        <v/>
      </c>
      <c r="K1812" s="28" t="str">
        <f t="shared" si="169"/>
        <v/>
      </c>
      <c r="L1812" s="46" t="str">
        <f t="shared" si="173"/>
        <v/>
      </c>
      <c r="M1812" t="str" cm="1">
        <f t="array" ref="M1812">IF(L1812="","",_xlfn.IFS(
  AND(L1812&gt;=TIME(9,0,0), L1812&lt;TIME(16,0,0)),"Morning",
  AND(L1812&gt;=TIME(16,0,0), L1812&lt;TIME(23,59,0)),"Evening",
  L1812&gt;=TIME(23,59,0),"Night",
  L1812&lt;TIME(9,0,0),"Night"
))</f>
        <v/>
      </c>
      <c r="O1812" t="str">
        <f t="shared" si="170"/>
        <v/>
      </c>
    </row>
    <row r="1813" spans="7:15" x14ac:dyDescent="0.25">
      <c r="G1813" t="str">
        <f t="shared" si="168"/>
        <v/>
      </c>
      <c r="H1813" s="13" t="str">
        <f t="shared" si="171"/>
        <v/>
      </c>
      <c r="I1813" t="str">
        <f>IFERROR(INDEX(Analysis!$D$116:$N$137, MATCH(B1813, Analysis!$C$116:$C$137, 0), MATCH(C1813, Analysis!$D$115:$N$115, 0)), "")</f>
        <v/>
      </c>
      <c r="J1813" t="str">
        <f t="shared" si="172"/>
        <v/>
      </c>
      <c r="K1813" s="28" t="str">
        <f t="shared" si="169"/>
        <v/>
      </c>
      <c r="L1813" s="46" t="str">
        <f t="shared" si="173"/>
        <v/>
      </c>
      <c r="M1813" t="str" cm="1">
        <f t="array" ref="M1813">IF(L1813="","",_xlfn.IFS(
  AND(L1813&gt;=TIME(9,0,0), L1813&lt;TIME(16,0,0)),"Morning",
  AND(L1813&gt;=TIME(16,0,0), L1813&lt;TIME(23,59,0)),"Evening",
  L1813&gt;=TIME(23,59,0),"Night",
  L1813&lt;TIME(9,0,0),"Night"
))</f>
        <v/>
      </c>
      <c r="O1813" t="str">
        <f t="shared" si="170"/>
        <v/>
      </c>
    </row>
    <row r="1814" spans="7:15" x14ac:dyDescent="0.25">
      <c r="G1814" t="str">
        <f t="shared" si="168"/>
        <v/>
      </c>
      <c r="H1814" s="13" t="str">
        <f t="shared" si="171"/>
        <v/>
      </c>
      <c r="I1814" t="str">
        <f>IFERROR(INDEX(Analysis!$D$116:$N$137, MATCH(B1814, Analysis!$C$116:$C$137, 0), MATCH(C1814, Analysis!$D$115:$N$115, 0)), "")</f>
        <v/>
      </c>
      <c r="J1814" t="str">
        <f t="shared" si="172"/>
        <v/>
      </c>
      <c r="K1814" s="28" t="str">
        <f t="shared" si="169"/>
        <v/>
      </c>
      <c r="L1814" s="46" t="str">
        <f t="shared" si="173"/>
        <v/>
      </c>
      <c r="M1814" t="str" cm="1">
        <f t="array" ref="M1814">IF(L1814="","",_xlfn.IFS(
  AND(L1814&gt;=TIME(9,0,0), L1814&lt;TIME(16,0,0)),"Morning",
  AND(L1814&gt;=TIME(16,0,0), L1814&lt;TIME(23,59,0)),"Evening",
  L1814&gt;=TIME(23,59,0),"Night",
  L1814&lt;TIME(9,0,0),"Night"
))</f>
        <v/>
      </c>
      <c r="O1814" t="str">
        <f t="shared" si="170"/>
        <v/>
      </c>
    </row>
    <row r="1815" spans="7:15" x14ac:dyDescent="0.25">
      <c r="G1815" t="str">
        <f t="shared" si="168"/>
        <v/>
      </c>
      <c r="H1815" s="13" t="str">
        <f t="shared" si="171"/>
        <v/>
      </c>
      <c r="I1815" t="str">
        <f>IFERROR(INDEX(Analysis!$D$116:$N$137, MATCH(B1815, Analysis!$C$116:$C$137, 0), MATCH(C1815, Analysis!$D$115:$N$115, 0)), "")</f>
        <v/>
      </c>
      <c r="J1815" t="str">
        <f t="shared" si="172"/>
        <v/>
      </c>
      <c r="K1815" s="28" t="str">
        <f t="shared" si="169"/>
        <v/>
      </c>
      <c r="L1815" s="46" t="str">
        <f t="shared" si="173"/>
        <v/>
      </c>
      <c r="M1815" t="str" cm="1">
        <f t="array" ref="M1815">IF(L1815="","",_xlfn.IFS(
  AND(L1815&gt;=TIME(9,0,0), L1815&lt;TIME(16,0,0)),"Morning",
  AND(L1815&gt;=TIME(16,0,0), L1815&lt;TIME(23,59,0)),"Evening",
  L1815&gt;=TIME(23,59,0),"Night",
  L1815&lt;TIME(9,0,0),"Night"
))</f>
        <v/>
      </c>
      <c r="O1815" t="str">
        <f t="shared" si="170"/>
        <v/>
      </c>
    </row>
    <row r="1816" spans="7:15" x14ac:dyDescent="0.25">
      <c r="G1816" t="str">
        <f t="shared" si="168"/>
        <v/>
      </c>
      <c r="H1816" s="13" t="str">
        <f t="shared" si="171"/>
        <v/>
      </c>
      <c r="I1816" t="str">
        <f>IFERROR(INDEX(Analysis!$D$116:$N$137, MATCH(B1816, Analysis!$C$116:$C$137, 0), MATCH(C1816, Analysis!$D$115:$N$115, 0)), "")</f>
        <v/>
      </c>
      <c r="J1816" t="str">
        <f t="shared" si="172"/>
        <v/>
      </c>
      <c r="K1816" s="28" t="str">
        <f t="shared" si="169"/>
        <v/>
      </c>
      <c r="L1816" s="46" t="str">
        <f t="shared" si="173"/>
        <v/>
      </c>
      <c r="M1816" t="str" cm="1">
        <f t="array" ref="M1816">IF(L1816="","",_xlfn.IFS(
  AND(L1816&gt;=TIME(9,0,0), L1816&lt;TIME(16,0,0)),"Morning",
  AND(L1816&gt;=TIME(16,0,0), L1816&lt;TIME(23,59,0)),"Evening",
  L1816&gt;=TIME(23,59,0),"Night",
  L1816&lt;TIME(9,0,0),"Night"
))</f>
        <v/>
      </c>
      <c r="O1816" t="str">
        <f t="shared" si="170"/>
        <v/>
      </c>
    </row>
    <row r="1817" spans="7:15" x14ac:dyDescent="0.25">
      <c r="G1817" t="str">
        <f t="shared" si="168"/>
        <v/>
      </c>
      <c r="H1817" s="13" t="str">
        <f t="shared" si="171"/>
        <v/>
      </c>
      <c r="I1817" t="str">
        <f>IFERROR(INDEX(Analysis!$D$116:$N$137, MATCH(B1817, Analysis!$C$116:$C$137, 0), MATCH(C1817, Analysis!$D$115:$N$115, 0)), "")</f>
        <v/>
      </c>
      <c r="J1817" t="str">
        <f t="shared" si="172"/>
        <v/>
      </c>
      <c r="K1817" s="28" t="str">
        <f t="shared" si="169"/>
        <v/>
      </c>
      <c r="L1817" s="46" t="str">
        <f t="shared" si="173"/>
        <v/>
      </c>
      <c r="M1817" t="str" cm="1">
        <f t="array" ref="M1817">IF(L1817="","",_xlfn.IFS(
  AND(L1817&gt;=TIME(9,0,0), L1817&lt;TIME(16,0,0)),"Morning",
  AND(L1817&gt;=TIME(16,0,0), L1817&lt;TIME(23,59,0)),"Evening",
  L1817&gt;=TIME(23,59,0),"Night",
  L1817&lt;TIME(9,0,0),"Night"
))</f>
        <v/>
      </c>
      <c r="O1817" t="str">
        <f t="shared" si="170"/>
        <v/>
      </c>
    </row>
    <row r="1818" spans="7:15" x14ac:dyDescent="0.25">
      <c r="G1818" t="str">
        <f t="shared" si="168"/>
        <v/>
      </c>
      <c r="H1818" s="13" t="str">
        <f t="shared" si="171"/>
        <v/>
      </c>
      <c r="I1818" t="str">
        <f>IFERROR(INDEX(Analysis!$D$116:$N$137, MATCH(B1818, Analysis!$C$116:$C$137, 0), MATCH(C1818, Analysis!$D$115:$N$115, 0)), "")</f>
        <v/>
      </c>
      <c r="J1818" t="str">
        <f t="shared" si="172"/>
        <v/>
      </c>
      <c r="K1818" s="28" t="str">
        <f t="shared" si="169"/>
        <v/>
      </c>
      <c r="L1818" s="46" t="str">
        <f t="shared" si="173"/>
        <v/>
      </c>
      <c r="M1818" t="str" cm="1">
        <f t="array" ref="M1818">IF(L1818="","",_xlfn.IFS(
  AND(L1818&gt;=TIME(9,0,0), L1818&lt;TIME(16,0,0)),"Morning",
  AND(L1818&gt;=TIME(16,0,0), L1818&lt;TIME(23,59,0)),"Evening",
  L1818&gt;=TIME(23,59,0),"Night",
  L1818&lt;TIME(9,0,0),"Night"
))</f>
        <v/>
      </c>
      <c r="O1818" t="str">
        <f t="shared" si="170"/>
        <v/>
      </c>
    </row>
    <row r="1819" spans="7:15" x14ac:dyDescent="0.25">
      <c r="G1819" t="str">
        <f t="shared" si="168"/>
        <v/>
      </c>
      <c r="H1819" s="13" t="str">
        <f t="shared" si="171"/>
        <v/>
      </c>
      <c r="I1819" t="str">
        <f>IFERROR(INDEX(Analysis!$D$116:$N$137, MATCH(B1819, Analysis!$C$116:$C$137, 0), MATCH(C1819, Analysis!$D$115:$N$115, 0)), "")</f>
        <v/>
      </c>
      <c r="J1819" t="str">
        <f t="shared" si="172"/>
        <v/>
      </c>
      <c r="K1819" s="28" t="str">
        <f t="shared" si="169"/>
        <v/>
      </c>
      <c r="L1819" s="46" t="str">
        <f t="shared" si="173"/>
        <v/>
      </c>
      <c r="M1819" t="str" cm="1">
        <f t="array" ref="M1819">IF(L1819="","",_xlfn.IFS(
  AND(L1819&gt;=TIME(9,0,0), L1819&lt;TIME(16,0,0)),"Morning",
  AND(L1819&gt;=TIME(16,0,0), L1819&lt;TIME(23,59,0)),"Evening",
  L1819&gt;=TIME(23,59,0),"Night",
  L1819&lt;TIME(9,0,0),"Night"
))</f>
        <v/>
      </c>
      <c r="O1819" t="str">
        <f t="shared" si="170"/>
        <v/>
      </c>
    </row>
    <row r="1820" spans="7:15" x14ac:dyDescent="0.25">
      <c r="G1820" t="str">
        <f t="shared" si="168"/>
        <v/>
      </c>
      <c r="H1820" s="13" t="str">
        <f t="shared" si="171"/>
        <v/>
      </c>
      <c r="I1820" t="str">
        <f>IFERROR(INDEX(Analysis!$D$116:$N$137, MATCH(B1820, Analysis!$C$116:$C$137, 0), MATCH(C1820, Analysis!$D$115:$N$115, 0)), "")</f>
        <v/>
      </c>
      <c r="J1820" t="str">
        <f t="shared" si="172"/>
        <v/>
      </c>
      <c r="K1820" s="28" t="str">
        <f t="shared" si="169"/>
        <v/>
      </c>
      <c r="L1820" s="46" t="str">
        <f t="shared" si="173"/>
        <v/>
      </c>
      <c r="M1820" t="str" cm="1">
        <f t="array" ref="M1820">IF(L1820="","",_xlfn.IFS(
  AND(L1820&gt;=TIME(9,0,0), L1820&lt;TIME(16,0,0)),"Morning",
  AND(L1820&gt;=TIME(16,0,0), L1820&lt;TIME(23,59,0)),"Evening",
  L1820&gt;=TIME(23,59,0),"Night",
  L1820&lt;TIME(9,0,0),"Night"
))</f>
        <v/>
      </c>
      <c r="O1820" t="str">
        <f t="shared" si="170"/>
        <v/>
      </c>
    </row>
    <row r="1821" spans="7:15" x14ac:dyDescent="0.25">
      <c r="G1821" t="str">
        <f t="shared" si="168"/>
        <v/>
      </c>
      <c r="H1821" s="13" t="str">
        <f t="shared" si="171"/>
        <v/>
      </c>
      <c r="I1821" t="str">
        <f>IFERROR(INDEX(Analysis!$D$116:$N$137, MATCH(B1821, Analysis!$C$116:$C$137, 0), MATCH(C1821, Analysis!$D$115:$N$115, 0)), "")</f>
        <v/>
      </c>
      <c r="J1821" t="str">
        <f t="shared" si="172"/>
        <v/>
      </c>
      <c r="K1821" s="28" t="str">
        <f t="shared" si="169"/>
        <v/>
      </c>
      <c r="L1821" s="46" t="str">
        <f t="shared" si="173"/>
        <v/>
      </c>
      <c r="M1821" t="str" cm="1">
        <f t="array" ref="M1821">IF(L1821="","",_xlfn.IFS(
  AND(L1821&gt;=TIME(9,0,0), L1821&lt;TIME(16,0,0)),"Morning",
  AND(L1821&gt;=TIME(16,0,0), L1821&lt;TIME(23,59,0)),"Evening",
  L1821&gt;=TIME(23,59,0),"Night",
  L1821&lt;TIME(9,0,0),"Night"
))</f>
        <v/>
      </c>
      <c r="O1821" t="str">
        <f t="shared" si="170"/>
        <v/>
      </c>
    </row>
    <row r="1822" spans="7:15" x14ac:dyDescent="0.25">
      <c r="G1822" t="str">
        <f t="shared" si="168"/>
        <v/>
      </c>
      <c r="H1822" s="13" t="str">
        <f t="shared" si="171"/>
        <v/>
      </c>
      <c r="I1822" t="str">
        <f>IFERROR(INDEX(Analysis!$D$116:$N$137, MATCH(B1822, Analysis!$C$116:$C$137, 0), MATCH(C1822, Analysis!$D$115:$N$115, 0)), "")</f>
        <v/>
      </c>
      <c r="J1822" t="str">
        <f t="shared" si="172"/>
        <v/>
      </c>
      <c r="K1822" s="28" t="str">
        <f t="shared" si="169"/>
        <v/>
      </c>
      <c r="L1822" s="46" t="str">
        <f t="shared" si="173"/>
        <v/>
      </c>
      <c r="M1822" t="str" cm="1">
        <f t="array" ref="M1822">IF(L1822="","",_xlfn.IFS(
  AND(L1822&gt;=TIME(9,0,0), L1822&lt;TIME(16,0,0)),"Morning",
  AND(L1822&gt;=TIME(16,0,0), L1822&lt;TIME(23,59,0)),"Evening",
  L1822&gt;=TIME(23,59,0),"Night",
  L1822&lt;TIME(9,0,0),"Night"
))</f>
        <v/>
      </c>
      <c r="O1822" t="str">
        <f t="shared" si="170"/>
        <v/>
      </c>
    </row>
    <row r="1823" spans="7:15" x14ac:dyDescent="0.25">
      <c r="G1823" t="str">
        <f t="shared" si="168"/>
        <v/>
      </c>
      <c r="H1823" s="13" t="str">
        <f t="shared" si="171"/>
        <v/>
      </c>
      <c r="I1823" t="str">
        <f>IFERROR(INDEX(Analysis!$D$116:$N$137, MATCH(B1823, Analysis!$C$116:$C$137, 0), MATCH(C1823, Analysis!$D$115:$N$115, 0)), "")</f>
        <v/>
      </c>
      <c r="J1823" t="str">
        <f t="shared" si="172"/>
        <v/>
      </c>
      <c r="K1823" s="28" t="str">
        <f t="shared" si="169"/>
        <v/>
      </c>
      <c r="L1823" s="46" t="str">
        <f t="shared" si="173"/>
        <v/>
      </c>
      <c r="M1823" t="str" cm="1">
        <f t="array" ref="M1823">IF(L1823="","",_xlfn.IFS(
  AND(L1823&gt;=TIME(9,0,0), L1823&lt;TIME(16,0,0)),"Morning",
  AND(L1823&gt;=TIME(16,0,0), L1823&lt;TIME(23,59,0)),"Evening",
  L1823&gt;=TIME(23,59,0),"Night",
  L1823&lt;TIME(9,0,0),"Night"
))</f>
        <v/>
      </c>
      <c r="O1823" t="str">
        <f t="shared" si="170"/>
        <v/>
      </c>
    </row>
    <row r="1824" spans="7:15" x14ac:dyDescent="0.25">
      <c r="G1824" t="str">
        <f t="shared" si="168"/>
        <v/>
      </c>
      <c r="H1824" s="13" t="str">
        <f t="shared" si="171"/>
        <v/>
      </c>
      <c r="I1824" t="str">
        <f>IFERROR(INDEX(Analysis!$D$116:$N$137, MATCH(B1824, Analysis!$C$116:$C$137, 0), MATCH(C1824, Analysis!$D$115:$N$115, 0)), "")</f>
        <v/>
      </c>
      <c r="J1824" t="str">
        <f t="shared" si="172"/>
        <v/>
      </c>
      <c r="K1824" s="28" t="str">
        <f t="shared" si="169"/>
        <v/>
      </c>
      <c r="L1824" s="46" t="str">
        <f t="shared" si="173"/>
        <v/>
      </c>
      <c r="M1824" t="str" cm="1">
        <f t="array" ref="M1824">IF(L1824="","",_xlfn.IFS(
  AND(L1824&gt;=TIME(9,0,0), L1824&lt;TIME(16,0,0)),"Morning",
  AND(L1824&gt;=TIME(16,0,0), L1824&lt;TIME(23,59,0)),"Evening",
  L1824&gt;=TIME(23,59,0),"Night",
  L1824&lt;TIME(9,0,0),"Night"
))</f>
        <v/>
      </c>
      <c r="O1824" t="str">
        <f t="shared" si="170"/>
        <v/>
      </c>
    </row>
    <row r="1825" spans="7:15" x14ac:dyDescent="0.25">
      <c r="G1825" t="str">
        <f t="shared" si="168"/>
        <v/>
      </c>
      <c r="H1825" s="13" t="str">
        <f t="shared" si="171"/>
        <v/>
      </c>
      <c r="I1825" t="str">
        <f>IFERROR(INDEX(Analysis!$D$116:$N$137, MATCH(B1825, Analysis!$C$116:$C$137, 0), MATCH(C1825, Analysis!$D$115:$N$115, 0)), "")</f>
        <v/>
      </c>
      <c r="J1825" t="str">
        <f t="shared" si="172"/>
        <v/>
      </c>
      <c r="K1825" s="28" t="str">
        <f t="shared" si="169"/>
        <v/>
      </c>
      <c r="L1825" s="46" t="str">
        <f t="shared" si="173"/>
        <v/>
      </c>
      <c r="M1825" t="str" cm="1">
        <f t="array" ref="M1825">IF(L1825="","",_xlfn.IFS(
  AND(L1825&gt;=TIME(9,0,0), L1825&lt;TIME(16,0,0)),"Morning",
  AND(L1825&gt;=TIME(16,0,0), L1825&lt;TIME(23,59,0)),"Evening",
  L1825&gt;=TIME(23,59,0),"Night",
  L1825&lt;TIME(9,0,0),"Night"
))</f>
        <v/>
      </c>
      <c r="O1825" t="str">
        <f t="shared" si="170"/>
        <v/>
      </c>
    </row>
    <row r="1826" spans="7:15" x14ac:dyDescent="0.25">
      <c r="G1826" t="str">
        <f t="shared" si="168"/>
        <v/>
      </c>
      <c r="H1826" s="13" t="str">
        <f t="shared" si="171"/>
        <v/>
      </c>
      <c r="I1826" t="str">
        <f>IFERROR(INDEX(Analysis!$D$116:$N$137, MATCH(B1826, Analysis!$C$116:$C$137, 0), MATCH(C1826, Analysis!$D$115:$N$115, 0)), "")</f>
        <v/>
      </c>
      <c r="J1826" t="str">
        <f t="shared" si="172"/>
        <v/>
      </c>
      <c r="K1826" s="28" t="str">
        <f t="shared" si="169"/>
        <v/>
      </c>
      <c r="L1826" s="46" t="str">
        <f t="shared" si="173"/>
        <v/>
      </c>
      <c r="M1826" t="str" cm="1">
        <f t="array" ref="M1826">IF(L1826="","",_xlfn.IFS(
  AND(L1826&gt;=TIME(9,0,0), L1826&lt;TIME(16,0,0)),"Morning",
  AND(L1826&gt;=TIME(16,0,0), L1826&lt;TIME(23,59,0)),"Evening",
  L1826&gt;=TIME(23,59,0),"Night",
  L1826&lt;TIME(9,0,0),"Night"
))</f>
        <v/>
      </c>
      <c r="O1826" t="str">
        <f t="shared" si="170"/>
        <v/>
      </c>
    </row>
    <row r="1827" spans="7:15" x14ac:dyDescent="0.25">
      <c r="G1827" t="str">
        <f t="shared" si="168"/>
        <v/>
      </c>
      <c r="H1827" s="13" t="str">
        <f t="shared" si="171"/>
        <v/>
      </c>
      <c r="I1827" t="str">
        <f>IFERROR(INDEX(Analysis!$D$116:$N$137, MATCH(B1827, Analysis!$C$116:$C$137, 0), MATCH(C1827, Analysis!$D$115:$N$115, 0)), "")</f>
        <v/>
      </c>
      <c r="J1827" t="str">
        <f t="shared" si="172"/>
        <v/>
      </c>
      <c r="K1827" s="28" t="str">
        <f t="shared" si="169"/>
        <v/>
      </c>
      <c r="L1827" s="46" t="str">
        <f t="shared" si="173"/>
        <v/>
      </c>
      <c r="M1827" t="str" cm="1">
        <f t="array" ref="M1827">IF(L1827="","",_xlfn.IFS(
  AND(L1827&gt;=TIME(9,0,0), L1827&lt;TIME(16,0,0)),"Morning",
  AND(L1827&gt;=TIME(16,0,0), L1827&lt;TIME(23,59,0)),"Evening",
  L1827&gt;=TIME(23,59,0),"Night",
  L1827&lt;TIME(9,0,0),"Night"
))</f>
        <v/>
      </c>
      <c r="O1827" t="str">
        <f t="shared" si="170"/>
        <v/>
      </c>
    </row>
    <row r="1828" spans="7:15" x14ac:dyDescent="0.25">
      <c r="G1828" t="str">
        <f t="shared" si="168"/>
        <v/>
      </c>
      <c r="H1828" s="13" t="str">
        <f t="shared" si="171"/>
        <v/>
      </c>
      <c r="I1828" t="str">
        <f>IFERROR(INDEX(Analysis!$D$116:$N$137, MATCH(B1828, Analysis!$C$116:$C$137, 0), MATCH(C1828, Analysis!$D$115:$N$115, 0)), "")</f>
        <v/>
      </c>
      <c r="J1828" t="str">
        <f t="shared" si="172"/>
        <v/>
      </c>
      <c r="K1828" s="28" t="str">
        <f t="shared" si="169"/>
        <v/>
      </c>
      <c r="L1828" s="46" t="str">
        <f t="shared" si="173"/>
        <v/>
      </c>
      <c r="M1828" t="str" cm="1">
        <f t="array" ref="M1828">IF(L1828="","",_xlfn.IFS(
  AND(L1828&gt;=TIME(9,0,0), L1828&lt;TIME(16,0,0)),"Morning",
  AND(L1828&gt;=TIME(16,0,0), L1828&lt;TIME(23,59,0)),"Evening",
  L1828&gt;=TIME(23,59,0),"Night",
  L1828&lt;TIME(9,0,0),"Night"
))</f>
        <v/>
      </c>
      <c r="O1828" t="str">
        <f t="shared" si="170"/>
        <v/>
      </c>
    </row>
    <row r="1829" spans="7:15" x14ac:dyDescent="0.25">
      <c r="G1829" t="str">
        <f t="shared" si="168"/>
        <v/>
      </c>
      <c r="H1829" s="13" t="str">
        <f t="shared" si="171"/>
        <v/>
      </c>
      <c r="I1829" t="str">
        <f>IFERROR(INDEX(Analysis!$D$116:$N$137, MATCH(B1829, Analysis!$C$116:$C$137, 0), MATCH(C1829, Analysis!$D$115:$N$115, 0)), "")</f>
        <v/>
      </c>
      <c r="J1829" t="str">
        <f t="shared" si="172"/>
        <v/>
      </c>
      <c r="K1829" s="28" t="str">
        <f t="shared" si="169"/>
        <v/>
      </c>
      <c r="L1829" s="46" t="str">
        <f t="shared" si="173"/>
        <v/>
      </c>
      <c r="M1829" t="str" cm="1">
        <f t="array" ref="M1829">IF(L1829="","",_xlfn.IFS(
  AND(L1829&gt;=TIME(9,0,0), L1829&lt;TIME(16,0,0)),"Morning",
  AND(L1829&gt;=TIME(16,0,0), L1829&lt;TIME(23,59,0)),"Evening",
  L1829&gt;=TIME(23,59,0),"Night",
  L1829&lt;TIME(9,0,0),"Night"
))</f>
        <v/>
      </c>
      <c r="O1829" t="str">
        <f t="shared" si="170"/>
        <v/>
      </c>
    </row>
    <row r="1830" spans="7:15" x14ac:dyDescent="0.25">
      <c r="G1830" t="str">
        <f t="shared" si="168"/>
        <v/>
      </c>
      <c r="H1830" s="13" t="str">
        <f t="shared" si="171"/>
        <v/>
      </c>
      <c r="I1830" t="str">
        <f>IFERROR(INDEX(Analysis!$D$116:$N$137, MATCH(B1830, Analysis!$C$116:$C$137, 0), MATCH(C1830, Analysis!$D$115:$N$115, 0)), "")</f>
        <v/>
      </c>
      <c r="J1830" t="str">
        <f t="shared" si="172"/>
        <v/>
      </c>
      <c r="K1830" s="28" t="str">
        <f t="shared" si="169"/>
        <v/>
      </c>
      <c r="L1830" s="46" t="str">
        <f t="shared" si="173"/>
        <v/>
      </c>
      <c r="M1830" t="str" cm="1">
        <f t="array" ref="M1830">IF(L1830="","",_xlfn.IFS(
  AND(L1830&gt;=TIME(9,0,0), L1830&lt;TIME(16,0,0)),"Morning",
  AND(L1830&gt;=TIME(16,0,0), L1830&lt;TIME(23,59,0)),"Evening",
  L1830&gt;=TIME(23,59,0),"Night",
  L1830&lt;TIME(9,0,0),"Night"
))</f>
        <v/>
      </c>
      <c r="O1830" t="str">
        <f t="shared" si="170"/>
        <v/>
      </c>
    </row>
    <row r="1831" spans="7:15" x14ac:dyDescent="0.25">
      <c r="G1831" t="str">
        <f t="shared" si="168"/>
        <v/>
      </c>
      <c r="H1831" s="13" t="str">
        <f t="shared" si="171"/>
        <v/>
      </c>
      <c r="I1831" t="str">
        <f>IFERROR(INDEX(Analysis!$D$116:$N$137, MATCH(B1831, Analysis!$C$116:$C$137, 0), MATCH(C1831, Analysis!$D$115:$N$115, 0)), "")</f>
        <v/>
      </c>
      <c r="J1831" t="str">
        <f t="shared" si="172"/>
        <v/>
      </c>
      <c r="K1831" s="28" t="str">
        <f t="shared" si="169"/>
        <v/>
      </c>
      <c r="L1831" s="46" t="str">
        <f t="shared" si="173"/>
        <v/>
      </c>
      <c r="M1831" t="str" cm="1">
        <f t="array" ref="M1831">IF(L1831="","",_xlfn.IFS(
  AND(L1831&gt;=TIME(9,0,0), L1831&lt;TIME(16,0,0)),"Morning",
  AND(L1831&gt;=TIME(16,0,0), L1831&lt;TIME(23,59,0)),"Evening",
  L1831&gt;=TIME(23,59,0),"Night",
  L1831&lt;TIME(9,0,0),"Night"
))</f>
        <v/>
      </c>
      <c r="O1831" t="str">
        <f t="shared" si="170"/>
        <v/>
      </c>
    </row>
    <row r="1832" spans="7:15" x14ac:dyDescent="0.25">
      <c r="G1832" t="str">
        <f t="shared" si="168"/>
        <v/>
      </c>
      <c r="H1832" s="13" t="str">
        <f t="shared" si="171"/>
        <v/>
      </c>
      <c r="I1832" t="str">
        <f>IFERROR(INDEX(Analysis!$D$116:$N$137, MATCH(B1832, Analysis!$C$116:$C$137, 0), MATCH(C1832, Analysis!$D$115:$N$115, 0)), "")</f>
        <v/>
      </c>
      <c r="J1832" t="str">
        <f t="shared" si="172"/>
        <v/>
      </c>
      <c r="K1832" s="28" t="str">
        <f t="shared" si="169"/>
        <v/>
      </c>
      <c r="L1832" s="46" t="str">
        <f t="shared" si="173"/>
        <v/>
      </c>
      <c r="M1832" t="str" cm="1">
        <f t="array" ref="M1832">IF(L1832="","",_xlfn.IFS(
  AND(L1832&gt;=TIME(9,0,0), L1832&lt;TIME(16,0,0)),"Morning",
  AND(L1832&gt;=TIME(16,0,0), L1832&lt;TIME(23,59,0)),"Evening",
  L1832&gt;=TIME(23,59,0),"Night",
  L1832&lt;TIME(9,0,0),"Night"
))</f>
        <v/>
      </c>
      <c r="O1832" t="str">
        <f t="shared" si="170"/>
        <v/>
      </c>
    </row>
    <row r="1833" spans="7:15" x14ac:dyDescent="0.25">
      <c r="G1833" t="str">
        <f t="shared" si="168"/>
        <v/>
      </c>
      <c r="H1833" s="13" t="str">
        <f t="shared" si="171"/>
        <v/>
      </c>
      <c r="I1833" t="str">
        <f>IFERROR(INDEX(Analysis!$D$116:$N$137, MATCH(B1833, Analysis!$C$116:$C$137, 0), MATCH(C1833, Analysis!$D$115:$N$115, 0)), "")</f>
        <v/>
      </c>
      <c r="J1833" t="str">
        <f t="shared" si="172"/>
        <v/>
      </c>
      <c r="K1833" s="28" t="str">
        <f t="shared" si="169"/>
        <v/>
      </c>
      <c r="L1833" s="46" t="str">
        <f t="shared" si="173"/>
        <v/>
      </c>
      <c r="M1833" t="str" cm="1">
        <f t="array" ref="M1833">IF(L1833="","",_xlfn.IFS(
  AND(L1833&gt;=TIME(9,0,0), L1833&lt;TIME(16,0,0)),"Morning",
  AND(L1833&gt;=TIME(16,0,0), L1833&lt;TIME(23,59,0)),"Evening",
  L1833&gt;=TIME(23,59,0),"Night",
  L1833&lt;TIME(9,0,0),"Night"
))</f>
        <v/>
      </c>
      <c r="O1833" t="str">
        <f t="shared" si="170"/>
        <v/>
      </c>
    </row>
    <row r="1834" spans="7:15" x14ac:dyDescent="0.25">
      <c r="G1834" t="str">
        <f t="shared" si="168"/>
        <v/>
      </c>
      <c r="H1834" s="13" t="str">
        <f t="shared" si="171"/>
        <v/>
      </c>
      <c r="I1834" t="str">
        <f>IFERROR(INDEX(Analysis!$D$116:$N$137, MATCH(B1834, Analysis!$C$116:$C$137, 0), MATCH(C1834, Analysis!$D$115:$N$115, 0)), "")</f>
        <v/>
      </c>
      <c r="J1834" t="str">
        <f t="shared" si="172"/>
        <v/>
      </c>
      <c r="K1834" s="28" t="str">
        <f t="shared" si="169"/>
        <v/>
      </c>
      <c r="L1834" s="46" t="str">
        <f t="shared" si="173"/>
        <v/>
      </c>
      <c r="M1834" t="str" cm="1">
        <f t="array" ref="M1834">IF(L1834="","",_xlfn.IFS(
  AND(L1834&gt;=TIME(9,0,0), L1834&lt;TIME(16,0,0)),"Morning",
  AND(L1834&gt;=TIME(16,0,0), L1834&lt;TIME(23,59,0)),"Evening",
  L1834&gt;=TIME(23,59,0),"Night",
  L1834&lt;TIME(9,0,0),"Night"
))</f>
        <v/>
      </c>
      <c r="O1834" t="str">
        <f t="shared" si="170"/>
        <v/>
      </c>
    </row>
    <row r="1835" spans="7:15" x14ac:dyDescent="0.25">
      <c r="G1835" t="str">
        <f t="shared" si="168"/>
        <v/>
      </c>
      <c r="H1835" s="13" t="str">
        <f t="shared" si="171"/>
        <v/>
      </c>
      <c r="I1835" t="str">
        <f>IFERROR(INDEX(Analysis!$D$116:$N$137, MATCH(B1835, Analysis!$C$116:$C$137, 0), MATCH(C1835, Analysis!$D$115:$N$115, 0)), "")</f>
        <v/>
      </c>
      <c r="J1835" t="str">
        <f t="shared" si="172"/>
        <v/>
      </c>
      <c r="K1835" s="28" t="str">
        <f t="shared" si="169"/>
        <v/>
      </c>
      <c r="L1835" s="46" t="str">
        <f t="shared" si="173"/>
        <v/>
      </c>
      <c r="M1835" t="str" cm="1">
        <f t="array" ref="M1835">IF(L1835="","",_xlfn.IFS(
  AND(L1835&gt;=TIME(9,0,0), L1835&lt;TIME(16,0,0)),"Morning",
  AND(L1835&gt;=TIME(16,0,0), L1835&lt;TIME(23,59,0)),"Evening",
  L1835&gt;=TIME(23,59,0),"Night",
  L1835&lt;TIME(9,0,0),"Night"
))</f>
        <v/>
      </c>
      <c r="O1835" t="str">
        <f t="shared" si="170"/>
        <v/>
      </c>
    </row>
    <row r="1836" spans="7:15" x14ac:dyDescent="0.25">
      <c r="G1836" t="str">
        <f t="shared" si="168"/>
        <v/>
      </c>
      <c r="H1836" s="13" t="str">
        <f t="shared" si="171"/>
        <v/>
      </c>
      <c r="I1836" t="str">
        <f>IFERROR(INDEX(Analysis!$D$116:$N$137, MATCH(B1836, Analysis!$C$116:$C$137, 0), MATCH(C1836, Analysis!$D$115:$N$115, 0)), "")</f>
        <v/>
      </c>
      <c r="J1836" t="str">
        <f t="shared" si="172"/>
        <v/>
      </c>
      <c r="K1836" s="28" t="str">
        <f t="shared" si="169"/>
        <v/>
      </c>
      <c r="L1836" s="46" t="str">
        <f t="shared" si="173"/>
        <v/>
      </c>
      <c r="M1836" t="str" cm="1">
        <f t="array" ref="M1836">IF(L1836="","",_xlfn.IFS(
  AND(L1836&gt;=TIME(9,0,0), L1836&lt;TIME(16,0,0)),"Morning",
  AND(L1836&gt;=TIME(16,0,0), L1836&lt;TIME(23,59,0)),"Evening",
  L1836&gt;=TIME(23,59,0),"Night",
  L1836&lt;TIME(9,0,0),"Night"
))</f>
        <v/>
      </c>
      <c r="O1836" t="str">
        <f t="shared" si="170"/>
        <v/>
      </c>
    </row>
    <row r="1837" spans="7:15" x14ac:dyDescent="0.25">
      <c r="G1837" t="str">
        <f t="shared" si="168"/>
        <v/>
      </c>
      <c r="H1837" s="13" t="str">
        <f t="shared" si="171"/>
        <v/>
      </c>
      <c r="I1837" t="str">
        <f>IFERROR(INDEX(Analysis!$D$116:$N$137, MATCH(B1837, Analysis!$C$116:$C$137, 0), MATCH(C1837, Analysis!$D$115:$N$115, 0)), "")</f>
        <v/>
      </c>
      <c r="J1837" t="str">
        <f t="shared" si="172"/>
        <v/>
      </c>
      <c r="K1837" s="28" t="str">
        <f t="shared" si="169"/>
        <v/>
      </c>
      <c r="L1837" s="46" t="str">
        <f t="shared" si="173"/>
        <v/>
      </c>
      <c r="M1837" t="str" cm="1">
        <f t="array" ref="M1837">IF(L1837="","",_xlfn.IFS(
  AND(L1837&gt;=TIME(9,0,0), L1837&lt;TIME(16,0,0)),"Morning",
  AND(L1837&gt;=TIME(16,0,0), L1837&lt;TIME(23,59,0)),"Evening",
  L1837&gt;=TIME(23,59,0),"Night",
  L1837&lt;TIME(9,0,0),"Night"
))</f>
        <v/>
      </c>
      <c r="O1837" t="str">
        <f t="shared" si="170"/>
        <v/>
      </c>
    </row>
    <row r="1838" spans="7:15" x14ac:dyDescent="0.25">
      <c r="G1838" t="str">
        <f t="shared" si="168"/>
        <v/>
      </c>
      <c r="H1838" s="13" t="str">
        <f t="shared" si="171"/>
        <v/>
      </c>
      <c r="I1838" t="str">
        <f>IFERROR(INDEX(Analysis!$D$116:$N$137, MATCH(B1838, Analysis!$C$116:$C$137, 0), MATCH(C1838, Analysis!$D$115:$N$115, 0)), "")</f>
        <v/>
      </c>
      <c r="J1838" t="str">
        <f t="shared" si="172"/>
        <v/>
      </c>
      <c r="K1838" s="28" t="str">
        <f t="shared" si="169"/>
        <v/>
      </c>
      <c r="L1838" s="46" t="str">
        <f t="shared" si="173"/>
        <v/>
      </c>
      <c r="M1838" t="str" cm="1">
        <f t="array" ref="M1838">IF(L1838="","",_xlfn.IFS(
  AND(L1838&gt;=TIME(9,0,0), L1838&lt;TIME(16,0,0)),"Morning",
  AND(L1838&gt;=TIME(16,0,0), L1838&lt;TIME(23,59,0)),"Evening",
  L1838&gt;=TIME(23,59,0),"Night",
  L1838&lt;TIME(9,0,0),"Night"
))</f>
        <v/>
      </c>
      <c r="O1838" t="str">
        <f t="shared" si="170"/>
        <v/>
      </c>
    </row>
    <row r="1839" spans="7:15" x14ac:dyDescent="0.25">
      <c r="G1839" t="str">
        <f t="shared" si="168"/>
        <v/>
      </c>
      <c r="H1839" s="13" t="str">
        <f t="shared" si="171"/>
        <v/>
      </c>
      <c r="I1839" t="str">
        <f>IFERROR(INDEX(Analysis!$D$116:$N$137, MATCH(B1839, Analysis!$C$116:$C$137, 0), MATCH(C1839, Analysis!$D$115:$N$115, 0)), "")</f>
        <v/>
      </c>
      <c r="J1839" t="str">
        <f t="shared" si="172"/>
        <v/>
      </c>
      <c r="K1839" s="28" t="str">
        <f t="shared" si="169"/>
        <v/>
      </c>
      <c r="L1839" s="46" t="str">
        <f t="shared" si="173"/>
        <v/>
      </c>
      <c r="M1839" t="str" cm="1">
        <f t="array" ref="M1839">IF(L1839="","",_xlfn.IFS(
  AND(L1839&gt;=TIME(9,0,0), L1839&lt;TIME(16,0,0)),"Morning",
  AND(L1839&gt;=TIME(16,0,0), L1839&lt;TIME(23,59,0)),"Evening",
  L1839&gt;=TIME(23,59,0),"Night",
  L1839&lt;TIME(9,0,0),"Night"
))</f>
        <v/>
      </c>
      <c r="O1839" t="str">
        <f t="shared" si="170"/>
        <v/>
      </c>
    </row>
    <row r="1840" spans="7:15" x14ac:dyDescent="0.25">
      <c r="G1840" t="str">
        <f t="shared" si="168"/>
        <v/>
      </c>
      <c r="H1840" s="13" t="str">
        <f t="shared" si="171"/>
        <v/>
      </c>
      <c r="I1840" t="str">
        <f>IFERROR(INDEX(Analysis!$D$116:$N$137, MATCH(B1840, Analysis!$C$116:$C$137, 0), MATCH(C1840, Analysis!$D$115:$N$115, 0)), "")</f>
        <v/>
      </c>
      <c r="J1840" t="str">
        <f t="shared" si="172"/>
        <v/>
      </c>
      <c r="K1840" s="28" t="str">
        <f t="shared" si="169"/>
        <v/>
      </c>
      <c r="L1840" s="46" t="str">
        <f t="shared" si="173"/>
        <v/>
      </c>
      <c r="M1840" t="str" cm="1">
        <f t="array" ref="M1840">IF(L1840="","",_xlfn.IFS(
  AND(L1840&gt;=TIME(9,0,0), L1840&lt;TIME(16,0,0)),"Morning",
  AND(L1840&gt;=TIME(16,0,0), L1840&lt;TIME(23,59,0)),"Evening",
  L1840&gt;=TIME(23,59,0),"Night",
  L1840&lt;TIME(9,0,0),"Night"
))</f>
        <v/>
      </c>
      <c r="O1840" t="str">
        <f t="shared" si="170"/>
        <v/>
      </c>
    </row>
    <row r="1841" spans="7:15" x14ac:dyDescent="0.25">
      <c r="G1841" t="str">
        <f t="shared" si="168"/>
        <v/>
      </c>
      <c r="H1841" s="13" t="str">
        <f t="shared" si="171"/>
        <v/>
      </c>
      <c r="I1841" t="str">
        <f>IFERROR(INDEX(Analysis!$D$116:$N$137, MATCH(B1841, Analysis!$C$116:$C$137, 0), MATCH(C1841, Analysis!$D$115:$N$115, 0)), "")</f>
        <v/>
      </c>
      <c r="J1841" t="str">
        <f t="shared" si="172"/>
        <v/>
      </c>
      <c r="K1841" s="28" t="str">
        <f t="shared" si="169"/>
        <v/>
      </c>
      <c r="L1841" s="46" t="str">
        <f t="shared" si="173"/>
        <v/>
      </c>
      <c r="M1841" t="str" cm="1">
        <f t="array" ref="M1841">IF(L1841="","",_xlfn.IFS(
  AND(L1841&gt;=TIME(9,0,0), L1841&lt;TIME(16,0,0)),"Morning",
  AND(L1841&gt;=TIME(16,0,0), L1841&lt;TIME(23,59,0)),"Evening",
  L1841&gt;=TIME(23,59,0),"Night",
  L1841&lt;TIME(9,0,0),"Night"
))</f>
        <v/>
      </c>
      <c r="O1841" t="str">
        <f t="shared" si="170"/>
        <v/>
      </c>
    </row>
    <row r="1842" spans="7:15" x14ac:dyDescent="0.25">
      <c r="G1842" t="str">
        <f t="shared" si="168"/>
        <v/>
      </c>
      <c r="H1842" s="13" t="str">
        <f t="shared" si="171"/>
        <v/>
      </c>
      <c r="I1842" t="str">
        <f>IFERROR(INDEX(Analysis!$D$116:$N$137, MATCH(B1842, Analysis!$C$116:$C$137, 0), MATCH(C1842, Analysis!$D$115:$N$115, 0)), "")</f>
        <v/>
      </c>
      <c r="J1842" t="str">
        <f t="shared" si="172"/>
        <v/>
      </c>
      <c r="K1842" s="28" t="str">
        <f t="shared" si="169"/>
        <v/>
      </c>
      <c r="L1842" s="46" t="str">
        <f t="shared" si="173"/>
        <v/>
      </c>
      <c r="M1842" t="str" cm="1">
        <f t="array" ref="M1842">IF(L1842="","",_xlfn.IFS(
  AND(L1842&gt;=TIME(9,0,0), L1842&lt;TIME(16,0,0)),"Morning",
  AND(L1842&gt;=TIME(16,0,0), L1842&lt;TIME(23,59,0)),"Evening",
  L1842&gt;=TIME(23,59,0),"Night",
  L1842&lt;TIME(9,0,0),"Night"
))</f>
        <v/>
      </c>
      <c r="O1842" t="str">
        <f t="shared" si="170"/>
        <v/>
      </c>
    </row>
    <row r="1843" spans="7:15" x14ac:dyDescent="0.25">
      <c r="G1843" t="str">
        <f t="shared" si="168"/>
        <v/>
      </c>
      <c r="H1843" s="13" t="str">
        <f t="shared" si="171"/>
        <v/>
      </c>
      <c r="I1843" t="str">
        <f>IFERROR(INDEX(Analysis!$D$116:$N$137, MATCH(B1843, Analysis!$C$116:$C$137, 0), MATCH(C1843, Analysis!$D$115:$N$115, 0)), "")</f>
        <v/>
      </c>
      <c r="J1843" t="str">
        <f t="shared" si="172"/>
        <v/>
      </c>
      <c r="K1843" s="28" t="str">
        <f t="shared" si="169"/>
        <v/>
      </c>
      <c r="L1843" s="46" t="str">
        <f t="shared" si="173"/>
        <v/>
      </c>
      <c r="M1843" t="str" cm="1">
        <f t="array" ref="M1843">IF(L1843="","",_xlfn.IFS(
  AND(L1843&gt;=TIME(9,0,0), L1843&lt;TIME(16,0,0)),"Morning",
  AND(L1843&gt;=TIME(16,0,0), L1843&lt;TIME(23,59,0)),"Evening",
  L1843&gt;=TIME(23,59,0),"Night",
  L1843&lt;TIME(9,0,0),"Night"
))</f>
        <v/>
      </c>
      <c r="O1843" t="str">
        <f t="shared" si="170"/>
        <v/>
      </c>
    </row>
    <row r="1844" spans="7:15" x14ac:dyDescent="0.25">
      <c r="G1844" t="str">
        <f t="shared" si="168"/>
        <v/>
      </c>
      <c r="H1844" s="13" t="str">
        <f t="shared" si="171"/>
        <v/>
      </c>
      <c r="I1844" t="str">
        <f>IFERROR(INDEX(Analysis!$D$116:$N$137, MATCH(B1844, Analysis!$C$116:$C$137, 0), MATCH(C1844, Analysis!$D$115:$N$115, 0)), "")</f>
        <v/>
      </c>
      <c r="J1844" t="str">
        <f t="shared" si="172"/>
        <v/>
      </c>
      <c r="K1844" s="28" t="str">
        <f t="shared" si="169"/>
        <v/>
      </c>
      <c r="L1844" s="46" t="str">
        <f t="shared" si="173"/>
        <v/>
      </c>
      <c r="M1844" t="str" cm="1">
        <f t="array" ref="M1844">IF(L1844="","",_xlfn.IFS(
  AND(L1844&gt;=TIME(9,0,0), L1844&lt;TIME(16,0,0)),"Morning",
  AND(L1844&gt;=TIME(16,0,0), L1844&lt;TIME(23,59,0)),"Evening",
  L1844&gt;=TIME(23,59,0),"Night",
  L1844&lt;TIME(9,0,0),"Night"
))</f>
        <v/>
      </c>
      <c r="O1844" t="str">
        <f t="shared" si="170"/>
        <v/>
      </c>
    </row>
    <row r="1845" spans="7:15" x14ac:dyDescent="0.25">
      <c r="G1845" t="str">
        <f t="shared" si="168"/>
        <v/>
      </c>
      <c r="H1845" s="13" t="str">
        <f t="shared" si="171"/>
        <v/>
      </c>
      <c r="I1845" t="str">
        <f>IFERROR(INDEX(Analysis!$D$116:$N$137, MATCH(B1845, Analysis!$C$116:$C$137, 0), MATCH(C1845, Analysis!$D$115:$N$115, 0)), "")</f>
        <v/>
      </c>
      <c r="J1845" t="str">
        <f t="shared" si="172"/>
        <v/>
      </c>
      <c r="K1845" s="28" t="str">
        <f t="shared" si="169"/>
        <v/>
      </c>
      <c r="L1845" s="46" t="str">
        <f t="shared" si="173"/>
        <v/>
      </c>
      <c r="M1845" t="str" cm="1">
        <f t="array" ref="M1845">IF(L1845="","",_xlfn.IFS(
  AND(L1845&gt;=TIME(9,0,0), L1845&lt;TIME(16,0,0)),"Morning",
  AND(L1845&gt;=TIME(16,0,0), L1845&lt;TIME(23,59,0)),"Evening",
  L1845&gt;=TIME(23,59,0),"Night",
  L1845&lt;TIME(9,0,0),"Night"
))</f>
        <v/>
      </c>
      <c r="O1845" t="str">
        <f t="shared" si="170"/>
        <v/>
      </c>
    </row>
    <row r="1846" spans="7:15" x14ac:dyDescent="0.25">
      <c r="G1846" t="str">
        <f t="shared" si="168"/>
        <v/>
      </c>
      <c r="H1846" s="13" t="str">
        <f t="shared" si="171"/>
        <v/>
      </c>
      <c r="I1846" t="str">
        <f>IFERROR(INDEX(Analysis!$D$116:$N$137, MATCH(B1846, Analysis!$C$116:$C$137, 0), MATCH(C1846, Analysis!$D$115:$N$115, 0)), "")</f>
        <v/>
      </c>
      <c r="J1846" t="str">
        <f t="shared" si="172"/>
        <v/>
      </c>
      <c r="K1846" s="28" t="str">
        <f t="shared" si="169"/>
        <v/>
      </c>
      <c r="L1846" s="46" t="str">
        <f t="shared" si="173"/>
        <v/>
      </c>
      <c r="M1846" t="str" cm="1">
        <f t="array" ref="M1846">IF(L1846="","",_xlfn.IFS(
  AND(L1846&gt;=TIME(9,0,0), L1846&lt;TIME(16,0,0)),"Morning",
  AND(L1846&gt;=TIME(16,0,0), L1846&lt;TIME(23,59,0)),"Evening",
  L1846&gt;=TIME(23,59,0),"Night",
  L1846&lt;TIME(9,0,0),"Night"
))</f>
        <v/>
      </c>
      <c r="O1846" t="str">
        <f t="shared" si="170"/>
        <v/>
      </c>
    </row>
    <row r="1847" spans="7:15" x14ac:dyDescent="0.25">
      <c r="G1847" t="str">
        <f t="shared" si="168"/>
        <v/>
      </c>
      <c r="H1847" s="13" t="str">
        <f t="shared" si="171"/>
        <v/>
      </c>
      <c r="I1847" t="str">
        <f>IFERROR(INDEX(Analysis!$D$116:$N$137, MATCH(B1847, Analysis!$C$116:$C$137, 0), MATCH(C1847, Analysis!$D$115:$N$115, 0)), "")</f>
        <v/>
      </c>
      <c r="J1847" t="str">
        <f t="shared" si="172"/>
        <v/>
      </c>
      <c r="K1847" s="28" t="str">
        <f t="shared" si="169"/>
        <v/>
      </c>
      <c r="L1847" s="46" t="str">
        <f t="shared" si="173"/>
        <v/>
      </c>
      <c r="M1847" t="str" cm="1">
        <f t="array" ref="M1847">IF(L1847="","",_xlfn.IFS(
  AND(L1847&gt;=TIME(9,0,0), L1847&lt;TIME(16,0,0)),"Morning",
  AND(L1847&gt;=TIME(16,0,0), L1847&lt;TIME(23,59,0)),"Evening",
  L1847&gt;=TIME(23,59,0),"Night",
  L1847&lt;TIME(9,0,0),"Night"
))</f>
        <v/>
      </c>
      <c r="O1847" t="str">
        <f t="shared" si="170"/>
        <v/>
      </c>
    </row>
    <row r="1848" spans="7:15" x14ac:dyDescent="0.25">
      <c r="G1848" t="str">
        <f t="shared" si="168"/>
        <v/>
      </c>
      <c r="H1848" s="13" t="str">
        <f t="shared" si="171"/>
        <v/>
      </c>
      <c r="I1848" t="str">
        <f>IFERROR(INDEX(Analysis!$D$116:$N$137, MATCH(B1848, Analysis!$C$116:$C$137, 0), MATCH(C1848, Analysis!$D$115:$N$115, 0)), "")</f>
        <v/>
      </c>
      <c r="J1848" t="str">
        <f t="shared" si="172"/>
        <v/>
      </c>
      <c r="K1848" s="28" t="str">
        <f t="shared" si="169"/>
        <v/>
      </c>
      <c r="L1848" s="46" t="str">
        <f t="shared" si="173"/>
        <v/>
      </c>
      <c r="M1848" t="str" cm="1">
        <f t="array" ref="M1848">IF(L1848="","",_xlfn.IFS(
  AND(L1848&gt;=TIME(9,0,0), L1848&lt;TIME(16,0,0)),"Morning",
  AND(L1848&gt;=TIME(16,0,0), L1848&lt;TIME(23,59,0)),"Evening",
  L1848&gt;=TIME(23,59,0),"Night",
  L1848&lt;TIME(9,0,0),"Night"
))</f>
        <v/>
      </c>
      <c r="O1848" t="str">
        <f t="shared" si="170"/>
        <v/>
      </c>
    </row>
    <row r="1849" spans="7:15" x14ac:dyDescent="0.25">
      <c r="G1849" t="str">
        <f t="shared" si="168"/>
        <v/>
      </c>
      <c r="H1849" s="13" t="str">
        <f t="shared" si="171"/>
        <v/>
      </c>
      <c r="I1849" t="str">
        <f>IFERROR(INDEX(Analysis!$D$116:$N$137, MATCH(B1849, Analysis!$C$116:$C$137, 0), MATCH(C1849, Analysis!$D$115:$N$115, 0)), "")</f>
        <v/>
      </c>
      <c r="J1849" t="str">
        <f t="shared" si="172"/>
        <v/>
      </c>
      <c r="K1849" s="28" t="str">
        <f t="shared" si="169"/>
        <v/>
      </c>
      <c r="L1849" s="46" t="str">
        <f t="shared" si="173"/>
        <v/>
      </c>
      <c r="M1849" t="str" cm="1">
        <f t="array" ref="M1849">IF(L1849="","",_xlfn.IFS(
  AND(L1849&gt;=TIME(9,0,0), L1849&lt;TIME(16,0,0)),"Morning",
  AND(L1849&gt;=TIME(16,0,0), L1849&lt;TIME(23,59,0)),"Evening",
  L1849&gt;=TIME(23,59,0),"Night",
  L1849&lt;TIME(9,0,0),"Night"
))</f>
        <v/>
      </c>
      <c r="O1849" t="str">
        <f t="shared" si="170"/>
        <v/>
      </c>
    </row>
    <row r="1850" spans="7:15" x14ac:dyDescent="0.25">
      <c r="G1850" t="str">
        <f t="shared" si="168"/>
        <v/>
      </c>
      <c r="H1850" s="13" t="str">
        <f t="shared" si="171"/>
        <v/>
      </c>
      <c r="I1850" t="str">
        <f>IFERROR(INDEX(Analysis!$D$116:$N$137, MATCH(B1850, Analysis!$C$116:$C$137, 0), MATCH(C1850, Analysis!$D$115:$N$115, 0)), "")</f>
        <v/>
      </c>
      <c r="J1850" t="str">
        <f t="shared" si="172"/>
        <v/>
      </c>
      <c r="K1850" s="28" t="str">
        <f t="shared" si="169"/>
        <v/>
      </c>
      <c r="L1850" s="46" t="str">
        <f t="shared" si="173"/>
        <v/>
      </c>
      <c r="M1850" t="str" cm="1">
        <f t="array" ref="M1850">IF(L1850="","",_xlfn.IFS(
  AND(L1850&gt;=TIME(9,0,0), L1850&lt;TIME(16,0,0)),"Morning",
  AND(L1850&gt;=TIME(16,0,0), L1850&lt;TIME(23,59,0)),"Evening",
  L1850&gt;=TIME(23,59,0),"Night",
  L1850&lt;TIME(9,0,0),"Night"
))</f>
        <v/>
      </c>
      <c r="O1850" t="str">
        <f t="shared" si="170"/>
        <v/>
      </c>
    </row>
    <row r="1851" spans="7:15" x14ac:dyDescent="0.25">
      <c r="G1851" t="str">
        <f t="shared" si="168"/>
        <v/>
      </c>
      <c r="H1851" s="13" t="str">
        <f t="shared" si="171"/>
        <v/>
      </c>
      <c r="I1851" t="str">
        <f>IFERROR(INDEX(Analysis!$D$116:$N$137, MATCH(B1851, Analysis!$C$116:$C$137, 0), MATCH(C1851, Analysis!$D$115:$N$115, 0)), "")</f>
        <v/>
      </c>
      <c r="J1851" t="str">
        <f t="shared" si="172"/>
        <v/>
      </c>
      <c r="K1851" s="28" t="str">
        <f t="shared" si="169"/>
        <v/>
      </c>
      <c r="L1851" s="46" t="str">
        <f t="shared" si="173"/>
        <v/>
      </c>
      <c r="M1851" t="str" cm="1">
        <f t="array" ref="M1851">IF(L1851="","",_xlfn.IFS(
  AND(L1851&gt;=TIME(9,0,0), L1851&lt;TIME(16,0,0)),"Morning",
  AND(L1851&gt;=TIME(16,0,0), L1851&lt;TIME(23,59,0)),"Evening",
  L1851&gt;=TIME(23,59,0),"Night",
  L1851&lt;TIME(9,0,0),"Night"
))</f>
        <v/>
      </c>
      <c r="O1851" t="str">
        <f t="shared" si="170"/>
        <v/>
      </c>
    </row>
    <row r="1852" spans="7:15" x14ac:dyDescent="0.25">
      <c r="G1852" t="str">
        <f t="shared" si="168"/>
        <v/>
      </c>
      <c r="H1852" s="13" t="str">
        <f t="shared" si="171"/>
        <v/>
      </c>
      <c r="I1852" t="str">
        <f>IFERROR(INDEX(Analysis!$D$116:$N$137, MATCH(B1852, Analysis!$C$116:$C$137, 0), MATCH(C1852, Analysis!$D$115:$N$115, 0)), "")</f>
        <v/>
      </c>
      <c r="J1852" t="str">
        <f t="shared" si="172"/>
        <v/>
      </c>
      <c r="K1852" s="28" t="str">
        <f t="shared" si="169"/>
        <v/>
      </c>
      <c r="L1852" s="46" t="str">
        <f t="shared" si="173"/>
        <v/>
      </c>
      <c r="M1852" t="str" cm="1">
        <f t="array" ref="M1852">IF(L1852="","",_xlfn.IFS(
  AND(L1852&gt;=TIME(9,0,0), L1852&lt;TIME(16,0,0)),"Morning",
  AND(L1852&gt;=TIME(16,0,0), L1852&lt;TIME(23,59,0)),"Evening",
  L1852&gt;=TIME(23,59,0),"Night",
  L1852&lt;TIME(9,0,0),"Night"
))</f>
        <v/>
      </c>
      <c r="O1852" t="str">
        <f t="shared" si="170"/>
        <v/>
      </c>
    </row>
    <row r="1853" spans="7:15" x14ac:dyDescent="0.25">
      <c r="G1853" t="str">
        <f t="shared" si="168"/>
        <v/>
      </c>
      <c r="H1853" s="13" t="str">
        <f t="shared" si="171"/>
        <v/>
      </c>
      <c r="I1853" t="str">
        <f>IFERROR(INDEX(Analysis!$D$116:$N$137, MATCH(B1853, Analysis!$C$116:$C$137, 0), MATCH(C1853, Analysis!$D$115:$N$115, 0)), "")</f>
        <v/>
      </c>
      <c r="J1853" t="str">
        <f t="shared" si="172"/>
        <v/>
      </c>
      <c r="K1853" s="28" t="str">
        <f t="shared" si="169"/>
        <v/>
      </c>
      <c r="L1853" s="46" t="str">
        <f t="shared" si="173"/>
        <v/>
      </c>
      <c r="M1853" t="str" cm="1">
        <f t="array" ref="M1853">IF(L1853="","",_xlfn.IFS(
  AND(L1853&gt;=TIME(9,0,0), L1853&lt;TIME(16,0,0)),"Morning",
  AND(L1853&gt;=TIME(16,0,0), L1853&lt;TIME(23,59,0)),"Evening",
  L1853&gt;=TIME(23,59,0),"Night",
  L1853&lt;TIME(9,0,0),"Night"
))</f>
        <v/>
      </c>
      <c r="O1853" t="str">
        <f t="shared" si="170"/>
        <v/>
      </c>
    </row>
    <row r="1854" spans="7:15" x14ac:dyDescent="0.25">
      <c r="G1854" t="str">
        <f t="shared" si="168"/>
        <v/>
      </c>
      <c r="H1854" s="13" t="str">
        <f t="shared" si="171"/>
        <v/>
      </c>
      <c r="I1854" t="str">
        <f>IFERROR(INDEX(Analysis!$D$116:$N$137, MATCH(B1854, Analysis!$C$116:$C$137, 0), MATCH(C1854, Analysis!$D$115:$N$115, 0)), "")</f>
        <v/>
      </c>
      <c r="J1854" t="str">
        <f t="shared" si="172"/>
        <v/>
      </c>
      <c r="K1854" s="28" t="str">
        <f t="shared" si="169"/>
        <v/>
      </c>
      <c r="L1854" s="46" t="str">
        <f t="shared" si="173"/>
        <v/>
      </c>
      <c r="M1854" t="str" cm="1">
        <f t="array" ref="M1854">IF(L1854="","",_xlfn.IFS(
  AND(L1854&gt;=TIME(9,0,0), L1854&lt;TIME(16,0,0)),"Morning",
  AND(L1854&gt;=TIME(16,0,0), L1854&lt;TIME(23,59,0)),"Evening",
  L1854&gt;=TIME(23,59,0),"Night",
  L1854&lt;TIME(9,0,0),"Night"
))</f>
        <v/>
      </c>
      <c r="O1854" t="str">
        <f t="shared" si="170"/>
        <v/>
      </c>
    </row>
    <row r="1855" spans="7:15" x14ac:dyDescent="0.25">
      <c r="G1855" t="str">
        <f t="shared" si="168"/>
        <v/>
      </c>
      <c r="H1855" s="13" t="str">
        <f t="shared" si="171"/>
        <v/>
      </c>
      <c r="I1855" t="str">
        <f>IFERROR(INDEX(Analysis!$D$116:$N$137, MATCH(B1855, Analysis!$C$116:$C$137, 0), MATCH(C1855, Analysis!$D$115:$N$115, 0)), "")</f>
        <v/>
      </c>
      <c r="J1855" t="str">
        <f t="shared" si="172"/>
        <v/>
      </c>
      <c r="K1855" s="28" t="str">
        <f t="shared" si="169"/>
        <v/>
      </c>
      <c r="L1855" s="46" t="str">
        <f t="shared" si="173"/>
        <v/>
      </c>
      <c r="M1855" t="str" cm="1">
        <f t="array" ref="M1855">IF(L1855="","",_xlfn.IFS(
  AND(L1855&gt;=TIME(9,0,0), L1855&lt;TIME(16,0,0)),"Morning",
  AND(L1855&gt;=TIME(16,0,0), L1855&lt;TIME(23,59,0)),"Evening",
  L1855&gt;=TIME(23,59,0),"Night",
  L1855&lt;TIME(9,0,0),"Night"
))</f>
        <v/>
      </c>
      <c r="O1855" t="str">
        <f t="shared" si="170"/>
        <v/>
      </c>
    </row>
    <row r="1856" spans="7:15" x14ac:dyDescent="0.25">
      <c r="G1856" t="str">
        <f t="shared" si="168"/>
        <v/>
      </c>
      <c r="H1856" s="13" t="str">
        <f t="shared" si="171"/>
        <v/>
      </c>
      <c r="I1856" t="str">
        <f>IFERROR(INDEX(Analysis!$D$116:$N$137, MATCH(B1856, Analysis!$C$116:$C$137, 0), MATCH(C1856, Analysis!$D$115:$N$115, 0)), "")</f>
        <v/>
      </c>
      <c r="J1856" t="str">
        <f t="shared" si="172"/>
        <v/>
      </c>
      <c r="K1856" s="28" t="str">
        <f t="shared" si="169"/>
        <v/>
      </c>
      <c r="L1856" s="46" t="str">
        <f t="shared" si="173"/>
        <v/>
      </c>
      <c r="M1856" t="str" cm="1">
        <f t="array" ref="M1856">IF(L1856="","",_xlfn.IFS(
  AND(L1856&gt;=TIME(9,0,0), L1856&lt;TIME(16,0,0)),"Morning",
  AND(L1856&gt;=TIME(16,0,0), L1856&lt;TIME(23,59,0)),"Evening",
  L1856&gt;=TIME(23,59,0),"Night",
  L1856&lt;TIME(9,0,0),"Night"
))</f>
        <v/>
      </c>
      <c r="O1856" t="str">
        <f t="shared" si="170"/>
        <v/>
      </c>
    </row>
    <row r="1857" spans="7:15" x14ac:dyDescent="0.25">
      <c r="G1857" t="str">
        <f t="shared" si="168"/>
        <v/>
      </c>
      <c r="H1857" s="13" t="str">
        <f t="shared" si="171"/>
        <v/>
      </c>
      <c r="I1857" t="str">
        <f>IFERROR(INDEX(Analysis!$D$116:$N$137, MATCH(B1857, Analysis!$C$116:$C$137, 0), MATCH(C1857, Analysis!$D$115:$N$115, 0)), "")</f>
        <v/>
      </c>
      <c r="J1857" t="str">
        <f t="shared" si="172"/>
        <v/>
      </c>
      <c r="K1857" s="28" t="str">
        <f t="shared" si="169"/>
        <v/>
      </c>
      <c r="L1857" s="46" t="str">
        <f t="shared" si="173"/>
        <v/>
      </c>
      <c r="M1857" t="str" cm="1">
        <f t="array" ref="M1857">IF(L1857="","",_xlfn.IFS(
  AND(L1857&gt;=TIME(9,0,0), L1857&lt;TIME(16,0,0)),"Morning",
  AND(L1857&gt;=TIME(16,0,0), L1857&lt;TIME(23,59,0)),"Evening",
  L1857&gt;=TIME(23,59,0),"Night",
  L1857&lt;TIME(9,0,0),"Night"
))</f>
        <v/>
      </c>
      <c r="O1857" t="str">
        <f t="shared" si="170"/>
        <v/>
      </c>
    </row>
    <row r="1858" spans="7:15" x14ac:dyDescent="0.25">
      <c r="G1858" t="str">
        <f t="shared" ref="G1858:G1921" si="174">IF(ISBLANK(A1858), "", IF(ISBLANK(F1858), 0, F1858))</f>
        <v/>
      </c>
      <c r="H1858" s="13" t="str">
        <f t="shared" si="171"/>
        <v/>
      </c>
      <c r="I1858" t="str">
        <f>IFERROR(INDEX(Analysis!$D$116:$N$137, MATCH(B1858, Analysis!$C$116:$C$137, 0), MATCH(C1858, Analysis!$D$115:$N$115, 0)), "")</f>
        <v/>
      </c>
      <c r="J1858" t="str">
        <f t="shared" si="172"/>
        <v/>
      </c>
      <c r="K1858" s="28" t="str">
        <f t="shared" ref="K1858:K1921" si="175">IF(ISBLANK(A1858),"",DATE(YEAR(A1858),MONTH(A1858),DAY(A1858)))</f>
        <v/>
      </c>
      <c r="L1858" s="46" t="str">
        <f t="shared" si="173"/>
        <v/>
      </c>
      <c r="M1858" t="str" cm="1">
        <f t="array" ref="M1858">IF(L1858="","",_xlfn.IFS(
  AND(L1858&gt;=TIME(9,0,0), L1858&lt;TIME(16,0,0)),"Morning",
  AND(L1858&gt;=TIME(16,0,0), L1858&lt;TIME(23,59,0)),"Evening",
  L1858&gt;=TIME(23,59,0),"Night",
  L1858&lt;TIME(9,0,0),"Night"
))</f>
        <v/>
      </c>
      <c r="O1858" t="str">
        <f t="shared" ref="O1858:O1921" si="176">IF(N1858="ON", _xlfn.IMAGE(E1858, 1), "")</f>
        <v/>
      </c>
    </row>
    <row r="1859" spans="7:15" x14ac:dyDescent="0.25">
      <c r="G1859" t="str">
        <f t="shared" si="174"/>
        <v/>
      </c>
      <c r="H1859" s="13" t="str">
        <f t="shared" ref="H1859:H1922" si="177">IF(ISBLANK(E1859),"",HYPERLINK(E1859,"Click here"))</f>
        <v/>
      </c>
      <c r="I1859" t="str">
        <f>IFERROR(INDEX(Analysis!$D$116:$N$137, MATCH(B1859, Analysis!$C$116:$C$137, 0), MATCH(C1859, Analysis!$D$115:$N$115, 0)), "")</f>
        <v/>
      </c>
      <c r="J1859" t="str">
        <f t="shared" ref="J1859:J1922" si="178">IF(ISBLANK(A1859),"",WEEKNUM(A1859))</f>
        <v/>
      </c>
      <c r="K1859" s="28" t="str">
        <f t="shared" si="175"/>
        <v/>
      </c>
      <c r="L1859" s="46" t="str">
        <f t="shared" ref="L1859:L1922" si="179">IF(A1859="", "", A1859 - INT(A1859))</f>
        <v/>
      </c>
      <c r="M1859" t="str" cm="1">
        <f t="array" ref="M1859">IF(L1859="","",_xlfn.IFS(
  AND(L1859&gt;=TIME(9,0,0), L1859&lt;TIME(16,0,0)),"Morning",
  AND(L1859&gt;=TIME(16,0,0), L1859&lt;TIME(23,59,0)),"Evening",
  L1859&gt;=TIME(23,59,0),"Night",
  L1859&lt;TIME(9,0,0),"Night"
))</f>
        <v/>
      </c>
      <c r="O1859" t="str">
        <f t="shared" si="176"/>
        <v/>
      </c>
    </row>
    <row r="1860" spans="7:15" x14ac:dyDescent="0.25">
      <c r="G1860" t="str">
        <f t="shared" si="174"/>
        <v/>
      </c>
      <c r="H1860" s="13" t="str">
        <f t="shared" si="177"/>
        <v/>
      </c>
      <c r="I1860" t="str">
        <f>IFERROR(INDEX(Analysis!$D$116:$N$137, MATCH(B1860, Analysis!$C$116:$C$137, 0), MATCH(C1860, Analysis!$D$115:$N$115, 0)), "")</f>
        <v/>
      </c>
      <c r="J1860" t="str">
        <f t="shared" si="178"/>
        <v/>
      </c>
      <c r="K1860" s="28" t="str">
        <f t="shared" si="175"/>
        <v/>
      </c>
      <c r="L1860" s="46" t="str">
        <f t="shared" si="179"/>
        <v/>
      </c>
      <c r="M1860" t="str" cm="1">
        <f t="array" ref="M1860">IF(L1860="","",_xlfn.IFS(
  AND(L1860&gt;=TIME(9,0,0), L1860&lt;TIME(16,0,0)),"Morning",
  AND(L1860&gt;=TIME(16,0,0), L1860&lt;TIME(23,59,0)),"Evening",
  L1860&gt;=TIME(23,59,0),"Night",
  L1860&lt;TIME(9,0,0),"Night"
))</f>
        <v/>
      </c>
      <c r="O1860" t="str">
        <f t="shared" si="176"/>
        <v/>
      </c>
    </row>
    <row r="1861" spans="7:15" x14ac:dyDescent="0.25">
      <c r="G1861" t="str">
        <f t="shared" si="174"/>
        <v/>
      </c>
      <c r="H1861" s="13" t="str">
        <f t="shared" si="177"/>
        <v/>
      </c>
      <c r="I1861" t="str">
        <f>IFERROR(INDEX(Analysis!$D$116:$N$137, MATCH(B1861, Analysis!$C$116:$C$137, 0), MATCH(C1861, Analysis!$D$115:$N$115, 0)), "")</f>
        <v/>
      </c>
      <c r="J1861" t="str">
        <f t="shared" si="178"/>
        <v/>
      </c>
      <c r="K1861" s="28" t="str">
        <f t="shared" si="175"/>
        <v/>
      </c>
      <c r="L1861" s="46" t="str">
        <f t="shared" si="179"/>
        <v/>
      </c>
      <c r="M1861" t="str" cm="1">
        <f t="array" ref="M1861">IF(L1861="","",_xlfn.IFS(
  AND(L1861&gt;=TIME(9,0,0), L1861&lt;TIME(16,0,0)),"Morning",
  AND(L1861&gt;=TIME(16,0,0), L1861&lt;TIME(23,59,0)),"Evening",
  L1861&gt;=TIME(23,59,0),"Night",
  L1861&lt;TIME(9,0,0),"Night"
))</f>
        <v/>
      </c>
      <c r="O1861" t="str">
        <f t="shared" si="176"/>
        <v/>
      </c>
    </row>
    <row r="1862" spans="7:15" x14ac:dyDescent="0.25">
      <c r="G1862" t="str">
        <f t="shared" si="174"/>
        <v/>
      </c>
      <c r="H1862" s="13" t="str">
        <f t="shared" si="177"/>
        <v/>
      </c>
      <c r="I1862" t="str">
        <f>IFERROR(INDEX(Analysis!$D$116:$N$137, MATCH(B1862, Analysis!$C$116:$C$137, 0), MATCH(C1862, Analysis!$D$115:$N$115, 0)), "")</f>
        <v/>
      </c>
      <c r="J1862" t="str">
        <f t="shared" si="178"/>
        <v/>
      </c>
      <c r="K1862" s="28" t="str">
        <f t="shared" si="175"/>
        <v/>
      </c>
      <c r="L1862" s="46" t="str">
        <f t="shared" si="179"/>
        <v/>
      </c>
      <c r="M1862" t="str" cm="1">
        <f t="array" ref="M1862">IF(L1862="","",_xlfn.IFS(
  AND(L1862&gt;=TIME(9,0,0), L1862&lt;TIME(16,0,0)),"Morning",
  AND(L1862&gt;=TIME(16,0,0), L1862&lt;TIME(23,59,0)),"Evening",
  L1862&gt;=TIME(23,59,0),"Night",
  L1862&lt;TIME(9,0,0),"Night"
))</f>
        <v/>
      </c>
      <c r="O1862" t="str">
        <f t="shared" si="176"/>
        <v/>
      </c>
    </row>
    <row r="1863" spans="7:15" x14ac:dyDescent="0.25">
      <c r="G1863" t="str">
        <f t="shared" si="174"/>
        <v/>
      </c>
      <c r="H1863" s="13" t="str">
        <f t="shared" si="177"/>
        <v/>
      </c>
      <c r="I1863" t="str">
        <f>IFERROR(INDEX(Analysis!$D$116:$N$137, MATCH(B1863, Analysis!$C$116:$C$137, 0), MATCH(C1863, Analysis!$D$115:$N$115, 0)), "")</f>
        <v/>
      </c>
      <c r="J1863" t="str">
        <f t="shared" si="178"/>
        <v/>
      </c>
      <c r="K1863" s="28" t="str">
        <f t="shared" si="175"/>
        <v/>
      </c>
      <c r="L1863" s="46" t="str">
        <f t="shared" si="179"/>
        <v/>
      </c>
      <c r="M1863" t="str" cm="1">
        <f t="array" ref="M1863">IF(L1863="","",_xlfn.IFS(
  AND(L1863&gt;=TIME(9,0,0), L1863&lt;TIME(16,0,0)),"Morning",
  AND(L1863&gt;=TIME(16,0,0), L1863&lt;TIME(23,59,0)),"Evening",
  L1863&gt;=TIME(23,59,0),"Night",
  L1863&lt;TIME(9,0,0),"Night"
))</f>
        <v/>
      </c>
      <c r="O1863" t="str">
        <f t="shared" si="176"/>
        <v/>
      </c>
    </row>
    <row r="1864" spans="7:15" x14ac:dyDescent="0.25">
      <c r="G1864" t="str">
        <f t="shared" si="174"/>
        <v/>
      </c>
      <c r="H1864" s="13" t="str">
        <f t="shared" si="177"/>
        <v/>
      </c>
      <c r="I1864" t="str">
        <f>IFERROR(INDEX(Analysis!$D$116:$N$137, MATCH(B1864, Analysis!$C$116:$C$137, 0), MATCH(C1864, Analysis!$D$115:$N$115, 0)), "")</f>
        <v/>
      </c>
      <c r="J1864" t="str">
        <f t="shared" si="178"/>
        <v/>
      </c>
      <c r="K1864" s="28" t="str">
        <f t="shared" si="175"/>
        <v/>
      </c>
      <c r="L1864" s="46" t="str">
        <f t="shared" si="179"/>
        <v/>
      </c>
      <c r="M1864" t="str" cm="1">
        <f t="array" ref="M1864">IF(L1864="","",_xlfn.IFS(
  AND(L1864&gt;=TIME(9,0,0), L1864&lt;TIME(16,0,0)),"Morning",
  AND(L1864&gt;=TIME(16,0,0), L1864&lt;TIME(23,59,0)),"Evening",
  L1864&gt;=TIME(23,59,0),"Night",
  L1864&lt;TIME(9,0,0),"Night"
))</f>
        <v/>
      </c>
      <c r="O1864" t="str">
        <f t="shared" si="176"/>
        <v/>
      </c>
    </row>
    <row r="1865" spans="7:15" x14ac:dyDescent="0.25">
      <c r="G1865" t="str">
        <f t="shared" si="174"/>
        <v/>
      </c>
      <c r="H1865" s="13" t="str">
        <f t="shared" si="177"/>
        <v/>
      </c>
      <c r="I1865" t="str">
        <f>IFERROR(INDEX(Analysis!$D$116:$N$137, MATCH(B1865, Analysis!$C$116:$C$137, 0), MATCH(C1865, Analysis!$D$115:$N$115, 0)), "")</f>
        <v/>
      </c>
      <c r="J1865" t="str">
        <f t="shared" si="178"/>
        <v/>
      </c>
      <c r="K1865" s="28" t="str">
        <f t="shared" si="175"/>
        <v/>
      </c>
      <c r="L1865" s="46" t="str">
        <f t="shared" si="179"/>
        <v/>
      </c>
      <c r="M1865" t="str" cm="1">
        <f t="array" ref="M1865">IF(L1865="","",_xlfn.IFS(
  AND(L1865&gt;=TIME(9,0,0), L1865&lt;TIME(16,0,0)),"Morning",
  AND(L1865&gt;=TIME(16,0,0), L1865&lt;TIME(23,59,0)),"Evening",
  L1865&gt;=TIME(23,59,0),"Night",
  L1865&lt;TIME(9,0,0),"Night"
))</f>
        <v/>
      </c>
      <c r="O1865" t="str">
        <f t="shared" si="176"/>
        <v/>
      </c>
    </row>
    <row r="1866" spans="7:15" x14ac:dyDescent="0.25">
      <c r="G1866" t="str">
        <f t="shared" si="174"/>
        <v/>
      </c>
      <c r="H1866" s="13" t="str">
        <f t="shared" si="177"/>
        <v/>
      </c>
      <c r="I1866" t="str">
        <f>IFERROR(INDEX(Analysis!$D$116:$N$137, MATCH(B1866, Analysis!$C$116:$C$137, 0), MATCH(C1866, Analysis!$D$115:$N$115, 0)), "")</f>
        <v/>
      </c>
      <c r="J1866" t="str">
        <f t="shared" si="178"/>
        <v/>
      </c>
      <c r="K1866" s="28" t="str">
        <f t="shared" si="175"/>
        <v/>
      </c>
      <c r="L1866" s="46" t="str">
        <f t="shared" si="179"/>
        <v/>
      </c>
      <c r="M1866" t="str" cm="1">
        <f t="array" ref="M1866">IF(L1866="","",_xlfn.IFS(
  AND(L1866&gt;=TIME(9,0,0), L1866&lt;TIME(16,0,0)),"Morning",
  AND(L1866&gt;=TIME(16,0,0), L1866&lt;TIME(23,59,0)),"Evening",
  L1866&gt;=TIME(23,59,0),"Night",
  L1866&lt;TIME(9,0,0),"Night"
))</f>
        <v/>
      </c>
      <c r="O1866" t="str">
        <f t="shared" si="176"/>
        <v/>
      </c>
    </row>
    <row r="1867" spans="7:15" x14ac:dyDescent="0.25">
      <c r="G1867" t="str">
        <f t="shared" si="174"/>
        <v/>
      </c>
      <c r="H1867" s="13" t="str">
        <f t="shared" si="177"/>
        <v/>
      </c>
      <c r="I1867" t="str">
        <f>IFERROR(INDEX(Analysis!$D$116:$N$137, MATCH(B1867, Analysis!$C$116:$C$137, 0), MATCH(C1867, Analysis!$D$115:$N$115, 0)), "")</f>
        <v/>
      </c>
      <c r="J1867" t="str">
        <f t="shared" si="178"/>
        <v/>
      </c>
      <c r="K1867" s="28" t="str">
        <f t="shared" si="175"/>
        <v/>
      </c>
      <c r="L1867" s="46" t="str">
        <f t="shared" si="179"/>
        <v/>
      </c>
      <c r="M1867" t="str" cm="1">
        <f t="array" ref="M1867">IF(L1867="","",_xlfn.IFS(
  AND(L1867&gt;=TIME(9,0,0), L1867&lt;TIME(16,0,0)),"Morning",
  AND(L1867&gt;=TIME(16,0,0), L1867&lt;TIME(23,59,0)),"Evening",
  L1867&gt;=TIME(23,59,0),"Night",
  L1867&lt;TIME(9,0,0),"Night"
))</f>
        <v/>
      </c>
      <c r="O1867" t="str">
        <f t="shared" si="176"/>
        <v/>
      </c>
    </row>
    <row r="1868" spans="7:15" x14ac:dyDescent="0.25">
      <c r="G1868" t="str">
        <f t="shared" si="174"/>
        <v/>
      </c>
      <c r="H1868" s="13" t="str">
        <f t="shared" si="177"/>
        <v/>
      </c>
      <c r="I1868" t="str">
        <f>IFERROR(INDEX(Analysis!$D$116:$N$137, MATCH(B1868, Analysis!$C$116:$C$137, 0), MATCH(C1868, Analysis!$D$115:$N$115, 0)), "")</f>
        <v/>
      </c>
      <c r="J1868" t="str">
        <f t="shared" si="178"/>
        <v/>
      </c>
      <c r="K1868" s="28" t="str">
        <f t="shared" si="175"/>
        <v/>
      </c>
      <c r="L1868" s="46" t="str">
        <f t="shared" si="179"/>
        <v/>
      </c>
      <c r="M1868" t="str" cm="1">
        <f t="array" ref="M1868">IF(L1868="","",_xlfn.IFS(
  AND(L1868&gt;=TIME(9,0,0), L1868&lt;TIME(16,0,0)),"Morning",
  AND(L1868&gt;=TIME(16,0,0), L1868&lt;TIME(23,59,0)),"Evening",
  L1868&gt;=TIME(23,59,0),"Night",
  L1868&lt;TIME(9,0,0),"Night"
))</f>
        <v/>
      </c>
      <c r="O1868" t="str">
        <f t="shared" si="176"/>
        <v/>
      </c>
    </row>
    <row r="1869" spans="7:15" x14ac:dyDescent="0.25">
      <c r="G1869" t="str">
        <f t="shared" si="174"/>
        <v/>
      </c>
      <c r="H1869" s="13" t="str">
        <f t="shared" si="177"/>
        <v/>
      </c>
      <c r="I1869" t="str">
        <f>IFERROR(INDEX(Analysis!$D$116:$N$137, MATCH(B1869, Analysis!$C$116:$C$137, 0), MATCH(C1869, Analysis!$D$115:$N$115, 0)), "")</f>
        <v/>
      </c>
      <c r="J1869" t="str">
        <f t="shared" si="178"/>
        <v/>
      </c>
      <c r="K1869" s="28" t="str">
        <f t="shared" si="175"/>
        <v/>
      </c>
      <c r="L1869" s="46" t="str">
        <f t="shared" si="179"/>
        <v/>
      </c>
      <c r="M1869" t="str" cm="1">
        <f t="array" ref="M1869">IF(L1869="","",_xlfn.IFS(
  AND(L1869&gt;=TIME(9,0,0), L1869&lt;TIME(16,0,0)),"Morning",
  AND(L1869&gt;=TIME(16,0,0), L1869&lt;TIME(23,59,0)),"Evening",
  L1869&gt;=TIME(23,59,0),"Night",
  L1869&lt;TIME(9,0,0),"Night"
))</f>
        <v/>
      </c>
      <c r="O1869" t="str">
        <f t="shared" si="176"/>
        <v/>
      </c>
    </row>
    <row r="1870" spans="7:15" x14ac:dyDescent="0.25">
      <c r="G1870" t="str">
        <f t="shared" si="174"/>
        <v/>
      </c>
      <c r="H1870" s="13" t="str">
        <f t="shared" si="177"/>
        <v/>
      </c>
      <c r="I1870" t="str">
        <f>IFERROR(INDEX(Analysis!$D$116:$N$137, MATCH(B1870, Analysis!$C$116:$C$137, 0), MATCH(C1870, Analysis!$D$115:$N$115, 0)), "")</f>
        <v/>
      </c>
      <c r="J1870" t="str">
        <f t="shared" si="178"/>
        <v/>
      </c>
      <c r="K1870" s="28" t="str">
        <f t="shared" si="175"/>
        <v/>
      </c>
      <c r="L1870" s="46" t="str">
        <f t="shared" si="179"/>
        <v/>
      </c>
      <c r="M1870" t="str" cm="1">
        <f t="array" ref="M1870">IF(L1870="","",_xlfn.IFS(
  AND(L1870&gt;=TIME(9,0,0), L1870&lt;TIME(16,0,0)),"Morning",
  AND(L1870&gt;=TIME(16,0,0), L1870&lt;TIME(23,59,0)),"Evening",
  L1870&gt;=TIME(23,59,0),"Night",
  L1870&lt;TIME(9,0,0),"Night"
))</f>
        <v/>
      </c>
      <c r="O1870" t="str">
        <f t="shared" si="176"/>
        <v/>
      </c>
    </row>
    <row r="1871" spans="7:15" x14ac:dyDescent="0.25">
      <c r="G1871" t="str">
        <f t="shared" si="174"/>
        <v/>
      </c>
      <c r="H1871" s="13" t="str">
        <f t="shared" si="177"/>
        <v/>
      </c>
      <c r="I1871" t="str">
        <f>IFERROR(INDEX(Analysis!$D$116:$N$137, MATCH(B1871, Analysis!$C$116:$C$137, 0), MATCH(C1871, Analysis!$D$115:$N$115, 0)), "")</f>
        <v/>
      </c>
      <c r="J1871" t="str">
        <f t="shared" si="178"/>
        <v/>
      </c>
      <c r="K1871" s="28" t="str">
        <f t="shared" si="175"/>
        <v/>
      </c>
      <c r="L1871" s="46" t="str">
        <f t="shared" si="179"/>
        <v/>
      </c>
      <c r="M1871" t="str" cm="1">
        <f t="array" ref="M1871">IF(L1871="","",_xlfn.IFS(
  AND(L1871&gt;=TIME(9,0,0), L1871&lt;TIME(16,0,0)),"Morning",
  AND(L1871&gt;=TIME(16,0,0), L1871&lt;TIME(23,59,0)),"Evening",
  L1871&gt;=TIME(23,59,0),"Night",
  L1871&lt;TIME(9,0,0),"Night"
))</f>
        <v/>
      </c>
      <c r="O1871" t="str">
        <f t="shared" si="176"/>
        <v/>
      </c>
    </row>
    <row r="1872" spans="7:15" x14ac:dyDescent="0.25">
      <c r="G1872" t="str">
        <f t="shared" si="174"/>
        <v/>
      </c>
      <c r="H1872" s="13" t="str">
        <f t="shared" si="177"/>
        <v/>
      </c>
      <c r="I1872" t="str">
        <f>IFERROR(INDEX(Analysis!$D$116:$N$137, MATCH(B1872, Analysis!$C$116:$C$137, 0), MATCH(C1872, Analysis!$D$115:$N$115, 0)), "")</f>
        <v/>
      </c>
      <c r="J1872" t="str">
        <f t="shared" si="178"/>
        <v/>
      </c>
      <c r="K1872" s="28" t="str">
        <f t="shared" si="175"/>
        <v/>
      </c>
      <c r="L1872" s="46" t="str">
        <f t="shared" si="179"/>
        <v/>
      </c>
      <c r="M1872" t="str" cm="1">
        <f t="array" ref="M1872">IF(L1872="","",_xlfn.IFS(
  AND(L1872&gt;=TIME(9,0,0), L1872&lt;TIME(16,0,0)),"Morning",
  AND(L1872&gt;=TIME(16,0,0), L1872&lt;TIME(23,59,0)),"Evening",
  L1872&gt;=TIME(23,59,0),"Night",
  L1872&lt;TIME(9,0,0),"Night"
))</f>
        <v/>
      </c>
      <c r="O1872" t="str">
        <f t="shared" si="176"/>
        <v/>
      </c>
    </row>
    <row r="1873" spans="7:15" x14ac:dyDescent="0.25">
      <c r="G1873" t="str">
        <f t="shared" si="174"/>
        <v/>
      </c>
      <c r="H1873" s="13" t="str">
        <f t="shared" si="177"/>
        <v/>
      </c>
      <c r="I1873" t="str">
        <f>IFERROR(INDEX(Analysis!$D$116:$N$137, MATCH(B1873, Analysis!$C$116:$C$137, 0), MATCH(C1873, Analysis!$D$115:$N$115, 0)), "")</f>
        <v/>
      </c>
      <c r="J1873" t="str">
        <f t="shared" si="178"/>
        <v/>
      </c>
      <c r="K1873" s="28" t="str">
        <f t="shared" si="175"/>
        <v/>
      </c>
      <c r="L1873" s="46" t="str">
        <f t="shared" si="179"/>
        <v/>
      </c>
      <c r="M1873" t="str" cm="1">
        <f t="array" ref="M1873">IF(L1873="","",_xlfn.IFS(
  AND(L1873&gt;=TIME(9,0,0), L1873&lt;TIME(16,0,0)),"Morning",
  AND(L1873&gt;=TIME(16,0,0), L1873&lt;TIME(23,59,0)),"Evening",
  L1873&gt;=TIME(23,59,0),"Night",
  L1873&lt;TIME(9,0,0),"Night"
))</f>
        <v/>
      </c>
      <c r="O1873" t="str">
        <f t="shared" si="176"/>
        <v/>
      </c>
    </row>
    <row r="1874" spans="7:15" x14ac:dyDescent="0.25">
      <c r="G1874" t="str">
        <f t="shared" si="174"/>
        <v/>
      </c>
      <c r="H1874" s="13" t="str">
        <f t="shared" si="177"/>
        <v/>
      </c>
      <c r="I1874" t="str">
        <f>IFERROR(INDEX(Analysis!$D$116:$N$137, MATCH(B1874, Analysis!$C$116:$C$137, 0), MATCH(C1874, Analysis!$D$115:$N$115, 0)), "")</f>
        <v/>
      </c>
      <c r="J1874" t="str">
        <f t="shared" si="178"/>
        <v/>
      </c>
      <c r="K1874" s="28" t="str">
        <f t="shared" si="175"/>
        <v/>
      </c>
      <c r="L1874" s="46" t="str">
        <f t="shared" si="179"/>
        <v/>
      </c>
      <c r="M1874" t="str" cm="1">
        <f t="array" ref="M1874">IF(L1874="","",_xlfn.IFS(
  AND(L1874&gt;=TIME(9,0,0), L1874&lt;TIME(16,0,0)),"Morning",
  AND(L1874&gt;=TIME(16,0,0), L1874&lt;TIME(23,59,0)),"Evening",
  L1874&gt;=TIME(23,59,0),"Night",
  L1874&lt;TIME(9,0,0),"Night"
))</f>
        <v/>
      </c>
      <c r="O1874" t="str">
        <f t="shared" si="176"/>
        <v/>
      </c>
    </row>
    <row r="1875" spans="7:15" x14ac:dyDescent="0.25">
      <c r="G1875" t="str">
        <f t="shared" si="174"/>
        <v/>
      </c>
      <c r="H1875" s="13" t="str">
        <f t="shared" si="177"/>
        <v/>
      </c>
      <c r="I1875" t="str">
        <f>IFERROR(INDEX(Analysis!$D$116:$N$137, MATCH(B1875, Analysis!$C$116:$C$137, 0), MATCH(C1875, Analysis!$D$115:$N$115, 0)), "")</f>
        <v/>
      </c>
      <c r="J1875" t="str">
        <f t="shared" si="178"/>
        <v/>
      </c>
      <c r="K1875" s="28" t="str">
        <f t="shared" si="175"/>
        <v/>
      </c>
      <c r="L1875" s="46" t="str">
        <f t="shared" si="179"/>
        <v/>
      </c>
      <c r="M1875" t="str" cm="1">
        <f t="array" ref="M1875">IF(L1875="","",_xlfn.IFS(
  AND(L1875&gt;=TIME(9,0,0), L1875&lt;TIME(16,0,0)),"Morning",
  AND(L1875&gt;=TIME(16,0,0), L1875&lt;TIME(23,59,0)),"Evening",
  L1875&gt;=TIME(23,59,0),"Night",
  L1875&lt;TIME(9,0,0),"Night"
))</f>
        <v/>
      </c>
      <c r="O1875" t="str">
        <f t="shared" si="176"/>
        <v/>
      </c>
    </row>
    <row r="1876" spans="7:15" x14ac:dyDescent="0.25">
      <c r="G1876" t="str">
        <f t="shared" si="174"/>
        <v/>
      </c>
      <c r="H1876" s="13" t="str">
        <f t="shared" si="177"/>
        <v/>
      </c>
      <c r="I1876" t="str">
        <f>IFERROR(INDEX(Analysis!$D$116:$N$137, MATCH(B1876, Analysis!$C$116:$C$137, 0), MATCH(C1876, Analysis!$D$115:$N$115, 0)), "")</f>
        <v/>
      </c>
      <c r="J1876" t="str">
        <f t="shared" si="178"/>
        <v/>
      </c>
      <c r="K1876" s="28" t="str">
        <f t="shared" si="175"/>
        <v/>
      </c>
      <c r="L1876" s="46" t="str">
        <f t="shared" si="179"/>
        <v/>
      </c>
      <c r="M1876" t="str" cm="1">
        <f t="array" ref="M1876">IF(L1876="","",_xlfn.IFS(
  AND(L1876&gt;=TIME(9,0,0), L1876&lt;TIME(16,0,0)),"Morning",
  AND(L1876&gt;=TIME(16,0,0), L1876&lt;TIME(23,59,0)),"Evening",
  L1876&gt;=TIME(23,59,0),"Night",
  L1876&lt;TIME(9,0,0),"Night"
))</f>
        <v/>
      </c>
      <c r="O1876" t="str">
        <f t="shared" si="176"/>
        <v/>
      </c>
    </row>
    <row r="1877" spans="7:15" x14ac:dyDescent="0.25">
      <c r="G1877" t="str">
        <f t="shared" si="174"/>
        <v/>
      </c>
      <c r="H1877" s="13" t="str">
        <f t="shared" si="177"/>
        <v/>
      </c>
      <c r="I1877" t="str">
        <f>IFERROR(INDEX(Analysis!$D$116:$N$137, MATCH(B1877, Analysis!$C$116:$C$137, 0), MATCH(C1877, Analysis!$D$115:$N$115, 0)), "")</f>
        <v/>
      </c>
      <c r="J1877" t="str">
        <f t="shared" si="178"/>
        <v/>
      </c>
      <c r="K1877" s="28" t="str">
        <f t="shared" si="175"/>
        <v/>
      </c>
      <c r="L1877" s="46" t="str">
        <f t="shared" si="179"/>
        <v/>
      </c>
      <c r="M1877" t="str" cm="1">
        <f t="array" ref="M1877">IF(L1877="","",_xlfn.IFS(
  AND(L1877&gt;=TIME(9,0,0), L1877&lt;TIME(16,0,0)),"Morning",
  AND(L1877&gt;=TIME(16,0,0), L1877&lt;TIME(23,59,0)),"Evening",
  L1877&gt;=TIME(23,59,0),"Night",
  L1877&lt;TIME(9,0,0),"Night"
))</f>
        <v/>
      </c>
      <c r="O1877" t="str">
        <f t="shared" si="176"/>
        <v/>
      </c>
    </row>
    <row r="1878" spans="7:15" x14ac:dyDescent="0.25">
      <c r="G1878" t="str">
        <f t="shared" si="174"/>
        <v/>
      </c>
      <c r="H1878" s="13" t="str">
        <f t="shared" si="177"/>
        <v/>
      </c>
      <c r="I1878" t="str">
        <f>IFERROR(INDEX(Analysis!$D$116:$N$137, MATCH(B1878, Analysis!$C$116:$C$137, 0), MATCH(C1878, Analysis!$D$115:$N$115, 0)), "")</f>
        <v/>
      </c>
      <c r="J1878" t="str">
        <f t="shared" si="178"/>
        <v/>
      </c>
      <c r="K1878" s="28" t="str">
        <f t="shared" si="175"/>
        <v/>
      </c>
      <c r="L1878" s="46" t="str">
        <f t="shared" si="179"/>
        <v/>
      </c>
      <c r="M1878" t="str" cm="1">
        <f t="array" ref="M1878">IF(L1878="","",_xlfn.IFS(
  AND(L1878&gt;=TIME(9,0,0), L1878&lt;TIME(16,0,0)),"Morning",
  AND(L1878&gt;=TIME(16,0,0), L1878&lt;TIME(23,59,0)),"Evening",
  L1878&gt;=TIME(23,59,0),"Night",
  L1878&lt;TIME(9,0,0),"Night"
))</f>
        <v/>
      </c>
      <c r="O1878" t="str">
        <f t="shared" si="176"/>
        <v/>
      </c>
    </row>
    <row r="1879" spans="7:15" x14ac:dyDescent="0.25">
      <c r="G1879" t="str">
        <f t="shared" si="174"/>
        <v/>
      </c>
      <c r="H1879" s="13" t="str">
        <f t="shared" si="177"/>
        <v/>
      </c>
      <c r="I1879" t="str">
        <f>IFERROR(INDEX(Analysis!$D$116:$N$137, MATCH(B1879, Analysis!$C$116:$C$137, 0), MATCH(C1879, Analysis!$D$115:$N$115, 0)), "")</f>
        <v/>
      </c>
      <c r="J1879" t="str">
        <f t="shared" si="178"/>
        <v/>
      </c>
      <c r="K1879" s="28" t="str">
        <f t="shared" si="175"/>
        <v/>
      </c>
      <c r="L1879" s="46" t="str">
        <f t="shared" si="179"/>
        <v/>
      </c>
      <c r="M1879" t="str" cm="1">
        <f t="array" ref="M1879">IF(L1879="","",_xlfn.IFS(
  AND(L1879&gt;=TIME(9,0,0), L1879&lt;TIME(16,0,0)),"Morning",
  AND(L1879&gt;=TIME(16,0,0), L1879&lt;TIME(23,59,0)),"Evening",
  L1879&gt;=TIME(23,59,0),"Night",
  L1879&lt;TIME(9,0,0),"Night"
))</f>
        <v/>
      </c>
      <c r="O1879" t="str">
        <f t="shared" si="176"/>
        <v/>
      </c>
    </row>
    <row r="1880" spans="7:15" x14ac:dyDescent="0.25">
      <c r="G1880" t="str">
        <f t="shared" si="174"/>
        <v/>
      </c>
      <c r="H1880" s="13" t="str">
        <f t="shared" si="177"/>
        <v/>
      </c>
      <c r="I1880" t="str">
        <f>IFERROR(INDEX(Analysis!$D$116:$N$137, MATCH(B1880, Analysis!$C$116:$C$137, 0), MATCH(C1880, Analysis!$D$115:$N$115, 0)), "")</f>
        <v/>
      </c>
      <c r="J1880" t="str">
        <f t="shared" si="178"/>
        <v/>
      </c>
      <c r="K1880" s="28" t="str">
        <f t="shared" si="175"/>
        <v/>
      </c>
      <c r="L1880" s="46" t="str">
        <f t="shared" si="179"/>
        <v/>
      </c>
      <c r="M1880" t="str" cm="1">
        <f t="array" ref="M1880">IF(L1880="","",_xlfn.IFS(
  AND(L1880&gt;=TIME(9,0,0), L1880&lt;TIME(16,0,0)),"Morning",
  AND(L1880&gt;=TIME(16,0,0), L1880&lt;TIME(23,59,0)),"Evening",
  L1880&gt;=TIME(23,59,0),"Night",
  L1880&lt;TIME(9,0,0),"Night"
))</f>
        <v/>
      </c>
      <c r="O1880" t="str">
        <f t="shared" si="176"/>
        <v/>
      </c>
    </row>
    <row r="1881" spans="7:15" x14ac:dyDescent="0.25">
      <c r="G1881" t="str">
        <f t="shared" si="174"/>
        <v/>
      </c>
      <c r="H1881" s="13" t="str">
        <f t="shared" si="177"/>
        <v/>
      </c>
      <c r="I1881" t="str">
        <f>IFERROR(INDEX(Analysis!$D$116:$N$137, MATCH(B1881, Analysis!$C$116:$C$137, 0), MATCH(C1881, Analysis!$D$115:$N$115, 0)), "")</f>
        <v/>
      </c>
      <c r="J1881" t="str">
        <f t="shared" si="178"/>
        <v/>
      </c>
      <c r="K1881" s="28" t="str">
        <f t="shared" si="175"/>
        <v/>
      </c>
      <c r="L1881" s="46" t="str">
        <f t="shared" si="179"/>
        <v/>
      </c>
      <c r="M1881" t="str" cm="1">
        <f t="array" ref="M1881">IF(L1881="","",_xlfn.IFS(
  AND(L1881&gt;=TIME(9,0,0), L1881&lt;TIME(16,0,0)),"Morning",
  AND(L1881&gt;=TIME(16,0,0), L1881&lt;TIME(23,59,0)),"Evening",
  L1881&gt;=TIME(23,59,0),"Night",
  L1881&lt;TIME(9,0,0),"Night"
))</f>
        <v/>
      </c>
      <c r="O1881" t="str">
        <f t="shared" si="176"/>
        <v/>
      </c>
    </row>
    <row r="1882" spans="7:15" x14ac:dyDescent="0.25">
      <c r="G1882" t="str">
        <f t="shared" si="174"/>
        <v/>
      </c>
      <c r="H1882" s="13" t="str">
        <f t="shared" si="177"/>
        <v/>
      </c>
      <c r="I1882" t="str">
        <f>IFERROR(INDEX(Analysis!$D$116:$N$137, MATCH(B1882, Analysis!$C$116:$C$137, 0), MATCH(C1882, Analysis!$D$115:$N$115, 0)), "")</f>
        <v/>
      </c>
      <c r="J1882" t="str">
        <f t="shared" si="178"/>
        <v/>
      </c>
      <c r="K1882" s="28" t="str">
        <f t="shared" si="175"/>
        <v/>
      </c>
      <c r="L1882" s="46" t="str">
        <f t="shared" si="179"/>
        <v/>
      </c>
      <c r="M1882" t="str" cm="1">
        <f t="array" ref="M1882">IF(L1882="","",_xlfn.IFS(
  AND(L1882&gt;=TIME(9,0,0), L1882&lt;TIME(16,0,0)),"Morning",
  AND(L1882&gt;=TIME(16,0,0), L1882&lt;TIME(23,59,0)),"Evening",
  L1882&gt;=TIME(23,59,0),"Night",
  L1882&lt;TIME(9,0,0),"Night"
))</f>
        <v/>
      </c>
      <c r="O1882" t="str">
        <f t="shared" si="176"/>
        <v/>
      </c>
    </row>
    <row r="1883" spans="7:15" x14ac:dyDescent="0.25">
      <c r="G1883" t="str">
        <f t="shared" si="174"/>
        <v/>
      </c>
      <c r="H1883" s="13" t="str">
        <f t="shared" si="177"/>
        <v/>
      </c>
      <c r="I1883" t="str">
        <f>IFERROR(INDEX(Analysis!$D$116:$N$137, MATCH(B1883, Analysis!$C$116:$C$137, 0), MATCH(C1883, Analysis!$D$115:$N$115, 0)), "")</f>
        <v/>
      </c>
      <c r="J1883" t="str">
        <f t="shared" si="178"/>
        <v/>
      </c>
      <c r="K1883" s="28" t="str">
        <f t="shared" si="175"/>
        <v/>
      </c>
      <c r="L1883" s="46" t="str">
        <f t="shared" si="179"/>
        <v/>
      </c>
      <c r="M1883" t="str" cm="1">
        <f t="array" ref="M1883">IF(L1883="","",_xlfn.IFS(
  AND(L1883&gt;=TIME(9,0,0), L1883&lt;TIME(16,0,0)),"Morning",
  AND(L1883&gt;=TIME(16,0,0), L1883&lt;TIME(23,59,0)),"Evening",
  L1883&gt;=TIME(23,59,0),"Night",
  L1883&lt;TIME(9,0,0),"Night"
))</f>
        <v/>
      </c>
      <c r="O1883" t="str">
        <f t="shared" si="176"/>
        <v/>
      </c>
    </row>
    <row r="1884" spans="7:15" x14ac:dyDescent="0.25">
      <c r="G1884" t="str">
        <f t="shared" si="174"/>
        <v/>
      </c>
      <c r="H1884" s="13" t="str">
        <f t="shared" si="177"/>
        <v/>
      </c>
      <c r="I1884" t="str">
        <f>IFERROR(INDEX(Analysis!$D$116:$N$137, MATCH(B1884, Analysis!$C$116:$C$137, 0), MATCH(C1884, Analysis!$D$115:$N$115, 0)), "")</f>
        <v/>
      </c>
      <c r="J1884" t="str">
        <f t="shared" si="178"/>
        <v/>
      </c>
      <c r="K1884" s="28" t="str">
        <f t="shared" si="175"/>
        <v/>
      </c>
      <c r="L1884" s="46" t="str">
        <f t="shared" si="179"/>
        <v/>
      </c>
      <c r="M1884" t="str" cm="1">
        <f t="array" ref="M1884">IF(L1884="","",_xlfn.IFS(
  AND(L1884&gt;=TIME(9,0,0), L1884&lt;TIME(16,0,0)),"Morning",
  AND(L1884&gt;=TIME(16,0,0), L1884&lt;TIME(23,59,0)),"Evening",
  L1884&gt;=TIME(23,59,0),"Night",
  L1884&lt;TIME(9,0,0),"Night"
))</f>
        <v/>
      </c>
      <c r="O1884" t="str">
        <f t="shared" si="176"/>
        <v/>
      </c>
    </row>
    <row r="1885" spans="7:15" x14ac:dyDescent="0.25">
      <c r="G1885" t="str">
        <f t="shared" si="174"/>
        <v/>
      </c>
      <c r="H1885" s="13" t="str">
        <f t="shared" si="177"/>
        <v/>
      </c>
      <c r="I1885" t="str">
        <f>IFERROR(INDEX(Analysis!$D$116:$N$137, MATCH(B1885, Analysis!$C$116:$C$137, 0), MATCH(C1885, Analysis!$D$115:$N$115, 0)), "")</f>
        <v/>
      </c>
      <c r="J1885" t="str">
        <f t="shared" si="178"/>
        <v/>
      </c>
      <c r="K1885" s="28" t="str">
        <f t="shared" si="175"/>
        <v/>
      </c>
      <c r="L1885" s="46" t="str">
        <f t="shared" si="179"/>
        <v/>
      </c>
      <c r="M1885" t="str" cm="1">
        <f t="array" ref="M1885">IF(L1885="","",_xlfn.IFS(
  AND(L1885&gt;=TIME(9,0,0), L1885&lt;TIME(16,0,0)),"Morning",
  AND(L1885&gt;=TIME(16,0,0), L1885&lt;TIME(23,59,0)),"Evening",
  L1885&gt;=TIME(23,59,0),"Night",
  L1885&lt;TIME(9,0,0),"Night"
))</f>
        <v/>
      </c>
      <c r="O1885" t="str">
        <f t="shared" si="176"/>
        <v/>
      </c>
    </row>
    <row r="1886" spans="7:15" x14ac:dyDescent="0.25">
      <c r="G1886" t="str">
        <f t="shared" si="174"/>
        <v/>
      </c>
      <c r="H1886" s="13" t="str">
        <f t="shared" si="177"/>
        <v/>
      </c>
      <c r="I1886" t="str">
        <f>IFERROR(INDEX(Analysis!$D$116:$N$137, MATCH(B1886, Analysis!$C$116:$C$137, 0), MATCH(C1886, Analysis!$D$115:$N$115, 0)), "")</f>
        <v/>
      </c>
      <c r="J1886" t="str">
        <f t="shared" si="178"/>
        <v/>
      </c>
      <c r="K1886" s="28" t="str">
        <f t="shared" si="175"/>
        <v/>
      </c>
      <c r="L1886" s="46" t="str">
        <f t="shared" si="179"/>
        <v/>
      </c>
      <c r="M1886" t="str" cm="1">
        <f t="array" ref="M1886">IF(L1886="","",_xlfn.IFS(
  AND(L1886&gt;=TIME(9,0,0), L1886&lt;TIME(16,0,0)),"Morning",
  AND(L1886&gt;=TIME(16,0,0), L1886&lt;TIME(23,59,0)),"Evening",
  L1886&gt;=TIME(23,59,0),"Night",
  L1886&lt;TIME(9,0,0),"Night"
))</f>
        <v/>
      </c>
      <c r="O1886" t="str">
        <f t="shared" si="176"/>
        <v/>
      </c>
    </row>
    <row r="1887" spans="7:15" x14ac:dyDescent="0.25">
      <c r="G1887" t="str">
        <f t="shared" si="174"/>
        <v/>
      </c>
      <c r="H1887" s="13" t="str">
        <f t="shared" si="177"/>
        <v/>
      </c>
      <c r="I1887" t="str">
        <f>IFERROR(INDEX(Analysis!$D$116:$N$137, MATCH(B1887, Analysis!$C$116:$C$137, 0), MATCH(C1887, Analysis!$D$115:$N$115, 0)), "")</f>
        <v/>
      </c>
      <c r="J1887" t="str">
        <f t="shared" si="178"/>
        <v/>
      </c>
      <c r="K1887" s="28" t="str">
        <f t="shared" si="175"/>
        <v/>
      </c>
      <c r="L1887" s="46" t="str">
        <f t="shared" si="179"/>
        <v/>
      </c>
      <c r="M1887" t="str" cm="1">
        <f t="array" ref="M1887">IF(L1887="","",_xlfn.IFS(
  AND(L1887&gt;=TIME(9,0,0), L1887&lt;TIME(16,0,0)),"Morning",
  AND(L1887&gt;=TIME(16,0,0), L1887&lt;TIME(23,59,0)),"Evening",
  L1887&gt;=TIME(23,59,0),"Night",
  L1887&lt;TIME(9,0,0),"Night"
))</f>
        <v/>
      </c>
      <c r="O1887" t="str">
        <f t="shared" si="176"/>
        <v/>
      </c>
    </row>
    <row r="1888" spans="7:15" x14ac:dyDescent="0.25">
      <c r="G1888" t="str">
        <f t="shared" si="174"/>
        <v/>
      </c>
      <c r="H1888" s="13" t="str">
        <f t="shared" si="177"/>
        <v/>
      </c>
      <c r="I1888" t="str">
        <f>IFERROR(INDEX(Analysis!$D$116:$N$137, MATCH(B1888, Analysis!$C$116:$C$137, 0), MATCH(C1888, Analysis!$D$115:$N$115, 0)), "")</f>
        <v/>
      </c>
      <c r="J1888" t="str">
        <f t="shared" si="178"/>
        <v/>
      </c>
      <c r="K1888" s="28" t="str">
        <f t="shared" si="175"/>
        <v/>
      </c>
      <c r="L1888" s="46" t="str">
        <f t="shared" si="179"/>
        <v/>
      </c>
      <c r="M1888" t="str" cm="1">
        <f t="array" ref="M1888">IF(L1888="","",_xlfn.IFS(
  AND(L1888&gt;=TIME(9,0,0), L1888&lt;TIME(16,0,0)),"Morning",
  AND(L1888&gt;=TIME(16,0,0), L1888&lt;TIME(23,59,0)),"Evening",
  L1888&gt;=TIME(23,59,0),"Night",
  L1888&lt;TIME(9,0,0),"Night"
))</f>
        <v/>
      </c>
      <c r="O1888" t="str">
        <f t="shared" si="176"/>
        <v/>
      </c>
    </row>
    <row r="1889" spans="7:15" x14ac:dyDescent="0.25">
      <c r="G1889" t="str">
        <f t="shared" si="174"/>
        <v/>
      </c>
      <c r="H1889" s="13" t="str">
        <f t="shared" si="177"/>
        <v/>
      </c>
      <c r="I1889" t="str">
        <f>IFERROR(INDEX(Analysis!$D$116:$N$137, MATCH(B1889, Analysis!$C$116:$C$137, 0), MATCH(C1889, Analysis!$D$115:$N$115, 0)), "")</f>
        <v/>
      </c>
      <c r="J1889" t="str">
        <f t="shared" si="178"/>
        <v/>
      </c>
      <c r="K1889" s="28" t="str">
        <f t="shared" si="175"/>
        <v/>
      </c>
      <c r="L1889" s="46" t="str">
        <f t="shared" si="179"/>
        <v/>
      </c>
      <c r="M1889" t="str" cm="1">
        <f t="array" ref="M1889">IF(L1889="","",_xlfn.IFS(
  AND(L1889&gt;=TIME(9,0,0), L1889&lt;TIME(16,0,0)),"Morning",
  AND(L1889&gt;=TIME(16,0,0), L1889&lt;TIME(23,59,0)),"Evening",
  L1889&gt;=TIME(23,59,0),"Night",
  L1889&lt;TIME(9,0,0),"Night"
))</f>
        <v/>
      </c>
      <c r="O1889" t="str">
        <f t="shared" si="176"/>
        <v/>
      </c>
    </row>
    <row r="1890" spans="7:15" x14ac:dyDescent="0.25">
      <c r="G1890" t="str">
        <f t="shared" si="174"/>
        <v/>
      </c>
      <c r="H1890" s="13" t="str">
        <f t="shared" si="177"/>
        <v/>
      </c>
      <c r="I1890" t="str">
        <f>IFERROR(INDEX(Analysis!$D$116:$N$137, MATCH(B1890, Analysis!$C$116:$C$137, 0), MATCH(C1890, Analysis!$D$115:$N$115, 0)), "")</f>
        <v/>
      </c>
      <c r="J1890" t="str">
        <f t="shared" si="178"/>
        <v/>
      </c>
      <c r="K1890" s="28" t="str">
        <f t="shared" si="175"/>
        <v/>
      </c>
      <c r="L1890" s="46" t="str">
        <f t="shared" si="179"/>
        <v/>
      </c>
      <c r="M1890" t="str" cm="1">
        <f t="array" ref="M1890">IF(L1890="","",_xlfn.IFS(
  AND(L1890&gt;=TIME(9,0,0), L1890&lt;TIME(16,0,0)),"Morning",
  AND(L1890&gt;=TIME(16,0,0), L1890&lt;TIME(23,59,0)),"Evening",
  L1890&gt;=TIME(23,59,0),"Night",
  L1890&lt;TIME(9,0,0),"Night"
))</f>
        <v/>
      </c>
      <c r="O1890" t="str">
        <f t="shared" si="176"/>
        <v/>
      </c>
    </row>
    <row r="1891" spans="7:15" x14ac:dyDescent="0.25">
      <c r="G1891" t="str">
        <f t="shared" si="174"/>
        <v/>
      </c>
      <c r="H1891" s="13" t="str">
        <f t="shared" si="177"/>
        <v/>
      </c>
      <c r="I1891" t="str">
        <f>IFERROR(INDEX(Analysis!$D$116:$N$137, MATCH(B1891, Analysis!$C$116:$C$137, 0), MATCH(C1891, Analysis!$D$115:$N$115, 0)), "")</f>
        <v/>
      </c>
      <c r="J1891" t="str">
        <f t="shared" si="178"/>
        <v/>
      </c>
      <c r="K1891" s="28" t="str">
        <f t="shared" si="175"/>
        <v/>
      </c>
      <c r="L1891" s="46" t="str">
        <f t="shared" si="179"/>
        <v/>
      </c>
      <c r="M1891" t="str" cm="1">
        <f t="array" ref="M1891">IF(L1891="","",_xlfn.IFS(
  AND(L1891&gt;=TIME(9,0,0), L1891&lt;TIME(16,0,0)),"Morning",
  AND(L1891&gt;=TIME(16,0,0), L1891&lt;TIME(23,59,0)),"Evening",
  L1891&gt;=TIME(23,59,0),"Night",
  L1891&lt;TIME(9,0,0),"Night"
))</f>
        <v/>
      </c>
      <c r="O1891" t="str">
        <f t="shared" si="176"/>
        <v/>
      </c>
    </row>
    <row r="1892" spans="7:15" x14ac:dyDescent="0.25">
      <c r="G1892" t="str">
        <f t="shared" si="174"/>
        <v/>
      </c>
      <c r="H1892" s="13" t="str">
        <f t="shared" si="177"/>
        <v/>
      </c>
      <c r="I1892" t="str">
        <f>IFERROR(INDEX(Analysis!$D$116:$N$137, MATCH(B1892, Analysis!$C$116:$C$137, 0), MATCH(C1892, Analysis!$D$115:$N$115, 0)), "")</f>
        <v/>
      </c>
      <c r="J1892" t="str">
        <f t="shared" si="178"/>
        <v/>
      </c>
      <c r="K1892" s="28" t="str">
        <f t="shared" si="175"/>
        <v/>
      </c>
      <c r="L1892" s="46" t="str">
        <f t="shared" si="179"/>
        <v/>
      </c>
      <c r="M1892" t="str" cm="1">
        <f t="array" ref="M1892">IF(L1892="","",_xlfn.IFS(
  AND(L1892&gt;=TIME(9,0,0), L1892&lt;TIME(16,0,0)),"Morning",
  AND(L1892&gt;=TIME(16,0,0), L1892&lt;TIME(23,59,0)),"Evening",
  L1892&gt;=TIME(23,59,0),"Night",
  L1892&lt;TIME(9,0,0),"Night"
))</f>
        <v/>
      </c>
      <c r="O1892" t="str">
        <f t="shared" si="176"/>
        <v/>
      </c>
    </row>
    <row r="1893" spans="7:15" x14ac:dyDescent="0.25">
      <c r="G1893" t="str">
        <f t="shared" si="174"/>
        <v/>
      </c>
      <c r="H1893" s="13" t="str">
        <f t="shared" si="177"/>
        <v/>
      </c>
      <c r="I1893" t="str">
        <f>IFERROR(INDEX(Analysis!$D$116:$N$137, MATCH(B1893, Analysis!$C$116:$C$137, 0), MATCH(C1893, Analysis!$D$115:$N$115, 0)), "")</f>
        <v/>
      </c>
      <c r="J1893" t="str">
        <f t="shared" si="178"/>
        <v/>
      </c>
      <c r="K1893" s="28" t="str">
        <f t="shared" si="175"/>
        <v/>
      </c>
      <c r="L1893" s="46" t="str">
        <f t="shared" si="179"/>
        <v/>
      </c>
      <c r="M1893" t="str" cm="1">
        <f t="array" ref="M1893">IF(L1893="","",_xlfn.IFS(
  AND(L1893&gt;=TIME(9,0,0), L1893&lt;TIME(16,0,0)),"Morning",
  AND(L1893&gt;=TIME(16,0,0), L1893&lt;TIME(23,59,0)),"Evening",
  L1893&gt;=TIME(23,59,0),"Night",
  L1893&lt;TIME(9,0,0),"Night"
))</f>
        <v/>
      </c>
      <c r="O1893" t="str">
        <f t="shared" si="176"/>
        <v/>
      </c>
    </row>
    <row r="1894" spans="7:15" x14ac:dyDescent="0.25">
      <c r="G1894" t="str">
        <f t="shared" si="174"/>
        <v/>
      </c>
      <c r="H1894" s="13" t="str">
        <f t="shared" si="177"/>
        <v/>
      </c>
      <c r="I1894" t="str">
        <f>IFERROR(INDEX(Analysis!$D$116:$N$137, MATCH(B1894, Analysis!$C$116:$C$137, 0), MATCH(C1894, Analysis!$D$115:$N$115, 0)), "")</f>
        <v/>
      </c>
      <c r="J1894" t="str">
        <f t="shared" si="178"/>
        <v/>
      </c>
      <c r="K1894" s="28" t="str">
        <f t="shared" si="175"/>
        <v/>
      </c>
      <c r="L1894" s="46" t="str">
        <f t="shared" si="179"/>
        <v/>
      </c>
      <c r="M1894" t="str" cm="1">
        <f t="array" ref="M1894">IF(L1894="","",_xlfn.IFS(
  AND(L1894&gt;=TIME(9,0,0), L1894&lt;TIME(16,0,0)),"Morning",
  AND(L1894&gt;=TIME(16,0,0), L1894&lt;TIME(23,59,0)),"Evening",
  L1894&gt;=TIME(23,59,0),"Night",
  L1894&lt;TIME(9,0,0),"Night"
))</f>
        <v/>
      </c>
      <c r="O1894" t="str">
        <f t="shared" si="176"/>
        <v/>
      </c>
    </row>
    <row r="1895" spans="7:15" x14ac:dyDescent="0.25">
      <c r="G1895" t="str">
        <f t="shared" si="174"/>
        <v/>
      </c>
      <c r="H1895" s="13" t="str">
        <f t="shared" si="177"/>
        <v/>
      </c>
      <c r="I1895" t="str">
        <f>IFERROR(INDEX(Analysis!$D$116:$N$137, MATCH(B1895, Analysis!$C$116:$C$137, 0), MATCH(C1895, Analysis!$D$115:$N$115, 0)), "")</f>
        <v/>
      </c>
      <c r="J1895" t="str">
        <f t="shared" si="178"/>
        <v/>
      </c>
      <c r="K1895" s="28" t="str">
        <f t="shared" si="175"/>
        <v/>
      </c>
      <c r="L1895" s="46" t="str">
        <f t="shared" si="179"/>
        <v/>
      </c>
      <c r="M1895" t="str" cm="1">
        <f t="array" ref="M1895">IF(L1895="","",_xlfn.IFS(
  AND(L1895&gt;=TIME(9,0,0), L1895&lt;TIME(16,0,0)),"Morning",
  AND(L1895&gt;=TIME(16,0,0), L1895&lt;TIME(23,59,0)),"Evening",
  L1895&gt;=TIME(23,59,0),"Night",
  L1895&lt;TIME(9,0,0),"Night"
))</f>
        <v/>
      </c>
      <c r="O1895" t="str">
        <f t="shared" si="176"/>
        <v/>
      </c>
    </row>
    <row r="1896" spans="7:15" x14ac:dyDescent="0.25">
      <c r="G1896" t="str">
        <f t="shared" si="174"/>
        <v/>
      </c>
      <c r="H1896" s="13" t="str">
        <f t="shared" si="177"/>
        <v/>
      </c>
      <c r="I1896" t="str">
        <f>IFERROR(INDEX(Analysis!$D$116:$N$137, MATCH(B1896, Analysis!$C$116:$C$137, 0), MATCH(C1896, Analysis!$D$115:$N$115, 0)), "")</f>
        <v/>
      </c>
      <c r="J1896" t="str">
        <f t="shared" si="178"/>
        <v/>
      </c>
      <c r="K1896" s="28" t="str">
        <f t="shared" si="175"/>
        <v/>
      </c>
      <c r="L1896" s="46" t="str">
        <f t="shared" si="179"/>
        <v/>
      </c>
      <c r="M1896" t="str" cm="1">
        <f t="array" ref="M1896">IF(L1896="","",_xlfn.IFS(
  AND(L1896&gt;=TIME(9,0,0), L1896&lt;TIME(16,0,0)),"Morning",
  AND(L1896&gt;=TIME(16,0,0), L1896&lt;TIME(23,59,0)),"Evening",
  L1896&gt;=TIME(23,59,0),"Night",
  L1896&lt;TIME(9,0,0),"Night"
))</f>
        <v/>
      </c>
      <c r="O1896" t="str">
        <f t="shared" si="176"/>
        <v/>
      </c>
    </row>
    <row r="1897" spans="7:15" x14ac:dyDescent="0.25">
      <c r="G1897" t="str">
        <f t="shared" si="174"/>
        <v/>
      </c>
      <c r="H1897" s="13" t="str">
        <f t="shared" si="177"/>
        <v/>
      </c>
      <c r="I1897" t="str">
        <f>IFERROR(INDEX(Analysis!$D$116:$N$137, MATCH(B1897, Analysis!$C$116:$C$137, 0), MATCH(C1897, Analysis!$D$115:$N$115, 0)), "")</f>
        <v/>
      </c>
      <c r="J1897" t="str">
        <f t="shared" si="178"/>
        <v/>
      </c>
      <c r="K1897" s="28" t="str">
        <f t="shared" si="175"/>
        <v/>
      </c>
      <c r="L1897" s="46" t="str">
        <f t="shared" si="179"/>
        <v/>
      </c>
      <c r="M1897" t="str" cm="1">
        <f t="array" ref="M1897">IF(L1897="","",_xlfn.IFS(
  AND(L1897&gt;=TIME(9,0,0), L1897&lt;TIME(16,0,0)),"Morning",
  AND(L1897&gt;=TIME(16,0,0), L1897&lt;TIME(23,59,0)),"Evening",
  L1897&gt;=TIME(23,59,0),"Night",
  L1897&lt;TIME(9,0,0),"Night"
))</f>
        <v/>
      </c>
      <c r="O1897" t="str">
        <f t="shared" si="176"/>
        <v/>
      </c>
    </row>
    <row r="1898" spans="7:15" x14ac:dyDescent="0.25">
      <c r="G1898" t="str">
        <f t="shared" si="174"/>
        <v/>
      </c>
      <c r="H1898" s="13" t="str">
        <f t="shared" si="177"/>
        <v/>
      </c>
      <c r="I1898" t="str">
        <f>IFERROR(INDEX(Analysis!$D$116:$N$137, MATCH(B1898, Analysis!$C$116:$C$137, 0), MATCH(C1898, Analysis!$D$115:$N$115, 0)), "")</f>
        <v/>
      </c>
      <c r="J1898" t="str">
        <f t="shared" si="178"/>
        <v/>
      </c>
      <c r="K1898" s="28" t="str">
        <f t="shared" si="175"/>
        <v/>
      </c>
      <c r="L1898" s="46" t="str">
        <f t="shared" si="179"/>
        <v/>
      </c>
      <c r="M1898" t="str" cm="1">
        <f t="array" ref="M1898">IF(L1898="","",_xlfn.IFS(
  AND(L1898&gt;=TIME(9,0,0), L1898&lt;TIME(16,0,0)),"Morning",
  AND(L1898&gt;=TIME(16,0,0), L1898&lt;TIME(23,59,0)),"Evening",
  L1898&gt;=TIME(23,59,0),"Night",
  L1898&lt;TIME(9,0,0),"Night"
))</f>
        <v/>
      </c>
      <c r="O1898" t="str">
        <f t="shared" si="176"/>
        <v/>
      </c>
    </row>
    <row r="1899" spans="7:15" x14ac:dyDescent="0.25">
      <c r="G1899" t="str">
        <f t="shared" si="174"/>
        <v/>
      </c>
      <c r="H1899" s="13" t="str">
        <f t="shared" si="177"/>
        <v/>
      </c>
      <c r="I1899" t="str">
        <f>IFERROR(INDEX(Analysis!$D$116:$N$137, MATCH(B1899, Analysis!$C$116:$C$137, 0), MATCH(C1899, Analysis!$D$115:$N$115, 0)), "")</f>
        <v/>
      </c>
      <c r="J1899" t="str">
        <f t="shared" si="178"/>
        <v/>
      </c>
      <c r="K1899" s="28" t="str">
        <f t="shared" si="175"/>
        <v/>
      </c>
      <c r="L1899" s="46" t="str">
        <f t="shared" si="179"/>
        <v/>
      </c>
      <c r="M1899" t="str" cm="1">
        <f t="array" ref="M1899">IF(L1899="","",_xlfn.IFS(
  AND(L1899&gt;=TIME(9,0,0), L1899&lt;TIME(16,0,0)),"Morning",
  AND(L1899&gt;=TIME(16,0,0), L1899&lt;TIME(23,59,0)),"Evening",
  L1899&gt;=TIME(23,59,0),"Night",
  L1899&lt;TIME(9,0,0),"Night"
))</f>
        <v/>
      </c>
      <c r="O1899" t="str">
        <f t="shared" si="176"/>
        <v/>
      </c>
    </row>
    <row r="1900" spans="7:15" x14ac:dyDescent="0.25">
      <c r="G1900" t="str">
        <f t="shared" si="174"/>
        <v/>
      </c>
      <c r="H1900" s="13" t="str">
        <f t="shared" si="177"/>
        <v/>
      </c>
      <c r="I1900" t="str">
        <f>IFERROR(INDEX(Analysis!$D$116:$N$137, MATCH(B1900, Analysis!$C$116:$C$137, 0), MATCH(C1900, Analysis!$D$115:$N$115, 0)), "")</f>
        <v/>
      </c>
      <c r="J1900" t="str">
        <f t="shared" si="178"/>
        <v/>
      </c>
      <c r="K1900" s="28" t="str">
        <f t="shared" si="175"/>
        <v/>
      </c>
      <c r="L1900" s="46" t="str">
        <f t="shared" si="179"/>
        <v/>
      </c>
      <c r="M1900" t="str" cm="1">
        <f t="array" ref="M1900">IF(L1900="","",_xlfn.IFS(
  AND(L1900&gt;=TIME(9,0,0), L1900&lt;TIME(16,0,0)),"Morning",
  AND(L1900&gt;=TIME(16,0,0), L1900&lt;TIME(23,59,0)),"Evening",
  L1900&gt;=TIME(23,59,0),"Night",
  L1900&lt;TIME(9,0,0),"Night"
))</f>
        <v/>
      </c>
      <c r="O1900" t="str">
        <f t="shared" si="176"/>
        <v/>
      </c>
    </row>
    <row r="1901" spans="7:15" x14ac:dyDescent="0.25">
      <c r="G1901" t="str">
        <f t="shared" si="174"/>
        <v/>
      </c>
      <c r="H1901" s="13" t="str">
        <f t="shared" si="177"/>
        <v/>
      </c>
      <c r="I1901" t="str">
        <f>IFERROR(INDEX(Analysis!$D$116:$N$137, MATCH(B1901, Analysis!$C$116:$C$137, 0), MATCH(C1901, Analysis!$D$115:$N$115, 0)), "")</f>
        <v/>
      </c>
      <c r="J1901" t="str">
        <f t="shared" si="178"/>
        <v/>
      </c>
      <c r="K1901" s="28" t="str">
        <f t="shared" si="175"/>
        <v/>
      </c>
      <c r="L1901" s="46" t="str">
        <f t="shared" si="179"/>
        <v/>
      </c>
      <c r="M1901" t="str" cm="1">
        <f t="array" ref="M1901">IF(L1901="","",_xlfn.IFS(
  AND(L1901&gt;=TIME(9,0,0), L1901&lt;TIME(16,0,0)),"Morning",
  AND(L1901&gt;=TIME(16,0,0), L1901&lt;TIME(23,59,0)),"Evening",
  L1901&gt;=TIME(23,59,0),"Night",
  L1901&lt;TIME(9,0,0),"Night"
))</f>
        <v/>
      </c>
      <c r="O1901" t="str">
        <f t="shared" si="176"/>
        <v/>
      </c>
    </row>
    <row r="1902" spans="7:15" x14ac:dyDescent="0.25">
      <c r="G1902" t="str">
        <f t="shared" si="174"/>
        <v/>
      </c>
      <c r="H1902" s="13" t="str">
        <f t="shared" si="177"/>
        <v/>
      </c>
      <c r="I1902" t="str">
        <f>IFERROR(INDEX(Analysis!$D$116:$N$137, MATCH(B1902, Analysis!$C$116:$C$137, 0), MATCH(C1902, Analysis!$D$115:$N$115, 0)), "")</f>
        <v/>
      </c>
      <c r="J1902" t="str">
        <f t="shared" si="178"/>
        <v/>
      </c>
      <c r="K1902" s="28" t="str">
        <f t="shared" si="175"/>
        <v/>
      </c>
      <c r="L1902" s="46" t="str">
        <f t="shared" si="179"/>
        <v/>
      </c>
      <c r="M1902" t="str" cm="1">
        <f t="array" ref="M1902">IF(L1902="","",_xlfn.IFS(
  AND(L1902&gt;=TIME(9,0,0), L1902&lt;TIME(16,0,0)),"Morning",
  AND(L1902&gt;=TIME(16,0,0), L1902&lt;TIME(23,59,0)),"Evening",
  L1902&gt;=TIME(23,59,0),"Night",
  L1902&lt;TIME(9,0,0),"Night"
))</f>
        <v/>
      </c>
      <c r="O1902" t="str">
        <f t="shared" si="176"/>
        <v/>
      </c>
    </row>
    <row r="1903" spans="7:15" x14ac:dyDescent="0.25">
      <c r="G1903" t="str">
        <f t="shared" si="174"/>
        <v/>
      </c>
      <c r="H1903" s="13" t="str">
        <f t="shared" si="177"/>
        <v/>
      </c>
      <c r="I1903" t="str">
        <f>IFERROR(INDEX(Analysis!$D$116:$N$137, MATCH(B1903, Analysis!$C$116:$C$137, 0), MATCH(C1903, Analysis!$D$115:$N$115, 0)), "")</f>
        <v/>
      </c>
      <c r="J1903" t="str">
        <f t="shared" si="178"/>
        <v/>
      </c>
      <c r="K1903" s="28" t="str">
        <f t="shared" si="175"/>
        <v/>
      </c>
      <c r="L1903" s="46" t="str">
        <f t="shared" si="179"/>
        <v/>
      </c>
      <c r="M1903" t="str" cm="1">
        <f t="array" ref="M1903">IF(L1903="","",_xlfn.IFS(
  AND(L1903&gt;=TIME(9,0,0), L1903&lt;TIME(16,0,0)),"Morning",
  AND(L1903&gt;=TIME(16,0,0), L1903&lt;TIME(23,59,0)),"Evening",
  L1903&gt;=TIME(23,59,0),"Night",
  L1903&lt;TIME(9,0,0),"Night"
))</f>
        <v/>
      </c>
      <c r="O1903" t="str">
        <f t="shared" si="176"/>
        <v/>
      </c>
    </row>
    <row r="1904" spans="7:15" x14ac:dyDescent="0.25">
      <c r="G1904" t="str">
        <f t="shared" si="174"/>
        <v/>
      </c>
      <c r="H1904" s="13" t="str">
        <f t="shared" si="177"/>
        <v/>
      </c>
      <c r="I1904" t="str">
        <f>IFERROR(INDEX(Analysis!$D$116:$N$137, MATCH(B1904, Analysis!$C$116:$C$137, 0), MATCH(C1904, Analysis!$D$115:$N$115, 0)), "")</f>
        <v/>
      </c>
      <c r="J1904" t="str">
        <f t="shared" si="178"/>
        <v/>
      </c>
      <c r="K1904" s="28" t="str">
        <f t="shared" si="175"/>
        <v/>
      </c>
      <c r="L1904" s="46" t="str">
        <f t="shared" si="179"/>
        <v/>
      </c>
      <c r="M1904" t="str" cm="1">
        <f t="array" ref="M1904">IF(L1904="","",_xlfn.IFS(
  AND(L1904&gt;=TIME(9,0,0), L1904&lt;TIME(16,0,0)),"Morning",
  AND(L1904&gt;=TIME(16,0,0), L1904&lt;TIME(23,59,0)),"Evening",
  L1904&gt;=TIME(23,59,0),"Night",
  L1904&lt;TIME(9,0,0),"Night"
))</f>
        <v/>
      </c>
      <c r="O1904" t="str">
        <f t="shared" si="176"/>
        <v/>
      </c>
    </row>
    <row r="1905" spans="7:15" x14ac:dyDescent="0.25">
      <c r="G1905" t="str">
        <f t="shared" si="174"/>
        <v/>
      </c>
      <c r="H1905" s="13" t="str">
        <f t="shared" si="177"/>
        <v/>
      </c>
      <c r="I1905" t="str">
        <f>IFERROR(INDEX(Analysis!$D$116:$N$137, MATCH(B1905, Analysis!$C$116:$C$137, 0), MATCH(C1905, Analysis!$D$115:$N$115, 0)), "")</f>
        <v/>
      </c>
      <c r="J1905" t="str">
        <f t="shared" si="178"/>
        <v/>
      </c>
      <c r="K1905" s="28" t="str">
        <f t="shared" si="175"/>
        <v/>
      </c>
      <c r="L1905" s="46" t="str">
        <f t="shared" si="179"/>
        <v/>
      </c>
      <c r="M1905" t="str" cm="1">
        <f t="array" ref="M1905">IF(L1905="","",_xlfn.IFS(
  AND(L1905&gt;=TIME(9,0,0), L1905&lt;TIME(16,0,0)),"Morning",
  AND(L1905&gt;=TIME(16,0,0), L1905&lt;TIME(23,59,0)),"Evening",
  L1905&gt;=TIME(23,59,0),"Night",
  L1905&lt;TIME(9,0,0),"Night"
))</f>
        <v/>
      </c>
      <c r="O1905" t="str">
        <f t="shared" si="176"/>
        <v/>
      </c>
    </row>
    <row r="1906" spans="7:15" x14ac:dyDescent="0.25">
      <c r="G1906" t="str">
        <f t="shared" si="174"/>
        <v/>
      </c>
      <c r="H1906" s="13" t="str">
        <f t="shared" si="177"/>
        <v/>
      </c>
      <c r="I1906" t="str">
        <f>IFERROR(INDEX(Analysis!$D$116:$N$137, MATCH(B1906, Analysis!$C$116:$C$137, 0), MATCH(C1906, Analysis!$D$115:$N$115, 0)), "")</f>
        <v/>
      </c>
      <c r="J1906" t="str">
        <f t="shared" si="178"/>
        <v/>
      </c>
      <c r="K1906" s="28" t="str">
        <f t="shared" si="175"/>
        <v/>
      </c>
      <c r="L1906" s="46" t="str">
        <f t="shared" si="179"/>
        <v/>
      </c>
      <c r="M1906" t="str" cm="1">
        <f t="array" ref="M1906">IF(L1906="","",_xlfn.IFS(
  AND(L1906&gt;=TIME(9,0,0), L1906&lt;TIME(16,0,0)),"Morning",
  AND(L1906&gt;=TIME(16,0,0), L1906&lt;TIME(23,59,0)),"Evening",
  L1906&gt;=TIME(23,59,0),"Night",
  L1906&lt;TIME(9,0,0),"Night"
))</f>
        <v/>
      </c>
      <c r="O1906" t="str">
        <f t="shared" si="176"/>
        <v/>
      </c>
    </row>
    <row r="1907" spans="7:15" x14ac:dyDescent="0.25">
      <c r="G1907" t="str">
        <f t="shared" si="174"/>
        <v/>
      </c>
      <c r="H1907" s="13" t="str">
        <f t="shared" si="177"/>
        <v/>
      </c>
      <c r="I1907" t="str">
        <f>IFERROR(INDEX(Analysis!$D$116:$N$137, MATCH(B1907, Analysis!$C$116:$C$137, 0), MATCH(C1907, Analysis!$D$115:$N$115, 0)), "")</f>
        <v/>
      </c>
      <c r="J1907" t="str">
        <f t="shared" si="178"/>
        <v/>
      </c>
      <c r="K1907" s="28" t="str">
        <f t="shared" si="175"/>
        <v/>
      </c>
      <c r="L1907" s="46" t="str">
        <f t="shared" si="179"/>
        <v/>
      </c>
      <c r="M1907" t="str" cm="1">
        <f t="array" ref="M1907">IF(L1907="","",_xlfn.IFS(
  AND(L1907&gt;=TIME(9,0,0), L1907&lt;TIME(16,0,0)),"Morning",
  AND(L1907&gt;=TIME(16,0,0), L1907&lt;TIME(23,59,0)),"Evening",
  L1907&gt;=TIME(23,59,0),"Night",
  L1907&lt;TIME(9,0,0),"Night"
))</f>
        <v/>
      </c>
      <c r="O1907" t="str">
        <f t="shared" si="176"/>
        <v/>
      </c>
    </row>
    <row r="1908" spans="7:15" x14ac:dyDescent="0.25">
      <c r="G1908" t="str">
        <f t="shared" si="174"/>
        <v/>
      </c>
      <c r="H1908" s="13" t="str">
        <f t="shared" si="177"/>
        <v/>
      </c>
      <c r="I1908" t="str">
        <f>IFERROR(INDEX(Analysis!$D$116:$N$137, MATCH(B1908, Analysis!$C$116:$C$137, 0), MATCH(C1908, Analysis!$D$115:$N$115, 0)), "")</f>
        <v/>
      </c>
      <c r="J1908" t="str">
        <f t="shared" si="178"/>
        <v/>
      </c>
      <c r="K1908" s="28" t="str">
        <f t="shared" si="175"/>
        <v/>
      </c>
      <c r="L1908" s="46" t="str">
        <f t="shared" si="179"/>
        <v/>
      </c>
      <c r="M1908" t="str" cm="1">
        <f t="array" ref="M1908">IF(L1908="","",_xlfn.IFS(
  AND(L1908&gt;=TIME(9,0,0), L1908&lt;TIME(16,0,0)),"Morning",
  AND(L1908&gt;=TIME(16,0,0), L1908&lt;TIME(23,59,0)),"Evening",
  L1908&gt;=TIME(23,59,0),"Night",
  L1908&lt;TIME(9,0,0),"Night"
))</f>
        <v/>
      </c>
      <c r="O1908" t="str">
        <f t="shared" si="176"/>
        <v/>
      </c>
    </row>
    <row r="1909" spans="7:15" x14ac:dyDescent="0.25">
      <c r="G1909" t="str">
        <f t="shared" si="174"/>
        <v/>
      </c>
      <c r="H1909" s="13" t="str">
        <f t="shared" si="177"/>
        <v/>
      </c>
      <c r="I1909" t="str">
        <f>IFERROR(INDEX(Analysis!$D$116:$N$137, MATCH(B1909, Analysis!$C$116:$C$137, 0), MATCH(C1909, Analysis!$D$115:$N$115, 0)), "")</f>
        <v/>
      </c>
      <c r="J1909" t="str">
        <f t="shared" si="178"/>
        <v/>
      </c>
      <c r="K1909" s="28" t="str">
        <f t="shared" si="175"/>
        <v/>
      </c>
      <c r="L1909" s="46" t="str">
        <f t="shared" si="179"/>
        <v/>
      </c>
      <c r="M1909" t="str" cm="1">
        <f t="array" ref="M1909">IF(L1909="","",_xlfn.IFS(
  AND(L1909&gt;=TIME(9,0,0), L1909&lt;TIME(16,0,0)),"Morning",
  AND(L1909&gt;=TIME(16,0,0), L1909&lt;TIME(23,59,0)),"Evening",
  L1909&gt;=TIME(23,59,0),"Night",
  L1909&lt;TIME(9,0,0),"Night"
))</f>
        <v/>
      </c>
      <c r="O1909" t="str">
        <f t="shared" si="176"/>
        <v/>
      </c>
    </row>
    <row r="1910" spans="7:15" x14ac:dyDescent="0.25">
      <c r="G1910" t="str">
        <f t="shared" si="174"/>
        <v/>
      </c>
      <c r="H1910" s="13" t="str">
        <f t="shared" si="177"/>
        <v/>
      </c>
      <c r="I1910" t="str">
        <f>IFERROR(INDEX(Analysis!$D$116:$N$137, MATCH(B1910, Analysis!$C$116:$C$137, 0), MATCH(C1910, Analysis!$D$115:$N$115, 0)), "")</f>
        <v/>
      </c>
      <c r="J1910" t="str">
        <f t="shared" si="178"/>
        <v/>
      </c>
      <c r="K1910" s="28" t="str">
        <f t="shared" si="175"/>
        <v/>
      </c>
      <c r="L1910" s="46" t="str">
        <f t="shared" si="179"/>
        <v/>
      </c>
      <c r="M1910" t="str" cm="1">
        <f t="array" ref="M1910">IF(L1910="","",_xlfn.IFS(
  AND(L1910&gt;=TIME(9,0,0), L1910&lt;TIME(16,0,0)),"Morning",
  AND(L1910&gt;=TIME(16,0,0), L1910&lt;TIME(23,59,0)),"Evening",
  L1910&gt;=TIME(23,59,0),"Night",
  L1910&lt;TIME(9,0,0),"Night"
))</f>
        <v/>
      </c>
      <c r="O1910" t="str">
        <f t="shared" si="176"/>
        <v/>
      </c>
    </row>
    <row r="1911" spans="7:15" x14ac:dyDescent="0.25">
      <c r="G1911" t="str">
        <f t="shared" si="174"/>
        <v/>
      </c>
      <c r="H1911" s="13" t="str">
        <f t="shared" si="177"/>
        <v/>
      </c>
      <c r="I1911" t="str">
        <f>IFERROR(INDEX(Analysis!$D$116:$N$137, MATCH(B1911, Analysis!$C$116:$C$137, 0), MATCH(C1911, Analysis!$D$115:$N$115, 0)), "")</f>
        <v/>
      </c>
      <c r="J1911" t="str">
        <f t="shared" si="178"/>
        <v/>
      </c>
      <c r="K1911" s="28" t="str">
        <f t="shared" si="175"/>
        <v/>
      </c>
      <c r="L1911" s="46" t="str">
        <f t="shared" si="179"/>
        <v/>
      </c>
      <c r="M1911" t="str" cm="1">
        <f t="array" ref="M1911">IF(L1911="","",_xlfn.IFS(
  AND(L1911&gt;=TIME(9,0,0), L1911&lt;TIME(16,0,0)),"Morning",
  AND(L1911&gt;=TIME(16,0,0), L1911&lt;TIME(23,59,0)),"Evening",
  L1911&gt;=TIME(23,59,0),"Night",
  L1911&lt;TIME(9,0,0),"Night"
))</f>
        <v/>
      </c>
      <c r="O1911" t="str">
        <f t="shared" si="176"/>
        <v/>
      </c>
    </row>
    <row r="1912" spans="7:15" x14ac:dyDescent="0.25">
      <c r="G1912" t="str">
        <f t="shared" si="174"/>
        <v/>
      </c>
      <c r="H1912" s="13" t="str">
        <f t="shared" si="177"/>
        <v/>
      </c>
      <c r="I1912" t="str">
        <f>IFERROR(INDEX(Analysis!$D$116:$N$137, MATCH(B1912, Analysis!$C$116:$C$137, 0), MATCH(C1912, Analysis!$D$115:$N$115, 0)), "")</f>
        <v/>
      </c>
      <c r="J1912" t="str">
        <f t="shared" si="178"/>
        <v/>
      </c>
      <c r="K1912" s="28" t="str">
        <f t="shared" si="175"/>
        <v/>
      </c>
      <c r="L1912" s="46" t="str">
        <f t="shared" si="179"/>
        <v/>
      </c>
      <c r="M1912" t="str" cm="1">
        <f t="array" ref="M1912">IF(L1912="","",_xlfn.IFS(
  AND(L1912&gt;=TIME(9,0,0), L1912&lt;TIME(16,0,0)),"Morning",
  AND(L1912&gt;=TIME(16,0,0), L1912&lt;TIME(23,59,0)),"Evening",
  L1912&gt;=TIME(23,59,0),"Night",
  L1912&lt;TIME(9,0,0),"Night"
))</f>
        <v/>
      </c>
      <c r="O1912" t="str">
        <f t="shared" si="176"/>
        <v/>
      </c>
    </row>
    <row r="1913" spans="7:15" x14ac:dyDescent="0.25">
      <c r="G1913" t="str">
        <f t="shared" si="174"/>
        <v/>
      </c>
      <c r="H1913" s="13" t="str">
        <f t="shared" si="177"/>
        <v/>
      </c>
      <c r="I1913" t="str">
        <f>IFERROR(INDEX(Analysis!$D$116:$N$137, MATCH(B1913, Analysis!$C$116:$C$137, 0), MATCH(C1913, Analysis!$D$115:$N$115, 0)), "")</f>
        <v/>
      </c>
      <c r="J1913" t="str">
        <f t="shared" si="178"/>
        <v/>
      </c>
      <c r="K1913" s="28" t="str">
        <f t="shared" si="175"/>
        <v/>
      </c>
      <c r="L1913" s="46" t="str">
        <f t="shared" si="179"/>
        <v/>
      </c>
      <c r="M1913" t="str" cm="1">
        <f t="array" ref="M1913">IF(L1913="","",_xlfn.IFS(
  AND(L1913&gt;=TIME(9,0,0), L1913&lt;TIME(16,0,0)),"Morning",
  AND(L1913&gt;=TIME(16,0,0), L1913&lt;TIME(23,59,0)),"Evening",
  L1913&gt;=TIME(23,59,0),"Night",
  L1913&lt;TIME(9,0,0),"Night"
))</f>
        <v/>
      </c>
      <c r="O1913" t="str">
        <f t="shared" si="176"/>
        <v/>
      </c>
    </row>
    <row r="1914" spans="7:15" x14ac:dyDescent="0.25">
      <c r="G1914" t="str">
        <f t="shared" si="174"/>
        <v/>
      </c>
      <c r="H1914" s="13" t="str">
        <f t="shared" si="177"/>
        <v/>
      </c>
      <c r="I1914" t="str">
        <f>IFERROR(INDEX(Analysis!$D$116:$N$137, MATCH(B1914, Analysis!$C$116:$C$137, 0), MATCH(C1914, Analysis!$D$115:$N$115, 0)), "")</f>
        <v/>
      </c>
      <c r="J1914" t="str">
        <f t="shared" si="178"/>
        <v/>
      </c>
      <c r="K1914" s="28" t="str">
        <f t="shared" si="175"/>
        <v/>
      </c>
      <c r="L1914" s="46" t="str">
        <f t="shared" si="179"/>
        <v/>
      </c>
      <c r="M1914" t="str" cm="1">
        <f t="array" ref="M1914">IF(L1914="","",_xlfn.IFS(
  AND(L1914&gt;=TIME(9,0,0), L1914&lt;TIME(16,0,0)),"Morning",
  AND(L1914&gt;=TIME(16,0,0), L1914&lt;TIME(23,59,0)),"Evening",
  L1914&gt;=TIME(23,59,0),"Night",
  L1914&lt;TIME(9,0,0),"Night"
))</f>
        <v/>
      </c>
      <c r="O1914" t="str">
        <f t="shared" si="176"/>
        <v/>
      </c>
    </row>
    <row r="1915" spans="7:15" x14ac:dyDescent="0.25">
      <c r="G1915" t="str">
        <f t="shared" si="174"/>
        <v/>
      </c>
      <c r="H1915" s="13" t="str">
        <f t="shared" si="177"/>
        <v/>
      </c>
      <c r="I1915" t="str">
        <f>IFERROR(INDEX(Analysis!$D$116:$N$137, MATCH(B1915, Analysis!$C$116:$C$137, 0), MATCH(C1915, Analysis!$D$115:$N$115, 0)), "")</f>
        <v/>
      </c>
      <c r="J1915" t="str">
        <f t="shared" si="178"/>
        <v/>
      </c>
      <c r="K1915" s="28" t="str">
        <f t="shared" si="175"/>
        <v/>
      </c>
      <c r="L1915" s="46" t="str">
        <f t="shared" si="179"/>
        <v/>
      </c>
      <c r="M1915" t="str" cm="1">
        <f t="array" ref="M1915">IF(L1915="","",_xlfn.IFS(
  AND(L1915&gt;=TIME(9,0,0), L1915&lt;TIME(16,0,0)),"Morning",
  AND(L1915&gt;=TIME(16,0,0), L1915&lt;TIME(23,59,0)),"Evening",
  L1915&gt;=TIME(23,59,0),"Night",
  L1915&lt;TIME(9,0,0),"Night"
))</f>
        <v/>
      </c>
      <c r="O1915" t="str">
        <f t="shared" si="176"/>
        <v/>
      </c>
    </row>
    <row r="1916" spans="7:15" x14ac:dyDescent="0.25">
      <c r="G1916" t="str">
        <f t="shared" si="174"/>
        <v/>
      </c>
      <c r="H1916" s="13" t="str">
        <f t="shared" si="177"/>
        <v/>
      </c>
      <c r="I1916" t="str">
        <f>IFERROR(INDEX(Analysis!$D$116:$N$137, MATCH(B1916, Analysis!$C$116:$C$137, 0), MATCH(C1916, Analysis!$D$115:$N$115, 0)), "")</f>
        <v/>
      </c>
      <c r="J1916" t="str">
        <f t="shared" si="178"/>
        <v/>
      </c>
      <c r="K1916" s="28" t="str">
        <f t="shared" si="175"/>
        <v/>
      </c>
      <c r="L1916" s="46" t="str">
        <f t="shared" si="179"/>
        <v/>
      </c>
      <c r="M1916" t="str" cm="1">
        <f t="array" ref="M1916">IF(L1916="","",_xlfn.IFS(
  AND(L1916&gt;=TIME(9,0,0), L1916&lt;TIME(16,0,0)),"Morning",
  AND(L1916&gt;=TIME(16,0,0), L1916&lt;TIME(23,59,0)),"Evening",
  L1916&gt;=TIME(23,59,0),"Night",
  L1916&lt;TIME(9,0,0),"Night"
))</f>
        <v/>
      </c>
      <c r="O1916" t="str">
        <f t="shared" si="176"/>
        <v/>
      </c>
    </row>
    <row r="1917" spans="7:15" x14ac:dyDescent="0.25">
      <c r="G1917" t="str">
        <f t="shared" si="174"/>
        <v/>
      </c>
      <c r="H1917" s="13" t="str">
        <f t="shared" si="177"/>
        <v/>
      </c>
      <c r="I1917" t="str">
        <f>IFERROR(INDEX(Analysis!$D$116:$N$137, MATCH(B1917, Analysis!$C$116:$C$137, 0), MATCH(C1917, Analysis!$D$115:$N$115, 0)), "")</f>
        <v/>
      </c>
      <c r="J1917" t="str">
        <f t="shared" si="178"/>
        <v/>
      </c>
      <c r="K1917" s="28" t="str">
        <f t="shared" si="175"/>
        <v/>
      </c>
      <c r="L1917" s="46" t="str">
        <f t="shared" si="179"/>
        <v/>
      </c>
      <c r="M1917" t="str" cm="1">
        <f t="array" ref="M1917">IF(L1917="","",_xlfn.IFS(
  AND(L1917&gt;=TIME(9,0,0), L1917&lt;TIME(16,0,0)),"Morning",
  AND(L1917&gt;=TIME(16,0,0), L1917&lt;TIME(23,59,0)),"Evening",
  L1917&gt;=TIME(23,59,0),"Night",
  L1917&lt;TIME(9,0,0),"Night"
))</f>
        <v/>
      </c>
      <c r="O1917" t="str">
        <f t="shared" si="176"/>
        <v/>
      </c>
    </row>
    <row r="1918" spans="7:15" x14ac:dyDescent="0.25">
      <c r="G1918" t="str">
        <f t="shared" si="174"/>
        <v/>
      </c>
      <c r="H1918" s="13" t="str">
        <f t="shared" si="177"/>
        <v/>
      </c>
      <c r="I1918" t="str">
        <f>IFERROR(INDEX(Analysis!$D$116:$N$137, MATCH(B1918, Analysis!$C$116:$C$137, 0), MATCH(C1918, Analysis!$D$115:$N$115, 0)), "")</f>
        <v/>
      </c>
      <c r="J1918" t="str">
        <f t="shared" si="178"/>
        <v/>
      </c>
      <c r="K1918" s="28" t="str">
        <f t="shared" si="175"/>
        <v/>
      </c>
      <c r="L1918" s="46" t="str">
        <f t="shared" si="179"/>
        <v/>
      </c>
      <c r="M1918" t="str" cm="1">
        <f t="array" ref="M1918">IF(L1918="","",_xlfn.IFS(
  AND(L1918&gt;=TIME(9,0,0), L1918&lt;TIME(16,0,0)),"Morning",
  AND(L1918&gt;=TIME(16,0,0), L1918&lt;TIME(23,59,0)),"Evening",
  L1918&gt;=TIME(23,59,0),"Night",
  L1918&lt;TIME(9,0,0),"Night"
))</f>
        <v/>
      </c>
      <c r="O1918" t="str">
        <f t="shared" si="176"/>
        <v/>
      </c>
    </row>
    <row r="1919" spans="7:15" x14ac:dyDescent="0.25">
      <c r="G1919" t="str">
        <f t="shared" si="174"/>
        <v/>
      </c>
      <c r="H1919" s="13" t="str">
        <f t="shared" si="177"/>
        <v/>
      </c>
      <c r="I1919" t="str">
        <f>IFERROR(INDEX(Analysis!$D$116:$N$137, MATCH(B1919, Analysis!$C$116:$C$137, 0), MATCH(C1919, Analysis!$D$115:$N$115, 0)), "")</f>
        <v/>
      </c>
      <c r="J1919" t="str">
        <f t="shared" si="178"/>
        <v/>
      </c>
      <c r="K1919" s="28" t="str">
        <f t="shared" si="175"/>
        <v/>
      </c>
      <c r="L1919" s="46" t="str">
        <f t="shared" si="179"/>
        <v/>
      </c>
      <c r="M1919" t="str" cm="1">
        <f t="array" ref="M1919">IF(L1919="","",_xlfn.IFS(
  AND(L1919&gt;=TIME(9,0,0), L1919&lt;TIME(16,0,0)),"Morning",
  AND(L1919&gt;=TIME(16,0,0), L1919&lt;TIME(23,59,0)),"Evening",
  L1919&gt;=TIME(23,59,0),"Night",
  L1919&lt;TIME(9,0,0),"Night"
))</f>
        <v/>
      </c>
      <c r="O1919" t="str">
        <f t="shared" si="176"/>
        <v/>
      </c>
    </row>
    <row r="1920" spans="7:15" x14ac:dyDescent="0.25">
      <c r="G1920" t="str">
        <f t="shared" si="174"/>
        <v/>
      </c>
      <c r="H1920" s="13" t="str">
        <f t="shared" si="177"/>
        <v/>
      </c>
      <c r="I1920" t="str">
        <f>IFERROR(INDEX(Analysis!$D$116:$N$137, MATCH(B1920, Analysis!$C$116:$C$137, 0), MATCH(C1920, Analysis!$D$115:$N$115, 0)), "")</f>
        <v/>
      </c>
      <c r="J1920" t="str">
        <f t="shared" si="178"/>
        <v/>
      </c>
      <c r="K1920" s="28" t="str">
        <f t="shared" si="175"/>
        <v/>
      </c>
      <c r="L1920" s="46" t="str">
        <f t="shared" si="179"/>
        <v/>
      </c>
      <c r="M1920" t="str" cm="1">
        <f t="array" ref="M1920">IF(L1920="","",_xlfn.IFS(
  AND(L1920&gt;=TIME(9,0,0), L1920&lt;TIME(16,0,0)),"Morning",
  AND(L1920&gt;=TIME(16,0,0), L1920&lt;TIME(23,59,0)),"Evening",
  L1920&gt;=TIME(23,59,0),"Night",
  L1920&lt;TIME(9,0,0),"Night"
))</f>
        <v/>
      </c>
      <c r="O1920" t="str">
        <f t="shared" si="176"/>
        <v/>
      </c>
    </row>
    <row r="1921" spans="7:15" x14ac:dyDescent="0.25">
      <c r="G1921" t="str">
        <f t="shared" si="174"/>
        <v/>
      </c>
      <c r="H1921" s="13" t="str">
        <f t="shared" si="177"/>
        <v/>
      </c>
      <c r="I1921" t="str">
        <f>IFERROR(INDEX(Analysis!$D$116:$N$137, MATCH(B1921, Analysis!$C$116:$C$137, 0), MATCH(C1921, Analysis!$D$115:$N$115, 0)), "")</f>
        <v/>
      </c>
      <c r="J1921" t="str">
        <f t="shared" si="178"/>
        <v/>
      </c>
      <c r="K1921" s="28" t="str">
        <f t="shared" si="175"/>
        <v/>
      </c>
      <c r="L1921" s="46" t="str">
        <f t="shared" si="179"/>
        <v/>
      </c>
      <c r="M1921" t="str" cm="1">
        <f t="array" ref="M1921">IF(L1921="","",_xlfn.IFS(
  AND(L1921&gt;=TIME(9,0,0), L1921&lt;TIME(16,0,0)),"Morning",
  AND(L1921&gt;=TIME(16,0,0), L1921&lt;TIME(23,59,0)),"Evening",
  L1921&gt;=TIME(23,59,0),"Night",
  L1921&lt;TIME(9,0,0),"Night"
))</f>
        <v/>
      </c>
      <c r="O1921" t="str">
        <f t="shared" si="176"/>
        <v/>
      </c>
    </row>
    <row r="1922" spans="7:15" x14ac:dyDescent="0.25">
      <c r="G1922" t="str">
        <f t="shared" ref="G1922:G1985" si="180">IF(ISBLANK(A1922), "", IF(ISBLANK(F1922), 0, F1922))</f>
        <v/>
      </c>
      <c r="H1922" s="13" t="str">
        <f t="shared" si="177"/>
        <v/>
      </c>
      <c r="I1922" t="str">
        <f>IFERROR(INDEX(Analysis!$D$116:$N$137, MATCH(B1922, Analysis!$C$116:$C$137, 0), MATCH(C1922, Analysis!$D$115:$N$115, 0)), "")</f>
        <v/>
      </c>
      <c r="J1922" t="str">
        <f t="shared" si="178"/>
        <v/>
      </c>
      <c r="K1922" s="28" t="str">
        <f t="shared" ref="K1922:K1985" si="181">IF(ISBLANK(A1922),"",DATE(YEAR(A1922),MONTH(A1922),DAY(A1922)))</f>
        <v/>
      </c>
      <c r="L1922" s="46" t="str">
        <f t="shared" si="179"/>
        <v/>
      </c>
      <c r="M1922" t="str" cm="1">
        <f t="array" ref="M1922">IF(L1922="","",_xlfn.IFS(
  AND(L1922&gt;=TIME(9,0,0), L1922&lt;TIME(16,0,0)),"Morning",
  AND(L1922&gt;=TIME(16,0,0), L1922&lt;TIME(23,59,0)),"Evening",
  L1922&gt;=TIME(23,59,0),"Night",
  L1922&lt;TIME(9,0,0),"Night"
))</f>
        <v/>
      </c>
      <c r="O1922" t="str">
        <f t="shared" ref="O1922:O1985" si="182">IF(N1922="ON", _xlfn.IMAGE(E1922, 1), "")</f>
        <v/>
      </c>
    </row>
    <row r="1923" spans="7:15" x14ac:dyDescent="0.25">
      <c r="G1923" t="str">
        <f t="shared" si="180"/>
        <v/>
      </c>
      <c r="H1923" s="13" t="str">
        <f t="shared" ref="H1923:H1986" si="183">IF(ISBLANK(E1923),"",HYPERLINK(E1923,"Click here"))</f>
        <v/>
      </c>
      <c r="I1923" t="str">
        <f>IFERROR(INDEX(Analysis!$D$116:$N$137, MATCH(B1923, Analysis!$C$116:$C$137, 0), MATCH(C1923, Analysis!$D$115:$N$115, 0)), "")</f>
        <v/>
      </c>
      <c r="J1923" t="str">
        <f t="shared" ref="J1923:J1986" si="184">IF(ISBLANK(A1923),"",WEEKNUM(A1923))</f>
        <v/>
      </c>
      <c r="K1923" s="28" t="str">
        <f t="shared" si="181"/>
        <v/>
      </c>
      <c r="L1923" s="46" t="str">
        <f t="shared" ref="L1923:L1986" si="185">IF(A1923="", "", A1923 - INT(A1923))</f>
        <v/>
      </c>
      <c r="M1923" t="str" cm="1">
        <f t="array" ref="M1923">IF(L1923="","",_xlfn.IFS(
  AND(L1923&gt;=TIME(9,0,0), L1923&lt;TIME(16,0,0)),"Morning",
  AND(L1923&gt;=TIME(16,0,0), L1923&lt;TIME(23,59,0)),"Evening",
  L1923&gt;=TIME(23,59,0),"Night",
  L1923&lt;TIME(9,0,0),"Night"
))</f>
        <v/>
      </c>
      <c r="O1923" t="str">
        <f t="shared" si="182"/>
        <v/>
      </c>
    </row>
    <row r="1924" spans="7:15" x14ac:dyDescent="0.25">
      <c r="G1924" t="str">
        <f t="shared" si="180"/>
        <v/>
      </c>
      <c r="H1924" s="13" t="str">
        <f t="shared" si="183"/>
        <v/>
      </c>
      <c r="I1924" t="str">
        <f>IFERROR(INDEX(Analysis!$D$116:$N$137, MATCH(B1924, Analysis!$C$116:$C$137, 0), MATCH(C1924, Analysis!$D$115:$N$115, 0)), "")</f>
        <v/>
      </c>
      <c r="J1924" t="str">
        <f t="shared" si="184"/>
        <v/>
      </c>
      <c r="K1924" s="28" t="str">
        <f t="shared" si="181"/>
        <v/>
      </c>
      <c r="L1924" s="46" t="str">
        <f t="shared" si="185"/>
        <v/>
      </c>
      <c r="M1924" t="str" cm="1">
        <f t="array" ref="M1924">IF(L1924="","",_xlfn.IFS(
  AND(L1924&gt;=TIME(9,0,0), L1924&lt;TIME(16,0,0)),"Morning",
  AND(L1924&gt;=TIME(16,0,0), L1924&lt;TIME(23,59,0)),"Evening",
  L1924&gt;=TIME(23,59,0),"Night",
  L1924&lt;TIME(9,0,0),"Night"
))</f>
        <v/>
      </c>
      <c r="O1924" t="str">
        <f t="shared" si="182"/>
        <v/>
      </c>
    </row>
    <row r="1925" spans="7:15" x14ac:dyDescent="0.25">
      <c r="G1925" t="str">
        <f t="shared" si="180"/>
        <v/>
      </c>
      <c r="H1925" s="13" t="str">
        <f t="shared" si="183"/>
        <v/>
      </c>
      <c r="I1925" t="str">
        <f>IFERROR(INDEX(Analysis!$D$116:$N$137, MATCH(B1925, Analysis!$C$116:$C$137, 0), MATCH(C1925, Analysis!$D$115:$N$115, 0)), "")</f>
        <v/>
      </c>
      <c r="J1925" t="str">
        <f t="shared" si="184"/>
        <v/>
      </c>
      <c r="K1925" s="28" t="str">
        <f t="shared" si="181"/>
        <v/>
      </c>
      <c r="L1925" s="46" t="str">
        <f t="shared" si="185"/>
        <v/>
      </c>
      <c r="M1925" t="str" cm="1">
        <f t="array" ref="M1925">IF(L1925="","",_xlfn.IFS(
  AND(L1925&gt;=TIME(9,0,0), L1925&lt;TIME(16,0,0)),"Morning",
  AND(L1925&gt;=TIME(16,0,0), L1925&lt;TIME(23,59,0)),"Evening",
  L1925&gt;=TIME(23,59,0),"Night",
  L1925&lt;TIME(9,0,0),"Night"
))</f>
        <v/>
      </c>
      <c r="O1925" t="str">
        <f t="shared" si="182"/>
        <v/>
      </c>
    </row>
    <row r="1926" spans="7:15" x14ac:dyDescent="0.25">
      <c r="G1926" t="str">
        <f t="shared" si="180"/>
        <v/>
      </c>
      <c r="H1926" s="13" t="str">
        <f t="shared" si="183"/>
        <v/>
      </c>
      <c r="I1926" t="str">
        <f>IFERROR(INDEX(Analysis!$D$116:$N$137, MATCH(B1926, Analysis!$C$116:$C$137, 0), MATCH(C1926, Analysis!$D$115:$N$115, 0)), "")</f>
        <v/>
      </c>
      <c r="J1926" t="str">
        <f t="shared" si="184"/>
        <v/>
      </c>
      <c r="K1926" s="28" t="str">
        <f t="shared" si="181"/>
        <v/>
      </c>
      <c r="L1926" s="46" t="str">
        <f t="shared" si="185"/>
        <v/>
      </c>
      <c r="M1926" t="str" cm="1">
        <f t="array" ref="M1926">IF(L1926="","",_xlfn.IFS(
  AND(L1926&gt;=TIME(9,0,0), L1926&lt;TIME(16,0,0)),"Morning",
  AND(L1926&gt;=TIME(16,0,0), L1926&lt;TIME(23,59,0)),"Evening",
  L1926&gt;=TIME(23,59,0),"Night",
  L1926&lt;TIME(9,0,0),"Night"
))</f>
        <v/>
      </c>
      <c r="O1926" t="str">
        <f t="shared" si="182"/>
        <v/>
      </c>
    </row>
    <row r="1927" spans="7:15" x14ac:dyDescent="0.25">
      <c r="G1927" t="str">
        <f t="shared" si="180"/>
        <v/>
      </c>
      <c r="H1927" s="13" t="str">
        <f t="shared" si="183"/>
        <v/>
      </c>
      <c r="I1927" t="str">
        <f>IFERROR(INDEX(Analysis!$D$116:$N$137, MATCH(B1927, Analysis!$C$116:$C$137, 0), MATCH(C1927, Analysis!$D$115:$N$115, 0)), "")</f>
        <v/>
      </c>
      <c r="J1927" t="str">
        <f t="shared" si="184"/>
        <v/>
      </c>
      <c r="K1927" s="28" t="str">
        <f t="shared" si="181"/>
        <v/>
      </c>
      <c r="L1927" s="46" t="str">
        <f t="shared" si="185"/>
        <v/>
      </c>
      <c r="M1927" t="str" cm="1">
        <f t="array" ref="M1927">IF(L1927="","",_xlfn.IFS(
  AND(L1927&gt;=TIME(9,0,0), L1927&lt;TIME(16,0,0)),"Morning",
  AND(L1927&gt;=TIME(16,0,0), L1927&lt;TIME(23,59,0)),"Evening",
  L1927&gt;=TIME(23,59,0),"Night",
  L1927&lt;TIME(9,0,0),"Night"
))</f>
        <v/>
      </c>
      <c r="O1927" t="str">
        <f t="shared" si="182"/>
        <v/>
      </c>
    </row>
    <row r="1928" spans="7:15" x14ac:dyDescent="0.25">
      <c r="G1928" t="str">
        <f t="shared" si="180"/>
        <v/>
      </c>
      <c r="H1928" s="13" t="str">
        <f t="shared" si="183"/>
        <v/>
      </c>
      <c r="I1928" t="str">
        <f>IFERROR(INDEX(Analysis!$D$116:$N$137, MATCH(B1928, Analysis!$C$116:$C$137, 0), MATCH(C1928, Analysis!$D$115:$N$115, 0)), "")</f>
        <v/>
      </c>
      <c r="J1928" t="str">
        <f t="shared" si="184"/>
        <v/>
      </c>
      <c r="K1928" s="28" t="str">
        <f t="shared" si="181"/>
        <v/>
      </c>
      <c r="L1928" s="46" t="str">
        <f t="shared" si="185"/>
        <v/>
      </c>
      <c r="M1928" t="str" cm="1">
        <f t="array" ref="M1928">IF(L1928="","",_xlfn.IFS(
  AND(L1928&gt;=TIME(9,0,0), L1928&lt;TIME(16,0,0)),"Morning",
  AND(L1928&gt;=TIME(16,0,0), L1928&lt;TIME(23,59,0)),"Evening",
  L1928&gt;=TIME(23,59,0),"Night",
  L1928&lt;TIME(9,0,0),"Night"
))</f>
        <v/>
      </c>
      <c r="O1928" t="str">
        <f t="shared" si="182"/>
        <v/>
      </c>
    </row>
    <row r="1929" spans="7:15" x14ac:dyDescent="0.25">
      <c r="G1929" t="str">
        <f t="shared" si="180"/>
        <v/>
      </c>
      <c r="H1929" s="13" t="str">
        <f t="shared" si="183"/>
        <v/>
      </c>
      <c r="I1929" t="str">
        <f>IFERROR(INDEX(Analysis!$D$116:$N$137, MATCH(B1929, Analysis!$C$116:$C$137, 0), MATCH(C1929, Analysis!$D$115:$N$115, 0)), "")</f>
        <v/>
      </c>
      <c r="J1929" t="str">
        <f t="shared" si="184"/>
        <v/>
      </c>
      <c r="K1929" s="28" t="str">
        <f t="shared" si="181"/>
        <v/>
      </c>
      <c r="L1929" s="46" t="str">
        <f t="shared" si="185"/>
        <v/>
      </c>
      <c r="M1929" t="str" cm="1">
        <f t="array" ref="M1929">IF(L1929="","",_xlfn.IFS(
  AND(L1929&gt;=TIME(9,0,0), L1929&lt;TIME(16,0,0)),"Morning",
  AND(L1929&gt;=TIME(16,0,0), L1929&lt;TIME(23,59,0)),"Evening",
  L1929&gt;=TIME(23,59,0),"Night",
  L1929&lt;TIME(9,0,0),"Night"
))</f>
        <v/>
      </c>
      <c r="O1929" t="str">
        <f t="shared" si="182"/>
        <v/>
      </c>
    </row>
    <row r="1930" spans="7:15" x14ac:dyDescent="0.25">
      <c r="G1930" t="str">
        <f t="shared" si="180"/>
        <v/>
      </c>
      <c r="H1930" s="13" t="str">
        <f t="shared" si="183"/>
        <v/>
      </c>
      <c r="I1930" t="str">
        <f>IFERROR(INDEX(Analysis!$D$116:$N$137, MATCH(B1930, Analysis!$C$116:$C$137, 0), MATCH(C1930, Analysis!$D$115:$N$115, 0)), "")</f>
        <v/>
      </c>
      <c r="J1930" t="str">
        <f t="shared" si="184"/>
        <v/>
      </c>
      <c r="K1930" s="28" t="str">
        <f t="shared" si="181"/>
        <v/>
      </c>
      <c r="L1930" s="46" t="str">
        <f t="shared" si="185"/>
        <v/>
      </c>
      <c r="M1930" t="str" cm="1">
        <f t="array" ref="M1930">IF(L1930="","",_xlfn.IFS(
  AND(L1930&gt;=TIME(9,0,0), L1930&lt;TIME(16,0,0)),"Morning",
  AND(L1930&gt;=TIME(16,0,0), L1930&lt;TIME(23,59,0)),"Evening",
  L1930&gt;=TIME(23,59,0),"Night",
  L1930&lt;TIME(9,0,0),"Night"
))</f>
        <v/>
      </c>
      <c r="O1930" t="str">
        <f t="shared" si="182"/>
        <v/>
      </c>
    </row>
    <row r="1931" spans="7:15" x14ac:dyDescent="0.25">
      <c r="G1931" t="str">
        <f t="shared" si="180"/>
        <v/>
      </c>
      <c r="H1931" s="13" t="str">
        <f t="shared" si="183"/>
        <v/>
      </c>
      <c r="I1931" t="str">
        <f>IFERROR(INDEX(Analysis!$D$116:$N$137, MATCH(B1931, Analysis!$C$116:$C$137, 0), MATCH(C1931, Analysis!$D$115:$N$115, 0)), "")</f>
        <v/>
      </c>
      <c r="J1931" t="str">
        <f t="shared" si="184"/>
        <v/>
      </c>
      <c r="K1931" s="28" t="str">
        <f t="shared" si="181"/>
        <v/>
      </c>
      <c r="L1931" s="46" t="str">
        <f t="shared" si="185"/>
        <v/>
      </c>
      <c r="M1931" t="str" cm="1">
        <f t="array" ref="M1931">IF(L1931="","",_xlfn.IFS(
  AND(L1931&gt;=TIME(9,0,0), L1931&lt;TIME(16,0,0)),"Morning",
  AND(L1931&gt;=TIME(16,0,0), L1931&lt;TIME(23,59,0)),"Evening",
  L1931&gt;=TIME(23,59,0),"Night",
  L1931&lt;TIME(9,0,0),"Night"
))</f>
        <v/>
      </c>
      <c r="O1931" t="str">
        <f t="shared" si="182"/>
        <v/>
      </c>
    </row>
    <row r="1932" spans="7:15" x14ac:dyDescent="0.25">
      <c r="G1932" t="str">
        <f t="shared" si="180"/>
        <v/>
      </c>
      <c r="H1932" s="13" t="str">
        <f t="shared" si="183"/>
        <v/>
      </c>
      <c r="I1932" t="str">
        <f>IFERROR(INDEX(Analysis!$D$116:$N$137, MATCH(B1932, Analysis!$C$116:$C$137, 0), MATCH(C1932, Analysis!$D$115:$N$115, 0)), "")</f>
        <v/>
      </c>
      <c r="J1932" t="str">
        <f t="shared" si="184"/>
        <v/>
      </c>
      <c r="K1932" s="28" t="str">
        <f t="shared" si="181"/>
        <v/>
      </c>
      <c r="L1932" s="46" t="str">
        <f t="shared" si="185"/>
        <v/>
      </c>
      <c r="M1932" t="str" cm="1">
        <f t="array" ref="M1932">IF(L1932="","",_xlfn.IFS(
  AND(L1932&gt;=TIME(9,0,0), L1932&lt;TIME(16,0,0)),"Morning",
  AND(L1932&gt;=TIME(16,0,0), L1932&lt;TIME(23,59,0)),"Evening",
  L1932&gt;=TIME(23,59,0),"Night",
  L1932&lt;TIME(9,0,0),"Night"
))</f>
        <v/>
      </c>
      <c r="O1932" t="str">
        <f t="shared" si="182"/>
        <v/>
      </c>
    </row>
    <row r="1933" spans="7:15" x14ac:dyDescent="0.25">
      <c r="G1933" t="str">
        <f t="shared" si="180"/>
        <v/>
      </c>
      <c r="H1933" s="13" t="str">
        <f t="shared" si="183"/>
        <v/>
      </c>
      <c r="I1933" t="str">
        <f>IFERROR(INDEX(Analysis!$D$116:$N$137, MATCH(B1933, Analysis!$C$116:$C$137, 0), MATCH(C1933, Analysis!$D$115:$N$115, 0)), "")</f>
        <v/>
      </c>
      <c r="J1933" t="str">
        <f t="shared" si="184"/>
        <v/>
      </c>
      <c r="K1933" s="28" t="str">
        <f t="shared" si="181"/>
        <v/>
      </c>
      <c r="L1933" s="46" t="str">
        <f t="shared" si="185"/>
        <v/>
      </c>
      <c r="M1933" t="str" cm="1">
        <f t="array" ref="M1933">IF(L1933="","",_xlfn.IFS(
  AND(L1933&gt;=TIME(9,0,0), L1933&lt;TIME(16,0,0)),"Morning",
  AND(L1933&gt;=TIME(16,0,0), L1933&lt;TIME(23,59,0)),"Evening",
  L1933&gt;=TIME(23,59,0),"Night",
  L1933&lt;TIME(9,0,0),"Night"
))</f>
        <v/>
      </c>
      <c r="O1933" t="str">
        <f t="shared" si="182"/>
        <v/>
      </c>
    </row>
    <row r="1934" spans="7:15" x14ac:dyDescent="0.25">
      <c r="G1934" t="str">
        <f t="shared" si="180"/>
        <v/>
      </c>
      <c r="H1934" s="13" t="str">
        <f t="shared" si="183"/>
        <v/>
      </c>
      <c r="I1934" t="str">
        <f>IFERROR(INDEX(Analysis!$D$116:$N$137, MATCH(B1934, Analysis!$C$116:$C$137, 0), MATCH(C1934, Analysis!$D$115:$N$115, 0)), "")</f>
        <v/>
      </c>
      <c r="J1934" t="str">
        <f t="shared" si="184"/>
        <v/>
      </c>
      <c r="K1934" s="28" t="str">
        <f t="shared" si="181"/>
        <v/>
      </c>
      <c r="L1934" s="46" t="str">
        <f t="shared" si="185"/>
        <v/>
      </c>
      <c r="M1934" t="str" cm="1">
        <f t="array" ref="M1934">IF(L1934="","",_xlfn.IFS(
  AND(L1934&gt;=TIME(9,0,0), L1934&lt;TIME(16,0,0)),"Morning",
  AND(L1934&gt;=TIME(16,0,0), L1934&lt;TIME(23,59,0)),"Evening",
  L1934&gt;=TIME(23,59,0),"Night",
  L1934&lt;TIME(9,0,0),"Night"
))</f>
        <v/>
      </c>
      <c r="O1934" t="str">
        <f t="shared" si="182"/>
        <v/>
      </c>
    </row>
    <row r="1935" spans="7:15" x14ac:dyDescent="0.25">
      <c r="G1935" t="str">
        <f t="shared" si="180"/>
        <v/>
      </c>
      <c r="H1935" s="13" t="str">
        <f t="shared" si="183"/>
        <v/>
      </c>
      <c r="I1935" t="str">
        <f>IFERROR(INDEX(Analysis!$D$116:$N$137, MATCH(B1935, Analysis!$C$116:$C$137, 0), MATCH(C1935, Analysis!$D$115:$N$115, 0)), "")</f>
        <v/>
      </c>
      <c r="J1935" t="str">
        <f t="shared" si="184"/>
        <v/>
      </c>
      <c r="K1935" s="28" t="str">
        <f t="shared" si="181"/>
        <v/>
      </c>
      <c r="L1935" s="46" t="str">
        <f t="shared" si="185"/>
        <v/>
      </c>
      <c r="M1935" t="str" cm="1">
        <f t="array" ref="M1935">IF(L1935="","",_xlfn.IFS(
  AND(L1935&gt;=TIME(9,0,0), L1935&lt;TIME(16,0,0)),"Morning",
  AND(L1935&gt;=TIME(16,0,0), L1935&lt;TIME(23,59,0)),"Evening",
  L1935&gt;=TIME(23,59,0),"Night",
  L1935&lt;TIME(9,0,0),"Night"
))</f>
        <v/>
      </c>
      <c r="O1935" t="str">
        <f t="shared" si="182"/>
        <v/>
      </c>
    </row>
    <row r="1936" spans="7:15" x14ac:dyDescent="0.25">
      <c r="G1936" t="str">
        <f t="shared" si="180"/>
        <v/>
      </c>
      <c r="H1936" s="13" t="str">
        <f t="shared" si="183"/>
        <v/>
      </c>
      <c r="I1936" t="str">
        <f>IFERROR(INDEX(Analysis!$D$116:$N$137, MATCH(B1936, Analysis!$C$116:$C$137, 0), MATCH(C1936, Analysis!$D$115:$N$115, 0)), "")</f>
        <v/>
      </c>
      <c r="J1936" t="str">
        <f t="shared" si="184"/>
        <v/>
      </c>
      <c r="K1936" s="28" t="str">
        <f t="shared" si="181"/>
        <v/>
      </c>
      <c r="L1936" s="46" t="str">
        <f t="shared" si="185"/>
        <v/>
      </c>
      <c r="M1936" t="str" cm="1">
        <f t="array" ref="M1936">IF(L1936="","",_xlfn.IFS(
  AND(L1936&gt;=TIME(9,0,0), L1936&lt;TIME(16,0,0)),"Morning",
  AND(L1936&gt;=TIME(16,0,0), L1936&lt;TIME(23,59,0)),"Evening",
  L1936&gt;=TIME(23,59,0),"Night",
  L1936&lt;TIME(9,0,0),"Night"
))</f>
        <v/>
      </c>
      <c r="O1936" t="str">
        <f t="shared" si="182"/>
        <v/>
      </c>
    </row>
    <row r="1937" spans="7:15" x14ac:dyDescent="0.25">
      <c r="G1937" t="str">
        <f t="shared" si="180"/>
        <v/>
      </c>
      <c r="H1937" s="13" t="str">
        <f t="shared" si="183"/>
        <v/>
      </c>
      <c r="I1937" t="str">
        <f>IFERROR(INDEX(Analysis!$D$116:$N$137, MATCH(B1937, Analysis!$C$116:$C$137, 0), MATCH(C1937, Analysis!$D$115:$N$115, 0)), "")</f>
        <v/>
      </c>
      <c r="J1937" t="str">
        <f t="shared" si="184"/>
        <v/>
      </c>
      <c r="K1937" s="28" t="str">
        <f t="shared" si="181"/>
        <v/>
      </c>
      <c r="L1937" s="46" t="str">
        <f t="shared" si="185"/>
        <v/>
      </c>
      <c r="M1937" t="str" cm="1">
        <f t="array" ref="M1937">IF(L1937="","",_xlfn.IFS(
  AND(L1937&gt;=TIME(9,0,0), L1937&lt;TIME(16,0,0)),"Morning",
  AND(L1937&gt;=TIME(16,0,0), L1937&lt;TIME(23,59,0)),"Evening",
  L1937&gt;=TIME(23,59,0),"Night",
  L1937&lt;TIME(9,0,0),"Night"
))</f>
        <v/>
      </c>
      <c r="O1937" t="str">
        <f t="shared" si="182"/>
        <v/>
      </c>
    </row>
    <row r="1938" spans="7:15" x14ac:dyDescent="0.25">
      <c r="G1938" t="str">
        <f t="shared" si="180"/>
        <v/>
      </c>
      <c r="H1938" s="13" t="str">
        <f t="shared" si="183"/>
        <v/>
      </c>
      <c r="I1938" t="str">
        <f>IFERROR(INDEX(Analysis!$D$116:$N$137, MATCH(B1938, Analysis!$C$116:$C$137, 0), MATCH(C1938, Analysis!$D$115:$N$115, 0)), "")</f>
        <v/>
      </c>
      <c r="J1938" t="str">
        <f t="shared" si="184"/>
        <v/>
      </c>
      <c r="K1938" s="28" t="str">
        <f t="shared" si="181"/>
        <v/>
      </c>
      <c r="L1938" s="46" t="str">
        <f t="shared" si="185"/>
        <v/>
      </c>
      <c r="M1938" t="str" cm="1">
        <f t="array" ref="M1938">IF(L1938="","",_xlfn.IFS(
  AND(L1938&gt;=TIME(9,0,0), L1938&lt;TIME(16,0,0)),"Morning",
  AND(L1938&gt;=TIME(16,0,0), L1938&lt;TIME(23,59,0)),"Evening",
  L1938&gt;=TIME(23,59,0),"Night",
  L1938&lt;TIME(9,0,0),"Night"
))</f>
        <v/>
      </c>
      <c r="O1938" t="str">
        <f t="shared" si="182"/>
        <v/>
      </c>
    </row>
    <row r="1939" spans="7:15" x14ac:dyDescent="0.25">
      <c r="G1939" t="str">
        <f t="shared" si="180"/>
        <v/>
      </c>
      <c r="H1939" s="13" t="str">
        <f t="shared" si="183"/>
        <v/>
      </c>
      <c r="I1939" t="str">
        <f>IFERROR(INDEX(Analysis!$D$116:$N$137, MATCH(B1939, Analysis!$C$116:$C$137, 0), MATCH(C1939, Analysis!$D$115:$N$115, 0)), "")</f>
        <v/>
      </c>
      <c r="J1939" t="str">
        <f t="shared" si="184"/>
        <v/>
      </c>
      <c r="K1939" s="28" t="str">
        <f t="shared" si="181"/>
        <v/>
      </c>
      <c r="L1939" s="46" t="str">
        <f t="shared" si="185"/>
        <v/>
      </c>
      <c r="M1939" t="str" cm="1">
        <f t="array" ref="M1939">IF(L1939="","",_xlfn.IFS(
  AND(L1939&gt;=TIME(9,0,0), L1939&lt;TIME(16,0,0)),"Morning",
  AND(L1939&gt;=TIME(16,0,0), L1939&lt;TIME(23,59,0)),"Evening",
  L1939&gt;=TIME(23,59,0),"Night",
  L1939&lt;TIME(9,0,0),"Night"
))</f>
        <v/>
      </c>
      <c r="O1939" t="str">
        <f t="shared" si="182"/>
        <v/>
      </c>
    </row>
    <row r="1940" spans="7:15" x14ac:dyDescent="0.25">
      <c r="G1940" t="str">
        <f t="shared" si="180"/>
        <v/>
      </c>
      <c r="H1940" s="13" t="str">
        <f t="shared" si="183"/>
        <v/>
      </c>
      <c r="I1940" t="str">
        <f>IFERROR(INDEX(Analysis!$D$116:$N$137, MATCH(B1940, Analysis!$C$116:$C$137, 0), MATCH(C1940, Analysis!$D$115:$N$115, 0)), "")</f>
        <v/>
      </c>
      <c r="J1940" t="str">
        <f t="shared" si="184"/>
        <v/>
      </c>
      <c r="K1940" s="28" t="str">
        <f t="shared" si="181"/>
        <v/>
      </c>
      <c r="L1940" s="46" t="str">
        <f t="shared" si="185"/>
        <v/>
      </c>
      <c r="M1940" t="str" cm="1">
        <f t="array" ref="M1940">IF(L1940="","",_xlfn.IFS(
  AND(L1940&gt;=TIME(9,0,0), L1940&lt;TIME(16,0,0)),"Morning",
  AND(L1940&gt;=TIME(16,0,0), L1940&lt;TIME(23,59,0)),"Evening",
  L1940&gt;=TIME(23,59,0),"Night",
  L1940&lt;TIME(9,0,0),"Night"
))</f>
        <v/>
      </c>
      <c r="O1940" t="str">
        <f t="shared" si="182"/>
        <v/>
      </c>
    </row>
    <row r="1941" spans="7:15" x14ac:dyDescent="0.25">
      <c r="G1941" t="str">
        <f t="shared" si="180"/>
        <v/>
      </c>
      <c r="H1941" s="13" t="str">
        <f t="shared" si="183"/>
        <v/>
      </c>
      <c r="I1941" t="str">
        <f>IFERROR(INDEX(Analysis!$D$116:$N$137, MATCH(B1941, Analysis!$C$116:$C$137, 0), MATCH(C1941, Analysis!$D$115:$N$115, 0)), "")</f>
        <v/>
      </c>
      <c r="J1941" t="str">
        <f t="shared" si="184"/>
        <v/>
      </c>
      <c r="K1941" s="28" t="str">
        <f t="shared" si="181"/>
        <v/>
      </c>
      <c r="L1941" s="46" t="str">
        <f t="shared" si="185"/>
        <v/>
      </c>
      <c r="M1941" t="str" cm="1">
        <f t="array" ref="M1941">IF(L1941="","",_xlfn.IFS(
  AND(L1941&gt;=TIME(9,0,0), L1941&lt;TIME(16,0,0)),"Morning",
  AND(L1941&gt;=TIME(16,0,0), L1941&lt;TIME(23,59,0)),"Evening",
  L1941&gt;=TIME(23,59,0),"Night",
  L1941&lt;TIME(9,0,0),"Night"
))</f>
        <v/>
      </c>
      <c r="O1941" t="str">
        <f t="shared" si="182"/>
        <v/>
      </c>
    </row>
    <row r="1942" spans="7:15" x14ac:dyDescent="0.25">
      <c r="G1942" t="str">
        <f t="shared" si="180"/>
        <v/>
      </c>
      <c r="H1942" s="13" t="str">
        <f t="shared" si="183"/>
        <v/>
      </c>
      <c r="I1942" t="str">
        <f>IFERROR(INDEX(Analysis!$D$116:$N$137, MATCH(B1942, Analysis!$C$116:$C$137, 0), MATCH(C1942, Analysis!$D$115:$N$115, 0)), "")</f>
        <v/>
      </c>
      <c r="J1942" t="str">
        <f t="shared" si="184"/>
        <v/>
      </c>
      <c r="K1942" s="28" t="str">
        <f t="shared" si="181"/>
        <v/>
      </c>
      <c r="L1942" s="46" t="str">
        <f t="shared" si="185"/>
        <v/>
      </c>
      <c r="M1942" t="str" cm="1">
        <f t="array" ref="M1942">IF(L1942="","",_xlfn.IFS(
  AND(L1942&gt;=TIME(9,0,0), L1942&lt;TIME(16,0,0)),"Morning",
  AND(L1942&gt;=TIME(16,0,0), L1942&lt;TIME(23,59,0)),"Evening",
  L1942&gt;=TIME(23,59,0),"Night",
  L1942&lt;TIME(9,0,0),"Night"
))</f>
        <v/>
      </c>
      <c r="O1942" t="str">
        <f t="shared" si="182"/>
        <v/>
      </c>
    </row>
    <row r="1943" spans="7:15" x14ac:dyDescent="0.25">
      <c r="G1943" t="str">
        <f t="shared" si="180"/>
        <v/>
      </c>
      <c r="H1943" s="13" t="str">
        <f t="shared" si="183"/>
        <v/>
      </c>
      <c r="I1943" t="str">
        <f>IFERROR(INDEX(Analysis!$D$116:$N$137, MATCH(B1943, Analysis!$C$116:$C$137, 0), MATCH(C1943, Analysis!$D$115:$N$115, 0)), "")</f>
        <v/>
      </c>
      <c r="J1943" t="str">
        <f t="shared" si="184"/>
        <v/>
      </c>
      <c r="K1943" s="28" t="str">
        <f t="shared" si="181"/>
        <v/>
      </c>
      <c r="L1943" s="46" t="str">
        <f t="shared" si="185"/>
        <v/>
      </c>
      <c r="M1943" t="str" cm="1">
        <f t="array" ref="M1943">IF(L1943="","",_xlfn.IFS(
  AND(L1943&gt;=TIME(9,0,0), L1943&lt;TIME(16,0,0)),"Morning",
  AND(L1943&gt;=TIME(16,0,0), L1943&lt;TIME(23,59,0)),"Evening",
  L1943&gt;=TIME(23,59,0),"Night",
  L1943&lt;TIME(9,0,0),"Night"
))</f>
        <v/>
      </c>
      <c r="O1943" t="str">
        <f t="shared" si="182"/>
        <v/>
      </c>
    </row>
    <row r="1944" spans="7:15" x14ac:dyDescent="0.25">
      <c r="G1944" t="str">
        <f t="shared" si="180"/>
        <v/>
      </c>
      <c r="H1944" s="13" t="str">
        <f t="shared" si="183"/>
        <v/>
      </c>
      <c r="I1944" t="str">
        <f>IFERROR(INDEX(Analysis!$D$116:$N$137, MATCH(B1944, Analysis!$C$116:$C$137, 0), MATCH(C1944, Analysis!$D$115:$N$115, 0)), "")</f>
        <v/>
      </c>
      <c r="J1944" t="str">
        <f t="shared" si="184"/>
        <v/>
      </c>
      <c r="K1944" s="28" t="str">
        <f t="shared" si="181"/>
        <v/>
      </c>
      <c r="L1944" s="46" t="str">
        <f t="shared" si="185"/>
        <v/>
      </c>
      <c r="M1944" t="str" cm="1">
        <f t="array" ref="M1944">IF(L1944="","",_xlfn.IFS(
  AND(L1944&gt;=TIME(9,0,0), L1944&lt;TIME(16,0,0)),"Morning",
  AND(L1944&gt;=TIME(16,0,0), L1944&lt;TIME(23,59,0)),"Evening",
  L1944&gt;=TIME(23,59,0),"Night",
  L1944&lt;TIME(9,0,0),"Night"
))</f>
        <v/>
      </c>
      <c r="O1944" t="str">
        <f t="shared" si="182"/>
        <v/>
      </c>
    </row>
    <row r="1945" spans="7:15" x14ac:dyDescent="0.25">
      <c r="G1945" t="str">
        <f t="shared" si="180"/>
        <v/>
      </c>
      <c r="H1945" s="13" t="str">
        <f t="shared" si="183"/>
        <v/>
      </c>
      <c r="I1945" t="str">
        <f>IFERROR(INDEX(Analysis!$D$116:$N$137, MATCH(B1945, Analysis!$C$116:$C$137, 0), MATCH(C1945, Analysis!$D$115:$N$115, 0)), "")</f>
        <v/>
      </c>
      <c r="J1945" t="str">
        <f t="shared" si="184"/>
        <v/>
      </c>
      <c r="K1945" s="28" t="str">
        <f t="shared" si="181"/>
        <v/>
      </c>
      <c r="L1945" s="46" t="str">
        <f t="shared" si="185"/>
        <v/>
      </c>
      <c r="M1945" t="str" cm="1">
        <f t="array" ref="M1945">IF(L1945="","",_xlfn.IFS(
  AND(L1945&gt;=TIME(9,0,0), L1945&lt;TIME(16,0,0)),"Morning",
  AND(L1945&gt;=TIME(16,0,0), L1945&lt;TIME(23,59,0)),"Evening",
  L1945&gt;=TIME(23,59,0),"Night",
  L1945&lt;TIME(9,0,0),"Night"
))</f>
        <v/>
      </c>
      <c r="O1945" t="str">
        <f t="shared" si="182"/>
        <v/>
      </c>
    </row>
    <row r="1946" spans="7:15" x14ac:dyDescent="0.25">
      <c r="G1946" t="str">
        <f t="shared" si="180"/>
        <v/>
      </c>
      <c r="H1946" s="13" t="str">
        <f t="shared" si="183"/>
        <v/>
      </c>
      <c r="I1946" t="str">
        <f>IFERROR(INDEX(Analysis!$D$116:$N$137, MATCH(B1946, Analysis!$C$116:$C$137, 0), MATCH(C1946, Analysis!$D$115:$N$115, 0)), "")</f>
        <v/>
      </c>
      <c r="J1946" t="str">
        <f t="shared" si="184"/>
        <v/>
      </c>
      <c r="K1946" s="28" t="str">
        <f t="shared" si="181"/>
        <v/>
      </c>
      <c r="L1946" s="46" t="str">
        <f t="shared" si="185"/>
        <v/>
      </c>
      <c r="M1946" t="str" cm="1">
        <f t="array" ref="M1946">IF(L1946="","",_xlfn.IFS(
  AND(L1946&gt;=TIME(9,0,0), L1946&lt;TIME(16,0,0)),"Morning",
  AND(L1946&gt;=TIME(16,0,0), L1946&lt;TIME(23,59,0)),"Evening",
  L1946&gt;=TIME(23,59,0),"Night",
  L1946&lt;TIME(9,0,0),"Night"
))</f>
        <v/>
      </c>
      <c r="O1946" t="str">
        <f t="shared" si="182"/>
        <v/>
      </c>
    </row>
    <row r="1947" spans="7:15" x14ac:dyDescent="0.25">
      <c r="G1947" t="str">
        <f t="shared" si="180"/>
        <v/>
      </c>
      <c r="H1947" s="13" t="str">
        <f t="shared" si="183"/>
        <v/>
      </c>
      <c r="I1947" t="str">
        <f>IFERROR(INDEX(Analysis!$D$116:$N$137, MATCH(B1947, Analysis!$C$116:$C$137, 0), MATCH(C1947, Analysis!$D$115:$N$115, 0)), "")</f>
        <v/>
      </c>
      <c r="J1947" t="str">
        <f t="shared" si="184"/>
        <v/>
      </c>
      <c r="K1947" s="28" t="str">
        <f t="shared" si="181"/>
        <v/>
      </c>
      <c r="L1947" s="46" t="str">
        <f t="shared" si="185"/>
        <v/>
      </c>
      <c r="M1947" t="str" cm="1">
        <f t="array" ref="M1947">IF(L1947="","",_xlfn.IFS(
  AND(L1947&gt;=TIME(9,0,0), L1947&lt;TIME(16,0,0)),"Morning",
  AND(L1947&gt;=TIME(16,0,0), L1947&lt;TIME(23,59,0)),"Evening",
  L1947&gt;=TIME(23,59,0),"Night",
  L1947&lt;TIME(9,0,0),"Night"
))</f>
        <v/>
      </c>
      <c r="O1947" t="str">
        <f t="shared" si="182"/>
        <v/>
      </c>
    </row>
    <row r="1948" spans="7:15" x14ac:dyDescent="0.25">
      <c r="G1948" t="str">
        <f t="shared" si="180"/>
        <v/>
      </c>
      <c r="H1948" s="13" t="str">
        <f t="shared" si="183"/>
        <v/>
      </c>
      <c r="I1948" t="str">
        <f>IFERROR(INDEX(Analysis!$D$116:$N$137, MATCH(B1948, Analysis!$C$116:$C$137, 0), MATCH(C1948, Analysis!$D$115:$N$115, 0)), "")</f>
        <v/>
      </c>
      <c r="J1948" t="str">
        <f t="shared" si="184"/>
        <v/>
      </c>
      <c r="K1948" s="28" t="str">
        <f t="shared" si="181"/>
        <v/>
      </c>
      <c r="L1948" s="46" t="str">
        <f t="shared" si="185"/>
        <v/>
      </c>
      <c r="M1948" t="str" cm="1">
        <f t="array" ref="M1948">IF(L1948="","",_xlfn.IFS(
  AND(L1948&gt;=TIME(9,0,0), L1948&lt;TIME(16,0,0)),"Morning",
  AND(L1948&gt;=TIME(16,0,0), L1948&lt;TIME(23,59,0)),"Evening",
  L1948&gt;=TIME(23,59,0),"Night",
  L1948&lt;TIME(9,0,0),"Night"
))</f>
        <v/>
      </c>
      <c r="O1948" t="str">
        <f t="shared" si="182"/>
        <v/>
      </c>
    </row>
    <row r="1949" spans="7:15" x14ac:dyDescent="0.25">
      <c r="G1949" t="str">
        <f t="shared" si="180"/>
        <v/>
      </c>
      <c r="H1949" s="13" t="str">
        <f t="shared" si="183"/>
        <v/>
      </c>
      <c r="I1949" t="str">
        <f>IFERROR(INDEX(Analysis!$D$116:$N$137, MATCH(B1949, Analysis!$C$116:$C$137, 0), MATCH(C1949, Analysis!$D$115:$N$115, 0)), "")</f>
        <v/>
      </c>
      <c r="J1949" t="str">
        <f t="shared" si="184"/>
        <v/>
      </c>
      <c r="K1949" s="28" t="str">
        <f t="shared" si="181"/>
        <v/>
      </c>
      <c r="L1949" s="46" t="str">
        <f t="shared" si="185"/>
        <v/>
      </c>
      <c r="M1949" t="str" cm="1">
        <f t="array" ref="M1949">IF(L1949="","",_xlfn.IFS(
  AND(L1949&gt;=TIME(9,0,0), L1949&lt;TIME(16,0,0)),"Morning",
  AND(L1949&gt;=TIME(16,0,0), L1949&lt;TIME(23,59,0)),"Evening",
  L1949&gt;=TIME(23,59,0),"Night",
  L1949&lt;TIME(9,0,0),"Night"
))</f>
        <v/>
      </c>
      <c r="O1949" t="str">
        <f t="shared" si="182"/>
        <v/>
      </c>
    </row>
    <row r="1950" spans="7:15" x14ac:dyDescent="0.25">
      <c r="G1950" t="str">
        <f t="shared" si="180"/>
        <v/>
      </c>
      <c r="H1950" s="13" t="str">
        <f t="shared" si="183"/>
        <v/>
      </c>
      <c r="I1950" t="str">
        <f>IFERROR(INDEX(Analysis!$D$116:$N$137, MATCH(B1950, Analysis!$C$116:$C$137, 0), MATCH(C1950, Analysis!$D$115:$N$115, 0)), "")</f>
        <v/>
      </c>
      <c r="J1950" t="str">
        <f t="shared" si="184"/>
        <v/>
      </c>
      <c r="K1950" s="28" t="str">
        <f t="shared" si="181"/>
        <v/>
      </c>
      <c r="L1950" s="46" t="str">
        <f t="shared" si="185"/>
        <v/>
      </c>
      <c r="M1950" t="str" cm="1">
        <f t="array" ref="M1950">IF(L1950="","",_xlfn.IFS(
  AND(L1950&gt;=TIME(9,0,0), L1950&lt;TIME(16,0,0)),"Morning",
  AND(L1950&gt;=TIME(16,0,0), L1950&lt;TIME(23,59,0)),"Evening",
  L1950&gt;=TIME(23,59,0),"Night",
  L1950&lt;TIME(9,0,0),"Night"
))</f>
        <v/>
      </c>
      <c r="O1950" t="str">
        <f t="shared" si="182"/>
        <v/>
      </c>
    </row>
    <row r="1951" spans="7:15" x14ac:dyDescent="0.25">
      <c r="G1951" t="str">
        <f t="shared" si="180"/>
        <v/>
      </c>
      <c r="H1951" s="13" t="str">
        <f t="shared" si="183"/>
        <v/>
      </c>
      <c r="I1951" t="str">
        <f>IFERROR(INDEX(Analysis!$D$116:$N$137, MATCH(B1951, Analysis!$C$116:$C$137, 0), MATCH(C1951, Analysis!$D$115:$N$115, 0)), "")</f>
        <v/>
      </c>
      <c r="J1951" t="str">
        <f t="shared" si="184"/>
        <v/>
      </c>
      <c r="K1951" s="28" t="str">
        <f t="shared" si="181"/>
        <v/>
      </c>
      <c r="L1951" s="46" t="str">
        <f t="shared" si="185"/>
        <v/>
      </c>
      <c r="M1951" t="str" cm="1">
        <f t="array" ref="M1951">IF(L1951="","",_xlfn.IFS(
  AND(L1951&gt;=TIME(9,0,0), L1951&lt;TIME(16,0,0)),"Morning",
  AND(L1951&gt;=TIME(16,0,0), L1951&lt;TIME(23,59,0)),"Evening",
  L1951&gt;=TIME(23,59,0),"Night",
  L1951&lt;TIME(9,0,0),"Night"
))</f>
        <v/>
      </c>
      <c r="O1951" t="str">
        <f t="shared" si="182"/>
        <v/>
      </c>
    </row>
    <row r="1952" spans="7:15" x14ac:dyDescent="0.25">
      <c r="G1952" t="str">
        <f t="shared" si="180"/>
        <v/>
      </c>
      <c r="H1952" s="13" t="str">
        <f t="shared" si="183"/>
        <v/>
      </c>
      <c r="I1952" t="str">
        <f>IFERROR(INDEX(Analysis!$D$116:$N$137, MATCH(B1952, Analysis!$C$116:$C$137, 0), MATCH(C1952, Analysis!$D$115:$N$115, 0)), "")</f>
        <v/>
      </c>
      <c r="J1952" t="str">
        <f t="shared" si="184"/>
        <v/>
      </c>
      <c r="K1952" s="28" t="str">
        <f t="shared" si="181"/>
        <v/>
      </c>
      <c r="L1952" s="46" t="str">
        <f t="shared" si="185"/>
        <v/>
      </c>
      <c r="M1952" t="str" cm="1">
        <f t="array" ref="M1952">IF(L1952="","",_xlfn.IFS(
  AND(L1952&gt;=TIME(9,0,0), L1952&lt;TIME(16,0,0)),"Morning",
  AND(L1952&gt;=TIME(16,0,0), L1952&lt;TIME(23,59,0)),"Evening",
  L1952&gt;=TIME(23,59,0),"Night",
  L1952&lt;TIME(9,0,0),"Night"
))</f>
        <v/>
      </c>
      <c r="O1952" t="str">
        <f t="shared" si="182"/>
        <v/>
      </c>
    </row>
    <row r="1953" spans="7:15" x14ac:dyDescent="0.25">
      <c r="G1953" t="str">
        <f t="shared" si="180"/>
        <v/>
      </c>
      <c r="H1953" s="13" t="str">
        <f t="shared" si="183"/>
        <v/>
      </c>
      <c r="I1953" t="str">
        <f>IFERROR(INDEX(Analysis!$D$116:$N$137, MATCH(B1953, Analysis!$C$116:$C$137, 0), MATCH(C1953, Analysis!$D$115:$N$115, 0)), "")</f>
        <v/>
      </c>
      <c r="J1953" t="str">
        <f t="shared" si="184"/>
        <v/>
      </c>
      <c r="K1953" s="28" t="str">
        <f t="shared" si="181"/>
        <v/>
      </c>
      <c r="L1953" s="46" t="str">
        <f t="shared" si="185"/>
        <v/>
      </c>
      <c r="M1953" t="str" cm="1">
        <f t="array" ref="M1953">IF(L1953="","",_xlfn.IFS(
  AND(L1953&gt;=TIME(9,0,0), L1953&lt;TIME(16,0,0)),"Morning",
  AND(L1953&gt;=TIME(16,0,0), L1953&lt;TIME(23,59,0)),"Evening",
  L1953&gt;=TIME(23,59,0),"Night",
  L1953&lt;TIME(9,0,0),"Night"
))</f>
        <v/>
      </c>
      <c r="O1953" t="str">
        <f t="shared" si="182"/>
        <v/>
      </c>
    </row>
    <row r="1954" spans="7:15" x14ac:dyDescent="0.25">
      <c r="G1954" t="str">
        <f t="shared" si="180"/>
        <v/>
      </c>
      <c r="H1954" s="13" t="str">
        <f t="shared" si="183"/>
        <v/>
      </c>
      <c r="I1954" t="str">
        <f>IFERROR(INDEX(Analysis!$D$116:$N$137, MATCH(B1954, Analysis!$C$116:$C$137, 0), MATCH(C1954, Analysis!$D$115:$N$115, 0)), "")</f>
        <v/>
      </c>
      <c r="J1954" t="str">
        <f t="shared" si="184"/>
        <v/>
      </c>
      <c r="K1954" s="28" t="str">
        <f t="shared" si="181"/>
        <v/>
      </c>
      <c r="L1954" s="46" t="str">
        <f t="shared" si="185"/>
        <v/>
      </c>
      <c r="M1954" t="str" cm="1">
        <f t="array" ref="M1954">IF(L1954="","",_xlfn.IFS(
  AND(L1954&gt;=TIME(9,0,0), L1954&lt;TIME(16,0,0)),"Morning",
  AND(L1954&gt;=TIME(16,0,0), L1954&lt;TIME(23,59,0)),"Evening",
  L1954&gt;=TIME(23,59,0),"Night",
  L1954&lt;TIME(9,0,0),"Night"
))</f>
        <v/>
      </c>
      <c r="O1954" t="str">
        <f t="shared" si="182"/>
        <v/>
      </c>
    </row>
    <row r="1955" spans="7:15" x14ac:dyDescent="0.25">
      <c r="G1955" t="str">
        <f t="shared" si="180"/>
        <v/>
      </c>
      <c r="H1955" s="13" t="str">
        <f t="shared" si="183"/>
        <v/>
      </c>
      <c r="I1955" t="str">
        <f>IFERROR(INDEX(Analysis!$D$116:$N$137, MATCH(B1955, Analysis!$C$116:$C$137, 0), MATCH(C1955, Analysis!$D$115:$N$115, 0)), "")</f>
        <v/>
      </c>
      <c r="J1955" t="str">
        <f t="shared" si="184"/>
        <v/>
      </c>
      <c r="K1955" s="28" t="str">
        <f t="shared" si="181"/>
        <v/>
      </c>
      <c r="L1955" s="46" t="str">
        <f t="shared" si="185"/>
        <v/>
      </c>
      <c r="M1955" t="str" cm="1">
        <f t="array" ref="M1955">IF(L1955="","",_xlfn.IFS(
  AND(L1955&gt;=TIME(9,0,0), L1955&lt;TIME(16,0,0)),"Morning",
  AND(L1955&gt;=TIME(16,0,0), L1955&lt;TIME(23,59,0)),"Evening",
  L1955&gt;=TIME(23,59,0),"Night",
  L1955&lt;TIME(9,0,0),"Night"
))</f>
        <v/>
      </c>
      <c r="O1955" t="str">
        <f t="shared" si="182"/>
        <v/>
      </c>
    </row>
    <row r="1956" spans="7:15" x14ac:dyDescent="0.25">
      <c r="G1956" t="str">
        <f t="shared" si="180"/>
        <v/>
      </c>
      <c r="H1956" s="13" t="str">
        <f t="shared" si="183"/>
        <v/>
      </c>
      <c r="I1956" t="str">
        <f>IFERROR(INDEX(Analysis!$D$116:$N$137, MATCH(B1956, Analysis!$C$116:$C$137, 0), MATCH(C1956, Analysis!$D$115:$N$115, 0)), "")</f>
        <v/>
      </c>
      <c r="J1956" t="str">
        <f t="shared" si="184"/>
        <v/>
      </c>
      <c r="K1956" s="28" t="str">
        <f t="shared" si="181"/>
        <v/>
      </c>
      <c r="L1956" s="46" t="str">
        <f t="shared" si="185"/>
        <v/>
      </c>
      <c r="M1956" t="str" cm="1">
        <f t="array" ref="M1956">IF(L1956="","",_xlfn.IFS(
  AND(L1956&gt;=TIME(9,0,0), L1956&lt;TIME(16,0,0)),"Morning",
  AND(L1956&gt;=TIME(16,0,0), L1956&lt;TIME(23,59,0)),"Evening",
  L1956&gt;=TIME(23,59,0),"Night",
  L1956&lt;TIME(9,0,0),"Night"
))</f>
        <v/>
      </c>
      <c r="O1956" t="str">
        <f t="shared" si="182"/>
        <v/>
      </c>
    </row>
    <row r="1957" spans="7:15" x14ac:dyDescent="0.25">
      <c r="G1957" t="str">
        <f t="shared" si="180"/>
        <v/>
      </c>
      <c r="H1957" s="13" t="str">
        <f t="shared" si="183"/>
        <v/>
      </c>
      <c r="I1957" t="str">
        <f>IFERROR(INDEX(Analysis!$D$116:$N$137, MATCH(B1957, Analysis!$C$116:$C$137, 0), MATCH(C1957, Analysis!$D$115:$N$115, 0)), "")</f>
        <v/>
      </c>
      <c r="J1957" t="str">
        <f t="shared" si="184"/>
        <v/>
      </c>
      <c r="K1957" s="28" t="str">
        <f t="shared" si="181"/>
        <v/>
      </c>
      <c r="L1957" s="46" t="str">
        <f t="shared" si="185"/>
        <v/>
      </c>
      <c r="M1957" t="str" cm="1">
        <f t="array" ref="M1957">IF(L1957="","",_xlfn.IFS(
  AND(L1957&gt;=TIME(9,0,0), L1957&lt;TIME(16,0,0)),"Morning",
  AND(L1957&gt;=TIME(16,0,0), L1957&lt;TIME(23,59,0)),"Evening",
  L1957&gt;=TIME(23,59,0),"Night",
  L1957&lt;TIME(9,0,0),"Night"
))</f>
        <v/>
      </c>
      <c r="O1957" t="str">
        <f t="shared" si="182"/>
        <v/>
      </c>
    </row>
    <row r="1958" spans="7:15" x14ac:dyDescent="0.25">
      <c r="G1958" t="str">
        <f t="shared" si="180"/>
        <v/>
      </c>
      <c r="H1958" s="13" t="str">
        <f t="shared" si="183"/>
        <v/>
      </c>
      <c r="I1958" t="str">
        <f>IFERROR(INDEX(Analysis!$D$116:$N$137, MATCH(B1958, Analysis!$C$116:$C$137, 0), MATCH(C1958, Analysis!$D$115:$N$115, 0)), "")</f>
        <v/>
      </c>
      <c r="J1958" t="str">
        <f t="shared" si="184"/>
        <v/>
      </c>
      <c r="K1958" s="28" t="str">
        <f t="shared" si="181"/>
        <v/>
      </c>
      <c r="L1958" s="46" t="str">
        <f t="shared" si="185"/>
        <v/>
      </c>
      <c r="M1958" t="str" cm="1">
        <f t="array" ref="M1958">IF(L1958="","",_xlfn.IFS(
  AND(L1958&gt;=TIME(9,0,0), L1958&lt;TIME(16,0,0)),"Morning",
  AND(L1958&gt;=TIME(16,0,0), L1958&lt;TIME(23,59,0)),"Evening",
  L1958&gt;=TIME(23,59,0),"Night",
  L1958&lt;TIME(9,0,0),"Night"
))</f>
        <v/>
      </c>
      <c r="O1958" t="str">
        <f t="shared" si="182"/>
        <v/>
      </c>
    </row>
    <row r="1959" spans="7:15" x14ac:dyDescent="0.25">
      <c r="G1959" t="str">
        <f t="shared" si="180"/>
        <v/>
      </c>
      <c r="H1959" s="13" t="str">
        <f t="shared" si="183"/>
        <v/>
      </c>
      <c r="I1959" t="str">
        <f>IFERROR(INDEX(Analysis!$D$116:$N$137, MATCH(B1959, Analysis!$C$116:$C$137, 0), MATCH(C1959, Analysis!$D$115:$N$115, 0)), "")</f>
        <v/>
      </c>
      <c r="J1959" t="str">
        <f t="shared" si="184"/>
        <v/>
      </c>
      <c r="K1959" s="28" t="str">
        <f t="shared" si="181"/>
        <v/>
      </c>
      <c r="L1959" s="46" t="str">
        <f t="shared" si="185"/>
        <v/>
      </c>
      <c r="M1959" t="str" cm="1">
        <f t="array" ref="M1959">IF(L1959="","",_xlfn.IFS(
  AND(L1959&gt;=TIME(9,0,0), L1959&lt;TIME(16,0,0)),"Morning",
  AND(L1959&gt;=TIME(16,0,0), L1959&lt;TIME(23,59,0)),"Evening",
  L1959&gt;=TIME(23,59,0),"Night",
  L1959&lt;TIME(9,0,0),"Night"
))</f>
        <v/>
      </c>
      <c r="O1959" t="str">
        <f t="shared" si="182"/>
        <v/>
      </c>
    </row>
    <row r="1960" spans="7:15" x14ac:dyDescent="0.25">
      <c r="G1960" t="str">
        <f t="shared" si="180"/>
        <v/>
      </c>
      <c r="H1960" s="13" t="str">
        <f t="shared" si="183"/>
        <v/>
      </c>
      <c r="I1960" t="str">
        <f>IFERROR(INDEX(Analysis!$D$116:$N$137, MATCH(B1960, Analysis!$C$116:$C$137, 0), MATCH(C1960, Analysis!$D$115:$N$115, 0)), "")</f>
        <v/>
      </c>
      <c r="J1960" t="str">
        <f t="shared" si="184"/>
        <v/>
      </c>
      <c r="K1960" s="28" t="str">
        <f t="shared" si="181"/>
        <v/>
      </c>
      <c r="L1960" s="46" t="str">
        <f t="shared" si="185"/>
        <v/>
      </c>
      <c r="M1960" t="str" cm="1">
        <f t="array" ref="M1960">IF(L1960="","",_xlfn.IFS(
  AND(L1960&gt;=TIME(9,0,0), L1960&lt;TIME(16,0,0)),"Morning",
  AND(L1960&gt;=TIME(16,0,0), L1960&lt;TIME(23,59,0)),"Evening",
  L1960&gt;=TIME(23,59,0),"Night",
  L1960&lt;TIME(9,0,0),"Night"
))</f>
        <v/>
      </c>
      <c r="O1960" t="str">
        <f t="shared" si="182"/>
        <v/>
      </c>
    </row>
    <row r="1961" spans="7:15" x14ac:dyDescent="0.25">
      <c r="G1961" t="str">
        <f t="shared" si="180"/>
        <v/>
      </c>
      <c r="H1961" s="13" t="str">
        <f t="shared" si="183"/>
        <v/>
      </c>
      <c r="I1961" t="str">
        <f>IFERROR(INDEX(Analysis!$D$116:$N$137, MATCH(B1961, Analysis!$C$116:$C$137, 0), MATCH(C1961, Analysis!$D$115:$N$115, 0)), "")</f>
        <v/>
      </c>
      <c r="J1961" t="str">
        <f t="shared" si="184"/>
        <v/>
      </c>
      <c r="K1961" s="28" t="str">
        <f t="shared" si="181"/>
        <v/>
      </c>
      <c r="L1961" s="46" t="str">
        <f t="shared" si="185"/>
        <v/>
      </c>
      <c r="M1961" t="str" cm="1">
        <f t="array" ref="M1961">IF(L1961="","",_xlfn.IFS(
  AND(L1961&gt;=TIME(9,0,0), L1961&lt;TIME(16,0,0)),"Morning",
  AND(L1961&gt;=TIME(16,0,0), L1961&lt;TIME(23,59,0)),"Evening",
  L1961&gt;=TIME(23,59,0),"Night",
  L1961&lt;TIME(9,0,0),"Night"
))</f>
        <v/>
      </c>
      <c r="O1961" t="str">
        <f t="shared" si="182"/>
        <v/>
      </c>
    </row>
    <row r="1962" spans="7:15" x14ac:dyDescent="0.25">
      <c r="G1962" t="str">
        <f t="shared" si="180"/>
        <v/>
      </c>
      <c r="H1962" s="13" t="str">
        <f t="shared" si="183"/>
        <v/>
      </c>
      <c r="I1962" t="str">
        <f>IFERROR(INDEX(Analysis!$D$116:$N$137, MATCH(B1962, Analysis!$C$116:$C$137, 0), MATCH(C1962, Analysis!$D$115:$N$115, 0)), "")</f>
        <v/>
      </c>
      <c r="J1962" t="str">
        <f t="shared" si="184"/>
        <v/>
      </c>
      <c r="K1962" s="28" t="str">
        <f t="shared" si="181"/>
        <v/>
      </c>
      <c r="L1962" s="46" t="str">
        <f t="shared" si="185"/>
        <v/>
      </c>
      <c r="M1962" t="str" cm="1">
        <f t="array" ref="M1962">IF(L1962="","",_xlfn.IFS(
  AND(L1962&gt;=TIME(9,0,0), L1962&lt;TIME(16,0,0)),"Morning",
  AND(L1962&gt;=TIME(16,0,0), L1962&lt;TIME(23,59,0)),"Evening",
  L1962&gt;=TIME(23,59,0),"Night",
  L1962&lt;TIME(9,0,0),"Night"
))</f>
        <v/>
      </c>
      <c r="O1962" t="str">
        <f t="shared" si="182"/>
        <v/>
      </c>
    </row>
    <row r="1963" spans="7:15" x14ac:dyDescent="0.25">
      <c r="G1963" t="str">
        <f t="shared" si="180"/>
        <v/>
      </c>
      <c r="H1963" s="13" t="str">
        <f t="shared" si="183"/>
        <v/>
      </c>
      <c r="I1963" t="str">
        <f>IFERROR(INDEX(Analysis!$D$116:$N$137, MATCH(B1963, Analysis!$C$116:$C$137, 0), MATCH(C1963, Analysis!$D$115:$N$115, 0)), "")</f>
        <v/>
      </c>
      <c r="J1963" t="str">
        <f t="shared" si="184"/>
        <v/>
      </c>
      <c r="K1963" s="28" t="str">
        <f t="shared" si="181"/>
        <v/>
      </c>
      <c r="L1963" s="46" t="str">
        <f t="shared" si="185"/>
        <v/>
      </c>
      <c r="M1963" t="str" cm="1">
        <f t="array" ref="M1963">IF(L1963="","",_xlfn.IFS(
  AND(L1963&gt;=TIME(9,0,0), L1963&lt;TIME(16,0,0)),"Morning",
  AND(L1963&gt;=TIME(16,0,0), L1963&lt;TIME(23,59,0)),"Evening",
  L1963&gt;=TIME(23,59,0),"Night",
  L1963&lt;TIME(9,0,0),"Night"
))</f>
        <v/>
      </c>
      <c r="O1963" t="str">
        <f t="shared" si="182"/>
        <v/>
      </c>
    </row>
    <row r="1964" spans="7:15" x14ac:dyDescent="0.25">
      <c r="G1964" t="str">
        <f t="shared" si="180"/>
        <v/>
      </c>
      <c r="H1964" s="13" t="str">
        <f t="shared" si="183"/>
        <v/>
      </c>
      <c r="I1964" t="str">
        <f>IFERROR(INDEX(Analysis!$D$116:$N$137, MATCH(B1964, Analysis!$C$116:$C$137, 0), MATCH(C1964, Analysis!$D$115:$N$115, 0)), "")</f>
        <v/>
      </c>
      <c r="J1964" t="str">
        <f t="shared" si="184"/>
        <v/>
      </c>
      <c r="K1964" s="28" t="str">
        <f t="shared" si="181"/>
        <v/>
      </c>
      <c r="L1964" s="46" t="str">
        <f t="shared" si="185"/>
        <v/>
      </c>
      <c r="M1964" t="str" cm="1">
        <f t="array" ref="M1964">IF(L1964="","",_xlfn.IFS(
  AND(L1964&gt;=TIME(9,0,0), L1964&lt;TIME(16,0,0)),"Morning",
  AND(L1964&gt;=TIME(16,0,0), L1964&lt;TIME(23,59,0)),"Evening",
  L1964&gt;=TIME(23,59,0),"Night",
  L1964&lt;TIME(9,0,0),"Night"
))</f>
        <v/>
      </c>
      <c r="O1964" t="str">
        <f t="shared" si="182"/>
        <v/>
      </c>
    </row>
    <row r="1965" spans="7:15" x14ac:dyDescent="0.25">
      <c r="G1965" t="str">
        <f t="shared" si="180"/>
        <v/>
      </c>
      <c r="H1965" s="13" t="str">
        <f t="shared" si="183"/>
        <v/>
      </c>
      <c r="I1965" t="str">
        <f>IFERROR(INDEX(Analysis!$D$116:$N$137, MATCH(B1965, Analysis!$C$116:$C$137, 0), MATCH(C1965, Analysis!$D$115:$N$115, 0)), "")</f>
        <v/>
      </c>
      <c r="J1965" t="str">
        <f t="shared" si="184"/>
        <v/>
      </c>
      <c r="K1965" s="28" t="str">
        <f t="shared" si="181"/>
        <v/>
      </c>
      <c r="L1965" s="46" t="str">
        <f t="shared" si="185"/>
        <v/>
      </c>
      <c r="M1965" t="str" cm="1">
        <f t="array" ref="M1965">IF(L1965="","",_xlfn.IFS(
  AND(L1965&gt;=TIME(9,0,0), L1965&lt;TIME(16,0,0)),"Morning",
  AND(L1965&gt;=TIME(16,0,0), L1965&lt;TIME(23,59,0)),"Evening",
  L1965&gt;=TIME(23,59,0),"Night",
  L1965&lt;TIME(9,0,0),"Night"
))</f>
        <v/>
      </c>
      <c r="O1965" t="str">
        <f t="shared" si="182"/>
        <v/>
      </c>
    </row>
    <row r="1966" spans="7:15" x14ac:dyDescent="0.25">
      <c r="G1966" t="str">
        <f t="shared" si="180"/>
        <v/>
      </c>
      <c r="H1966" s="13" t="str">
        <f t="shared" si="183"/>
        <v/>
      </c>
      <c r="I1966" t="str">
        <f>IFERROR(INDEX(Analysis!$D$116:$N$137, MATCH(B1966, Analysis!$C$116:$C$137, 0), MATCH(C1966, Analysis!$D$115:$N$115, 0)), "")</f>
        <v/>
      </c>
      <c r="J1966" t="str">
        <f t="shared" si="184"/>
        <v/>
      </c>
      <c r="K1966" s="28" t="str">
        <f t="shared" si="181"/>
        <v/>
      </c>
      <c r="L1966" s="46" t="str">
        <f t="shared" si="185"/>
        <v/>
      </c>
      <c r="M1966" t="str" cm="1">
        <f t="array" ref="M1966">IF(L1966="","",_xlfn.IFS(
  AND(L1966&gt;=TIME(9,0,0), L1966&lt;TIME(16,0,0)),"Morning",
  AND(L1966&gt;=TIME(16,0,0), L1966&lt;TIME(23,59,0)),"Evening",
  L1966&gt;=TIME(23,59,0),"Night",
  L1966&lt;TIME(9,0,0),"Night"
))</f>
        <v/>
      </c>
      <c r="O1966" t="str">
        <f t="shared" si="182"/>
        <v/>
      </c>
    </row>
    <row r="1967" spans="7:15" x14ac:dyDescent="0.25">
      <c r="G1967" t="str">
        <f t="shared" si="180"/>
        <v/>
      </c>
      <c r="H1967" s="13" t="str">
        <f t="shared" si="183"/>
        <v/>
      </c>
      <c r="I1967" t="str">
        <f>IFERROR(INDEX(Analysis!$D$116:$N$137, MATCH(B1967, Analysis!$C$116:$C$137, 0), MATCH(C1967, Analysis!$D$115:$N$115, 0)), "")</f>
        <v/>
      </c>
      <c r="J1967" t="str">
        <f t="shared" si="184"/>
        <v/>
      </c>
      <c r="K1967" s="28" t="str">
        <f t="shared" si="181"/>
        <v/>
      </c>
      <c r="L1967" s="46" t="str">
        <f t="shared" si="185"/>
        <v/>
      </c>
      <c r="M1967" t="str" cm="1">
        <f t="array" ref="M1967">IF(L1967="","",_xlfn.IFS(
  AND(L1967&gt;=TIME(9,0,0), L1967&lt;TIME(16,0,0)),"Morning",
  AND(L1967&gt;=TIME(16,0,0), L1967&lt;TIME(23,59,0)),"Evening",
  L1967&gt;=TIME(23,59,0),"Night",
  L1967&lt;TIME(9,0,0),"Night"
))</f>
        <v/>
      </c>
      <c r="O1967" t="str">
        <f t="shared" si="182"/>
        <v/>
      </c>
    </row>
    <row r="1968" spans="7:15" x14ac:dyDescent="0.25">
      <c r="G1968" t="str">
        <f t="shared" si="180"/>
        <v/>
      </c>
      <c r="H1968" s="13" t="str">
        <f t="shared" si="183"/>
        <v/>
      </c>
      <c r="I1968" t="str">
        <f>IFERROR(INDEX(Analysis!$D$116:$N$137, MATCH(B1968, Analysis!$C$116:$C$137, 0), MATCH(C1968, Analysis!$D$115:$N$115, 0)), "")</f>
        <v/>
      </c>
      <c r="J1968" t="str">
        <f t="shared" si="184"/>
        <v/>
      </c>
      <c r="K1968" s="28" t="str">
        <f t="shared" si="181"/>
        <v/>
      </c>
      <c r="L1968" s="46" t="str">
        <f t="shared" si="185"/>
        <v/>
      </c>
      <c r="M1968" t="str" cm="1">
        <f t="array" ref="M1968">IF(L1968="","",_xlfn.IFS(
  AND(L1968&gt;=TIME(9,0,0), L1968&lt;TIME(16,0,0)),"Morning",
  AND(L1968&gt;=TIME(16,0,0), L1968&lt;TIME(23,59,0)),"Evening",
  L1968&gt;=TIME(23,59,0),"Night",
  L1968&lt;TIME(9,0,0),"Night"
))</f>
        <v/>
      </c>
      <c r="O1968" t="str">
        <f t="shared" si="182"/>
        <v/>
      </c>
    </row>
    <row r="1969" spans="7:15" x14ac:dyDescent="0.25">
      <c r="G1969" t="str">
        <f t="shared" si="180"/>
        <v/>
      </c>
      <c r="H1969" s="13" t="str">
        <f t="shared" si="183"/>
        <v/>
      </c>
      <c r="I1969" t="str">
        <f>IFERROR(INDEX(Analysis!$D$116:$N$137, MATCH(B1969, Analysis!$C$116:$C$137, 0), MATCH(C1969, Analysis!$D$115:$N$115, 0)), "")</f>
        <v/>
      </c>
      <c r="J1969" t="str">
        <f t="shared" si="184"/>
        <v/>
      </c>
      <c r="K1969" s="28" t="str">
        <f t="shared" si="181"/>
        <v/>
      </c>
      <c r="L1969" s="46" t="str">
        <f t="shared" si="185"/>
        <v/>
      </c>
      <c r="M1969" t="str" cm="1">
        <f t="array" ref="M1969">IF(L1969="","",_xlfn.IFS(
  AND(L1969&gt;=TIME(9,0,0), L1969&lt;TIME(16,0,0)),"Morning",
  AND(L1969&gt;=TIME(16,0,0), L1969&lt;TIME(23,59,0)),"Evening",
  L1969&gt;=TIME(23,59,0),"Night",
  L1969&lt;TIME(9,0,0),"Night"
))</f>
        <v/>
      </c>
      <c r="O1969" t="str">
        <f t="shared" si="182"/>
        <v/>
      </c>
    </row>
    <row r="1970" spans="7:15" x14ac:dyDescent="0.25">
      <c r="G1970" t="str">
        <f t="shared" si="180"/>
        <v/>
      </c>
      <c r="H1970" s="13" t="str">
        <f t="shared" si="183"/>
        <v/>
      </c>
      <c r="I1970" t="str">
        <f>IFERROR(INDEX(Analysis!$D$116:$N$137, MATCH(B1970, Analysis!$C$116:$C$137, 0), MATCH(C1970, Analysis!$D$115:$N$115, 0)), "")</f>
        <v/>
      </c>
      <c r="J1970" t="str">
        <f t="shared" si="184"/>
        <v/>
      </c>
      <c r="K1970" s="28" t="str">
        <f t="shared" si="181"/>
        <v/>
      </c>
      <c r="L1970" s="46" t="str">
        <f t="shared" si="185"/>
        <v/>
      </c>
      <c r="M1970" t="str" cm="1">
        <f t="array" ref="M1970">IF(L1970="","",_xlfn.IFS(
  AND(L1970&gt;=TIME(9,0,0), L1970&lt;TIME(16,0,0)),"Morning",
  AND(L1970&gt;=TIME(16,0,0), L1970&lt;TIME(23,59,0)),"Evening",
  L1970&gt;=TIME(23,59,0),"Night",
  L1970&lt;TIME(9,0,0),"Night"
))</f>
        <v/>
      </c>
      <c r="O1970" t="str">
        <f t="shared" si="182"/>
        <v/>
      </c>
    </row>
    <row r="1971" spans="7:15" x14ac:dyDescent="0.25">
      <c r="G1971" t="str">
        <f t="shared" si="180"/>
        <v/>
      </c>
      <c r="H1971" s="13" t="str">
        <f t="shared" si="183"/>
        <v/>
      </c>
      <c r="I1971" t="str">
        <f>IFERROR(INDEX(Analysis!$D$116:$N$137, MATCH(B1971, Analysis!$C$116:$C$137, 0), MATCH(C1971, Analysis!$D$115:$N$115, 0)), "")</f>
        <v/>
      </c>
      <c r="J1971" t="str">
        <f t="shared" si="184"/>
        <v/>
      </c>
      <c r="K1971" s="28" t="str">
        <f t="shared" si="181"/>
        <v/>
      </c>
      <c r="L1971" s="46" t="str">
        <f t="shared" si="185"/>
        <v/>
      </c>
      <c r="M1971" t="str" cm="1">
        <f t="array" ref="M1971">IF(L1971="","",_xlfn.IFS(
  AND(L1971&gt;=TIME(9,0,0), L1971&lt;TIME(16,0,0)),"Morning",
  AND(L1971&gt;=TIME(16,0,0), L1971&lt;TIME(23,59,0)),"Evening",
  L1971&gt;=TIME(23,59,0),"Night",
  L1971&lt;TIME(9,0,0),"Night"
))</f>
        <v/>
      </c>
      <c r="O1971" t="str">
        <f t="shared" si="182"/>
        <v/>
      </c>
    </row>
    <row r="1972" spans="7:15" x14ac:dyDescent="0.25">
      <c r="G1972" t="str">
        <f t="shared" si="180"/>
        <v/>
      </c>
      <c r="H1972" s="13" t="str">
        <f t="shared" si="183"/>
        <v/>
      </c>
      <c r="I1972" t="str">
        <f>IFERROR(INDEX(Analysis!$D$116:$N$137, MATCH(B1972, Analysis!$C$116:$C$137, 0), MATCH(C1972, Analysis!$D$115:$N$115, 0)), "")</f>
        <v/>
      </c>
      <c r="J1972" t="str">
        <f t="shared" si="184"/>
        <v/>
      </c>
      <c r="K1972" s="28" t="str">
        <f t="shared" si="181"/>
        <v/>
      </c>
      <c r="L1972" s="46" t="str">
        <f t="shared" si="185"/>
        <v/>
      </c>
      <c r="M1972" t="str" cm="1">
        <f t="array" ref="M1972">IF(L1972="","",_xlfn.IFS(
  AND(L1972&gt;=TIME(9,0,0), L1972&lt;TIME(16,0,0)),"Morning",
  AND(L1972&gt;=TIME(16,0,0), L1972&lt;TIME(23,59,0)),"Evening",
  L1972&gt;=TIME(23,59,0),"Night",
  L1972&lt;TIME(9,0,0),"Night"
))</f>
        <v/>
      </c>
      <c r="O1972" t="str">
        <f t="shared" si="182"/>
        <v/>
      </c>
    </row>
    <row r="1973" spans="7:15" x14ac:dyDescent="0.25">
      <c r="G1973" t="str">
        <f t="shared" si="180"/>
        <v/>
      </c>
      <c r="H1973" s="13" t="str">
        <f t="shared" si="183"/>
        <v/>
      </c>
      <c r="I1973" t="str">
        <f>IFERROR(INDEX(Analysis!$D$116:$N$137, MATCH(B1973, Analysis!$C$116:$C$137, 0), MATCH(C1973, Analysis!$D$115:$N$115, 0)), "")</f>
        <v/>
      </c>
      <c r="J1973" t="str">
        <f t="shared" si="184"/>
        <v/>
      </c>
      <c r="K1973" s="28" t="str">
        <f t="shared" si="181"/>
        <v/>
      </c>
      <c r="L1973" s="46" t="str">
        <f t="shared" si="185"/>
        <v/>
      </c>
      <c r="M1973" t="str" cm="1">
        <f t="array" ref="M1973">IF(L1973="","",_xlfn.IFS(
  AND(L1973&gt;=TIME(9,0,0), L1973&lt;TIME(16,0,0)),"Morning",
  AND(L1973&gt;=TIME(16,0,0), L1973&lt;TIME(23,59,0)),"Evening",
  L1973&gt;=TIME(23,59,0),"Night",
  L1973&lt;TIME(9,0,0),"Night"
))</f>
        <v/>
      </c>
      <c r="O1973" t="str">
        <f t="shared" si="182"/>
        <v/>
      </c>
    </row>
    <row r="1974" spans="7:15" x14ac:dyDescent="0.25">
      <c r="G1974" t="str">
        <f t="shared" si="180"/>
        <v/>
      </c>
      <c r="H1974" s="13" t="str">
        <f t="shared" si="183"/>
        <v/>
      </c>
      <c r="I1974" t="str">
        <f>IFERROR(INDEX(Analysis!$D$116:$N$137, MATCH(B1974, Analysis!$C$116:$C$137, 0), MATCH(C1974, Analysis!$D$115:$N$115, 0)), "")</f>
        <v/>
      </c>
      <c r="J1974" t="str">
        <f t="shared" si="184"/>
        <v/>
      </c>
      <c r="K1974" s="28" t="str">
        <f t="shared" si="181"/>
        <v/>
      </c>
      <c r="L1974" s="46" t="str">
        <f t="shared" si="185"/>
        <v/>
      </c>
      <c r="M1974" t="str" cm="1">
        <f t="array" ref="M1974">IF(L1974="","",_xlfn.IFS(
  AND(L1974&gt;=TIME(9,0,0), L1974&lt;TIME(16,0,0)),"Morning",
  AND(L1974&gt;=TIME(16,0,0), L1974&lt;TIME(23,59,0)),"Evening",
  L1974&gt;=TIME(23,59,0),"Night",
  L1974&lt;TIME(9,0,0),"Night"
))</f>
        <v/>
      </c>
      <c r="O1974" t="str">
        <f t="shared" si="182"/>
        <v/>
      </c>
    </row>
    <row r="1975" spans="7:15" x14ac:dyDescent="0.25">
      <c r="G1975" t="str">
        <f t="shared" si="180"/>
        <v/>
      </c>
      <c r="H1975" s="13" t="str">
        <f t="shared" si="183"/>
        <v/>
      </c>
      <c r="I1975" t="str">
        <f>IFERROR(INDEX(Analysis!$D$116:$N$137, MATCH(B1975, Analysis!$C$116:$C$137, 0), MATCH(C1975, Analysis!$D$115:$N$115, 0)), "")</f>
        <v/>
      </c>
      <c r="J1975" t="str">
        <f t="shared" si="184"/>
        <v/>
      </c>
      <c r="K1975" s="28" t="str">
        <f t="shared" si="181"/>
        <v/>
      </c>
      <c r="L1975" s="46" t="str">
        <f t="shared" si="185"/>
        <v/>
      </c>
      <c r="M1975" t="str" cm="1">
        <f t="array" ref="M1975">IF(L1975="","",_xlfn.IFS(
  AND(L1975&gt;=TIME(9,0,0), L1975&lt;TIME(16,0,0)),"Morning",
  AND(L1975&gt;=TIME(16,0,0), L1975&lt;TIME(23,59,0)),"Evening",
  L1975&gt;=TIME(23,59,0),"Night",
  L1975&lt;TIME(9,0,0),"Night"
))</f>
        <v/>
      </c>
      <c r="O1975" t="str">
        <f t="shared" si="182"/>
        <v/>
      </c>
    </row>
    <row r="1976" spans="7:15" x14ac:dyDescent="0.25">
      <c r="G1976" t="str">
        <f t="shared" si="180"/>
        <v/>
      </c>
      <c r="H1976" s="13" t="str">
        <f t="shared" si="183"/>
        <v/>
      </c>
      <c r="I1976" t="str">
        <f>IFERROR(INDEX(Analysis!$D$116:$N$137, MATCH(B1976, Analysis!$C$116:$C$137, 0), MATCH(C1976, Analysis!$D$115:$N$115, 0)), "")</f>
        <v/>
      </c>
      <c r="J1976" t="str">
        <f t="shared" si="184"/>
        <v/>
      </c>
      <c r="K1976" s="28" t="str">
        <f t="shared" si="181"/>
        <v/>
      </c>
      <c r="L1976" s="46" t="str">
        <f t="shared" si="185"/>
        <v/>
      </c>
      <c r="M1976" t="str" cm="1">
        <f t="array" ref="M1976">IF(L1976="","",_xlfn.IFS(
  AND(L1976&gt;=TIME(9,0,0), L1976&lt;TIME(16,0,0)),"Morning",
  AND(L1976&gt;=TIME(16,0,0), L1976&lt;TIME(23,59,0)),"Evening",
  L1976&gt;=TIME(23,59,0),"Night",
  L1976&lt;TIME(9,0,0),"Night"
))</f>
        <v/>
      </c>
      <c r="O1976" t="str">
        <f t="shared" si="182"/>
        <v/>
      </c>
    </row>
    <row r="1977" spans="7:15" x14ac:dyDescent="0.25">
      <c r="G1977" t="str">
        <f t="shared" si="180"/>
        <v/>
      </c>
      <c r="H1977" s="13" t="str">
        <f t="shared" si="183"/>
        <v/>
      </c>
      <c r="I1977" t="str">
        <f>IFERROR(INDEX(Analysis!$D$116:$N$137, MATCH(B1977, Analysis!$C$116:$C$137, 0), MATCH(C1977, Analysis!$D$115:$N$115, 0)), "")</f>
        <v/>
      </c>
      <c r="J1977" t="str">
        <f t="shared" si="184"/>
        <v/>
      </c>
      <c r="K1977" s="28" t="str">
        <f t="shared" si="181"/>
        <v/>
      </c>
      <c r="L1977" s="46" t="str">
        <f t="shared" si="185"/>
        <v/>
      </c>
      <c r="M1977" t="str" cm="1">
        <f t="array" ref="M1977">IF(L1977="","",_xlfn.IFS(
  AND(L1977&gt;=TIME(9,0,0), L1977&lt;TIME(16,0,0)),"Morning",
  AND(L1977&gt;=TIME(16,0,0), L1977&lt;TIME(23,59,0)),"Evening",
  L1977&gt;=TIME(23,59,0),"Night",
  L1977&lt;TIME(9,0,0),"Night"
))</f>
        <v/>
      </c>
      <c r="O1977" t="str">
        <f t="shared" si="182"/>
        <v/>
      </c>
    </row>
    <row r="1978" spans="7:15" x14ac:dyDescent="0.25">
      <c r="G1978" t="str">
        <f t="shared" si="180"/>
        <v/>
      </c>
      <c r="H1978" s="13" t="str">
        <f t="shared" si="183"/>
        <v/>
      </c>
      <c r="I1978" t="str">
        <f>IFERROR(INDEX(Analysis!$D$116:$N$137, MATCH(B1978, Analysis!$C$116:$C$137, 0), MATCH(C1978, Analysis!$D$115:$N$115, 0)), "")</f>
        <v/>
      </c>
      <c r="J1978" t="str">
        <f t="shared" si="184"/>
        <v/>
      </c>
      <c r="K1978" s="28" t="str">
        <f t="shared" si="181"/>
        <v/>
      </c>
      <c r="L1978" s="46" t="str">
        <f t="shared" si="185"/>
        <v/>
      </c>
      <c r="M1978" t="str" cm="1">
        <f t="array" ref="M1978">IF(L1978="","",_xlfn.IFS(
  AND(L1978&gt;=TIME(9,0,0), L1978&lt;TIME(16,0,0)),"Morning",
  AND(L1978&gt;=TIME(16,0,0), L1978&lt;TIME(23,59,0)),"Evening",
  L1978&gt;=TIME(23,59,0),"Night",
  L1978&lt;TIME(9,0,0),"Night"
))</f>
        <v/>
      </c>
      <c r="O1978" t="str">
        <f t="shared" si="182"/>
        <v/>
      </c>
    </row>
    <row r="1979" spans="7:15" x14ac:dyDescent="0.25">
      <c r="G1979" t="str">
        <f t="shared" si="180"/>
        <v/>
      </c>
      <c r="H1979" s="13" t="str">
        <f t="shared" si="183"/>
        <v/>
      </c>
      <c r="I1979" t="str">
        <f>IFERROR(INDEX(Analysis!$D$116:$N$137, MATCH(B1979, Analysis!$C$116:$C$137, 0), MATCH(C1979, Analysis!$D$115:$N$115, 0)), "")</f>
        <v/>
      </c>
      <c r="J1979" t="str">
        <f t="shared" si="184"/>
        <v/>
      </c>
      <c r="K1979" s="28" t="str">
        <f t="shared" si="181"/>
        <v/>
      </c>
      <c r="L1979" s="46" t="str">
        <f t="shared" si="185"/>
        <v/>
      </c>
      <c r="M1979" t="str" cm="1">
        <f t="array" ref="M1979">IF(L1979="","",_xlfn.IFS(
  AND(L1979&gt;=TIME(9,0,0), L1979&lt;TIME(16,0,0)),"Morning",
  AND(L1979&gt;=TIME(16,0,0), L1979&lt;TIME(23,59,0)),"Evening",
  L1979&gt;=TIME(23,59,0),"Night",
  L1979&lt;TIME(9,0,0),"Night"
))</f>
        <v/>
      </c>
      <c r="O1979" t="str">
        <f t="shared" si="182"/>
        <v/>
      </c>
    </row>
    <row r="1980" spans="7:15" x14ac:dyDescent="0.25">
      <c r="G1980" t="str">
        <f t="shared" si="180"/>
        <v/>
      </c>
      <c r="H1980" s="13" t="str">
        <f t="shared" si="183"/>
        <v/>
      </c>
      <c r="I1980" t="str">
        <f>IFERROR(INDEX(Analysis!$D$116:$N$137, MATCH(B1980, Analysis!$C$116:$C$137, 0), MATCH(C1980, Analysis!$D$115:$N$115, 0)), "")</f>
        <v/>
      </c>
      <c r="J1980" t="str">
        <f t="shared" si="184"/>
        <v/>
      </c>
      <c r="K1980" s="28" t="str">
        <f t="shared" si="181"/>
        <v/>
      </c>
      <c r="L1980" s="46" t="str">
        <f t="shared" si="185"/>
        <v/>
      </c>
      <c r="M1980" t="str" cm="1">
        <f t="array" ref="M1980">IF(L1980="","",_xlfn.IFS(
  AND(L1980&gt;=TIME(9,0,0), L1980&lt;TIME(16,0,0)),"Morning",
  AND(L1980&gt;=TIME(16,0,0), L1980&lt;TIME(23,59,0)),"Evening",
  L1980&gt;=TIME(23,59,0),"Night",
  L1980&lt;TIME(9,0,0),"Night"
))</f>
        <v/>
      </c>
      <c r="O1980" t="str">
        <f t="shared" si="182"/>
        <v/>
      </c>
    </row>
    <row r="1981" spans="7:15" x14ac:dyDescent="0.25">
      <c r="G1981" t="str">
        <f t="shared" si="180"/>
        <v/>
      </c>
      <c r="H1981" s="13" t="str">
        <f t="shared" si="183"/>
        <v/>
      </c>
      <c r="I1981" t="str">
        <f>IFERROR(INDEX(Analysis!$D$116:$N$137, MATCH(B1981, Analysis!$C$116:$C$137, 0), MATCH(C1981, Analysis!$D$115:$N$115, 0)), "")</f>
        <v/>
      </c>
      <c r="J1981" t="str">
        <f t="shared" si="184"/>
        <v/>
      </c>
      <c r="K1981" s="28" t="str">
        <f t="shared" si="181"/>
        <v/>
      </c>
      <c r="L1981" s="46" t="str">
        <f t="shared" si="185"/>
        <v/>
      </c>
      <c r="M1981" t="str" cm="1">
        <f t="array" ref="M1981">IF(L1981="","",_xlfn.IFS(
  AND(L1981&gt;=TIME(9,0,0), L1981&lt;TIME(16,0,0)),"Morning",
  AND(L1981&gt;=TIME(16,0,0), L1981&lt;TIME(23,59,0)),"Evening",
  L1981&gt;=TIME(23,59,0),"Night",
  L1981&lt;TIME(9,0,0),"Night"
))</f>
        <v/>
      </c>
      <c r="O1981" t="str">
        <f t="shared" si="182"/>
        <v/>
      </c>
    </row>
    <row r="1982" spans="7:15" x14ac:dyDescent="0.25">
      <c r="G1982" t="str">
        <f t="shared" si="180"/>
        <v/>
      </c>
      <c r="H1982" s="13" t="str">
        <f t="shared" si="183"/>
        <v/>
      </c>
      <c r="I1982" t="str">
        <f>IFERROR(INDEX(Analysis!$D$116:$N$137, MATCH(B1982, Analysis!$C$116:$C$137, 0), MATCH(C1982, Analysis!$D$115:$N$115, 0)), "")</f>
        <v/>
      </c>
      <c r="J1982" t="str">
        <f t="shared" si="184"/>
        <v/>
      </c>
      <c r="K1982" s="28" t="str">
        <f t="shared" si="181"/>
        <v/>
      </c>
      <c r="L1982" s="46" t="str">
        <f t="shared" si="185"/>
        <v/>
      </c>
      <c r="M1982" t="str" cm="1">
        <f t="array" ref="M1982">IF(L1982="","",_xlfn.IFS(
  AND(L1982&gt;=TIME(9,0,0), L1982&lt;TIME(16,0,0)),"Morning",
  AND(L1982&gt;=TIME(16,0,0), L1982&lt;TIME(23,59,0)),"Evening",
  L1982&gt;=TIME(23,59,0),"Night",
  L1982&lt;TIME(9,0,0),"Night"
))</f>
        <v/>
      </c>
      <c r="O1982" t="str">
        <f t="shared" si="182"/>
        <v/>
      </c>
    </row>
    <row r="1983" spans="7:15" x14ac:dyDescent="0.25">
      <c r="G1983" t="str">
        <f t="shared" si="180"/>
        <v/>
      </c>
      <c r="H1983" s="13" t="str">
        <f t="shared" si="183"/>
        <v/>
      </c>
      <c r="I1983" t="str">
        <f>IFERROR(INDEX(Analysis!$D$116:$N$137, MATCH(B1983, Analysis!$C$116:$C$137, 0), MATCH(C1983, Analysis!$D$115:$N$115, 0)), "")</f>
        <v/>
      </c>
      <c r="J1983" t="str">
        <f t="shared" si="184"/>
        <v/>
      </c>
      <c r="K1983" s="28" t="str">
        <f t="shared" si="181"/>
        <v/>
      </c>
      <c r="L1983" s="46" t="str">
        <f t="shared" si="185"/>
        <v/>
      </c>
      <c r="M1983" t="str" cm="1">
        <f t="array" ref="M1983">IF(L1983="","",_xlfn.IFS(
  AND(L1983&gt;=TIME(9,0,0), L1983&lt;TIME(16,0,0)),"Morning",
  AND(L1983&gt;=TIME(16,0,0), L1983&lt;TIME(23,59,0)),"Evening",
  L1983&gt;=TIME(23,59,0),"Night",
  L1983&lt;TIME(9,0,0),"Night"
))</f>
        <v/>
      </c>
      <c r="O1983" t="str">
        <f t="shared" si="182"/>
        <v/>
      </c>
    </row>
    <row r="1984" spans="7:15" x14ac:dyDescent="0.25">
      <c r="G1984" t="str">
        <f t="shared" si="180"/>
        <v/>
      </c>
      <c r="H1984" s="13" t="str">
        <f t="shared" si="183"/>
        <v/>
      </c>
      <c r="I1984" t="str">
        <f>IFERROR(INDEX(Analysis!$D$116:$N$137, MATCH(B1984, Analysis!$C$116:$C$137, 0), MATCH(C1984, Analysis!$D$115:$N$115, 0)), "")</f>
        <v/>
      </c>
      <c r="J1984" t="str">
        <f t="shared" si="184"/>
        <v/>
      </c>
      <c r="K1984" s="28" t="str">
        <f t="shared" si="181"/>
        <v/>
      </c>
      <c r="L1984" s="46" t="str">
        <f t="shared" si="185"/>
        <v/>
      </c>
      <c r="M1984" t="str" cm="1">
        <f t="array" ref="M1984">IF(L1984="","",_xlfn.IFS(
  AND(L1984&gt;=TIME(9,0,0), L1984&lt;TIME(16,0,0)),"Morning",
  AND(L1984&gt;=TIME(16,0,0), L1984&lt;TIME(23,59,0)),"Evening",
  L1984&gt;=TIME(23,59,0),"Night",
  L1984&lt;TIME(9,0,0),"Night"
))</f>
        <v/>
      </c>
      <c r="O1984" t="str">
        <f t="shared" si="182"/>
        <v/>
      </c>
    </row>
    <row r="1985" spans="7:15" x14ac:dyDescent="0.25">
      <c r="G1985" t="str">
        <f t="shared" si="180"/>
        <v/>
      </c>
      <c r="H1985" s="13" t="str">
        <f t="shared" si="183"/>
        <v/>
      </c>
      <c r="I1985" t="str">
        <f>IFERROR(INDEX(Analysis!$D$116:$N$137, MATCH(B1985, Analysis!$C$116:$C$137, 0), MATCH(C1985, Analysis!$D$115:$N$115, 0)), "")</f>
        <v/>
      </c>
      <c r="J1985" t="str">
        <f t="shared" si="184"/>
        <v/>
      </c>
      <c r="K1985" s="28" t="str">
        <f t="shared" si="181"/>
        <v/>
      </c>
      <c r="L1985" s="46" t="str">
        <f t="shared" si="185"/>
        <v/>
      </c>
      <c r="M1985" t="str" cm="1">
        <f t="array" ref="M1985">IF(L1985="","",_xlfn.IFS(
  AND(L1985&gt;=TIME(9,0,0), L1985&lt;TIME(16,0,0)),"Morning",
  AND(L1985&gt;=TIME(16,0,0), L1985&lt;TIME(23,59,0)),"Evening",
  L1985&gt;=TIME(23,59,0),"Night",
  L1985&lt;TIME(9,0,0),"Night"
))</f>
        <v/>
      </c>
      <c r="O1985" t="str">
        <f t="shared" si="182"/>
        <v/>
      </c>
    </row>
    <row r="1986" spans="7:15" x14ac:dyDescent="0.25">
      <c r="G1986" t="str">
        <f t="shared" ref="G1986:G2049" si="186">IF(ISBLANK(A1986), "", IF(ISBLANK(F1986), 0, F1986))</f>
        <v/>
      </c>
      <c r="H1986" s="13" t="str">
        <f t="shared" si="183"/>
        <v/>
      </c>
      <c r="I1986" t="str">
        <f>IFERROR(INDEX(Analysis!$D$116:$N$137, MATCH(B1986, Analysis!$C$116:$C$137, 0), MATCH(C1986, Analysis!$D$115:$N$115, 0)), "")</f>
        <v/>
      </c>
      <c r="J1986" t="str">
        <f t="shared" si="184"/>
        <v/>
      </c>
      <c r="K1986" s="28" t="str">
        <f t="shared" ref="K1986:K2049" si="187">IF(ISBLANK(A1986),"",DATE(YEAR(A1986),MONTH(A1986),DAY(A1986)))</f>
        <v/>
      </c>
      <c r="L1986" s="46" t="str">
        <f t="shared" si="185"/>
        <v/>
      </c>
      <c r="M1986" t="str" cm="1">
        <f t="array" ref="M1986">IF(L1986="","",_xlfn.IFS(
  AND(L1986&gt;=TIME(9,0,0), L1986&lt;TIME(16,0,0)),"Morning",
  AND(L1986&gt;=TIME(16,0,0), L1986&lt;TIME(23,59,0)),"Evening",
  L1986&gt;=TIME(23,59,0),"Night",
  L1986&lt;TIME(9,0,0),"Night"
))</f>
        <v/>
      </c>
      <c r="O1986" t="str">
        <f t="shared" ref="O1986:O2049" si="188">IF(N1986="ON", _xlfn.IMAGE(E1986, 1), "")</f>
        <v/>
      </c>
    </row>
    <row r="1987" spans="7:15" x14ac:dyDescent="0.25">
      <c r="G1987" t="str">
        <f t="shared" si="186"/>
        <v/>
      </c>
      <c r="H1987" s="13" t="str">
        <f t="shared" ref="H1987:H2050" si="189">IF(ISBLANK(E1987),"",HYPERLINK(E1987,"Click here"))</f>
        <v/>
      </c>
      <c r="I1987" t="str">
        <f>IFERROR(INDEX(Analysis!$D$116:$N$137, MATCH(B1987, Analysis!$C$116:$C$137, 0), MATCH(C1987, Analysis!$D$115:$N$115, 0)), "")</f>
        <v/>
      </c>
      <c r="J1987" t="str">
        <f t="shared" ref="J1987:J2050" si="190">IF(ISBLANK(A1987),"",WEEKNUM(A1987))</f>
        <v/>
      </c>
      <c r="K1987" s="28" t="str">
        <f t="shared" si="187"/>
        <v/>
      </c>
      <c r="L1987" s="46" t="str">
        <f t="shared" ref="L1987:L2050" si="191">IF(A1987="", "", A1987 - INT(A1987))</f>
        <v/>
      </c>
      <c r="M1987" t="str" cm="1">
        <f t="array" ref="M1987">IF(L1987="","",_xlfn.IFS(
  AND(L1987&gt;=TIME(9,0,0), L1987&lt;TIME(16,0,0)),"Morning",
  AND(L1987&gt;=TIME(16,0,0), L1987&lt;TIME(23,59,0)),"Evening",
  L1987&gt;=TIME(23,59,0),"Night",
  L1987&lt;TIME(9,0,0),"Night"
))</f>
        <v/>
      </c>
      <c r="O1987" t="str">
        <f t="shared" si="188"/>
        <v/>
      </c>
    </row>
    <row r="1988" spans="7:15" x14ac:dyDescent="0.25">
      <c r="G1988" t="str">
        <f t="shared" si="186"/>
        <v/>
      </c>
      <c r="H1988" s="13" t="str">
        <f t="shared" si="189"/>
        <v/>
      </c>
      <c r="I1988" t="str">
        <f>IFERROR(INDEX(Analysis!$D$116:$N$137, MATCH(B1988, Analysis!$C$116:$C$137, 0), MATCH(C1988, Analysis!$D$115:$N$115, 0)), "")</f>
        <v/>
      </c>
      <c r="J1988" t="str">
        <f t="shared" si="190"/>
        <v/>
      </c>
      <c r="K1988" s="28" t="str">
        <f t="shared" si="187"/>
        <v/>
      </c>
      <c r="L1988" s="46" t="str">
        <f t="shared" si="191"/>
        <v/>
      </c>
      <c r="M1988" t="str" cm="1">
        <f t="array" ref="M1988">IF(L1988="","",_xlfn.IFS(
  AND(L1988&gt;=TIME(9,0,0), L1988&lt;TIME(16,0,0)),"Morning",
  AND(L1988&gt;=TIME(16,0,0), L1988&lt;TIME(23,59,0)),"Evening",
  L1988&gt;=TIME(23,59,0),"Night",
  L1988&lt;TIME(9,0,0),"Night"
))</f>
        <v/>
      </c>
      <c r="O1988" t="str">
        <f t="shared" si="188"/>
        <v/>
      </c>
    </row>
    <row r="1989" spans="7:15" x14ac:dyDescent="0.25">
      <c r="G1989" t="str">
        <f t="shared" si="186"/>
        <v/>
      </c>
      <c r="H1989" s="13" t="str">
        <f t="shared" si="189"/>
        <v/>
      </c>
      <c r="I1989" t="str">
        <f>IFERROR(INDEX(Analysis!$D$116:$N$137, MATCH(B1989, Analysis!$C$116:$C$137, 0), MATCH(C1989, Analysis!$D$115:$N$115, 0)), "")</f>
        <v/>
      </c>
      <c r="J1989" t="str">
        <f t="shared" si="190"/>
        <v/>
      </c>
      <c r="K1989" s="28" t="str">
        <f t="shared" si="187"/>
        <v/>
      </c>
      <c r="L1989" s="46" t="str">
        <f t="shared" si="191"/>
        <v/>
      </c>
      <c r="M1989" t="str" cm="1">
        <f t="array" ref="M1989">IF(L1989="","",_xlfn.IFS(
  AND(L1989&gt;=TIME(9,0,0), L1989&lt;TIME(16,0,0)),"Morning",
  AND(L1989&gt;=TIME(16,0,0), L1989&lt;TIME(23,59,0)),"Evening",
  L1989&gt;=TIME(23,59,0),"Night",
  L1989&lt;TIME(9,0,0),"Night"
))</f>
        <v/>
      </c>
      <c r="O1989" t="str">
        <f t="shared" si="188"/>
        <v/>
      </c>
    </row>
    <row r="1990" spans="7:15" x14ac:dyDescent="0.25">
      <c r="G1990" t="str">
        <f t="shared" si="186"/>
        <v/>
      </c>
      <c r="H1990" s="13" t="str">
        <f t="shared" si="189"/>
        <v/>
      </c>
      <c r="I1990" t="str">
        <f>IFERROR(INDEX(Analysis!$D$116:$N$137, MATCH(B1990, Analysis!$C$116:$C$137, 0), MATCH(C1990, Analysis!$D$115:$N$115, 0)), "")</f>
        <v/>
      </c>
      <c r="J1990" t="str">
        <f t="shared" si="190"/>
        <v/>
      </c>
      <c r="K1990" s="28" t="str">
        <f t="shared" si="187"/>
        <v/>
      </c>
      <c r="L1990" s="46" t="str">
        <f t="shared" si="191"/>
        <v/>
      </c>
      <c r="M1990" t="str" cm="1">
        <f t="array" ref="M1990">IF(L1990="","",_xlfn.IFS(
  AND(L1990&gt;=TIME(9,0,0), L1990&lt;TIME(16,0,0)),"Morning",
  AND(L1990&gt;=TIME(16,0,0), L1990&lt;TIME(23,59,0)),"Evening",
  L1990&gt;=TIME(23,59,0),"Night",
  L1990&lt;TIME(9,0,0),"Night"
))</f>
        <v/>
      </c>
      <c r="O1990" t="str">
        <f t="shared" si="188"/>
        <v/>
      </c>
    </row>
    <row r="1991" spans="7:15" x14ac:dyDescent="0.25">
      <c r="G1991" t="str">
        <f t="shared" si="186"/>
        <v/>
      </c>
      <c r="H1991" s="13" t="str">
        <f t="shared" si="189"/>
        <v/>
      </c>
      <c r="I1991" t="str">
        <f>IFERROR(INDEX(Analysis!$D$116:$N$137, MATCH(B1991, Analysis!$C$116:$C$137, 0), MATCH(C1991, Analysis!$D$115:$N$115, 0)), "")</f>
        <v/>
      </c>
      <c r="J1991" t="str">
        <f t="shared" si="190"/>
        <v/>
      </c>
      <c r="K1991" s="28" t="str">
        <f t="shared" si="187"/>
        <v/>
      </c>
      <c r="L1991" s="46" t="str">
        <f t="shared" si="191"/>
        <v/>
      </c>
      <c r="M1991" t="str" cm="1">
        <f t="array" ref="M1991">IF(L1991="","",_xlfn.IFS(
  AND(L1991&gt;=TIME(9,0,0), L1991&lt;TIME(16,0,0)),"Morning",
  AND(L1991&gt;=TIME(16,0,0), L1991&lt;TIME(23,59,0)),"Evening",
  L1991&gt;=TIME(23,59,0),"Night",
  L1991&lt;TIME(9,0,0),"Night"
))</f>
        <v/>
      </c>
      <c r="O1991" t="str">
        <f t="shared" si="188"/>
        <v/>
      </c>
    </row>
    <row r="1992" spans="7:15" x14ac:dyDescent="0.25">
      <c r="G1992" t="str">
        <f t="shared" si="186"/>
        <v/>
      </c>
      <c r="H1992" s="13" t="str">
        <f t="shared" si="189"/>
        <v/>
      </c>
      <c r="I1992" t="str">
        <f>IFERROR(INDEX(Analysis!$D$116:$N$137, MATCH(B1992, Analysis!$C$116:$C$137, 0), MATCH(C1992, Analysis!$D$115:$N$115, 0)), "")</f>
        <v/>
      </c>
      <c r="J1992" t="str">
        <f t="shared" si="190"/>
        <v/>
      </c>
      <c r="K1992" s="28" t="str">
        <f t="shared" si="187"/>
        <v/>
      </c>
      <c r="L1992" s="46" t="str">
        <f t="shared" si="191"/>
        <v/>
      </c>
      <c r="M1992" t="str" cm="1">
        <f t="array" ref="M1992">IF(L1992="","",_xlfn.IFS(
  AND(L1992&gt;=TIME(9,0,0), L1992&lt;TIME(16,0,0)),"Morning",
  AND(L1992&gt;=TIME(16,0,0), L1992&lt;TIME(23,59,0)),"Evening",
  L1992&gt;=TIME(23,59,0),"Night",
  L1992&lt;TIME(9,0,0),"Night"
))</f>
        <v/>
      </c>
      <c r="O1992" t="str">
        <f t="shared" si="188"/>
        <v/>
      </c>
    </row>
    <row r="1993" spans="7:15" x14ac:dyDescent="0.25">
      <c r="G1993" t="str">
        <f t="shared" si="186"/>
        <v/>
      </c>
      <c r="H1993" s="13" t="str">
        <f t="shared" si="189"/>
        <v/>
      </c>
      <c r="I1993" t="str">
        <f>IFERROR(INDEX(Analysis!$D$116:$N$137, MATCH(B1993, Analysis!$C$116:$C$137, 0), MATCH(C1993, Analysis!$D$115:$N$115, 0)), "")</f>
        <v/>
      </c>
      <c r="J1993" t="str">
        <f t="shared" si="190"/>
        <v/>
      </c>
      <c r="K1993" s="28" t="str">
        <f t="shared" si="187"/>
        <v/>
      </c>
      <c r="L1993" s="46" t="str">
        <f t="shared" si="191"/>
        <v/>
      </c>
      <c r="M1993" t="str" cm="1">
        <f t="array" ref="M1993">IF(L1993="","",_xlfn.IFS(
  AND(L1993&gt;=TIME(9,0,0), L1993&lt;TIME(16,0,0)),"Morning",
  AND(L1993&gt;=TIME(16,0,0), L1993&lt;TIME(23,59,0)),"Evening",
  L1993&gt;=TIME(23,59,0),"Night",
  L1993&lt;TIME(9,0,0),"Night"
))</f>
        <v/>
      </c>
      <c r="O1993" t="str">
        <f t="shared" si="188"/>
        <v/>
      </c>
    </row>
    <row r="1994" spans="7:15" x14ac:dyDescent="0.25">
      <c r="G1994" t="str">
        <f t="shared" si="186"/>
        <v/>
      </c>
      <c r="H1994" s="13" t="str">
        <f t="shared" si="189"/>
        <v/>
      </c>
      <c r="I1994" t="str">
        <f>IFERROR(INDEX(Analysis!$D$116:$N$137, MATCH(B1994, Analysis!$C$116:$C$137, 0), MATCH(C1994, Analysis!$D$115:$N$115, 0)), "")</f>
        <v/>
      </c>
      <c r="J1994" t="str">
        <f t="shared" si="190"/>
        <v/>
      </c>
      <c r="K1994" s="28" t="str">
        <f t="shared" si="187"/>
        <v/>
      </c>
      <c r="L1994" s="46" t="str">
        <f t="shared" si="191"/>
        <v/>
      </c>
      <c r="M1994" t="str" cm="1">
        <f t="array" ref="M1994">IF(L1994="","",_xlfn.IFS(
  AND(L1994&gt;=TIME(9,0,0), L1994&lt;TIME(16,0,0)),"Morning",
  AND(L1994&gt;=TIME(16,0,0), L1994&lt;TIME(23,59,0)),"Evening",
  L1994&gt;=TIME(23,59,0),"Night",
  L1994&lt;TIME(9,0,0),"Night"
))</f>
        <v/>
      </c>
      <c r="O1994" t="str">
        <f t="shared" si="188"/>
        <v/>
      </c>
    </row>
    <row r="1995" spans="7:15" x14ac:dyDescent="0.25">
      <c r="G1995" t="str">
        <f t="shared" si="186"/>
        <v/>
      </c>
      <c r="H1995" s="13" t="str">
        <f t="shared" si="189"/>
        <v/>
      </c>
      <c r="I1995" t="str">
        <f>IFERROR(INDEX(Analysis!$D$116:$N$137, MATCH(B1995, Analysis!$C$116:$C$137, 0), MATCH(C1995, Analysis!$D$115:$N$115, 0)), "")</f>
        <v/>
      </c>
      <c r="J1995" t="str">
        <f t="shared" si="190"/>
        <v/>
      </c>
      <c r="K1995" s="28" t="str">
        <f t="shared" si="187"/>
        <v/>
      </c>
      <c r="L1995" s="46" t="str">
        <f t="shared" si="191"/>
        <v/>
      </c>
      <c r="M1995" t="str" cm="1">
        <f t="array" ref="M1995">IF(L1995="","",_xlfn.IFS(
  AND(L1995&gt;=TIME(9,0,0), L1995&lt;TIME(16,0,0)),"Morning",
  AND(L1995&gt;=TIME(16,0,0), L1995&lt;TIME(23,59,0)),"Evening",
  L1995&gt;=TIME(23,59,0),"Night",
  L1995&lt;TIME(9,0,0),"Night"
))</f>
        <v/>
      </c>
      <c r="O1995" t="str">
        <f t="shared" si="188"/>
        <v/>
      </c>
    </row>
    <row r="1996" spans="7:15" x14ac:dyDescent="0.25">
      <c r="G1996" t="str">
        <f t="shared" si="186"/>
        <v/>
      </c>
      <c r="H1996" s="13" t="str">
        <f t="shared" si="189"/>
        <v/>
      </c>
      <c r="I1996" t="str">
        <f>IFERROR(INDEX(Analysis!$D$116:$N$137, MATCH(B1996, Analysis!$C$116:$C$137, 0), MATCH(C1996, Analysis!$D$115:$N$115, 0)), "")</f>
        <v/>
      </c>
      <c r="J1996" t="str">
        <f t="shared" si="190"/>
        <v/>
      </c>
      <c r="K1996" s="28" t="str">
        <f t="shared" si="187"/>
        <v/>
      </c>
      <c r="L1996" s="46" t="str">
        <f t="shared" si="191"/>
        <v/>
      </c>
      <c r="M1996" t="str" cm="1">
        <f t="array" ref="M1996">IF(L1996="","",_xlfn.IFS(
  AND(L1996&gt;=TIME(9,0,0), L1996&lt;TIME(16,0,0)),"Morning",
  AND(L1996&gt;=TIME(16,0,0), L1996&lt;TIME(23,59,0)),"Evening",
  L1996&gt;=TIME(23,59,0),"Night",
  L1996&lt;TIME(9,0,0),"Night"
))</f>
        <v/>
      </c>
      <c r="O1996" t="str">
        <f t="shared" si="188"/>
        <v/>
      </c>
    </row>
    <row r="1997" spans="7:15" x14ac:dyDescent="0.25">
      <c r="G1997" t="str">
        <f t="shared" si="186"/>
        <v/>
      </c>
      <c r="H1997" s="13" t="str">
        <f t="shared" si="189"/>
        <v/>
      </c>
      <c r="I1997" t="str">
        <f>IFERROR(INDEX(Analysis!$D$116:$N$137, MATCH(B1997, Analysis!$C$116:$C$137, 0), MATCH(C1997, Analysis!$D$115:$N$115, 0)), "")</f>
        <v/>
      </c>
      <c r="J1997" t="str">
        <f t="shared" si="190"/>
        <v/>
      </c>
      <c r="K1997" s="28" t="str">
        <f t="shared" si="187"/>
        <v/>
      </c>
      <c r="L1997" s="46" t="str">
        <f t="shared" si="191"/>
        <v/>
      </c>
      <c r="M1997" t="str" cm="1">
        <f t="array" ref="M1997">IF(L1997="","",_xlfn.IFS(
  AND(L1997&gt;=TIME(9,0,0), L1997&lt;TIME(16,0,0)),"Morning",
  AND(L1997&gt;=TIME(16,0,0), L1997&lt;TIME(23,59,0)),"Evening",
  L1997&gt;=TIME(23,59,0),"Night",
  L1997&lt;TIME(9,0,0),"Night"
))</f>
        <v/>
      </c>
      <c r="O1997" t="str">
        <f t="shared" si="188"/>
        <v/>
      </c>
    </row>
    <row r="1998" spans="7:15" x14ac:dyDescent="0.25">
      <c r="G1998" t="str">
        <f t="shared" si="186"/>
        <v/>
      </c>
      <c r="H1998" s="13" t="str">
        <f t="shared" si="189"/>
        <v/>
      </c>
      <c r="I1998" t="str">
        <f>IFERROR(INDEX(Analysis!$D$116:$N$137, MATCH(B1998, Analysis!$C$116:$C$137, 0), MATCH(C1998, Analysis!$D$115:$N$115, 0)), "")</f>
        <v/>
      </c>
      <c r="J1998" t="str">
        <f t="shared" si="190"/>
        <v/>
      </c>
      <c r="K1998" s="28" t="str">
        <f t="shared" si="187"/>
        <v/>
      </c>
      <c r="L1998" s="46" t="str">
        <f t="shared" si="191"/>
        <v/>
      </c>
      <c r="M1998" t="str" cm="1">
        <f t="array" ref="M1998">IF(L1998="","",_xlfn.IFS(
  AND(L1998&gt;=TIME(9,0,0), L1998&lt;TIME(16,0,0)),"Morning",
  AND(L1998&gt;=TIME(16,0,0), L1998&lt;TIME(23,59,0)),"Evening",
  L1998&gt;=TIME(23,59,0),"Night",
  L1998&lt;TIME(9,0,0),"Night"
))</f>
        <v/>
      </c>
      <c r="O1998" t="str">
        <f t="shared" si="188"/>
        <v/>
      </c>
    </row>
    <row r="1999" spans="7:15" x14ac:dyDescent="0.25">
      <c r="G1999" t="str">
        <f t="shared" si="186"/>
        <v/>
      </c>
      <c r="H1999" s="13" t="str">
        <f t="shared" si="189"/>
        <v/>
      </c>
      <c r="I1999" t="str">
        <f>IFERROR(INDEX(Analysis!$D$116:$N$137, MATCH(B1999, Analysis!$C$116:$C$137, 0), MATCH(C1999, Analysis!$D$115:$N$115, 0)), "")</f>
        <v/>
      </c>
      <c r="J1999" t="str">
        <f t="shared" si="190"/>
        <v/>
      </c>
      <c r="K1999" s="28" t="str">
        <f t="shared" si="187"/>
        <v/>
      </c>
      <c r="L1999" s="46" t="str">
        <f t="shared" si="191"/>
        <v/>
      </c>
      <c r="M1999" t="str" cm="1">
        <f t="array" ref="M1999">IF(L1999="","",_xlfn.IFS(
  AND(L1999&gt;=TIME(9,0,0), L1999&lt;TIME(16,0,0)),"Morning",
  AND(L1999&gt;=TIME(16,0,0), L1999&lt;TIME(23,59,0)),"Evening",
  L1999&gt;=TIME(23,59,0),"Night",
  L1999&lt;TIME(9,0,0),"Night"
))</f>
        <v/>
      </c>
      <c r="O1999" t="str">
        <f t="shared" si="188"/>
        <v/>
      </c>
    </row>
    <row r="2000" spans="7:15" x14ac:dyDescent="0.25">
      <c r="G2000" t="str">
        <f t="shared" si="186"/>
        <v/>
      </c>
      <c r="H2000" s="13" t="str">
        <f t="shared" si="189"/>
        <v/>
      </c>
      <c r="I2000" t="str">
        <f>IFERROR(INDEX(Analysis!$D$116:$N$137, MATCH(B2000, Analysis!$C$116:$C$137, 0), MATCH(C2000, Analysis!$D$115:$N$115, 0)), "")</f>
        <v/>
      </c>
      <c r="J2000" t="str">
        <f t="shared" si="190"/>
        <v/>
      </c>
      <c r="K2000" s="28" t="str">
        <f t="shared" si="187"/>
        <v/>
      </c>
      <c r="L2000" s="46" t="str">
        <f t="shared" si="191"/>
        <v/>
      </c>
      <c r="M2000" t="str" cm="1">
        <f t="array" ref="M2000">IF(L2000="","",_xlfn.IFS(
  AND(L2000&gt;=TIME(9,0,0), L2000&lt;TIME(16,0,0)),"Morning",
  AND(L2000&gt;=TIME(16,0,0), L2000&lt;TIME(23,59,0)),"Evening",
  L2000&gt;=TIME(23,59,0),"Night",
  L2000&lt;TIME(9,0,0),"Night"
))</f>
        <v/>
      </c>
      <c r="O2000" t="str">
        <f t="shared" si="188"/>
        <v/>
      </c>
    </row>
    <row r="2001" spans="7:15" x14ac:dyDescent="0.25">
      <c r="G2001" t="str">
        <f t="shared" si="186"/>
        <v/>
      </c>
      <c r="H2001" s="13" t="str">
        <f t="shared" si="189"/>
        <v/>
      </c>
      <c r="I2001" t="str">
        <f>IFERROR(INDEX(Analysis!$D$116:$N$137, MATCH(B2001, Analysis!$C$116:$C$137, 0), MATCH(C2001, Analysis!$D$115:$N$115, 0)), "")</f>
        <v/>
      </c>
      <c r="J2001" t="str">
        <f t="shared" si="190"/>
        <v/>
      </c>
      <c r="K2001" s="28" t="str">
        <f t="shared" si="187"/>
        <v/>
      </c>
      <c r="L2001" s="46" t="str">
        <f t="shared" si="191"/>
        <v/>
      </c>
      <c r="M2001" t="str" cm="1">
        <f t="array" ref="M2001">IF(L2001="","",_xlfn.IFS(
  AND(L2001&gt;=TIME(9,0,0), L2001&lt;TIME(16,0,0)),"Morning",
  AND(L2001&gt;=TIME(16,0,0), L2001&lt;TIME(23,59,0)),"Evening",
  L2001&gt;=TIME(23,59,0),"Night",
  L2001&lt;TIME(9,0,0),"Night"
))</f>
        <v/>
      </c>
      <c r="O2001" t="str">
        <f t="shared" si="188"/>
        <v/>
      </c>
    </row>
    <row r="2002" spans="7:15" x14ac:dyDescent="0.25">
      <c r="G2002" t="str">
        <f t="shared" si="186"/>
        <v/>
      </c>
      <c r="H2002" s="13" t="str">
        <f t="shared" si="189"/>
        <v/>
      </c>
      <c r="I2002" t="str">
        <f>IFERROR(INDEX(Analysis!$D$116:$N$137, MATCH(B2002, Analysis!$C$116:$C$137, 0), MATCH(C2002, Analysis!$D$115:$N$115, 0)), "")</f>
        <v/>
      </c>
      <c r="J2002" t="str">
        <f t="shared" si="190"/>
        <v/>
      </c>
      <c r="K2002" s="28" t="str">
        <f t="shared" si="187"/>
        <v/>
      </c>
      <c r="L2002" s="46" t="str">
        <f t="shared" si="191"/>
        <v/>
      </c>
      <c r="M2002" t="str" cm="1">
        <f t="array" ref="M2002">IF(L2002="","",_xlfn.IFS(
  AND(L2002&gt;=TIME(9,0,0), L2002&lt;TIME(16,0,0)),"Morning",
  AND(L2002&gt;=TIME(16,0,0), L2002&lt;TIME(23,59,0)),"Evening",
  L2002&gt;=TIME(23,59,0),"Night",
  L2002&lt;TIME(9,0,0),"Night"
))</f>
        <v/>
      </c>
      <c r="O2002" t="str">
        <f t="shared" si="188"/>
        <v/>
      </c>
    </row>
    <row r="2003" spans="7:15" x14ac:dyDescent="0.25">
      <c r="G2003" t="str">
        <f t="shared" si="186"/>
        <v/>
      </c>
      <c r="H2003" s="13" t="str">
        <f t="shared" si="189"/>
        <v/>
      </c>
      <c r="I2003" t="str">
        <f>IFERROR(INDEX(Analysis!$D$116:$N$137, MATCH(B2003, Analysis!$C$116:$C$137, 0), MATCH(C2003, Analysis!$D$115:$N$115, 0)), "")</f>
        <v/>
      </c>
      <c r="J2003" t="str">
        <f t="shared" si="190"/>
        <v/>
      </c>
      <c r="K2003" s="28" t="str">
        <f t="shared" si="187"/>
        <v/>
      </c>
      <c r="L2003" s="46" t="str">
        <f t="shared" si="191"/>
        <v/>
      </c>
      <c r="M2003" t="str" cm="1">
        <f t="array" ref="M2003">IF(L2003="","",_xlfn.IFS(
  AND(L2003&gt;=TIME(9,0,0), L2003&lt;TIME(16,0,0)),"Morning",
  AND(L2003&gt;=TIME(16,0,0), L2003&lt;TIME(23,59,0)),"Evening",
  L2003&gt;=TIME(23,59,0),"Night",
  L2003&lt;TIME(9,0,0),"Night"
))</f>
        <v/>
      </c>
      <c r="O2003" t="str">
        <f t="shared" si="188"/>
        <v/>
      </c>
    </row>
    <row r="2004" spans="7:15" x14ac:dyDescent="0.25">
      <c r="G2004" t="str">
        <f t="shared" si="186"/>
        <v/>
      </c>
      <c r="H2004" s="13" t="str">
        <f t="shared" si="189"/>
        <v/>
      </c>
      <c r="I2004" t="str">
        <f>IFERROR(INDEX(Analysis!$D$116:$N$137, MATCH(B2004, Analysis!$C$116:$C$137, 0), MATCH(C2004, Analysis!$D$115:$N$115, 0)), "")</f>
        <v/>
      </c>
      <c r="J2004" t="str">
        <f t="shared" si="190"/>
        <v/>
      </c>
      <c r="K2004" s="28" t="str">
        <f t="shared" si="187"/>
        <v/>
      </c>
      <c r="L2004" s="46" t="str">
        <f t="shared" si="191"/>
        <v/>
      </c>
      <c r="M2004" t="str" cm="1">
        <f t="array" ref="M2004">IF(L2004="","",_xlfn.IFS(
  AND(L2004&gt;=TIME(9,0,0), L2004&lt;TIME(16,0,0)),"Morning",
  AND(L2004&gt;=TIME(16,0,0), L2004&lt;TIME(23,59,0)),"Evening",
  L2004&gt;=TIME(23,59,0),"Night",
  L2004&lt;TIME(9,0,0),"Night"
))</f>
        <v/>
      </c>
      <c r="O2004" t="str">
        <f t="shared" si="188"/>
        <v/>
      </c>
    </row>
    <row r="2005" spans="7:15" x14ac:dyDescent="0.25">
      <c r="G2005" t="str">
        <f t="shared" si="186"/>
        <v/>
      </c>
      <c r="H2005" s="13" t="str">
        <f t="shared" si="189"/>
        <v/>
      </c>
      <c r="I2005" t="str">
        <f>IFERROR(INDEX(Analysis!$D$116:$N$137, MATCH(B2005, Analysis!$C$116:$C$137, 0), MATCH(C2005, Analysis!$D$115:$N$115, 0)), "")</f>
        <v/>
      </c>
      <c r="J2005" t="str">
        <f t="shared" si="190"/>
        <v/>
      </c>
      <c r="K2005" s="28" t="str">
        <f t="shared" si="187"/>
        <v/>
      </c>
      <c r="L2005" s="46" t="str">
        <f t="shared" si="191"/>
        <v/>
      </c>
      <c r="M2005" t="str" cm="1">
        <f t="array" ref="M2005">IF(L2005="","",_xlfn.IFS(
  AND(L2005&gt;=TIME(9,0,0), L2005&lt;TIME(16,0,0)),"Morning",
  AND(L2005&gt;=TIME(16,0,0), L2005&lt;TIME(23,59,0)),"Evening",
  L2005&gt;=TIME(23,59,0),"Night",
  L2005&lt;TIME(9,0,0),"Night"
))</f>
        <v/>
      </c>
      <c r="O2005" t="str">
        <f t="shared" si="188"/>
        <v/>
      </c>
    </row>
    <row r="2006" spans="7:15" x14ac:dyDescent="0.25">
      <c r="G2006" t="str">
        <f t="shared" si="186"/>
        <v/>
      </c>
      <c r="H2006" s="13" t="str">
        <f t="shared" si="189"/>
        <v/>
      </c>
      <c r="I2006" t="str">
        <f>IFERROR(INDEX(Analysis!$D$116:$N$137, MATCH(B2006, Analysis!$C$116:$C$137, 0), MATCH(C2006, Analysis!$D$115:$N$115, 0)), "")</f>
        <v/>
      </c>
      <c r="J2006" t="str">
        <f t="shared" si="190"/>
        <v/>
      </c>
      <c r="K2006" s="28" t="str">
        <f t="shared" si="187"/>
        <v/>
      </c>
      <c r="L2006" s="46" t="str">
        <f t="shared" si="191"/>
        <v/>
      </c>
      <c r="M2006" t="str" cm="1">
        <f t="array" ref="M2006">IF(L2006="","",_xlfn.IFS(
  AND(L2006&gt;=TIME(9,0,0), L2006&lt;TIME(16,0,0)),"Morning",
  AND(L2006&gt;=TIME(16,0,0), L2006&lt;TIME(23,59,0)),"Evening",
  L2006&gt;=TIME(23,59,0),"Night",
  L2006&lt;TIME(9,0,0),"Night"
))</f>
        <v/>
      </c>
      <c r="O2006" t="str">
        <f t="shared" si="188"/>
        <v/>
      </c>
    </row>
    <row r="2007" spans="7:15" x14ac:dyDescent="0.25">
      <c r="G2007" t="str">
        <f t="shared" si="186"/>
        <v/>
      </c>
      <c r="H2007" s="13" t="str">
        <f t="shared" si="189"/>
        <v/>
      </c>
      <c r="I2007" t="str">
        <f>IFERROR(INDEX(Analysis!$D$116:$N$137, MATCH(B2007, Analysis!$C$116:$C$137, 0), MATCH(C2007, Analysis!$D$115:$N$115, 0)), "")</f>
        <v/>
      </c>
      <c r="J2007" t="str">
        <f t="shared" si="190"/>
        <v/>
      </c>
      <c r="K2007" s="28" t="str">
        <f t="shared" si="187"/>
        <v/>
      </c>
      <c r="L2007" s="46" t="str">
        <f t="shared" si="191"/>
        <v/>
      </c>
      <c r="M2007" t="str" cm="1">
        <f t="array" ref="M2007">IF(L2007="","",_xlfn.IFS(
  AND(L2007&gt;=TIME(9,0,0), L2007&lt;TIME(16,0,0)),"Morning",
  AND(L2007&gt;=TIME(16,0,0), L2007&lt;TIME(23,59,0)),"Evening",
  L2007&gt;=TIME(23,59,0),"Night",
  L2007&lt;TIME(9,0,0),"Night"
))</f>
        <v/>
      </c>
      <c r="O2007" t="str">
        <f t="shared" si="188"/>
        <v/>
      </c>
    </row>
    <row r="2008" spans="7:15" x14ac:dyDescent="0.25">
      <c r="G2008" t="str">
        <f t="shared" si="186"/>
        <v/>
      </c>
      <c r="H2008" s="13" t="str">
        <f t="shared" si="189"/>
        <v/>
      </c>
      <c r="I2008" t="str">
        <f>IFERROR(INDEX(Analysis!$D$116:$N$137, MATCH(B2008, Analysis!$C$116:$C$137, 0), MATCH(C2008, Analysis!$D$115:$N$115, 0)), "")</f>
        <v/>
      </c>
      <c r="J2008" t="str">
        <f t="shared" si="190"/>
        <v/>
      </c>
      <c r="K2008" s="28" t="str">
        <f t="shared" si="187"/>
        <v/>
      </c>
      <c r="L2008" s="46" t="str">
        <f t="shared" si="191"/>
        <v/>
      </c>
      <c r="M2008" t="str" cm="1">
        <f t="array" ref="M2008">IF(L2008="","",_xlfn.IFS(
  AND(L2008&gt;=TIME(9,0,0), L2008&lt;TIME(16,0,0)),"Morning",
  AND(L2008&gt;=TIME(16,0,0), L2008&lt;TIME(23,59,0)),"Evening",
  L2008&gt;=TIME(23,59,0),"Night",
  L2008&lt;TIME(9,0,0),"Night"
))</f>
        <v/>
      </c>
      <c r="O2008" t="str">
        <f t="shared" si="188"/>
        <v/>
      </c>
    </row>
    <row r="2009" spans="7:15" x14ac:dyDescent="0.25">
      <c r="G2009" t="str">
        <f t="shared" si="186"/>
        <v/>
      </c>
      <c r="H2009" s="13" t="str">
        <f t="shared" si="189"/>
        <v/>
      </c>
      <c r="I2009" t="str">
        <f>IFERROR(INDEX(Analysis!$D$116:$N$137, MATCH(B2009, Analysis!$C$116:$C$137, 0), MATCH(C2009, Analysis!$D$115:$N$115, 0)), "")</f>
        <v/>
      </c>
      <c r="J2009" t="str">
        <f t="shared" si="190"/>
        <v/>
      </c>
      <c r="K2009" s="28" t="str">
        <f t="shared" si="187"/>
        <v/>
      </c>
      <c r="L2009" s="46" t="str">
        <f t="shared" si="191"/>
        <v/>
      </c>
      <c r="M2009" t="str" cm="1">
        <f t="array" ref="M2009">IF(L2009="","",_xlfn.IFS(
  AND(L2009&gt;=TIME(9,0,0), L2009&lt;TIME(16,0,0)),"Morning",
  AND(L2009&gt;=TIME(16,0,0), L2009&lt;TIME(23,59,0)),"Evening",
  L2009&gt;=TIME(23,59,0),"Night",
  L2009&lt;TIME(9,0,0),"Night"
))</f>
        <v/>
      </c>
      <c r="O2009" t="str">
        <f t="shared" si="188"/>
        <v/>
      </c>
    </row>
    <row r="2010" spans="7:15" x14ac:dyDescent="0.25">
      <c r="G2010" t="str">
        <f t="shared" si="186"/>
        <v/>
      </c>
      <c r="H2010" s="13" t="str">
        <f t="shared" si="189"/>
        <v/>
      </c>
      <c r="I2010" t="str">
        <f>IFERROR(INDEX(Analysis!$D$116:$N$137, MATCH(B2010, Analysis!$C$116:$C$137, 0), MATCH(C2010, Analysis!$D$115:$N$115, 0)), "")</f>
        <v/>
      </c>
      <c r="J2010" t="str">
        <f t="shared" si="190"/>
        <v/>
      </c>
      <c r="K2010" s="28" t="str">
        <f t="shared" si="187"/>
        <v/>
      </c>
      <c r="L2010" s="46" t="str">
        <f t="shared" si="191"/>
        <v/>
      </c>
      <c r="M2010" t="str" cm="1">
        <f t="array" ref="M2010">IF(L2010="","",_xlfn.IFS(
  AND(L2010&gt;=TIME(9,0,0), L2010&lt;TIME(16,0,0)),"Morning",
  AND(L2010&gt;=TIME(16,0,0), L2010&lt;TIME(23,59,0)),"Evening",
  L2010&gt;=TIME(23,59,0),"Night",
  L2010&lt;TIME(9,0,0),"Night"
))</f>
        <v/>
      </c>
      <c r="O2010" t="str">
        <f t="shared" si="188"/>
        <v/>
      </c>
    </row>
    <row r="2011" spans="7:15" x14ac:dyDescent="0.25">
      <c r="G2011" t="str">
        <f t="shared" si="186"/>
        <v/>
      </c>
      <c r="H2011" s="13" t="str">
        <f t="shared" si="189"/>
        <v/>
      </c>
      <c r="I2011" t="str">
        <f>IFERROR(INDEX(Analysis!$D$116:$N$137, MATCH(B2011, Analysis!$C$116:$C$137, 0), MATCH(C2011, Analysis!$D$115:$N$115, 0)), "")</f>
        <v/>
      </c>
      <c r="J2011" t="str">
        <f t="shared" si="190"/>
        <v/>
      </c>
      <c r="K2011" s="28" t="str">
        <f t="shared" si="187"/>
        <v/>
      </c>
      <c r="L2011" s="46" t="str">
        <f t="shared" si="191"/>
        <v/>
      </c>
      <c r="M2011" t="str" cm="1">
        <f t="array" ref="M2011">IF(L2011="","",_xlfn.IFS(
  AND(L2011&gt;=TIME(9,0,0), L2011&lt;TIME(16,0,0)),"Morning",
  AND(L2011&gt;=TIME(16,0,0), L2011&lt;TIME(23,59,0)),"Evening",
  L2011&gt;=TIME(23,59,0),"Night",
  L2011&lt;TIME(9,0,0),"Night"
))</f>
        <v/>
      </c>
      <c r="O2011" t="str">
        <f t="shared" si="188"/>
        <v/>
      </c>
    </row>
    <row r="2012" spans="7:15" x14ac:dyDescent="0.25">
      <c r="G2012" t="str">
        <f t="shared" si="186"/>
        <v/>
      </c>
      <c r="H2012" s="13" t="str">
        <f t="shared" si="189"/>
        <v/>
      </c>
      <c r="I2012" t="str">
        <f>IFERROR(INDEX(Analysis!$D$116:$N$137, MATCH(B2012, Analysis!$C$116:$C$137, 0), MATCH(C2012, Analysis!$D$115:$N$115, 0)), "")</f>
        <v/>
      </c>
      <c r="J2012" t="str">
        <f t="shared" si="190"/>
        <v/>
      </c>
      <c r="K2012" s="28" t="str">
        <f t="shared" si="187"/>
        <v/>
      </c>
      <c r="L2012" s="46" t="str">
        <f t="shared" si="191"/>
        <v/>
      </c>
      <c r="M2012" t="str" cm="1">
        <f t="array" ref="M2012">IF(L2012="","",_xlfn.IFS(
  AND(L2012&gt;=TIME(9,0,0), L2012&lt;TIME(16,0,0)),"Morning",
  AND(L2012&gt;=TIME(16,0,0), L2012&lt;TIME(23,59,0)),"Evening",
  L2012&gt;=TIME(23,59,0),"Night",
  L2012&lt;TIME(9,0,0),"Night"
))</f>
        <v/>
      </c>
      <c r="O2012" t="str">
        <f t="shared" si="188"/>
        <v/>
      </c>
    </row>
    <row r="2013" spans="7:15" x14ac:dyDescent="0.25">
      <c r="G2013" t="str">
        <f t="shared" si="186"/>
        <v/>
      </c>
      <c r="H2013" s="13" t="str">
        <f t="shared" si="189"/>
        <v/>
      </c>
      <c r="I2013" t="str">
        <f>IFERROR(INDEX(Analysis!$D$116:$N$137, MATCH(B2013, Analysis!$C$116:$C$137, 0), MATCH(C2013, Analysis!$D$115:$N$115, 0)), "")</f>
        <v/>
      </c>
      <c r="J2013" t="str">
        <f t="shared" si="190"/>
        <v/>
      </c>
      <c r="K2013" s="28" t="str">
        <f t="shared" si="187"/>
        <v/>
      </c>
      <c r="L2013" s="46" t="str">
        <f t="shared" si="191"/>
        <v/>
      </c>
      <c r="M2013" t="str" cm="1">
        <f t="array" ref="M2013">IF(L2013="","",_xlfn.IFS(
  AND(L2013&gt;=TIME(9,0,0), L2013&lt;TIME(16,0,0)),"Morning",
  AND(L2013&gt;=TIME(16,0,0), L2013&lt;TIME(23,59,0)),"Evening",
  L2013&gt;=TIME(23,59,0),"Night",
  L2013&lt;TIME(9,0,0),"Night"
))</f>
        <v/>
      </c>
      <c r="O2013" t="str">
        <f t="shared" si="188"/>
        <v/>
      </c>
    </row>
    <row r="2014" spans="7:15" x14ac:dyDescent="0.25">
      <c r="G2014" t="str">
        <f t="shared" si="186"/>
        <v/>
      </c>
      <c r="H2014" s="13" t="str">
        <f t="shared" si="189"/>
        <v/>
      </c>
      <c r="I2014" t="str">
        <f>IFERROR(INDEX(Analysis!$D$116:$N$137, MATCH(B2014, Analysis!$C$116:$C$137, 0), MATCH(C2014, Analysis!$D$115:$N$115, 0)), "")</f>
        <v/>
      </c>
      <c r="J2014" t="str">
        <f t="shared" si="190"/>
        <v/>
      </c>
      <c r="K2014" s="28" t="str">
        <f t="shared" si="187"/>
        <v/>
      </c>
      <c r="L2014" s="46" t="str">
        <f t="shared" si="191"/>
        <v/>
      </c>
      <c r="M2014" t="str" cm="1">
        <f t="array" ref="M2014">IF(L2014="","",_xlfn.IFS(
  AND(L2014&gt;=TIME(9,0,0), L2014&lt;TIME(16,0,0)),"Morning",
  AND(L2014&gt;=TIME(16,0,0), L2014&lt;TIME(23,59,0)),"Evening",
  L2014&gt;=TIME(23,59,0),"Night",
  L2014&lt;TIME(9,0,0),"Night"
))</f>
        <v/>
      </c>
      <c r="O2014" t="str">
        <f t="shared" si="188"/>
        <v/>
      </c>
    </row>
    <row r="2015" spans="7:15" x14ac:dyDescent="0.25">
      <c r="G2015" t="str">
        <f t="shared" si="186"/>
        <v/>
      </c>
      <c r="H2015" s="13" t="str">
        <f t="shared" si="189"/>
        <v/>
      </c>
      <c r="I2015" t="str">
        <f>IFERROR(INDEX(Analysis!$D$116:$N$137, MATCH(B2015, Analysis!$C$116:$C$137, 0), MATCH(C2015, Analysis!$D$115:$N$115, 0)), "")</f>
        <v/>
      </c>
      <c r="J2015" t="str">
        <f t="shared" si="190"/>
        <v/>
      </c>
      <c r="K2015" s="28" t="str">
        <f t="shared" si="187"/>
        <v/>
      </c>
      <c r="L2015" s="46" t="str">
        <f t="shared" si="191"/>
        <v/>
      </c>
      <c r="M2015" t="str" cm="1">
        <f t="array" ref="M2015">IF(L2015="","",_xlfn.IFS(
  AND(L2015&gt;=TIME(9,0,0), L2015&lt;TIME(16,0,0)),"Morning",
  AND(L2015&gt;=TIME(16,0,0), L2015&lt;TIME(23,59,0)),"Evening",
  L2015&gt;=TIME(23,59,0),"Night",
  L2015&lt;TIME(9,0,0),"Night"
))</f>
        <v/>
      </c>
      <c r="O2015" t="str">
        <f t="shared" si="188"/>
        <v/>
      </c>
    </row>
    <row r="2016" spans="7:15" x14ac:dyDescent="0.25">
      <c r="G2016" t="str">
        <f t="shared" si="186"/>
        <v/>
      </c>
      <c r="H2016" s="13" t="str">
        <f t="shared" si="189"/>
        <v/>
      </c>
      <c r="I2016" t="str">
        <f>IFERROR(INDEX(Analysis!$D$116:$N$137, MATCH(B2016, Analysis!$C$116:$C$137, 0), MATCH(C2016, Analysis!$D$115:$N$115, 0)), "")</f>
        <v/>
      </c>
      <c r="J2016" t="str">
        <f t="shared" si="190"/>
        <v/>
      </c>
      <c r="K2016" s="28" t="str">
        <f t="shared" si="187"/>
        <v/>
      </c>
      <c r="L2016" s="46" t="str">
        <f t="shared" si="191"/>
        <v/>
      </c>
      <c r="M2016" t="str" cm="1">
        <f t="array" ref="M2016">IF(L2016="","",_xlfn.IFS(
  AND(L2016&gt;=TIME(9,0,0), L2016&lt;TIME(16,0,0)),"Morning",
  AND(L2016&gt;=TIME(16,0,0), L2016&lt;TIME(23,59,0)),"Evening",
  L2016&gt;=TIME(23,59,0),"Night",
  L2016&lt;TIME(9,0,0),"Night"
))</f>
        <v/>
      </c>
      <c r="O2016" t="str">
        <f t="shared" si="188"/>
        <v/>
      </c>
    </row>
    <row r="2017" spans="7:15" x14ac:dyDescent="0.25">
      <c r="G2017" t="str">
        <f t="shared" si="186"/>
        <v/>
      </c>
      <c r="H2017" s="13" t="str">
        <f t="shared" si="189"/>
        <v/>
      </c>
      <c r="I2017" t="str">
        <f>IFERROR(INDEX(Analysis!$D$116:$N$137, MATCH(B2017, Analysis!$C$116:$C$137, 0), MATCH(C2017, Analysis!$D$115:$N$115, 0)), "")</f>
        <v/>
      </c>
      <c r="J2017" t="str">
        <f t="shared" si="190"/>
        <v/>
      </c>
      <c r="K2017" s="28" t="str">
        <f t="shared" si="187"/>
        <v/>
      </c>
      <c r="L2017" s="46" t="str">
        <f t="shared" si="191"/>
        <v/>
      </c>
      <c r="M2017" t="str" cm="1">
        <f t="array" ref="M2017">IF(L2017="","",_xlfn.IFS(
  AND(L2017&gt;=TIME(9,0,0), L2017&lt;TIME(16,0,0)),"Morning",
  AND(L2017&gt;=TIME(16,0,0), L2017&lt;TIME(23,59,0)),"Evening",
  L2017&gt;=TIME(23,59,0),"Night",
  L2017&lt;TIME(9,0,0),"Night"
))</f>
        <v/>
      </c>
      <c r="O2017" t="str">
        <f t="shared" si="188"/>
        <v/>
      </c>
    </row>
    <row r="2018" spans="7:15" x14ac:dyDescent="0.25">
      <c r="G2018" t="str">
        <f t="shared" si="186"/>
        <v/>
      </c>
      <c r="H2018" s="13" t="str">
        <f t="shared" si="189"/>
        <v/>
      </c>
      <c r="I2018" t="str">
        <f>IFERROR(INDEX(Analysis!$D$116:$N$137, MATCH(B2018, Analysis!$C$116:$C$137, 0), MATCH(C2018, Analysis!$D$115:$N$115, 0)), "")</f>
        <v/>
      </c>
      <c r="J2018" t="str">
        <f t="shared" si="190"/>
        <v/>
      </c>
      <c r="K2018" s="28" t="str">
        <f t="shared" si="187"/>
        <v/>
      </c>
      <c r="L2018" s="46" t="str">
        <f t="shared" si="191"/>
        <v/>
      </c>
      <c r="M2018" t="str" cm="1">
        <f t="array" ref="M2018">IF(L2018="","",_xlfn.IFS(
  AND(L2018&gt;=TIME(9,0,0), L2018&lt;TIME(16,0,0)),"Morning",
  AND(L2018&gt;=TIME(16,0,0), L2018&lt;TIME(23,59,0)),"Evening",
  L2018&gt;=TIME(23,59,0),"Night",
  L2018&lt;TIME(9,0,0),"Night"
))</f>
        <v/>
      </c>
      <c r="O2018" t="str">
        <f t="shared" si="188"/>
        <v/>
      </c>
    </row>
    <row r="2019" spans="7:15" x14ac:dyDescent="0.25">
      <c r="G2019" t="str">
        <f t="shared" si="186"/>
        <v/>
      </c>
      <c r="H2019" s="13" t="str">
        <f t="shared" si="189"/>
        <v/>
      </c>
      <c r="I2019" t="str">
        <f>IFERROR(INDEX(Analysis!$D$116:$N$137, MATCH(B2019, Analysis!$C$116:$C$137, 0), MATCH(C2019, Analysis!$D$115:$N$115, 0)), "")</f>
        <v/>
      </c>
      <c r="J2019" t="str">
        <f t="shared" si="190"/>
        <v/>
      </c>
      <c r="K2019" s="28" t="str">
        <f t="shared" si="187"/>
        <v/>
      </c>
      <c r="L2019" s="46" t="str">
        <f t="shared" si="191"/>
        <v/>
      </c>
      <c r="M2019" t="str" cm="1">
        <f t="array" ref="M2019">IF(L2019="","",_xlfn.IFS(
  AND(L2019&gt;=TIME(9,0,0), L2019&lt;TIME(16,0,0)),"Morning",
  AND(L2019&gt;=TIME(16,0,0), L2019&lt;TIME(23,59,0)),"Evening",
  L2019&gt;=TIME(23,59,0),"Night",
  L2019&lt;TIME(9,0,0),"Night"
))</f>
        <v/>
      </c>
      <c r="O2019" t="str">
        <f t="shared" si="188"/>
        <v/>
      </c>
    </row>
    <row r="2020" spans="7:15" x14ac:dyDescent="0.25">
      <c r="G2020" t="str">
        <f t="shared" si="186"/>
        <v/>
      </c>
      <c r="H2020" s="13" t="str">
        <f t="shared" si="189"/>
        <v/>
      </c>
      <c r="I2020" t="str">
        <f>IFERROR(INDEX(Analysis!$D$116:$N$137, MATCH(B2020, Analysis!$C$116:$C$137, 0), MATCH(C2020, Analysis!$D$115:$N$115, 0)), "")</f>
        <v/>
      </c>
      <c r="J2020" t="str">
        <f t="shared" si="190"/>
        <v/>
      </c>
      <c r="K2020" s="28" t="str">
        <f t="shared" si="187"/>
        <v/>
      </c>
      <c r="L2020" s="46" t="str">
        <f t="shared" si="191"/>
        <v/>
      </c>
      <c r="M2020" t="str" cm="1">
        <f t="array" ref="M2020">IF(L2020="","",_xlfn.IFS(
  AND(L2020&gt;=TIME(9,0,0), L2020&lt;TIME(16,0,0)),"Morning",
  AND(L2020&gt;=TIME(16,0,0), L2020&lt;TIME(23,59,0)),"Evening",
  L2020&gt;=TIME(23,59,0),"Night",
  L2020&lt;TIME(9,0,0),"Night"
))</f>
        <v/>
      </c>
      <c r="O2020" t="str">
        <f t="shared" si="188"/>
        <v/>
      </c>
    </row>
    <row r="2021" spans="7:15" x14ac:dyDescent="0.25">
      <c r="G2021" t="str">
        <f t="shared" si="186"/>
        <v/>
      </c>
      <c r="H2021" s="13" t="str">
        <f t="shared" si="189"/>
        <v/>
      </c>
      <c r="I2021" t="str">
        <f>IFERROR(INDEX(Analysis!$D$116:$N$137, MATCH(B2021, Analysis!$C$116:$C$137, 0), MATCH(C2021, Analysis!$D$115:$N$115, 0)), "")</f>
        <v/>
      </c>
      <c r="J2021" t="str">
        <f t="shared" si="190"/>
        <v/>
      </c>
      <c r="K2021" s="28" t="str">
        <f t="shared" si="187"/>
        <v/>
      </c>
      <c r="L2021" s="46" t="str">
        <f t="shared" si="191"/>
        <v/>
      </c>
      <c r="M2021" t="str" cm="1">
        <f t="array" ref="M2021">IF(L2021="","",_xlfn.IFS(
  AND(L2021&gt;=TIME(9,0,0), L2021&lt;TIME(16,0,0)),"Morning",
  AND(L2021&gt;=TIME(16,0,0), L2021&lt;TIME(23,59,0)),"Evening",
  L2021&gt;=TIME(23,59,0),"Night",
  L2021&lt;TIME(9,0,0),"Night"
))</f>
        <v/>
      </c>
      <c r="O2021" t="str">
        <f t="shared" si="188"/>
        <v/>
      </c>
    </row>
    <row r="2022" spans="7:15" x14ac:dyDescent="0.25">
      <c r="G2022" t="str">
        <f t="shared" si="186"/>
        <v/>
      </c>
      <c r="H2022" s="13" t="str">
        <f t="shared" si="189"/>
        <v/>
      </c>
      <c r="I2022" t="str">
        <f>IFERROR(INDEX(Analysis!$D$116:$N$137, MATCH(B2022, Analysis!$C$116:$C$137, 0), MATCH(C2022, Analysis!$D$115:$N$115, 0)), "")</f>
        <v/>
      </c>
      <c r="J2022" t="str">
        <f t="shared" si="190"/>
        <v/>
      </c>
      <c r="K2022" s="28" t="str">
        <f t="shared" si="187"/>
        <v/>
      </c>
      <c r="L2022" s="46" t="str">
        <f t="shared" si="191"/>
        <v/>
      </c>
      <c r="M2022" t="str" cm="1">
        <f t="array" ref="M2022">IF(L2022="","",_xlfn.IFS(
  AND(L2022&gt;=TIME(9,0,0), L2022&lt;TIME(16,0,0)),"Morning",
  AND(L2022&gt;=TIME(16,0,0), L2022&lt;TIME(23,59,0)),"Evening",
  L2022&gt;=TIME(23,59,0),"Night",
  L2022&lt;TIME(9,0,0),"Night"
))</f>
        <v/>
      </c>
      <c r="O2022" t="str">
        <f t="shared" si="188"/>
        <v/>
      </c>
    </row>
    <row r="2023" spans="7:15" x14ac:dyDescent="0.25">
      <c r="G2023" t="str">
        <f t="shared" si="186"/>
        <v/>
      </c>
      <c r="H2023" s="13" t="str">
        <f t="shared" si="189"/>
        <v/>
      </c>
      <c r="I2023" t="str">
        <f>IFERROR(INDEX(Analysis!$D$116:$N$137, MATCH(B2023, Analysis!$C$116:$C$137, 0), MATCH(C2023, Analysis!$D$115:$N$115, 0)), "")</f>
        <v/>
      </c>
      <c r="J2023" t="str">
        <f t="shared" si="190"/>
        <v/>
      </c>
      <c r="K2023" s="28" t="str">
        <f t="shared" si="187"/>
        <v/>
      </c>
      <c r="L2023" s="46" t="str">
        <f t="shared" si="191"/>
        <v/>
      </c>
      <c r="M2023" t="str" cm="1">
        <f t="array" ref="M2023">IF(L2023="","",_xlfn.IFS(
  AND(L2023&gt;=TIME(9,0,0), L2023&lt;TIME(16,0,0)),"Morning",
  AND(L2023&gt;=TIME(16,0,0), L2023&lt;TIME(23,59,0)),"Evening",
  L2023&gt;=TIME(23,59,0),"Night",
  L2023&lt;TIME(9,0,0),"Night"
))</f>
        <v/>
      </c>
      <c r="O2023" t="str">
        <f t="shared" si="188"/>
        <v/>
      </c>
    </row>
    <row r="2024" spans="7:15" x14ac:dyDescent="0.25">
      <c r="G2024" t="str">
        <f t="shared" si="186"/>
        <v/>
      </c>
      <c r="H2024" s="13" t="str">
        <f t="shared" si="189"/>
        <v/>
      </c>
      <c r="I2024" t="str">
        <f>IFERROR(INDEX(Analysis!$D$116:$N$137, MATCH(B2024, Analysis!$C$116:$C$137, 0), MATCH(C2024, Analysis!$D$115:$N$115, 0)), "")</f>
        <v/>
      </c>
      <c r="J2024" t="str">
        <f t="shared" si="190"/>
        <v/>
      </c>
      <c r="K2024" s="28" t="str">
        <f t="shared" si="187"/>
        <v/>
      </c>
      <c r="L2024" s="46" t="str">
        <f t="shared" si="191"/>
        <v/>
      </c>
      <c r="M2024" t="str" cm="1">
        <f t="array" ref="M2024">IF(L2024="","",_xlfn.IFS(
  AND(L2024&gt;=TIME(9,0,0), L2024&lt;TIME(16,0,0)),"Morning",
  AND(L2024&gt;=TIME(16,0,0), L2024&lt;TIME(23,59,0)),"Evening",
  L2024&gt;=TIME(23,59,0),"Night",
  L2024&lt;TIME(9,0,0),"Night"
))</f>
        <v/>
      </c>
      <c r="O2024" t="str">
        <f t="shared" si="188"/>
        <v/>
      </c>
    </row>
    <row r="2025" spans="7:15" x14ac:dyDescent="0.25">
      <c r="G2025" t="str">
        <f t="shared" si="186"/>
        <v/>
      </c>
      <c r="H2025" s="13" t="str">
        <f t="shared" si="189"/>
        <v/>
      </c>
      <c r="I2025" t="str">
        <f>IFERROR(INDEX(Analysis!$D$116:$N$137, MATCH(B2025, Analysis!$C$116:$C$137, 0), MATCH(C2025, Analysis!$D$115:$N$115, 0)), "")</f>
        <v/>
      </c>
      <c r="J2025" t="str">
        <f t="shared" si="190"/>
        <v/>
      </c>
      <c r="K2025" s="28" t="str">
        <f t="shared" si="187"/>
        <v/>
      </c>
      <c r="L2025" s="46" t="str">
        <f t="shared" si="191"/>
        <v/>
      </c>
      <c r="M2025" t="str" cm="1">
        <f t="array" ref="M2025">IF(L2025="","",_xlfn.IFS(
  AND(L2025&gt;=TIME(9,0,0), L2025&lt;TIME(16,0,0)),"Morning",
  AND(L2025&gt;=TIME(16,0,0), L2025&lt;TIME(23,59,0)),"Evening",
  L2025&gt;=TIME(23,59,0),"Night",
  L2025&lt;TIME(9,0,0),"Night"
))</f>
        <v/>
      </c>
      <c r="O2025" t="str">
        <f t="shared" si="188"/>
        <v/>
      </c>
    </row>
    <row r="2026" spans="7:15" x14ac:dyDescent="0.25">
      <c r="G2026" t="str">
        <f t="shared" si="186"/>
        <v/>
      </c>
      <c r="H2026" s="13" t="str">
        <f t="shared" si="189"/>
        <v/>
      </c>
      <c r="I2026" t="str">
        <f>IFERROR(INDEX(Analysis!$D$116:$N$137, MATCH(B2026, Analysis!$C$116:$C$137, 0), MATCH(C2026, Analysis!$D$115:$N$115, 0)), "")</f>
        <v/>
      </c>
      <c r="J2026" t="str">
        <f t="shared" si="190"/>
        <v/>
      </c>
      <c r="K2026" s="28" t="str">
        <f t="shared" si="187"/>
        <v/>
      </c>
      <c r="L2026" s="46" t="str">
        <f t="shared" si="191"/>
        <v/>
      </c>
      <c r="M2026" t="str" cm="1">
        <f t="array" ref="M2026">IF(L2026="","",_xlfn.IFS(
  AND(L2026&gt;=TIME(9,0,0), L2026&lt;TIME(16,0,0)),"Morning",
  AND(L2026&gt;=TIME(16,0,0), L2026&lt;TIME(23,59,0)),"Evening",
  L2026&gt;=TIME(23,59,0),"Night",
  L2026&lt;TIME(9,0,0),"Night"
))</f>
        <v/>
      </c>
      <c r="O2026" t="str">
        <f t="shared" si="188"/>
        <v/>
      </c>
    </row>
    <row r="2027" spans="7:15" x14ac:dyDescent="0.25">
      <c r="G2027" t="str">
        <f t="shared" si="186"/>
        <v/>
      </c>
      <c r="H2027" s="13" t="str">
        <f t="shared" si="189"/>
        <v/>
      </c>
      <c r="I2027" t="str">
        <f>IFERROR(INDEX(Analysis!$D$116:$N$137, MATCH(B2027, Analysis!$C$116:$C$137, 0), MATCH(C2027, Analysis!$D$115:$N$115, 0)), "")</f>
        <v/>
      </c>
      <c r="J2027" t="str">
        <f t="shared" si="190"/>
        <v/>
      </c>
      <c r="K2027" s="28" t="str">
        <f t="shared" si="187"/>
        <v/>
      </c>
      <c r="L2027" s="46" t="str">
        <f t="shared" si="191"/>
        <v/>
      </c>
      <c r="M2027" t="str" cm="1">
        <f t="array" ref="M2027">IF(L2027="","",_xlfn.IFS(
  AND(L2027&gt;=TIME(9,0,0), L2027&lt;TIME(16,0,0)),"Morning",
  AND(L2027&gt;=TIME(16,0,0), L2027&lt;TIME(23,59,0)),"Evening",
  L2027&gt;=TIME(23,59,0),"Night",
  L2027&lt;TIME(9,0,0),"Night"
))</f>
        <v/>
      </c>
      <c r="O2027" t="str">
        <f t="shared" si="188"/>
        <v/>
      </c>
    </row>
    <row r="2028" spans="7:15" x14ac:dyDescent="0.25">
      <c r="G2028" t="str">
        <f t="shared" si="186"/>
        <v/>
      </c>
      <c r="H2028" s="13" t="str">
        <f t="shared" si="189"/>
        <v/>
      </c>
      <c r="I2028" t="str">
        <f>IFERROR(INDEX(Analysis!$D$116:$N$137, MATCH(B2028, Analysis!$C$116:$C$137, 0), MATCH(C2028, Analysis!$D$115:$N$115, 0)), "")</f>
        <v/>
      </c>
      <c r="J2028" t="str">
        <f t="shared" si="190"/>
        <v/>
      </c>
      <c r="K2028" s="28" t="str">
        <f t="shared" si="187"/>
        <v/>
      </c>
      <c r="L2028" s="46" t="str">
        <f t="shared" si="191"/>
        <v/>
      </c>
      <c r="M2028" t="str" cm="1">
        <f t="array" ref="M2028">IF(L2028="","",_xlfn.IFS(
  AND(L2028&gt;=TIME(9,0,0), L2028&lt;TIME(16,0,0)),"Morning",
  AND(L2028&gt;=TIME(16,0,0), L2028&lt;TIME(23,59,0)),"Evening",
  L2028&gt;=TIME(23,59,0),"Night",
  L2028&lt;TIME(9,0,0),"Night"
))</f>
        <v/>
      </c>
      <c r="O2028" t="str">
        <f t="shared" si="188"/>
        <v/>
      </c>
    </row>
    <row r="2029" spans="7:15" x14ac:dyDescent="0.25">
      <c r="G2029" t="str">
        <f t="shared" si="186"/>
        <v/>
      </c>
      <c r="H2029" s="13" t="str">
        <f t="shared" si="189"/>
        <v/>
      </c>
      <c r="I2029" t="str">
        <f>IFERROR(INDEX(Analysis!$D$116:$N$137, MATCH(B2029, Analysis!$C$116:$C$137, 0), MATCH(C2029, Analysis!$D$115:$N$115, 0)), "")</f>
        <v/>
      </c>
      <c r="J2029" t="str">
        <f t="shared" si="190"/>
        <v/>
      </c>
      <c r="K2029" s="28" t="str">
        <f t="shared" si="187"/>
        <v/>
      </c>
      <c r="L2029" s="46" t="str">
        <f t="shared" si="191"/>
        <v/>
      </c>
      <c r="M2029" t="str" cm="1">
        <f t="array" ref="M2029">IF(L2029="","",_xlfn.IFS(
  AND(L2029&gt;=TIME(9,0,0), L2029&lt;TIME(16,0,0)),"Morning",
  AND(L2029&gt;=TIME(16,0,0), L2029&lt;TIME(23,59,0)),"Evening",
  L2029&gt;=TIME(23,59,0),"Night",
  L2029&lt;TIME(9,0,0),"Night"
))</f>
        <v/>
      </c>
      <c r="O2029" t="str">
        <f t="shared" si="188"/>
        <v/>
      </c>
    </row>
    <row r="2030" spans="7:15" x14ac:dyDescent="0.25">
      <c r="G2030" t="str">
        <f t="shared" si="186"/>
        <v/>
      </c>
      <c r="H2030" s="13" t="str">
        <f t="shared" si="189"/>
        <v/>
      </c>
      <c r="I2030" t="str">
        <f>IFERROR(INDEX(Analysis!$D$116:$N$137, MATCH(B2030, Analysis!$C$116:$C$137, 0), MATCH(C2030, Analysis!$D$115:$N$115, 0)), "")</f>
        <v/>
      </c>
      <c r="J2030" t="str">
        <f t="shared" si="190"/>
        <v/>
      </c>
      <c r="K2030" s="28" t="str">
        <f t="shared" si="187"/>
        <v/>
      </c>
      <c r="L2030" s="46" t="str">
        <f t="shared" si="191"/>
        <v/>
      </c>
      <c r="M2030" t="str" cm="1">
        <f t="array" ref="M2030">IF(L2030="","",_xlfn.IFS(
  AND(L2030&gt;=TIME(9,0,0), L2030&lt;TIME(16,0,0)),"Morning",
  AND(L2030&gt;=TIME(16,0,0), L2030&lt;TIME(23,59,0)),"Evening",
  L2030&gt;=TIME(23,59,0),"Night",
  L2030&lt;TIME(9,0,0),"Night"
))</f>
        <v/>
      </c>
      <c r="O2030" t="str">
        <f t="shared" si="188"/>
        <v/>
      </c>
    </row>
    <row r="2031" spans="7:15" x14ac:dyDescent="0.25">
      <c r="G2031" t="str">
        <f t="shared" si="186"/>
        <v/>
      </c>
      <c r="H2031" s="13" t="str">
        <f t="shared" si="189"/>
        <v/>
      </c>
      <c r="I2031" t="str">
        <f>IFERROR(INDEX(Analysis!$D$116:$N$137, MATCH(B2031, Analysis!$C$116:$C$137, 0), MATCH(C2031, Analysis!$D$115:$N$115, 0)), "")</f>
        <v/>
      </c>
      <c r="J2031" t="str">
        <f t="shared" si="190"/>
        <v/>
      </c>
      <c r="K2031" s="28" t="str">
        <f t="shared" si="187"/>
        <v/>
      </c>
      <c r="L2031" s="46" t="str">
        <f t="shared" si="191"/>
        <v/>
      </c>
      <c r="M2031" t="str" cm="1">
        <f t="array" ref="M2031">IF(L2031="","",_xlfn.IFS(
  AND(L2031&gt;=TIME(9,0,0), L2031&lt;TIME(16,0,0)),"Morning",
  AND(L2031&gt;=TIME(16,0,0), L2031&lt;TIME(23,59,0)),"Evening",
  L2031&gt;=TIME(23,59,0),"Night",
  L2031&lt;TIME(9,0,0),"Night"
))</f>
        <v/>
      </c>
      <c r="O2031" t="str">
        <f t="shared" si="188"/>
        <v/>
      </c>
    </row>
    <row r="2032" spans="7:15" x14ac:dyDescent="0.25">
      <c r="G2032" t="str">
        <f t="shared" si="186"/>
        <v/>
      </c>
      <c r="H2032" s="13" t="str">
        <f t="shared" si="189"/>
        <v/>
      </c>
      <c r="I2032" t="str">
        <f>IFERROR(INDEX(Analysis!$D$116:$N$137, MATCH(B2032, Analysis!$C$116:$C$137, 0), MATCH(C2032, Analysis!$D$115:$N$115, 0)), "")</f>
        <v/>
      </c>
      <c r="J2032" t="str">
        <f t="shared" si="190"/>
        <v/>
      </c>
      <c r="K2032" s="28" t="str">
        <f t="shared" si="187"/>
        <v/>
      </c>
      <c r="L2032" s="46" t="str">
        <f t="shared" si="191"/>
        <v/>
      </c>
      <c r="M2032" t="str" cm="1">
        <f t="array" ref="M2032">IF(L2032="","",_xlfn.IFS(
  AND(L2032&gt;=TIME(9,0,0), L2032&lt;TIME(16,0,0)),"Morning",
  AND(L2032&gt;=TIME(16,0,0), L2032&lt;TIME(23,59,0)),"Evening",
  L2032&gt;=TIME(23,59,0),"Night",
  L2032&lt;TIME(9,0,0),"Night"
))</f>
        <v/>
      </c>
      <c r="O2032" t="str">
        <f t="shared" si="188"/>
        <v/>
      </c>
    </row>
    <row r="2033" spans="7:15" x14ac:dyDescent="0.25">
      <c r="G2033" t="str">
        <f t="shared" si="186"/>
        <v/>
      </c>
      <c r="H2033" s="13" t="str">
        <f t="shared" si="189"/>
        <v/>
      </c>
      <c r="I2033" t="str">
        <f>IFERROR(INDEX(Analysis!$D$116:$N$137, MATCH(B2033, Analysis!$C$116:$C$137, 0), MATCH(C2033, Analysis!$D$115:$N$115, 0)), "")</f>
        <v/>
      </c>
      <c r="J2033" t="str">
        <f t="shared" si="190"/>
        <v/>
      </c>
      <c r="K2033" s="28" t="str">
        <f t="shared" si="187"/>
        <v/>
      </c>
      <c r="L2033" s="46" t="str">
        <f t="shared" si="191"/>
        <v/>
      </c>
      <c r="M2033" t="str" cm="1">
        <f t="array" ref="M2033">IF(L2033="","",_xlfn.IFS(
  AND(L2033&gt;=TIME(9,0,0), L2033&lt;TIME(16,0,0)),"Morning",
  AND(L2033&gt;=TIME(16,0,0), L2033&lt;TIME(23,59,0)),"Evening",
  L2033&gt;=TIME(23,59,0),"Night",
  L2033&lt;TIME(9,0,0),"Night"
))</f>
        <v/>
      </c>
      <c r="O2033" t="str">
        <f t="shared" si="188"/>
        <v/>
      </c>
    </row>
    <row r="2034" spans="7:15" x14ac:dyDescent="0.25">
      <c r="G2034" t="str">
        <f t="shared" si="186"/>
        <v/>
      </c>
      <c r="H2034" s="13" t="str">
        <f t="shared" si="189"/>
        <v/>
      </c>
      <c r="I2034" t="str">
        <f>IFERROR(INDEX(Analysis!$D$116:$N$137, MATCH(B2034, Analysis!$C$116:$C$137, 0), MATCH(C2034, Analysis!$D$115:$N$115, 0)), "")</f>
        <v/>
      </c>
      <c r="J2034" t="str">
        <f t="shared" si="190"/>
        <v/>
      </c>
      <c r="K2034" s="28" t="str">
        <f t="shared" si="187"/>
        <v/>
      </c>
      <c r="L2034" s="46" t="str">
        <f t="shared" si="191"/>
        <v/>
      </c>
      <c r="M2034" t="str" cm="1">
        <f t="array" ref="M2034">IF(L2034="","",_xlfn.IFS(
  AND(L2034&gt;=TIME(9,0,0), L2034&lt;TIME(16,0,0)),"Morning",
  AND(L2034&gt;=TIME(16,0,0), L2034&lt;TIME(23,59,0)),"Evening",
  L2034&gt;=TIME(23,59,0),"Night",
  L2034&lt;TIME(9,0,0),"Night"
))</f>
        <v/>
      </c>
      <c r="O2034" t="str">
        <f t="shared" si="188"/>
        <v/>
      </c>
    </row>
    <row r="2035" spans="7:15" x14ac:dyDescent="0.25">
      <c r="G2035" t="str">
        <f t="shared" si="186"/>
        <v/>
      </c>
      <c r="H2035" s="13" t="str">
        <f t="shared" si="189"/>
        <v/>
      </c>
      <c r="I2035" t="str">
        <f>IFERROR(INDEX(Analysis!$D$116:$N$137, MATCH(B2035, Analysis!$C$116:$C$137, 0), MATCH(C2035, Analysis!$D$115:$N$115, 0)), "")</f>
        <v/>
      </c>
      <c r="J2035" t="str">
        <f t="shared" si="190"/>
        <v/>
      </c>
      <c r="K2035" s="28" t="str">
        <f t="shared" si="187"/>
        <v/>
      </c>
      <c r="L2035" s="46" t="str">
        <f t="shared" si="191"/>
        <v/>
      </c>
      <c r="M2035" t="str" cm="1">
        <f t="array" ref="M2035">IF(L2035="","",_xlfn.IFS(
  AND(L2035&gt;=TIME(9,0,0), L2035&lt;TIME(16,0,0)),"Morning",
  AND(L2035&gt;=TIME(16,0,0), L2035&lt;TIME(23,59,0)),"Evening",
  L2035&gt;=TIME(23,59,0),"Night",
  L2035&lt;TIME(9,0,0),"Night"
))</f>
        <v/>
      </c>
      <c r="O2035" t="str">
        <f t="shared" si="188"/>
        <v/>
      </c>
    </row>
    <row r="2036" spans="7:15" x14ac:dyDescent="0.25">
      <c r="G2036" t="str">
        <f t="shared" si="186"/>
        <v/>
      </c>
      <c r="H2036" s="13" t="str">
        <f t="shared" si="189"/>
        <v/>
      </c>
      <c r="I2036" t="str">
        <f>IFERROR(INDEX(Analysis!$D$116:$N$137, MATCH(B2036, Analysis!$C$116:$C$137, 0), MATCH(C2036, Analysis!$D$115:$N$115, 0)), "")</f>
        <v/>
      </c>
      <c r="J2036" t="str">
        <f t="shared" si="190"/>
        <v/>
      </c>
      <c r="K2036" s="28" t="str">
        <f t="shared" si="187"/>
        <v/>
      </c>
      <c r="L2036" s="46" t="str">
        <f t="shared" si="191"/>
        <v/>
      </c>
      <c r="M2036" t="str" cm="1">
        <f t="array" ref="M2036">IF(L2036="","",_xlfn.IFS(
  AND(L2036&gt;=TIME(9,0,0), L2036&lt;TIME(16,0,0)),"Morning",
  AND(L2036&gt;=TIME(16,0,0), L2036&lt;TIME(23,59,0)),"Evening",
  L2036&gt;=TIME(23,59,0),"Night",
  L2036&lt;TIME(9,0,0),"Night"
))</f>
        <v/>
      </c>
      <c r="O2036" t="str">
        <f t="shared" si="188"/>
        <v/>
      </c>
    </row>
    <row r="2037" spans="7:15" x14ac:dyDescent="0.25">
      <c r="G2037" t="str">
        <f t="shared" si="186"/>
        <v/>
      </c>
      <c r="H2037" s="13" t="str">
        <f t="shared" si="189"/>
        <v/>
      </c>
      <c r="I2037" t="str">
        <f>IFERROR(INDEX(Analysis!$D$116:$N$137, MATCH(B2037, Analysis!$C$116:$C$137, 0), MATCH(C2037, Analysis!$D$115:$N$115, 0)), "")</f>
        <v/>
      </c>
      <c r="J2037" t="str">
        <f t="shared" si="190"/>
        <v/>
      </c>
      <c r="K2037" s="28" t="str">
        <f t="shared" si="187"/>
        <v/>
      </c>
      <c r="L2037" s="46" t="str">
        <f t="shared" si="191"/>
        <v/>
      </c>
      <c r="M2037" t="str" cm="1">
        <f t="array" ref="M2037">IF(L2037="","",_xlfn.IFS(
  AND(L2037&gt;=TIME(9,0,0), L2037&lt;TIME(16,0,0)),"Morning",
  AND(L2037&gt;=TIME(16,0,0), L2037&lt;TIME(23,59,0)),"Evening",
  L2037&gt;=TIME(23,59,0),"Night",
  L2037&lt;TIME(9,0,0),"Night"
))</f>
        <v/>
      </c>
      <c r="O2037" t="str">
        <f t="shared" si="188"/>
        <v/>
      </c>
    </row>
    <row r="2038" spans="7:15" x14ac:dyDescent="0.25">
      <c r="G2038" t="str">
        <f t="shared" si="186"/>
        <v/>
      </c>
      <c r="H2038" s="13" t="str">
        <f t="shared" si="189"/>
        <v/>
      </c>
      <c r="I2038" t="str">
        <f>IFERROR(INDEX(Analysis!$D$116:$N$137, MATCH(B2038, Analysis!$C$116:$C$137, 0), MATCH(C2038, Analysis!$D$115:$N$115, 0)), "")</f>
        <v/>
      </c>
      <c r="J2038" t="str">
        <f t="shared" si="190"/>
        <v/>
      </c>
      <c r="K2038" s="28" t="str">
        <f t="shared" si="187"/>
        <v/>
      </c>
      <c r="L2038" s="46" t="str">
        <f t="shared" si="191"/>
        <v/>
      </c>
      <c r="M2038" t="str" cm="1">
        <f t="array" ref="M2038">IF(L2038="","",_xlfn.IFS(
  AND(L2038&gt;=TIME(9,0,0), L2038&lt;TIME(16,0,0)),"Morning",
  AND(L2038&gt;=TIME(16,0,0), L2038&lt;TIME(23,59,0)),"Evening",
  L2038&gt;=TIME(23,59,0),"Night",
  L2038&lt;TIME(9,0,0),"Night"
))</f>
        <v/>
      </c>
      <c r="O2038" t="str">
        <f t="shared" si="188"/>
        <v/>
      </c>
    </row>
    <row r="2039" spans="7:15" x14ac:dyDescent="0.25">
      <c r="G2039" t="str">
        <f t="shared" si="186"/>
        <v/>
      </c>
      <c r="H2039" s="13" t="str">
        <f t="shared" si="189"/>
        <v/>
      </c>
      <c r="I2039" t="str">
        <f>IFERROR(INDEX(Analysis!$D$116:$N$137, MATCH(B2039, Analysis!$C$116:$C$137, 0), MATCH(C2039, Analysis!$D$115:$N$115, 0)), "")</f>
        <v/>
      </c>
      <c r="J2039" t="str">
        <f t="shared" si="190"/>
        <v/>
      </c>
      <c r="K2039" s="28" t="str">
        <f t="shared" si="187"/>
        <v/>
      </c>
      <c r="L2039" s="46" t="str">
        <f t="shared" si="191"/>
        <v/>
      </c>
      <c r="M2039" t="str" cm="1">
        <f t="array" ref="M2039">IF(L2039="","",_xlfn.IFS(
  AND(L2039&gt;=TIME(9,0,0), L2039&lt;TIME(16,0,0)),"Morning",
  AND(L2039&gt;=TIME(16,0,0), L2039&lt;TIME(23,59,0)),"Evening",
  L2039&gt;=TIME(23,59,0),"Night",
  L2039&lt;TIME(9,0,0),"Night"
))</f>
        <v/>
      </c>
      <c r="O2039" t="str">
        <f t="shared" si="188"/>
        <v/>
      </c>
    </row>
    <row r="2040" spans="7:15" x14ac:dyDescent="0.25">
      <c r="G2040" t="str">
        <f t="shared" si="186"/>
        <v/>
      </c>
      <c r="H2040" s="13" t="str">
        <f t="shared" si="189"/>
        <v/>
      </c>
      <c r="I2040" t="str">
        <f>IFERROR(INDEX(Analysis!$D$116:$N$137, MATCH(B2040, Analysis!$C$116:$C$137, 0), MATCH(C2040, Analysis!$D$115:$N$115, 0)), "")</f>
        <v/>
      </c>
      <c r="J2040" t="str">
        <f t="shared" si="190"/>
        <v/>
      </c>
      <c r="K2040" s="28" t="str">
        <f t="shared" si="187"/>
        <v/>
      </c>
      <c r="L2040" s="46" t="str">
        <f t="shared" si="191"/>
        <v/>
      </c>
      <c r="M2040" t="str" cm="1">
        <f t="array" ref="M2040">IF(L2040="","",_xlfn.IFS(
  AND(L2040&gt;=TIME(9,0,0), L2040&lt;TIME(16,0,0)),"Morning",
  AND(L2040&gt;=TIME(16,0,0), L2040&lt;TIME(23,59,0)),"Evening",
  L2040&gt;=TIME(23,59,0),"Night",
  L2040&lt;TIME(9,0,0),"Night"
))</f>
        <v/>
      </c>
      <c r="O2040" t="str">
        <f t="shared" si="188"/>
        <v/>
      </c>
    </row>
    <row r="2041" spans="7:15" x14ac:dyDescent="0.25">
      <c r="G2041" t="str">
        <f t="shared" si="186"/>
        <v/>
      </c>
      <c r="H2041" s="13" t="str">
        <f t="shared" si="189"/>
        <v/>
      </c>
      <c r="I2041" t="str">
        <f>IFERROR(INDEX(Analysis!$D$116:$N$137, MATCH(B2041, Analysis!$C$116:$C$137, 0), MATCH(C2041, Analysis!$D$115:$N$115, 0)), "")</f>
        <v/>
      </c>
      <c r="J2041" t="str">
        <f t="shared" si="190"/>
        <v/>
      </c>
      <c r="K2041" s="28" t="str">
        <f t="shared" si="187"/>
        <v/>
      </c>
      <c r="L2041" s="46" t="str">
        <f t="shared" si="191"/>
        <v/>
      </c>
      <c r="M2041" t="str" cm="1">
        <f t="array" ref="M2041">IF(L2041="","",_xlfn.IFS(
  AND(L2041&gt;=TIME(9,0,0), L2041&lt;TIME(16,0,0)),"Morning",
  AND(L2041&gt;=TIME(16,0,0), L2041&lt;TIME(23,59,0)),"Evening",
  L2041&gt;=TIME(23,59,0),"Night",
  L2041&lt;TIME(9,0,0),"Night"
))</f>
        <v/>
      </c>
      <c r="O2041" t="str">
        <f t="shared" si="188"/>
        <v/>
      </c>
    </row>
    <row r="2042" spans="7:15" x14ac:dyDescent="0.25">
      <c r="G2042" t="str">
        <f t="shared" si="186"/>
        <v/>
      </c>
      <c r="H2042" s="13" t="str">
        <f t="shared" si="189"/>
        <v/>
      </c>
      <c r="I2042" t="str">
        <f>IFERROR(INDEX(Analysis!$D$116:$N$137, MATCH(B2042, Analysis!$C$116:$C$137, 0), MATCH(C2042, Analysis!$D$115:$N$115, 0)), "")</f>
        <v/>
      </c>
      <c r="J2042" t="str">
        <f t="shared" si="190"/>
        <v/>
      </c>
      <c r="K2042" s="28" t="str">
        <f t="shared" si="187"/>
        <v/>
      </c>
      <c r="L2042" s="46" t="str">
        <f t="shared" si="191"/>
        <v/>
      </c>
      <c r="M2042" t="str" cm="1">
        <f t="array" ref="M2042">IF(L2042="","",_xlfn.IFS(
  AND(L2042&gt;=TIME(9,0,0), L2042&lt;TIME(16,0,0)),"Morning",
  AND(L2042&gt;=TIME(16,0,0), L2042&lt;TIME(23,59,0)),"Evening",
  L2042&gt;=TIME(23,59,0),"Night",
  L2042&lt;TIME(9,0,0),"Night"
))</f>
        <v/>
      </c>
      <c r="O2042" t="str">
        <f t="shared" si="188"/>
        <v/>
      </c>
    </row>
    <row r="2043" spans="7:15" x14ac:dyDescent="0.25">
      <c r="G2043" t="str">
        <f t="shared" si="186"/>
        <v/>
      </c>
      <c r="H2043" s="13" t="str">
        <f t="shared" si="189"/>
        <v/>
      </c>
      <c r="I2043" t="str">
        <f>IFERROR(INDEX(Analysis!$D$116:$N$137, MATCH(B2043, Analysis!$C$116:$C$137, 0), MATCH(C2043, Analysis!$D$115:$N$115, 0)), "")</f>
        <v/>
      </c>
      <c r="J2043" t="str">
        <f t="shared" si="190"/>
        <v/>
      </c>
      <c r="K2043" s="28" t="str">
        <f t="shared" si="187"/>
        <v/>
      </c>
      <c r="L2043" s="46" t="str">
        <f t="shared" si="191"/>
        <v/>
      </c>
      <c r="M2043" t="str" cm="1">
        <f t="array" ref="M2043">IF(L2043="","",_xlfn.IFS(
  AND(L2043&gt;=TIME(9,0,0), L2043&lt;TIME(16,0,0)),"Morning",
  AND(L2043&gt;=TIME(16,0,0), L2043&lt;TIME(23,59,0)),"Evening",
  L2043&gt;=TIME(23,59,0),"Night",
  L2043&lt;TIME(9,0,0),"Night"
))</f>
        <v/>
      </c>
      <c r="O2043" t="str">
        <f t="shared" si="188"/>
        <v/>
      </c>
    </row>
    <row r="2044" spans="7:15" x14ac:dyDescent="0.25">
      <c r="G2044" t="str">
        <f t="shared" si="186"/>
        <v/>
      </c>
      <c r="H2044" s="13" t="str">
        <f t="shared" si="189"/>
        <v/>
      </c>
      <c r="I2044" t="str">
        <f>IFERROR(INDEX(Analysis!$D$116:$N$137, MATCH(B2044, Analysis!$C$116:$C$137, 0), MATCH(C2044, Analysis!$D$115:$N$115, 0)), "")</f>
        <v/>
      </c>
      <c r="J2044" t="str">
        <f t="shared" si="190"/>
        <v/>
      </c>
      <c r="K2044" s="28" t="str">
        <f t="shared" si="187"/>
        <v/>
      </c>
      <c r="L2044" s="46" t="str">
        <f t="shared" si="191"/>
        <v/>
      </c>
      <c r="M2044" t="str" cm="1">
        <f t="array" ref="M2044">IF(L2044="","",_xlfn.IFS(
  AND(L2044&gt;=TIME(9,0,0), L2044&lt;TIME(16,0,0)),"Morning",
  AND(L2044&gt;=TIME(16,0,0), L2044&lt;TIME(23,59,0)),"Evening",
  L2044&gt;=TIME(23,59,0),"Night",
  L2044&lt;TIME(9,0,0),"Night"
))</f>
        <v/>
      </c>
      <c r="O2044" t="str">
        <f t="shared" si="188"/>
        <v/>
      </c>
    </row>
    <row r="2045" spans="7:15" x14ac:dyDescent="0.25">
      <c r="G2045" t="str">
        <f t="shared" si="186"/>
        <v/>
      </c>
      <c r="H2045" s="13" t="str">
        <f t="shared" si="189"/>
        <v/>
      </c>
      <c r="I2045" t="str">
        <f>IFERROR(INDEX(Analysis!$D$116:$N$137, MATCH(B2045, Analysis!$C$116:$C$137, 0), MATCH(C2045, Analysis!$D$115:$N$115, 0)), "")</f>
        <v/>
      </c>
      <c r="J2045" t="str">
        <f t="shared" si="190"/>
        <v/>
      </c>
      <c r="K2045" s="28" t="str">
        <f t="shared" si="187"/>
        <v/>
      </c>
      <c r="L2045" s="46" t="str">
        <f t="shared" si="191"/>
        <v/>
      </c>
      <c r="M2045" t="str" cm="1">
        <f t="array" ref="M2045">IF(L2045="","",_xlfn.IFS(
  AND(L2045&gt;=TIME(9,0,0), L2045&lt;TIME(16,0,0)),"Morning",
  AND(L2045&gt;=TIME(16,0,0), L2045&lt;TIME(23,59,0)),"Evening",
  L2045&gt;=TIME(23,59,0),"Night",
  L2045&lt;TIME(9,0,0),"Night"
))</f>
        <v/>
      </c>
      <c r="O2045" t="str">
        <f t="shared" si="188"/>
        <v/>
      </c>
    </row>
    <row r="2046" spans="7:15" x14ac:dyDescent="0.25">
      <c r="G2046" t="str">
        <f t="shared" si="186"/>
        <v/>
      </c>
      <c r="H2046" s="13" t="str">
        <f t="shared" si="189"/>
        <v/>
      </c>
      <c r="I2046" t="str">
        <f>IFERROR(INDEX(Analysis!$D$116:$N$137, MATCH(B2046, Analysis!$C$116:$C$137, 0), MATCH(C2046, Analysis!$D$115:$N$115, 0)), "")</f>
        <v/>
      </c>
      <c r="J2046" t="str">
        <f t="shared" si="190"/>
        <v/>
      </c>
      <c r="K2046" s="28" t="str">
        <f t="shared" si="187"/>
        <v/>
      </c>
      <c r="L2046" s="46" t="str">
        <f t="shared" si="191"/>
        <v/>
      </c>
      <c r="M2046" t="str" cm="1">
        <f t="array" ref="M2046">IF(L2046="","",_xlfn.IFS(
  AND(L2046&gt;=TIME(9,0,0), L2046&lt;TIME(16,0,0)),"Morning",
  AND(L2046&gt;=TIME(16,0,0), L2046&lt;TIME(23,59,0)),"Evening",
  L2046&gt;=TIME(23,59,0),"Night",
  L2046&lt;TIME(9,0,0),"Night"
))</f>
        <v/>
      </c>
      <c r="O2046" t="str">
        <f t="shared" si="188"/>
        <v/>
      </c>
    </row>
    <row r="2047" spans="7:15" x14ac:dyDescent="0.25">
      <c r="G2047" t="str">
        <f t="shared" si="186"/>
        <v/>
      </c>
      <c r="H2047" s="13" t="str">
        <f t="shared" si="189"/>
        <v/>
      </c>
      <c r="I2047" t="str">
        <f>IFERROR(INDEX(Analysis!$D$116:$N$137, MATCH(B2047, Analysis!$C$116:$C$137, 0), MATCH(C2047, Analysis!$D$115:$N$115, 0)), "")</f>
        <v/>
      </c>
      <c r="J2047" t="str">
        <f t="shared" si="190"/>
        <v/>
      </c>
      <c r="K2047" s="28" t="str">
        <f t="shared" si="187"/>
        <v/>
      </c>
      <c r="L2047" s="46" t="str">
        <f t="shared" si="191"/>
        <v/>
      </c>
      <c r="M2047" t="str" cm="1">
        <f t="array" ref="M2047">IF(L2047="","",_xlfn.IFS(
  AND(L2047&gt;=TIME(9,0,0), L2047&lt;TIME(16,0,0)),"Morning",
  AND(L2047&gt;=TIME(16,0,0), L2047&lt;TIME(23,59,0)),"Evening",
  L2047&gt;=TIME(23,59,0),"Night",
  L2047&lt;TIME(9,0,0),"Night"
))</f>
        <v/>
      </c>
      <c r="O2047" t="str">
        <f t="shared" si="188"/>
        <v/>
      </c>
    </row>
    <row r="2048" spans="7:15" x14ac:dyDescent="0.25">
      <c r="G2048" t="str">
        <f t="shared" si="186"/>
        <v/>
      </c>
      <c r="H2048" s="13" t="str">
        <f t="shared" si="189"/>
        <v/>
      </c>
      <c r="I2048" t="str">
        <f>IFERROR(INDEX(Analysis!$D$116:$N$137, MATCH(B2048, Analysis!$C$116:$C$137, 0), MATCH(C2048, Analysis!$D$115:$N$115, 0)), "")</f>
        <v/>
      </c>
      <c r="J2048" t="str">
        <f t="shared" si="190"/>
        <v/>
      </c>
      <c r="K2048" s="28" t="str">
        <f t="shared" si="187"/>
        <v/>
      </c>
      <c r="L2048" s="46" t="str">
        <f t="shared" si="191"/>
        <v/>
      </c>
      <c r="M2048" t="str" cm="1">
        <f t="array" ref="M2048">IF(L2048="","",_xlfn.IFS(
  AND(L2048&gt;=TIME(9,0,0), L2048&lt;TIME(16,0,0)),"Morning",
  AND(L2048&gt;=TIME(16,0,0), L2048&lt;TIME(23,59,0)),"Evening",
  L2048&gt;=TIME(23,59,0),"Night",
  L2048&lt;TIME(9,0,0),"Night"
))</f>
        <v/>
      </c>
      <c r="O2048" t="str">
        <f t="shared" si="188"/>
        <v/>
      </c>
    </row>
    <row r="2049" spans="7:15" x14ac:dyDescent="0.25">
      <c r="G2049" t="str">
        <f t="shared" si="186"/>
        <v/>
      </c>
      <c r="H2049" s="13" t="str">
        <f t="shared" si="189"/>
        <v/>
      </c>
      <c r="I2049" t="str">
        <f>IFERROR(INDEX(Analysis!$D$116:$N$137, MATCH(B2049, Analysis!$C$116:$C$137, 0), MATCH(C2049, Analysis!$D$115:$N$115, 0)), "")</f>
        <v/>
      </c>
      <c r="J2049" t="str">
        <f t="shared" si="190"/>
        <v/>
      </c>
      <c r="K2049" s="28" t="str">
        <f t="shared" si="187"/>
        <v/>
      </c>
      <c r="L2049" s="46" t="str">
        <f t="shared" si="191"/>
        <v/>
      </c>
      <c r="M2049" t="str" cm="1">
        <f t="array" ref="M2049">IF(L2049="","",_xlfn.IFS(
  AND(L2049&gt;=TIME(9,0,0), L2049&lt;TIME(16,0,0)),"Morning",
  AND(L2049&gt;=TIME(16,0,0), L2049&lt;TIME(23,59,0)),"Evening",
  L2049&gt;=TIME(23,59,0),"Night",
  L2049&lt;TIME(9,0,0),"Night"
))</f>
        <v/>
      </c>
      <c r="O2049" t="str">
        <f t="shared" si="188"/>
        <v/>
      </c>
    </row>
    <row r="2050" spans="7:15" x14ac:dyDescent="0.25">
      <c r="G2050" t="str">
        <f t="shared" ref="G2050:G2113" si="192">IF(ISBLANK(A2050), "", IF(ISBLANK(F2050), 0, F2050))</f>
        <v/>
      </c>
      <c r="H2050" s="13" t="str">
        <f t="shared" si="189"/>
        <v/>
      </c>
      <c r="I2050" t="str">
        <f>IFERROR(INDEX(Analysis!$D$116:$N$137, MATCH(B2050, Analysis!$C$116:$C$137, 0), MATCH(C2050, Analysis!$D$115:$N$115, 0)), "")</f>
        <v/>
      </c>
      <c r="J2050" t="str">
        <f t="shared" si="190"/>
        <v/>
      </c>
      <c r="K2050" s="28" t="str">
        <f t="shared" ref="K2050:K2113" si="193">IF(ISBLANK(A2050),"",DATE(YEAR(A2050),MONTH(A2050),DAY(A2050)))</f>
        <v/>
      </c>
      <c r="L2050" s="46" t="str">
        <f t="shared" si="191"/>
        <v/>
      </c>
      <c r="M2050" t="str" cm="1">
        <f t="array" ref="M2050">IF(L2050="","",_xlfn.IFS(
  AND(L2050&gt;=TIME(9,0,0), L2050&lt;TIME(16,0,0)),"Morning",
  AND(L2050&gt;=TIME(16,0,0), L2050&lt;TIME(23,59,0)),"Evening",
  L2050&gt;=TIME(23,59,0),"Night",
  L2050&lt;TIME(9,0,0),"Night"
))</f>
        <v/>
      </c>
      <c r="O2050" t="str">
        <f t="shared" ref="O2050:O2113" si="194">IF(N2050="ON", _xlfn.IMAGE(E2050, 1), "")</f>
        <v/>
      </c>
    </row>
    <row r="2051" spans="7:15" x14ac:dyDescent="0.25">
      <c r="G2051" t="str">
        <f t="shared" si="192"/>
        <v/>
      </c>
      <c r="H2051" s="13" t="str">
        <f t="shared" ref="H2051:H2114" si="195">IF(ISBLANK(E2051),"",HYPERLINK(E2051,"Click here"))</f>
        <v/>
      </c>
      <c r="I2051" t="str">
        <f>IFERROR(INDEX(Analysis!$D$116:$N$137, MATCH(B2051, Analysis!$C$116:$C$137, 0), MATCH(C2051, Analysis!$D$115:$N$115, 0)), "")</f>
        <v/>
      </c>
      <c r="J2051" t="str">
        <f t="shared" ref="J2051:J2114" si="196">IF(ISBLANK(A2051),"",WEEKNUM(A2051))</f>
        <v/>
      </c>
      <c r="K2051" s="28" t="str">
        <f t="shared" si="193"/>
        <v/>
      </c>
      <c r="L2051" s="46" t="str">
        <f t="shared" ref="L2051:L2114" si="197">IF(A2051="", "", A2051 - INT(A2051))</f>
        <v/>
      </c>
      <c r="M2051" t="str" cm="1">
        <f t="array" ref="M2051">IF(L2051="","",_xlfn.IFS(
  AND(L2051&gt;=TIME(9,0,0), L2051&lt;TIME(16,0,0)),"Morning",
  AND(L2051&gt;=TIME(16,0,0), L2051&lt;TIME(23,59,0)),"Evening",
  L2051&gt;=TIME(23,59,0),"Night",
  L2051&lt;TIME(9,0,0),"Night"
))</f>
        <v/>
      </c>
      <c r="O2051" t="str">
        <f t="shared" si="194"/>
        <v/>
      </c>
    </row>
    <row r="2052" spans="7:15" x14ac:dyDescent="0.25">
      <c r="G2052" t="str">
        <f t="shared" si="192"/>
        <v/>
      </c>
      <c r="H2052" s="13" t="str">
        <f t="shared" si="195"/>
        <v/>
      </c>
      <c r="I2052" t="str">
        <f>IFERROR(INDEX(Analysis!$D$116:$N$137, MATCH(B2052, Analysis!$C$116:$C$137, 0), MATCH(C2052, Analysis!$D$115:$N$115, 0)), "")</f>
        <v/>
      </c>
      <c r="J2052" t="str">
        <f t="shared" si="196"/>
        <v/>
      </c>
      <c r="K2052" s="28" t="str">
        <f t="shared" si="193"/>
        <v/>
      </c>
      <c r="L2052" s="46" t="str">
        <f t="shared" si="197"/>
        <v/>
      </c>
      <c r="M2052" t="str" cm="1">
        <f t="array" ref="M2052">IF(L2052="","",_xlfn.IFS(
  AND(L2052&gt;=TIME(9,0,0), L2052&lt;TIME(16,0,0)),"Morning",
  AND(L2052&gt;=TIME(16,0,0), L2052&lt;TIME(23,59,0)),"Evening",
  L2052&gt;=TIME(23,59,0),"Night",
  L2052&lt;TIME(9,0,0),"Night"
))</f>
        <v/>
      </c>
      <c r="O2052" t="str">
        <f t="shared" si="194"/>
        <v/>
      </c>
    </row>
    <row r="2053" spans="7:15" x14ac:dyDescent="0.25">
      <c r="G2053" t="str">
        <f t="shared" si="192"/>
        <v/>
      </c>
      <c r="H2053" s="13" t="str">
        <f t="shared" si="195"/>
        <v/>
      </c>
      <c r="I2053" t="str">
        <f>IFERROR(INDEX(Analysis!$D$116:$N$137, MATCH(B2053, Analysis!$C$116:$C$137, 0), MATCH(C2053, Analysis!$D$115:$N$115, 0)), "")</f>
        <v/>
      </c>
      <c r="J2053" t="str">
        <f t="shared" si="196"/>
        <v/>
      </c>
      <c r="K2053" s="28" t="str">
        <f t="shared" si="193"/>
        <v/>
      </c>
      <c r="L2053" s="46" t="str">
        <f t="shared" si="197"/>
        <v/>
      </c>
      <c r="M2053" t="str" cm="1">
        <f t="array" ref="M2053">IF(L2053="","",_xlfn.IFS(
  AND(L2053&gt;=TIME(9,0,0), L2053&lt;TIME(16,0,0)),"Morning",
  AND(L2053&gt;=TIME(16,0,0), L2053&lt;TIME(23,59,0)),"Evening",
  L2053&gt;=TIME(23,59,0),"Night",
  L2053&lt;TIME(9,0,0),"Night"
))</f>
        <v/>
      </c>
      <c r="O2053" t="str">
        <f t="shared" si="194"/>
        <v/>
      </c>
    </row>
    <row r="2054" spans="7:15" x14ac:dyDescent="0.25">
      <c r="G2054" t="str">
        <f t="shared" si="192"/>
        <v/>
      </c>
      <c r="H2054" s="13" t="str">
        <f t="shared" si="195"/>
        <v/>
      </c>
      <c r="I2054" t="str">
        <f>IFERROR(INDEX(Analysis!$D$116:$N$137, MATCH(B2054, Analysis!$C$116:$C$137, 0), MATCH(C2054, Analysis!$D$115:$N$115, 0)), "")</f>
        <v/>
      </c>
      <c r="J2054" t="str">
        <f t="shared" si="196"/>
        <v/>
      </c>
      <c r="K2054" s="28" t="str">
        <f t="shared" si="193"/>
        <v/>
      </c>
      <c r="L2054" s="46" t="str">
        <f t="shared" si="197"/>
        <v/>
      </c>
      <c r="M2054" t="str" cm="1">
        <f t="array" ref="M2054">IF(L2054="","",_xlfn.IFS(
  AND(L2054&gt;=TIME(9,0,0), L2054&lt;TIME(16,0,0)),"Morning",
  AND(L2054&gt;=TIME(16,0,0), L2054&lt;TIME(23,59,0)),"Evening",
  L2054&gt;=TIME(23,59,0),"Night",
  L2054&lt;TIME(9,0,0),"Night"
))</f>
        <v/>
      </c>
      <c r="O2054" t="str">
        <f t="shared" si="194"/>
        <v/>
      </c>
    </row>
    <row r="2055" spans="7:15" x14ac:dyDescent="0.25">
      <c r="G2055" t="str">
        <f t="shared" si="192"/>
        <v/>
      </c>
      <c r="H2055" s="13" t="str">
        <f t="shared" si="195"/>
        <v/>
      </c>
      <c r="I2055" t="str">
        <f>IFERROR(INDEX(Analysis!$D$116:$N$137, MATCH(B2055, Analysis!$C$116:$C$137, 0), MATCH(C2055, Analysis!$D$115:$N$115, 0)), "")</f>
        <v/>
      </c>
      <c r="J2055" t="str">
        <f t="shared" si="196"/>
        <v/>
      </c>
      <c r="K2055" s="28" t="str">
        <f t="shared" si="193"/>
        <v/>
      </c>
      <c r="L2055" s="46" t="str">
        <f t="shared" si="197"/>
        <v/>
      </c>
      <c r="M2055" t="str" cm="1">
        <f t="array" ref="M2055">IF(L2055="","",_xlfn.IFS(
  AND(L2055&gt;=TIME(9,0,0), L2055&lt;TIME(16,0,0)),"Morning",
  AND(L2055&gt;=TIME(16,0,0), L2055&lt;TIME(23,59,0)),"Evening",
  L2055&gt;=TIME(23,59,0),"Night",
  L2055&lt;TIME(9,0,0),"Night"
))</f>
        <v/>
      </c>
      <c r="O2055" t="str">
        <f t="shared" si="194"/>
        <v/>
      </c>
    </row>
    <row r="2056" spans="7:15" x14ac:dyDescent="0.25">
      <c r="G2056" t="str">
        <f t="shared" si="192"/>
        <v/>
      </c>
      <c r="H2056" s="13" t="str">
        <f t="shared" si="195"/>
        <v/>
      </c>
      <c r="I2056" t="str">
        <f>IFERROR(INDEX(Analysis!$D$116:$N$137, MATCH(B2056, Analysis!$C$116:$C$137, 0), MATCH(C2056, Analysis!$D$115:$N$115, 0)), "")</f>
        <v/>
      </c>
      <c r="J2056" t="str">
        <f t="shared" si="196"/>
        <v/>
      </c>
      <c r="K2056" s="28" t="str">
        <f t="shared" si="193"/>
        <v/>
      </c>
      <c r="L2056" s="46" t="str">
        <f t="shared" si="197"/>
        <v/>
      </c>
      <c r="M2056" t="str" cm="1">
        <f t="array" ref="M2056">IF(L2056="","",_xlfn.IFS(
  AND(L2056&gt;=TIME(9,0,0), L2056&lt;TIME(16,0,0)),"Morning",
  AND(L2056&gt;=TIME(16,0,0), L2056&lt;TIME(23,59,0)),"Evening",
  L2056&gt;=TIME(23,59,0),"Night",
  L2056&lt;TIME(9,0,0),"Night"
))</f>
        <v/>
      </c>
      <c r="O2056" t="str">
        <f t="shared" si="194"/>
        <v/>
      </c>
    </row>
    <row r="2057" spans="7:15" x14ac:dyDescent="0.25">
      <c r="G2057" t="str">
        <f t="shared" si="192"/>
        <v/>
      </c>
      <c r="H2057" s="13" t="str">
        <f t="shared" si="195"/>
        <v/>
      </c>
      <c r="I2057" t="str">
        <f>IFERROR(INDEX(Analysis!$D$116:$N$137, MATCH(B2057, Analysis!$C$116:$C$137, 0), MATCH(C2057, Analysis!$D$115:$N$115, 0)), "")</f>
        <v/>
      </c>
      <c r="J2057" t="str">
        <f t="shared" si="196"/>
        <v/>
      </c>
      <c r="K2057" s="28" t="str">
        <f t="shared" si="193"/>
        <v/>
      </c>
      <c r="L2057" s="46" t="str">
        <f t="shared" si="197"/>
        <v/>
      </c>
      <c r="M2057" t="str" cm="1">
        <f t="array" ref="M2057">IF(L2057="","",_xlfn.IFS(
  AND(L2057&gt;=TIME(9,0,0), L2057&lt;TIME(16,0,0)),"Morning",
  AND(L2057&gt;=TIME(16,0,0), L2057&lt;TIME(23,59,0)),"Evening",
  L2057&gt;=TIME(23,59,0),"Night",
  L2057&lt;TIME(9,0,0),"Night"
))</f>
        <v/>
      </c>
      <c r="O2057" t="str">
        <f t="shared" si="194"/>
        <v/>
      </c>
    </row>
    <row r="2058" spans="7:15" x14ac:dyDescent="0.25">
      <c r="G2058" t="str">
        <f t="shared" si="192"/>
        <v/>
      </c>
      <c r="H2058" s="13" t="str">
        <f t="shared" si="195"/>
        <v/>
      </c>
      <c r="I2058" t="str">
        <f>IFERROR(INDEX(Analysis!$D$116:$N$137, MATCH(B2058, Analysis!$C$116:$C$137, 0), MATCH(C2058, Analysis!$D$115:$N$115, 0)), "")</f>
        <v/>
      </c>
      <c r="J2058" t="str">
        <f t="shared" si="196"/>
        <v/>
      </c>
      <c r="K2058" s="28" t="str">
        <f t="shared" si="193"/>
        <v/>
      </c>
      <c r="L2058" s="46" t="str">
        <f t="shared" si="197"/>
        <v/>
      </c>
      <c r="M2058" t="str" cm="1">
        <f t="array" ref="M2058">IF(L2058="","",_xlfn.IFS(
  AND(L2058&gt;=TIME(9,0,0), L2058&lt;TIME(16,0,0)),"Morning",
  AND(L2058&gt;=TIME(16,0,0), L2058&lt;TIME(23,59,0)),"Evening",
  L2058&gt;=TIME(23,59,0),"Night",
  L2058&lt;TIME(9,0,0),"Night"
))</f>
        <v/>
      </c>
      <c r="O2058" t="str">
        <f t="shared" si="194"/>
        <v/>
      </c>
    </row>
    <row r="2059" spans="7:15" x14ac:dyDescent="0.25">
      <c r="G2059" t="str">
        <f t="shared" si="192"/>
        <v/>
      </c>
      <c r="H2059" s="13" t="str">
        <f t="shared" si="195"/>
        <v/>
      </c>
      <c r="I2059" t="str">
        <f>IFERROR(INDEX(Analysis!$D$116:$N$137, MATCH(B2059, Analysis!$C$116:$C$137, 0), MATCH(C2059, Analysis!$D$115:$N$115, 0)), "")</f>
        <v/>
      </c>
      <c r="J2059" t="str">
        <f t="shared" si="196"/>
        <v/>
      </c>
      <c r="K2059" s="28" t="str">
        <f t="shared" si="193"/>
        <v/>
      </c>
      <c r="L2059" s="46" t="str">
        <f t="shared" si="197"/>
        <v/>
      </c>
      <c r="M2059" t="str" cm="1">
        <f t="array" ref="M2059">IF(L2059="","",_xlfn.IFS(
  AND(L2059&gt;=TIME(9,0,0), L2059&lt;TIME(16,0,0)),"Morning",
  AND(L2059&gt;=TIME(16,0,0), L2059&lt;TIME(23,59,0)),"Evening",
  L2059&gt;=TIME(23,59,0),"Night",
  L2059&lt;TIME(9,0,0),"Night"
))</f>
        <v/>
      </c>
      <c r="O2059" t="str">
        <f t="shared" si="194"/>
        <v/>
      </c>
    </row>
    <row r="2060" spans="7:15" x14ac:dyDescent="0.25">
      <c r="G2060" t="str">
        <f t="shared" si="192"/>
        <v/>
      </c>
      <c r="H2060" s="13" t="str">
        <f t="shared" si="195"/>
        <v/>
      </c>
      <c r="I2060" t="str">
        <f>IFERROR(INDEX(Analysis!$D$116:$N$137, MATCH(B2060, Analysis!$C$116:$C$137, 0), MATCH(C2060, Analysis!$D$115:$N$115, 0)), "")</f>
        <v/>
      </c>
      <c r="J2060" t="str">
        <f t="shared" si="196"/>
        <v/>
      </c>
      <c r="K2060" s="28" t="str">
        <f t="shared" si="193"/>
        <v/>
      </c>
      <c r="L2060" s="46" t="str">
        <f t="shared" si="197"/>
        <v/>
      </c>
      <c r="M2060" t="str" cm="1">
        <f t="array" ref="M2060">IF(L2060="","",_xlfn.IFS(
  AND(L2060&gt;=TIME(9,0,0), L2060&lt;TIME(16,0,0)),"Morning",
  AND(L2060&gt;=TIME(16,0,0), L2060&lt;TIME(23,59,0)),"Evening",
  L2060&gt;=TIME(23,59,0),"Night",
  L2060&lt;TIME(9,0,0),"Night"
))</f>
        <v/>
      </c>
      <c r="O2060" t="str">
        <f t="shared" si="194"/>
        <v/>
      </c>
    </row>
    <row r="2061" spans="7:15" x14ac:dyDescent="0.25">
      <c r="G2061" t="str">
        <f t="shared" si="192"/>
        <v/>
      </c>
      <c r="H2061" s="13" t="str">
        <f t="shared" si="195"/>
        <v/>
      </c>
      <c r="I2061" t="str">
        <f>IFERROR(INDEX(Analysis!$D$116:$N$137, MATCH(B2061, Analysis!$C$116:$C$137, 0), MATCH(C2061, Analysis!$D$115:$N$115, 0)), "")</f>
        <v/>
      </c>
      <c r="J2061" t="str">
        <f t="shared" si="196"/>
        <v/>
      </c>
      <c r="K2061" s="28" t="str">
        <f t="shared" si="193"/>
        <v/>
      </c>
      <c r="L2061" s="46" t="str">
        <f t="shared" si="197"/>
        <v/>
      </c>
      <c r="M2061" t="str" cm="1">
        <f t="array" ref="M2061">IF(L2061="","",_xlfn.IFS(
  AND(L2061&gt;=TIME(9,0,0), L2061&lt;TIME(16,0,0)),"Morning",
  AND(L2061&gt;=TIME(16,0,0), L2061&lt;TIME(23,59,0)),"Evening",
  L2061&gt;=TIME(23,59,0),"Night",
  L2061&lt;TIME(9,0,0),"Night"
))</f>
        <v/>
      </c>
      <c r="O2061" t="str">
        <f t="shared" si="194"/>
        <v/>
      </c>
    </row>
    <row r="2062" spans="7:15" x14ac:dyDescent="0.25">
      <c r="G2062" t="str">
        <f t="shared" si="192"/>
        <v/>
      </c>
      <c r="H2062" s="13" t="str">
        <f t="shared" si="195"/>
        <v/>
      </c>
      <c r="I2062" t="str">
        <f>IFERROR(INDEX(Analysis!$D$116:$N$137, MATCH(B2062, Analysis!$C$116:$C$137, 0), MATCH(C2062, Analysis!$D$115:$N$115, 0)), "")</f>
        <v/>
      </c>
      <c r="J2062" t="str">
        <f t="shared" si="196"/>
        <v/>
      </c>
      <c r="K2062" s="28" t="str">
        <f t="shared" si="193"/>
        <v/>
      </c>
      <c r="L2062" s="46" t="str">
        <f t="shared" si="197"/>
        <v/>
      </c>
      <c r="M2062" t="str" cm="1">
        <f t="array" ref="M2062">IF(L2062="","",_xlfn.IFS(
  AND(L2062&gt;=TIME(9,0,0), L2062&lt;TIME(16,0,0)),"Morning",
  AND(L2062&gt;=TIME(16,0,0), L2062&lt;TIME(23,59,0)),"Evening",
  L2062&gt;=TIME(23,59,0),"Night",
  L2062&lt;TIME(9,0,0),"Night"
))</f>
        <v/>
      </c>
      <c r="O2062" t="str">
        <f t="shared" si="194"/>
        <v/>
      </c>
    </row>
    <row r="2063" spans="7:15" x14ac:dyDescent="0.25">
      <c r="G2063" t="str">
        <f t="shared" si="192"/>
        <v/>
      </c>
      <c r="H2063" s="13" t="str">
        <f t="shared" si="195"/>
        <v/>
      </c>
      <c r="I2063" t="str">
        <f>IFERROR(INDEX(Analysis!$D$116:$N$137, MATCH(B2063, Analysis!$C$116:$C$137, 0), MATCH(C2063, Analysis!$D$115:$N$115, 0)), "")</f>
        <v/>
      </c>
      <c r="J2063" t="str">
        <f t="shared" si="196"/>
        <v/>
      </c>
      <c r="K2063" s="28" t="str">
        <f t="shared" si="193"/>
        <v/>
      </c>
      <c r="L2063" s="46" t="str">
        <f t="shared" si="197"/>
        <v/>
      </c>
      <c r="M2063" t="str" cm="1">
        <f t="array" ref="M2063">IF(L2063="","",_xlfn.IFS(
  AND(L2063&gt;=TIME(9,0,0), L2063&lt;TIME(16,0,0)),"Morning",
  AND(L2063&gt;=TIME(16,0,0), L2063&lt;TIME(23,59,0)),"Evening",
  L2063&gt;=TIME(23,59,0),"Night",
  L2063&lt;TIME(9,0,0),"Night"
))</f>
        <v/>
      </c>
      <c r="O2063" t="str">
        <f t="shared" si="194"/>
        <v/>
      </c>
    </row>
    <row r="2064" spans="7:15" x14ac:dyDescent="0.25">
      <c r="G2064" t="str">
        <f t="shared" si="192"/>
        <v/>
      </c>
      <c r="H2064" s="13" t="str">
        <f t="shared" si="195"/>
        <v/>
      </c>
      <c r="I2064" t="str">
        <f>IFERROR(INDEX(Analysis!$D$116:$N$137, MATCH(B2064, Analysis!$C$116:$C$137, 0), MATCH(C2064, Analysis!$D$115:$N$115, 0)), "")</f>
        <v/>
      </c>
      <c r="J2064" t="str">
        <f t="shared" si="196"/>
        <v/>
      </c>
      <c r="K2064" s="28" t="str">
        <f t="shared" si="193"/>
        <v/>
      </c>
      <c r="L2064" s="46" t="str">
        <f t="shared" si="197"/>
        <v/>
      </c>
      <c r="M2064" t="str" cm="1">
        <f t="array" ref="M2064">IF(L2064="","",_xlfn.IFS(
  AND(L2064&gt;=TIME(9,0,0), L2064&lt;TIME(16,0,0)),"Morning",
  AND(L2064&gt;=TIME(16,0,0), L2064&lt;TIME(23,59,0)),"Evening",
  L2064&gt;=TIME(23,59,0),"Night",
  L2064&lt;TIME(9,0,0),"Night"
))</f>
        <v/>
      </c>
      <c r="O2064" t="str">
        <f t="shared" si="194"/>
        <v/>
      </c>
    </row>
    <row r="2065" spans="7:15" x14ac:dyDescent="0.25">
      <c r="G2065" t="str">
        <f t="shared" si="192"/>
        <v/>
      </c>
      <c r="H2065" s="13" t="str">
        <f t="shared" si="195"/>
        <v/>
      </c>
      <c r="I2065" t="str">
        <f>IFERROR(INDEX(Analysis!$D$116:$N$137, MATCH(B2065, Analysis!$C$116:$C$137, 0), MATCH(C2065, Analysis!$D$115:$N$115, 0)), "")</f>
        <v/>
      </c>
      <c r="J2065" t="str">
        <f t="shared" si="196"/>
        <v/>
      </c>
      <c r="K2065" s="28" t="str">
        <f t="shared" si="193"/>
        <v/>
      </c>
      <c r="L2065" s="46" t="str">
        <f t="shared" si="197"/>
        <v/>
      </c>
      <c r="M2065" t="str" cm="1">
        <f t="array" ref="M2065">IF(L2065="","",_xlfn.IFS(
  AND(L2065&gt;=TIME(9,0,0), L2065&lt;TIME(16,0,0)),"Morning",
  AND(L2065&gt;=TIME(16,0,0), L2065&lt;TIME(23,59,0)),"Evening",
  L2065&gt;=TIME(23,59,0),"Night",
  L2065&lt;TIME(9,0,0),"Night"
))</f>
        <v/>
      </c>
      <c r="O2065" t="str">
        <f t="shared" si="194"/>
        <v/>
      </c>
    </row>
    <row r="2066" spans="7:15" x14ac:dyDescent="0.25">
      <c r="G2066" t="str">
        <f t="shared" si="192"/>
        <v/>
      </c>
      <c r="H2066" s="13" t="str">
        <f t="shared" si="195"/>
        <v/>
      </c>
      <c r="I2066" t="str">
        <f>IFERROR(INDEX(Analysis!$D$116:$N$137, MATCH(B2066, Analysis!$C$116:$C$137, 0), MATCH(C2066, Analysis!$D$115:$N$115, 0)), "")</f>
        <v/>
      </c>
      <c r="J2066" t="str">
        <f t="shared" si="196"/>
        <v/>
      </c>
      <c r="K2066" s="28" t="str">
        <f t="shared" si="193"/>
        <v/>
      </c>
      <c r="L2066" s="46" t="str">
        <f t="shared" si="197"/>
        <v/>
      </c>
      <c r="M2066" t="str" cm="1">
        <f t="array" ref="M2066">IF(L2066="","",_xlfn.IFS(
  AND(L2066&gt;=TIME(9,0,0), L2066&lt;TIME(16,0,0)),"Morning",
  AND(L2066&gt;=TIME(16,0,0), L2066&lt;TIME(23,59,0)),"Evening",
  L2066&gt;=TIME(23,59,0),"Night",
  L2066&lt;TIME(9,0,0),"Night"
))</f>
        <v/>
      </c>
      <c r="O2066" t="str">
        <f t="shared" si="194"/>
        <v/>
      </c>
    </row>
    <row r="2067" spans="7:15" x14ac:dyDescent="0.25">
      <c r="G2067" t="str">
        <f t="shared" si="192"/>
        <v/>
      </c>
      <c r="H2067" s="13" t="str">
        <f t="shared" si="195"/>
        <v/>
      </c>
      <c r="I2067" t="str">
        <f>IFERROR(INDEX(Analysis!$D$116:$N$137, MATCH(B2067, Analysis!$C$116:$C$137, 0), MATCH(C2067, Analysis!$D$115:$N$115, 0)), "")</f>
        <v/>
      </c>
      <c r="J2067" t="str">
        <f t="shared" si="196"/>
        <v/>
      </c>
      <c r="K2067" s="28" t="str">
        <f t="shared" si="193"/>
        <v/>
      </c>
      <c r="L2067" s="46" t="str">
        <f t="shared" si="197"/>
        <v/>
      </c>
      <c r="M2067" t="str" cm="1">
        <f t="array" ref="M2067">IF(L2067="","",_xlfn.IFS(
  AND(L2067&gt;=TIME(9,0,0), L2067&lt;TIME(16,0,0)),"Morning",
  AND(L2067&gt;=TIME(16,0,0), L2067&lt;TIME(23,59,0)),"Evening",
  L2067&gt;=TIME(23,59,0),"Night",
  L2067&lt;TIME(9,0,0),"Night"
))</f>
        <v/>
      </c>
      <c r="O2067" t="str">
        <f t="shared" si="194"/>
        <v/>
      </c>
    </row>
    <row r="2068" spans="7:15" x14ac:dyDescent="0.25">
      <c r="G2068" t="str">
        <f t="shared" si="192"/>
        <v/>
      </c>
      <c r="H2068" s="13" t="str">
        <f t="shared" si="195"/>
        <v/>
      </c>
      <c r="I2068" t="str">
        <f>IFERROR(INDEX(Analysis!$D$116:$N$137, MATCH(B2068, Analysis!$C$116:$C$137, 0), MATCH(C2068, Analysis!$D$115:$N$115, 0)), "")</f>
        <v/>
      </c>
      <c r="J2068" t="str">
        <f t="shared" si="196"/>
        <v/>
      </c>
      <c r="K2068" s="28" t="str">
        <f t="shared" si="193"/>
        <v/>
      </c>
      <c r="L2068" s="46" t="str">
        <f t="shared" si="197"/>
        <v/>
      </c>
      <c r="M2068" t="str" cm="1">
        <f t="array" ref="M2068">IF(L2068="","",_xlfn.IFS(
  AND(L2068&gt;=TIME(9,0,0), L2068&lt;TIME(16,0,0)),"Morning",
  AND(L2068&gt;=TIME(16,0,0), L2068&lt;TIME(23,59,0)),"Evening",
  L2068&gt;=TIME(23,59,0),"Night",
  L2068&lt;TIME(9,0,0),"Night"
))</f>
        <v/>
      </c>
      <c r="O2068" t="str">
        <f t="shared" si="194"/>
        <v/>
      </c>
    </row>
    <row r="2069" spans="7:15" x14ac:dyDescent="0.25">
      <c r="G2069" t="str">
        <f t="shared" si="192"/>
        <v/>
      </c>
      <c r="H2069" s="13" t="str">
        <f t="shared" si="195"/>
        <v/>
      </c>
      <c r="I2069" t="str">
        <f>IFERROR(INDEX(Analysis!$D$116:$N$137, MATCH(B2069, Analysis!$C$116:$C$137, 0), MATCH(C2069, Analysis!$D$115:$N$115, 0)), "")</f>
        <v/>
      </c>
      <c r="J2069" t="str">
        <f t="shared" si="196"/>
        <v/>
      </c>
      <c r="K2069" s="28" t="str">
        <f t="shared" si="193"/>
        <v/>
      </c>
      <c r="L2069" s="46" t="str">
        <f t="shared" si="197"/>
        <v/>
      </c>
      <c r="M2069" t="str" cm="1">
        <f t="array" ref="M2069">IF(L2069="","",_xlfn.IFS(
  AND(L2069&gt;=TIME(9,0,0), L2069&lt;TIME(16,0,0)),"Morning",
  AND(L2069&gt;=TIME(16,0,0), L2069&lt;TIME(23,59,0)),"Evening",
  L2069&gt;=TIME(23,59,0),"Night",
  L2069&lt;TIME(9,0,0),"Night"
))</f>
        <v/>
      </c>
      <c r="O2069" t="str">
        <f t="shared" si="194"/>
        <v/>
      </c>
    </row>
    <row r="2070" spans="7:15" x14ac:dyDescent="0.25">
      <c r="G2070" t="str">
        <f t="shared" si="192"/>
        <v/>
      </c>
      <c r="H2070" s="13" t="str">
        <f t="shared" si="195"/>
        <v/>
      </c>
      <c r="I2070" t="str">
        <f>IFERROR(INDEX(Analysis!$D$116:$N$137, MATCH(B2070, Analysis!$C$116:$C$137, 0), MATCH(C2070, Analysis!$D$115:$N$115, 0)), "")</f>
        <v/>
      </c>
      <c r="J2070" t="str">
        <f t="shared" si="196"/>
        <v/>
      </c>
      <c r="K2070" s="28" t="str">
        <f t="shared" si="193"/>
        <v/>
      </c>
      <c r="L2070" s="46" t="str">
        <f t="shared" si="197"/>
        <v/>
      </c>
      <c r="M2070" t="str" cm="1">
        <f t="array" ref="M2070">IF(L2070="","",_xlfn.IFS(
  AND(L2070&gt;=TIME(9,0,0), L2070&lt;TIME(16,0,0)),"Morning",
  AND(L2070&gt;=TIME(16,0,0), L2070&lt;TIME(23,59,0)),"Evening",
  L2070&gt;=TIME(23,59,0),"Night",
  L2070&lt;TIME(9,0,0),"Night"
))</f>
        <v/>
      </c>
      <c r="O2070" t="str">
        <f t="shared" si="194"/>
        <v/>
      </c>
    </row>
    <row r="2071" spans="7:15" x14ac:dyDescent="0.25">
      <c r="G2071" t="str">
        <f t="shared" si="192"/>
        <v/>
      </c>
      <c r="H2071" s="13" t="str">
        <f t="shared" si="195"/>
        <v/>
      </c>
      <c r="I2071" t="str">
        <f>IFERROR(INDEX(Analysis!$D$116:$N$137, MATCH(B2071, Analysis!$C$116:$C$137, 0), MATCH(C2071, Analysis!$D$115:$N$115, 0)), "")</f>
        <v/>
      </c>
      <c r="J2071" t="str">
        <f t="shared" si="196"/>
        <v/>
      </c>
      <c r="K2071" s="28" t="str">
        <f t="shared" si="193"/>
        <v/>
      </c>
      <c r="L2071" s="46" t="str">
        <f t="shared" si="197"/>
        <v/>
      </c>
      <c r="M2071" t="str" cm="1">
        <f t="array" ref="M2071">IF(L2071="","",_xlfn.IFS(
  AND(L2071&gt;=TIME(9,0,0), L2071&lt;TIME(16,0,0)),"Morning",
  AND(L2071&gt;=TIME(16,0,0), L2071&lt;TIME(23,59,0)),"Evening",
  L2071&gt;=TIME(23,59,0),"Night",
  L2071&lt;TIME(9,0,0),"Night"
))</f>
        <v/>
      </c>
      <c r="O2071" t="str">
        <f t="shared" si="194"/>
        <v/>
      </c>
    </row>
    <row r="2072" spans="7:15" x14ac:dyDescent="0.25">
      <c r="G2072" t="str">
        <f t="shared" si="192"/>
        <v/>
      </c>
      <c r="H2072" s="13" t="str">
        <f t="shared" si="195"/>
        <v/>
      </c>
      <c r="I2072" t="str">
        <f>IFERROR(INDEX(Analysis!$D$116:$N$137, MATCH(B2072, Analysis!$C$116:$C$137, 0), MATCH(C2072, Analysis!$D$115:$N$115, 0)), "")</f>
        <v/>
      </c>
      <c r="J2072" t="str">
        <f t="shared" si="196"/>
        <v/>
      </c>
      <c r="K2072" s="28" t="str">
        <f t="shared" si="193"/>
        <v/>
      </c>
      <c r="L2072" s="46" t="str">
        <f t="shared" si="197"/>
        <v/>
      </c>
      <c r="M2072" t="str" cm="1">
        <f t="array" ref="M2072">IF(L2072="","",_xlfn.IFS(
  AND(L2072&gt;=TIME(9,0,0), L2072&lt;TIME(16,0,0)),"Morning",
  AND(L2072&gt;=TIME(16,0,0), L2072&lt;TIME(23,59,0)),"Evening",
  L2072&gt;=TIME(23,59,0),"Night",
  L2072&lt;TIME(9,0,0),"Night"
))</f>
        <v/>
      </c>
      <c r="O2072" t="str">
        <f t="shared" si="194"/>
        <v/>
      </c>
    </row>
    <row r="2073" spans="7:15" x14ac:dyDescent="0.25">
      <c r="G2073" t="str">
        <f t="shared" si="192"/>
        <v/>
      </c>
      <c r="H2073" s="13" t="str">
        <f t="shared" si="195"/>
        <v/>
      </c>
      <c r="I2073" t="str">
        <f>IFERROR(INDEX(Analysis!$D$116:$N$137, MATCH(B2073, Analysis!$C$116:$C$137, 0), MATCH(C2073, Analysis!$D$115:$N$115, 0)), "")</f>
        <v/>
      </c>
      <c r="J2073" t="str">
        <f t="shared" si="196"/>
        <v/>
      </c>
      <c r="K2073" s="28" t="str">
        <f t="shared" si="193"/>
        <v/>
      </c>
      <c r="L2073" s="46" t="str">
        <f t="shared" si="197"/>
        <v/>
      </c>
      <c r="M2073" t="str" cm="1">
        <f t="array" ref="M2073">IF(L2073="","",_xlfn.IFS(
  AND(L2073&gt;=TIME(9,0,0), L2073&lt;TIME(16,0,0)),"Morning",
  AND(L2073&gt;=TIME(16,0,0), L2073&lt;TIME(23,59,0)),"Evening",
  L2073&gt;=TIME(23,59,0),"Night",
  L2073&lt;TIME(9,0,0),"Night"
))</f>
        <v/>
      </c>
      <c r="O2073" t="str">
        <f t="shared" si="194"/>
        <v/>
      </c>
    </row>
    <row r="2074" spans="7:15" x14ac:dyDescent="0.25">
      <c r="G2074" t="str">
        <f t="shared" si="192"/>
        <v/>
      </c>
      <c r="H2074" s="13" t="str">
        <f t="shared" si="195"/>
        <v/>
      </c>
      <c r="I2074" t="str">
        <f>IFERROR(INDEX(Analysis!$D$116:$N$137, MATCH(B2074, Analysis!$C$116:$C$137, 0), MATCH(C2074, Analysis!$D$115:$N$115, 0)), "")</f>
        <v/>
      </c>
      <c r="J2074" t="str">
        <f t="shared" si="196"/>
        <v/>
      </c>
      <c r="K2074" s="28" t="str">
        <f t="shared" si="193"/>
        <v/>
      </c>
      <c r="L2074" s="46" t="str">
        <f t="shared" si="197"/>
        <v/>
      </c>
      <c r="M2074" t="str" cm="1">
        <f t="array" ref="M2074">IF(L2074="","",_xlfn.IFS(
  AND(L2074&gt;=TIME(9,0,0), L2074&lt;TIME(16,0,0)),"Morning",
  AND(L2074&gt;=TIME(16,0,0), L2074&lt;TIME(23,59,0)),"Evening",
  L2074&gt;=TIME(23,59,0),"Night",
  L2074&lt;TIME(9,0,0),"Night"
))</f>
        <v/>
      </c>
      <c r="O2074" t="str">
        <f t="shared" si="194"/>
        <v/>
      </c>
    </row>
    <row r="2075" spans="7:15" x14ac:dyDescent="0.25">
      <c r="G2075" t="str">
        <f t="shared" si="192"/>
        <v/>
      </c>
      <c r="H2075" s="13" t="str">
        <f t="shared" si="195"/>
        <v/>
      </c>
      <c r="I2075" t="str">
        <f>IFERROR(INDEX(Analysis!$D$116:$N$137, MATCH(B2075, Analysis!$C$116:$C$137, 0), MATCH(C2075, Analysis!$D$115:$N$115, 0)), "")</f>
        <v/>
      </c>
      <c r="J2075" t="str">
        <f t="shared" si="196"/>
        <v/>
      </c>
      <c r="K2075" s="28" t="str">
        <f t="shared" si="193"/>
        <v/>
      </c>
      <c r="L2075" s="46" t="str">
        <f t="shared" si="197"/>
        <v/>
      </c>
      <c r="M2075" t="str" cm="1">
        <f t="array" ref="M2075">IF(L2075="","",_xlfn.IFS(
  AND(L2075&gt;=TIME(9,0,0), L2075&lt;TIME(16,0,0)),"Morning",
  AND(L2075&gt;=TIME(16,0,0), L2075&lt;TIME(23,59,0)),"Evening",
  L2075&gt;=TIME(23,59,0),"Night",
  L2075&lt;TIME(9,0,0),"Night"
))</f>
        <v/>
      </c>
      <c r="O2075" t="str">
        <f t="shared" si="194"/>
        <v/>
      </c>
    </row>
    <row r="2076" spans="7:15" x14ac:dyDescent="0.25">
      <c r="G2076" t="str">
        <f t="shared" si="192"/>
        <v/>
      </c>
      <c r="H2076" s="13" t="str">
        <f t="shared" si="195"/>
        <v/>
      </c>
      <c r="I2076" t="str">
        <f>IFERROR(INDEX(Analysis!$D$116:$N$137, MATCH(B2076, Analysis!$C$116:$C$137, 0), MATCH(C2076, Analysis!$D$115:$N$115, 0)), "")</f>
        <v/>
      </c>
      <c r="J2076" t="str">
        <f t="shared" si="196"/>
        <v/>
      </c>
      <c r="K2076" s="28" t="str">
        <f t="shared" si="193"/>
        <v/>
      </c>
      <c r="L2076" s="46" t="str">
        <f t="shared" si="197"/>
        <v/>
      </c>
      <c r="M2076" t="str" cm="1">
        <f t="array" ref="M2076">IF(L2076="","",_xlfn.IFS(
  AND(L2076&gt;=TIME(9,0,0), L2076&lt;TIME(16,0,0)),"Morning",
  AND(L2076&gt;=TIME(16,0,0), L2076&lt;TIME(23,59,0)),"Evening",
  L2076&gt;=TIME(23,59,0),"Night",
  L2076&lt;TIME(9,0,0),"Night"
))</f>
        <v/>
      </c>
      <c r="O2076" t="str">
        <f t="shared" si="194"/>
        <v/>
      </c>
    </row>
    <row r="2077" spans="7:15" x14ac:dyDescent="0.25">
      <c r="G2077" t="str">
        <f t="shared" si="192"/>
        <v/>
      </c>
      <c r="H2077" s="13" t="str">
        <f t="shared" si="195"/>
        <v/>
      </c>
      <c r="I2077" t="str">
        <f>IFERROR(INDEX(Analysis!$D$116:$N$137, MATCH(B2077, Analysis!$C$116:$C$137, 0), MATCH(C2077, Analysis!$D$115:$N$115, 0)), "")</f>
        <v/>
      </c>
      <c r="J2077" t="str">
        <f t="shared" si="196"/>
        <v/>
      </c>
      <c r="K2077" s="28" t="str">
        <f t="shared" si="193"/>
        <v/>
      </c>
      <c r="L2077" s="46" t="str">
        <f t="shared" si="197"/>
        <v/>
      </c>
      <c r="M2077" t="str" cm="1">
        <f t="array" ref="M2077">IF(L2077="","",_xlfn.IFS(
  AND(L2077&gt;=TIME(9,0,0), L2077&lt;TIME(16,0,0)),"Morning",
  AND(L2077&gt;=TIME(16,0,0), L2077&lt;TIME(23,59,0)),"Evening",
  L2077&gt;=TIME(23,59,0),"Night",
  L2077&lt;TIME(9,0,0),"Night"
))</f>
        <v/>
      </c>
      <c r="O2077" t="str">
        <f t="shared" si="194"/>
        <v/>
      </c>
    </row>
    <row r="2078" spans="7:15" x14ac:dyDescent="0.25">
      <c r="G2078" t="str">
        <f t="shared" si="192"/>
        <v/>
      </c>
      <c r="H2078" s="13" t="str">
        <f t="shared" si="195"/>
        <v/>
      </c>
      <c r="I2078" t="str">
        <f>IFERROR(INDEX(Analysis!$D$116:$N$137, MATCH(B2078, Analysis!$C$116:$C$137, 0), MATCH(C2078, Analysis!$D$115:$N$115, 0)), "")</f>
        <v/>
      </c>
      <c r="J2078" t="str">
        <f t="shared" si="196"/>
        <v/>
      </c>
      <c r="K2078" s="28" t="str">
        <f t="shared" si="193"/>
        <v/>
      </c>
      <c r="L2078" s="46" t="str">
        <f t="shared" si="197"/>
        <v/>
      </c>
      <c r="M2078" t="str" cm="1">
        <f t="array" ref="M2078">IF(L2078="","",_xlfn.IFS(
  AND(L2078&gt;=TIME(9,0,0), L2078&lt;TIME(16,0,0)),"Morning",
  AND(L2078&gt;=TIME(16,0,0), L2078&lt;TIME(23,59,0)),"Evening",
  L2078&gt;=TIME(23,59,0),"Night",
  L2078&lt;TIME(9,0,0),"Night"
))</f>
        <v/>
      </c>
      <c r="O2078" t="str">
        <f t="shared" si="194"/>
        <v/>
      </c>
    </row>
    <row r="2079" spans="7:15" x14ac:dyDescent="0.25">
      <c r="G2079" t="str">
        <f t="shared" si="192"/>
        <v/>
      </c>
      <c r="H2079" s="13" t="str">
        <f t="shared" si="195"/>
        <v/>
      </c>
      <c r="I2079" t="str">
        <f>IFERROR(INDEX(Analysis!$D$116:$N$137, MATCH(B2079, Analysis!$C$116:$C$137, 0), MATCH(C2079, Analysis!$D$115:$N$115, 0)), "")</f>
        <v/>
      </c>
      <c r="J2079" t="str">
        <f t="shared" si="196"/>
        <v/>
      </c>
      <c r="K2079" s="28" t="str">
        <f t="shared" si="193"/>
        <v/>
      </c>
      <c r="L2079" s="46" t="str">
        <f t="shared" si="197"/>
        <v/>
      </c>
      <c r="M2079" t="str" cm="1">
        <f t="array" ref="M2079">IF(L2079="","",_xlfn.IFS(
  AND(L2079&gt;=TIME(9,0,0), L2079&lt;TIME(16,0,0)),"Morning",
  AND(L2079&gt;=TIME(16,0,0), L2079&lt;TIME(23,59,0)),"Evening",
  L2079&gt;=TIME(23,59,0),"Night",
  L2079&lt;TIME(9,0,0),"Night"
))</f>
        <v/>
      </c>
      <c r="O2079" t="str">
        <f t="shared" si="194"/>
        <v/>
      </c>
    </row>
    <row r="2080" spans="7:15" x14ac:dyDescent="0.25">
      <c r="G2080" t="str">
        <f t="shared" si="192"/>
        <v/>
      </c>
      <c r="H2080" s="13" t="str">
        <f t="shared" si="195"/>
        <v/>
      </c>
      <c r="I2080" t="str">
        <f>IFERROR(INDEX(Analysis!$D$116:$N$137, MATCH(B2080, Analysis!$C$116:$C$137, 0), MATCH(C2080, Analysis!$D$115:$N$115, 0)), "")</f>
        <v/>
      </c>
      <c r="J2080" t="str">
        <f t="shared" si="196"/>
        <v/>
      </c>
      <c r="K2080" s="28" t="str">
        <f t="shared" si="193"/>
        <v/>
      </c>
      <c r="L2080" s="46" t="str">
        <f t="shared" si="197"/>
        <v/>
      </c>
      <c r="M2080" t="str" cm="1">
        <f t="array" ref="M2080">IF(L2080="","",_xlfn.IFS(
  AND(L2080&gt;=TIME(9,0,0), L2080&lt;TIME(16,0,0)),"Morning",
  AND(L2080&gt;=TIME(16,0,0), L2080&lt;TIME(23,59,0)),"Evening",
  L2080&gt;=TIME(23,59,0),"Night",
  L2080&lt;TIME(9,0,0),"Night"
))</f>
        <v/>
      </c>
      <c r="O2080" t="str">
        <f t="shared" si="194"/>
        <v/>
      </c>
    </row>
    <row r="2081" spans="7:15" x14ac:dyDescent="0.25">
      <c r="G2081" t="str">
        <f t="shared" si="192"/>
        <v/>
      </c>
      <c r="H2081" s="13" t="str">
        <f t="shared" si="195"/>
        <v/>
      </c>
      <c r="I2081" t="str">
        <f>IFERROR(INDEX(Analysis!$D$116:$N$137, MATCH(B2081, Analysis!$C$116:$C$137, 0), MATCH(C2081, Analysis!$D$115:$N$115, 0)), "")</f>
        <v/>
      </c>
      <c r="J2081" t="str">
        <f t="shared" si="196"/>
        <v/>
      </c>
      <c r="K2081" s="28" t="str">
        <f t="shared" si="193"/>
        <v/>
      </c>
      <c r="L2081" s="46" t="str">
        <f t="shared" si="197"/>
        <v/>
      </c>
      <c r="M2081" t="str" cm="1">
        <f t="array" ref="M2081">IF(L2081="","",_xlfn.IFS(
  AND(L2081&gt;=TIME(9,0,0), L2081&lt;TIME(16,0,0)),"Morning",
  AND(L2081&gt;=TIME(16,0,0), L2081&lt;TIME(23,59,0)),"Evening",
  L2081&gt;=TIME(23,59,0),"Night",
  L2081&lt;TIME(9,0,0),"Night"
))</f>
        <v/>
      </c>
      <c r="O2081" t="str">
        <f t="shared" si="194"/>
        <v/>
      </c>
    </row>
    <row r="2082" spans="7:15" x14ac:dyDescent="0.25">
      <c r="G2082" t="str">
        <f t="shared" si="192"/>
        <v/>
      </c>
      <c r="H2082" s="13" t="str">
        <f t="shared" si="195"/>
        <v/>
      </c>
      <c r="I2082" t="str">
        <f>IFERROR(INDEX(Analysis!$D$116:$N$137, MATCH(B2082, Analysis!$C$116:$C$137, 0), MATCH(C2082, Analysis!$D$115:$N$115, 0)), "")</f>
        <v/>
      </c>
      <c r="J2082" t="str">
        <f t="shared" si="196"/>
        <v/>
      </c>
      <c r="K2082" s="28" t="str">
        <f t="shared" si="193"/>
        <v/>
      </c>
      <c r="L2082" s="46" t="str">
        <f t="shared" si="197"/>
        <v/>
      </c>
      <c r="M2082" t="str" cm="1">
        <f t="array" ref="M2082">IF(L2082="","",_xlfn.IFS(
  AND(L2082&gt;=TIME(9,0,0), L2082&lt;TIME(16,0,0)),"Morning",
  AND(L2082&gt;=TIME(16,0,0), L2082&lt;TIME(23,59,0)),"Evening",
  L2082&gt;=TIME(23,59,0),"Night",
  L2082&lt;TIME(9,0,0),"Night"
))</f>
        <v/>
      </c>
      <c r="O2082" t="str">
        <f t="shared" si="194"/>
        <v/>
      </c>
    </row>
    <row r="2083" spans="7:15" x14ac:dyDescent="0.25">
      <c r="G2083" t="str">
        <f t="shared" si="192"/>
        <v/>
      </c>
      <c r="H2083" s="13" t="str">
        <f t="shared" si="195"/>
        <v/>
      </c>
      <c r="I2083" t="str">
        <f>IFERROR(INDEX(Analysis!$D$116:$N$137, MATCH(B2083, Analysis!$C$116:$C$137, 0), MATCH(C2083, Analysis!$D$115:$N$115, 0)), "")</f>
        <v/>
      </c>
      <c r="J2083" t="str">
        <f t="shared" si="196"/>
        <v/>
      </c>
      <c r="K2083" s="28" t="str">
        <f t="shared" si="193"/>
        <v/>
      </c>
      <c r="L2083" s="46" t="str">
        <f t="shared" si="197"/>
        <v/>
      </c>
      <c r="M2083" t="str" cm="1">
        <f t="array" ref="M2083">IF(L2083="","",_xlfn.IFS(
  AND(L2083&gt;=TIME(9,0,0), L2083&lt;TIME(16,0,0)),"Morning",
  AND(L2083&gt;=TIME(16,0,0), L2083&lt;TIME(23,59,0)),"Evening",
  L2083&gt;=TIME(23,59,0),"Night",
  L2083&lt;TIME(9,0,0),"Night"
))</f>
        <v/>
      </c>
      <c r="O2083" t="str">
        <f t="shared" si="194"/>
        <v/>
      </c>
    </row>
    <row r="2084" spans="7:15" x14ac:dyDescent="0.25">
      <c r="G2084" t="str">
        <f t="shared" si="192"/>
        <v/>
      </c>
      <c r="H2084" s="13" t="str">
        <f t="shared" si="195"/>
        <v/>
      </c>
      <c r="I2084" t="str">
        <f>IFERROR(INDEX(Analysis!$D$116:$N$137, MATCH(B2084, Analysis!$C$116:$C$137, 0), MATCH(C2084, Analysis!$D$115:$N$115, 0)), "")</f>
        <v/>
      </c>
      <c r="J2084" t="str">
        <f t="shared" si="196"/>
        <v/>
      </c>
      <c r="K2084" s="28" t="str">
        <f t="shared" si="193"/>
        <v/>
      </c>
      <c r="L2084" s="46" t="str">
        <f t="shared" si="197"/>
        <v/>
      </c>
      <c r="M2084" t="str" cm="1">
        <f t="array" ref="M2084">IF(L2084="","",_xlfn.IFS(
  AND(L2084&gt;=TIME(9,0,0), L2084&lt;TIME(16,0,0)),"Morning",
  AND(L2084&gt;=TIME(16,0,0), L2084&lt;TIME(23,59,0)),"Evening",
  L2084&gt;=TIME(23,59,0),"Night",
  L2084&lt;TIME(9,0,0),"Night"
))</f>
        <v/>
      </c>
      <c r="O2084" t="str">
        <f t="shared" si="194"/>
        <v/>
      </c>
    </row>
    <row r="2085" spans="7:15" x14ac:dyDescent="0.25">
      <c r="G2085" t="str">
        <f t="shared" si="192"/>
        <v/>
      </c>
      <c r="H2085" s="13" t="str">
        <f t="shared" si="195"/>
        <v/>
      </c>
      <c r="I2085" t="str">
        <f>IFERROR(INDEX(Analysis!$D$116:$N$137, MATCH(B2085, Analysis!$C$116:$C$137, 0), MATCH(C2085, Analysis!$D$115:$N$115, 0)), "")</f>
        <v/>
      </c>
      <c r="J2085" t="str">
        <f t="shared" si="196"/>
        <v/>
      </c>
      <c r="K2085" s="28" t="str">
        <f t="shared" si="193"/>
        <v/>
      </c>
      <c r="L2085" s="46" t="str">
        <f t="shared" si="197"/>
        <v/>
      </c>
      <c r="M2085" t="str" cm="1">
        <f t="array" ref="M2085">IF(L2085="","",_xlfn.IFS(
  AND(L2085&gt;=TIME(9,0,0), L2085&lt;TIME(16,0,0)),"Morning",
  AND(L2085&gt;=TIME(16,0,0), L2085&lt;TIME(23,59,0)),"Evening",
  L2085&gt;=TIME(23,59,0),"Night",
  L2085&lt;TIME(9,0,0),"Night"
))</f>
        <v/>
      </c>
      <c r="O2085" t="str">
        <f t="shared" si="194"/>
        <v/>
      </c>
    </row>
    <row r="2086" spans="7:15" x14ac:dyDescent="0.25">
      <c r="G2086" t="str">
        <f t="shared" si="192"/>
        <v/>
      </c>
      <c r="H2086" s="13" t="str">
        <f t="shared" si="195"/>
        <v/>
      </c>
      <c r="I2086" t="str">
        <f>IFERROR(INDEX(Analysis!$D$116:$N$137, MATCH(B2086, Analysis!$C$116:$C$137, 0), MATCH(C2086, Analysis!$D$115:$N$115, 0)), "")</f>
        <v/>
      </c>
      <c r="J2086" t="str">
        <f t="shared" si="196"/>
        <v/>
      </c>
      <c r="K2086" s="28" t="str">
        <f t="shared" si="193"/>
        <v/>
      </c>
      <c r="L2086" s="46" t="str">
        <f t="shared" si="197"/>
        <v/>
      </c>
      <c r="M2086" t="str" cm="1">
        <f t="array" ref="M2086">IF(L2086="","",_xlfn.IFS(
  AND(L2086&gt;=TIME(9,0,0), L2086&lt;TIME(16,0,0)),"Morning",
  AND(L2086&gt;=TIME(16,0,0), L2086&lt;TIME(23,59,0)),"Evening",
  L2086&gt;=TIME(23,59,0),"Night",
  L2086&lt;TIME(9,0,0),"Night"
))</f>
        <v/>
      </c>
      <c r="O2086" t="str">
        <f t="shared" si="194"/>
        <v/>
      </c>
    </row>
    <row r="2087" spans="7:15" x14ac:dyDescent="0.25">
      <c r="G2087" t="str">
        <f t="shared" si="192"/>
        <v/>
      </c>
      <c r="H2087" s="13" t="str">
        <f t="shared" si="195"/>
        <v/>
      </c>
      <c r="I2087" t="str">
        <f>IFERROR(INDEX(Analysis!$D$116:$N$137, MATCH(B2087, Analysis!$C$116:$C$137, 0), MATCH(C2087, Analysis!$D$115:$N$115, 0)), "")</f>
        <v/>
      </c>
      <c r="J2087" t="str">
        <f t="shared" si="196"/>
        <v/>
      </c>
      <c r="K2087" s="28" t="str">
        <f t="shared" si="193"/>
        <v/>
      </c>
      <c r="L2087" s="46" t="str">
        <f t="shared" si="197"/>
        <v/>
      </c>
      <c r="M2087" t="str" cm="1">
        <f t="array" ref="M2087">IF(L2087="","",_xlfn.IFS(
  AND(L2087&gt;=TIME(9,0,0), L2087&lt;TIME(16,0,0)),"Morning",
  AND(L2087&gt;=TIME(16,0,0), L2087&lt;TIME(23,59,0)),"Evening",
  L2087&gt;=TIME(23,59,0),"Night",
  L2087&lt;TIME(9,0,0),"Night"
))</f>
        <v/>
      </c>
      <c r="O2087" t="str">
        <f t="shared" si="194"/>
        <v/>
      </c>
    </row>
    <row r="2088" spans="7:15" x14ac:dyDescent="0.25">
      <c r="G2088" t="str">
        <f t="shared" si="192"/>
        <v/>
      </c>
      <c r="H2088" s="13" t="str">
        <f t="shared" si="195"/>
        <v/>
      </c>
      <c r="I2088" t="str">
        <f>IFERROR(INDEX(Analysis!$D$116:$N$137, MATCH(B2088, Analysis!$C$116:$C$137, 0), MATCH(C2088, Analysis!$D$115:$N$115, 0)), "")</f>
        <v/>
      </c>
      <c r="J2088" t="str">
        <f t="shared" si="196"/>
        <v/>
      </c>
      <c r="K2088" s="28" t="str">
        <f t="shared" si="193"/>
        <v/>
      </c>
      <c r="L2088" s="46" t="str">
        <f t="shared" si="197"/>
        <v/>
      </c>
      <c r="M2088" t="str" cm="1">
        <f t="array" ref="M2088">IF(L2088="","",_xlfn.IFS(
  AND(L2088&gt;=TIME(9,0,0), L2088&lt;TIME(16,0,0)),"Morning",
  AND(L2088&gt;=TIME(16,0,0), L2088&lt;TIME(23,59,0)),"Evening",
  L2088&gt;=TIME(23,59,0),"Night",
  L2088&lt;TIME(9,0,0),"Night"
))</f>
        <v/>
      </c>
      <c r="O2088" t="str">
        <f t="shared" si="194"/>
        <v/>
      </c>
    </row>
    <row r="2089" spans="7:15" x14ac:dyDescent="0.25">
      <c r="G2089" t="str">
        <f t="shared" si="192"/>
        <v/>
      </c>
      <c r="H2089" s="13" t="str">
        <f t="shared" si="195"/>
        <v/>
      </c>
      <c r="I2089" t="str">
        <f>IFERROR(INDEX(Analysis!$D$116:$N$137, MATCH(B2089, Analysis!$C$116:$C$137, 0), MATCH(C2089, Analysis!$D$115:$N$115, 0)), "")</f>
        <v/>
      </c>
      <c r="J2089" t="str">
        <f t="shared" si="196"/>
        <v/>
      </c>
      <c r="K2089" s="28" t="str">
        <f t="shared" si="193"/>
        <v/>
      </c>
      <c r="L2089" s="46" t="str">
        <f t="shared" si="197"/>
        <v/>
      </c>
      <c r="M2089" t="str" cm="1">
        <f t="array" ref="M2089">IF(L2089="","",_xlfn.IFS(
  AND(L2089&gt;=TIME(9,0,0), L2089&lt;TIME(16,0,0)),"Morning",
  AND(L2089&gt;=TIME(16,0,0), L2089&lt;TIME(23,59,0)),"Evening",
  L2089&gt;=TIME(23,59,0),"Night",
  L2089&lt;TIME(9,0,0),"Night"
))</f>
        <v/>
      </c>
      <c r="O2089" t="str">
        <f t="shared" si="194"/>
        <v/>
      </c>
    </row>
    <row r="2090" spans="7:15" x14ac:dyDescent="0.25">
      <c r="G2090" t="str">
        <f t="shared" si="192"/>
        <v/>
      </c>
      <c r="H2090" s="13" t="str">
        <f t="shared" si="195"/>
        <v/>
      </c>
      <c r="I2090" t="str">
        <f>IFERROR(INDEX(Analysis!$D$116:$N$137, MATCH(B2090, Analysis!$C$116:$C$137, 0), MATCH(C2090, Analysis!$D$115:$N$115, 0)), "")</f>
        <v/>
      </c>
      <c r="J2090" t="str">
        <f t="shared" si="196"/>
        <v/>
      </c>
      <c r="K2090" s="28" t="str">
        <f t="shared" si="193"/>
        <v/>
      </c>
      <c r="L2090" s="46" t="str">
        <f t="shared" si="197"/>
        <v/>
      </c>
      <c r="M2090" t="str" cm="1">
        <f t="array" ref="M2090">IF(L2090="","",_xlfn.IFS(
  AND(L2090&gt;=TIME(9,0,0), L2090&lt;TIME(16,0,0)),"Morning",
  AND(L2090&gt;=TIME(16,0,0), L2090&lt;TIME(23,59,0)),"Evening",
  L2090&gt;=TIME(23,59,0),"Night",
  L2090&lt;TIME(9,0,0),"Night"
))</f>
        <v/>
      </c>
      <c r="O2090" t="str">
        <f t="shared" si="194"/>
        <v/>
      </c>
    </row>
    <row r="2091" spans="7:15" x14ac:dyDescent="0.25">
      <c r="G2091" t="str">
        <f t="shared" si="192"/>
        <v/>
      </c>
      <c r="H2091" s="13" t="str">
        <f t="shared" si="195"/>
        <v/>
      </c>
      <c r="I2091" t="str">
        <f>IFERROR(INDEX(Analysis!$D$116:$N$137, MATCH(B2091, Analysis!$C$116:$C$137, 0), MATCH(C2091, Analysis!$D$115:$N$115, 0)), "")</f>
        <v/>
      </c>
      <c r="J2091" t="str">
        <f t="shared" si="196"/>
        <v/>
      </c>
      <c r="K2091" s="28" t="str">
        <f t="shared" si="193"/>
        <v/>
      </c>
      <c r="L2091" s="46" t="str">
        <f t="shared" si="197"/>
        <v/>
      </c>
      <c r="M2091" t="str" cm="1">
        <f t="array" ref="M2091">IF(L2091="","",_xlfn.IFS(
  AND(L2091&gt;=TIME(9,0,0), L2091&lt;TIME(16,0,0)),"Morning",
  AND(L2091&gt;=TIME(16,0,0), L2091&lt;TIME(23,59,0)),"Evening",
  L2091&gt;=TIME(23,59,0),"Night",
  L2091&lt;TIME(9,0,0),"Night"
))</f>
        <v/>
      </c>
      <c r="O2091" t="str">
        <f t="shared" si="194"/>
        <v/>
      </c>
    </row>
    <row r="2092" spans="7:15" x14ac:dyDescent="0.25">
      <c r="G2092" t="str">
        <f t="shared" si="192"/>
        <v/>
      </c>
      <c r="H2092" s="13" t="str">
        <f t="shared" si="195"/>
        <v/>
      </c>
      <c r="I2092" t="str">
        <f>IFERROR(INDEX(Analysis!$D$116:$N$137, MATCH(B2092, Analysis!$C$116:$C$137, 0), MATCH(C2092, Analysis!$D$115:$N$115, 0)), "")</f>
        <v/>
      </c>
      <c r="J2092" t="str">
        <f t="shared" si="196"/>
        <v/>
      </c>
      <c r="K2092" s="28" t="str">
        <f t="shared" si="193"/>
        <v/>
      </c>
      <c r="L2092" s="46" t="str">
        <f t="shared" si="197"/>
        <v/>
      </c>
      <c r="M2092" t="str" cm="1">
        <f t="array" ref="M2092">IF(L2092="","",_xlfn.IFS(
  AND(L2092&gt;=TIME(9,0,0), L2092&lt;TIME(16,0,0)),"Morning",
  AND(L2092&gt;=TIME(16,0,0), L2092&lt;TIME(23,59,0)),"Evening",
  L2092&gt;=TIME(23,59,0),"Night",
  L2092&lt;TIME(9,0,0),"Night"
))</f>
        <v/>
      </c>
      <c r="O2092" t="str">
        <f t="shared" si="194"/>
        <v/>
      </c>
    </row>
    <row r="2093" spans="7:15" x14ac:dyDescent="0.25">
      <c r="G2093" t="str">
        <f t="shared" si="192"/>
        <v/>
      </c>
      <c r="H2093" s="13" t="str">
        <f t="shared" si="195"/>
        <v/>
      </c>
      <c r="I2093" t="str">
        <f>IFERROR(INDEX(Analysis!$D$116:$N$137, MATCH(B2093, Analysis!$C$116:$C$137, 0), MATCH(C2093, Analysis!$D$115:$N$115, 0)), "")</f>
        <v/>
      </c>
      <c r="J2093" t="str">
        <f t="shared" si="196"/>
        <v/>
      </c>
      <c r="K2093" s="28" t="str">
        <f t="shared" si="193"/>
        <v/>
      </c>
      <c r="L2093" s="46" t="str">
        <f t="shared" si="197"/>
        <v/>
      </c>
      <c r="M2093" t="str" cm="1">
        <f t="array" ref="M2093">IF(L2093="","",_xlfn.IFS(
  AND(L2093&gt;=TIME(9,0,0), L2093&lt;TIME(16,0,0)),"Morning",
  AND(L2093&gt;=TIME(16,0,0), L2093&lt;TIME(23,59,0)),"Evening",
  L2093&gt;=TIME(23,59,0),"Night",
  L2093&lt;TIME(9,0,0),"Night"
))</f>
        <v/>
      </c>
      <c r="O2093" t="str">
        <f t="shared" si="194"/>
        <v/>
      </c>
    </row>
    <row r="2094" spans="7:15" x14ac:dyDescent="0.25">
      <c r="G2094" t="str">
        <f t="shared" si="192"/>
        <v/>
      </c>
      <c r="H2094" s="13" t="str">
        <f t="shared" si="195"/>
        <v/>
      </c>
      <c r="I2094" t="str">
        <f>IFERROR(INDEX(Analysis!$D$116:$N$137, MATCH(B2094, Analysis!$C$116:$C$137, 0), MATCH(C2094, Analysis!$D$115:$N$115, 0)), "")</f>
        <v/>
      </c>
      <c r="J2094" t="str">
        <f t="shared" si="196"/>
        <v/>
      </c>
      <c r="K2094" s="28" t="str">
        <f t="shared" si="193"/>
        <v/>
      </c>
      <c r="L2094" s="46" t="str">
        <f t="shared" si="197"/>
        <v/>
      </c>
      <c r="M2094" t="str" cm="1">
        <f t="array" ref="M2094">IF(L2094="","",_xlfn.IFS(
  AND(L2094&gt;=TIME(9,0,0), L2094&lt;TIME(16,0,0)),"Morning",
  AND(L2094&gt;=TIME(16,0,0), L2094&lt;TIME(23,59,0)),"Evening",
  L2094&gt;=TIME(23,59,0),"Night",
  L2094&lt;TIME(9,0,0),"Night"
))</f>
        <v/>
      </c>
      <c r="O2094" t="str">
        <f t="shared" si="194"/>
        <v/>
      </c>
    </row>
    <row r="2095" spans="7:15" x14ac:dyDescent="0.25">
      <c r="G2095" t="str">
        <f t="shared" si="192"/>
        <v/>
      </c>
      <c r="H2095" s="13" t="str">
        <f t="shared" si="195"/>
        <v/>
      </c>
      <c r="I2095" t="str">
        <f>IFERROR(INDEX(Analysis!$D$116:$N$137, MATCH(B2095, Analysis!$C$116:$C$137, 0), MATCH(C2095, Analysis!$D$115:$N$115, 0)), "")</f>
        <v/>
      </c>
      <c r="J2095" t="str">
        <f t="shared" si="196"/>
        <v/>
      </c>
      <c r="K2095" s="28" t="str">
        <f t="shared" si="193"/>
        <v/>
      </c>
      <c r="L2095" s="46" t="str">
        <f t="shared" si="197"/>
        <v/>
      </c>
      <c r="M2095" t="str" cm="1">
        <f t="array" ref="M2095">IF(L2095="","",_xlfn.IFS(
  AND(L2095&gt;=TIME(9,0,0), L2095&lt;TIME(16,0,0)),"Morning",
  AND(L2095&gt;=TIME(16,0,0), L2095&lt;TIME(23,59,0)),"Evening",
  L2095&gt;=TIME(23,59,0),"Night",
  L2095&lt;TIME(9,0,0),"Night"
))</f>
        <v/>
      </c>
      <c r="O2095" t="str">
        <f t="shared" si="194"/>
        <v/>
      </c>
    </row>
    <row r="2096" spans="7:15" x14ac:dyDescent="0.25">
      <c r="G2096" t="str">
        <f t="shared" si="192"/>
        <v/>
      </c>
      <c r="H2096" s="13" t="str">
        <f t="shared" si="195"/>
        <v/>
      </c>
      <c r="I2096" t="str">
        <f>IFERROR(INDEX(Analysis!$D$116:$N$137, MATCH(B2096, Analysis!$C$116:$C$137, 0), MATCH(C2096, Analysis!$D$115:$N$115, 0)), "")</f>
        <v/>
      </c>
      <c r="J2096" t="str">
        <f t="shared" si="196"/>
        <v/>
      </c>
      <c r="K2096" s="28" t="str">
        <f t="shared" si="193"/>
        <v/>
      </c>
      <c r="L2096" s="46" t="str">
        <f t="shared" si="197"/>
        <v/>
      </c>
      <c r="M2096" t="str" cm="1">
        <f t="array" ref="M2096">IF(L2096="","",_xlfn.IFS(
  AND(L2096&gt;=TIME(9,0,0), L2096&lt;TIME(16,0,0)),"Morning",
  AND(L2096&gt;=TIME(16,0,0), L2096&lt;TIME(23,59,0)),"Evening",
  L2096&gt;=TIME(23,59,0),"Night",
  L2096&lt;TIME(9,0,0),"Night"
))</f>
        <v/>
      </c>
      <c r="O2096" t="str">
        <f t="shared" si="194"/>
        <v/>
      </c>
    </row>
    <row r="2097" spans="7:15" x14ac:dyDescent="0.25">
      <c r="G2097" t="str">
        <f t="shared" si="192"/>
        <v/>
      </c>
      <c r="H2097" s="13" t="str">
        <f t="shared" si="195"/>
        <v/>
      </c>
      <c r="I2097" t="str">
        <f>IFERROR(INDEX(Analysis!$D$116:$N$137, MATCH(B2097, Analysis!$C$116:$C$137, 0), MATCH(C2097, Analysis!$D$115:$N$115, 0)), "")</f>
        <v/>
      </c>
      <c r="J2097" t="str">
        <f t="shared" si="196"/>
        <v/>
      </c>
      <c r="K2097" s="28" t="str">
        <f t="shared" si="193"/>
        <v/>
      </c>
      <c r="L2097" s="46" t="str">
        <f t="shared" si="197"/>
        <v/>
      </c>
      <c r="M2097" t="str" cm="1">
        <f t="array" ref="M2097">IF(L2097="","",_xlfn.IFS(
  AND(L2097&gt;=TIME(9,0,0), L2097&lt;TIME(16,0,0)),"Morning",
  AND(L2097&gt;=TIME(16,0,0), L2097&lt;TIME(23,59,0)),"Evening",
  L2097&gt;=TIME(23,59,0),"Night",
  L2097&lt;TIME(9,0,0),"Night"
))</f>
        <v/>
      </c>
      <c r="O2097" t="str">
        <f t="shared" si="194"/>
        <v/>
      </c>
    </row>
    <row r="2098" spans="7:15" x14ac:dyDescent="0.25">
      <c r="G2098" t="str">
        <f t="shared" si="192"/>
        <v/>
      </c>
      <c r="H2098" s="13" t="str">
        <f t="shared" si="195"/>
        <v/>
      </c>
      <c r="I2098" t="str">
        <f>IFERROR(INDEX(Analysis!$D$116:$N$137, MATCH(B2098, Analysis!$C$116:$C$137, 0), MATCH(C2098, Analysis!$D$115:$N$115, 0)), "")</f>
        <v/>
      </c>
      <c r="J2098" t="str">
        <f t="shared" si="196"/>
        <v/>
      </c>
      <c r="K2098" s="28" t="str">
        <f t="shared" si="193"/>
        <v/>
      </c>
      <c r="L2098" s="46" t="str">
        <f t="shared" si="197"/>
        <v/>
      </c>
      <c r="M2098" t="str" cm="1">
        <f t="array" ref="M2098">IF(L2098="","",_xlfn.IFS(
  AND(L2098&gt;=TIME(9,0,0), L2098&lt;TIME(16,0,0)),"Morning",
  AND(L2098&gt;=TIME(16,0,0), L2098&lt;TIME(23,59,0)),"Evening",
  L2098&gt;=TIME(23,59,0),"Night",
  L2098&lt;TIME(9,0,0),"Night"
))</f>
        <v/>
      </c>
      <c r="O2098" t="str">
        <f t="shared" si="194"/>
        <v/>
      </c>
    </row>
    <row r="2099" spans="7:15" x14ac:dyDescent="0.25">
      <c r="G2099" t="str">
        <f t="shared" si="192"/>
        <v/>
      </c>
      <c r="H2099" s="13" t="str">
        <f t="shared" si="195"/>
        <v/>
      </c>
      <c r="I2099" t="str">
        <f>IFERROR(INDEX(Analysis!$D$116:$N$137, MATCH(B2099, Analysis!$C$116:$C$137, 0), MATCH(C2099, Analysis!$D$115:$N$115, 0)), "")</f>
        <v/>
      </c>
      <c r="J2099" t="str">
        <f t="shared" si="196"/>
        <v/>
      </c>
      <c r="K2099" s="28" t="str">
        <f t="shared" si="193"/>
        <v/>
      </c>
      <c r="L2099" s="46" t="str">
        <f t="shared" si="197"/>
        <v/>
      </c>
      <c r="M2099" t="str" cm="1">
        <f t="array" ref="M2099">IF(L2099="","",_xlfn.IFS(
  AND(L2099&gt;=TIME(9,0,0), L2099&lt;TIME(16,0,0)),"Morning",
  AND(L2099&gt;=TIME(16,0,0), L2099&lt;TIME(23,59,0)),"Evening",
  L2099&gt;=TIME(23,59,0),"Night",
  L2099&lt;TIME(9,0,0),"Night"
))</f>
        <v/>
      </c>
      <c r="O2099" t="str">
        <f t="shared" si="194"/>
        <v/>
      </c>
    </row>
    <row r="2100" spans="7:15" x14ac:dyDescent="0.25">
      <c r="G2100" t="str">
        <f t="shared" si="192"/>
        <v/>
      </c>
      <c r="H2100" s="13" t="str">
        <f t="shared" si="195"/>
        <v/>
      </c>
      <c r="I2100" t="str">
        <f>IFERROR(INDEX(Analysis!$D$116:$N$137, MATCH(B2100, Analysis!$C$116:$C$137, 0), MATCH(C2100, Analysis!$D$115:$N$115, 0)), "")</f>
        <v/>
      </c>
      <c r="J2100" t="str">
        <f t="shared" si="196"/>
        <v/>
      </c>
      <c r="K2100" s="28" t="str">
        <f t="shared" si="193"/>
        <v/>
      </c>
      <c r="L2100" s="46" t="str">
        <f t="shared" si="197"/>
        <v/>
      </c>
      <c r="M2100" t="str" cm="1">
        <f t="array" ref="M2100">IF(L2100="","",_xlfn.IFS(
  AND(L2100&gt;=TIME(9,0,0), L2100&lt;TIME(16,0,0)),"Morning",
  AND(L2100&gt;=TIME(16,0,0), L2100&lt;TIME(23,59,0)),"Evening",
  L2100&gt;=TIME(23,59,0),"Night",
  L2100&lt;TIME(9,0,0),"Night"
))</f>
        <v/>
      </c>
      <c r="O2100" t="str">
        <f t="shared" si="194"/>
        <v/>
      </c>
    </row>
    <row r="2101" spans="7:15" x14ac:dyDescent="0.25">
      <c r="G2101" t="str">
        <f t="shared" si="192"/>
        <v/>
      </c>
      <c r="H2101" s="13" t="str">
        <f t="shared" si="195"/>
        <v/>
      </c>
      <c r="I2101" t="str">
        <f>IFERROR(INDEX(Analysis!$D$116:$N$137, MATCH(B2101, Analysis!$C$116:$C$137, 0), MATCH(C2101, Analysis!$D$115:$N$115, 0)), "")</f>
        <v/>
      </c>
      <c r="J2101" t="str">
        <f t="shared" si="196"/>
        <v/>
      </c>
      <c r="K2101" s="28" t="str">
        <f t="shared" si="193"/>
        <v/>
      </c>
      <c r="L2101" s="46" t="str">
        <f t="shared" si="197"/>
        <v/>
      </c>
      <c r="M2101" t="str" cm="1">
        <f t="array" ref="M2101">IF(L2101="","",_xlfn.IFS(
  AND(L2101&gt;=TIME(9,0,0), L2101&lt;TIME(16,0,0)),"Morning",
  AND(L2101&gt;=TIME(16,0,0), L2101&lt;TIME(23,59,0)),"Evening",
  L2101&gt;=TIME(23,59,0),"Night",
  L2101&lt;TIME(9,0,0),"Night"
))</f>
        <v/>
      </c>
      <c r="O2101" t="str">
        <f t="shared" si="194"/>
        <v/>
      </c>
    </row>
    <row r="2102" spans="7:15" x14ac:dyDescent="0.25">
      <c r="G2102" t="str">
        <f t="shared" si="192"/>
        <v/>
      </c>
      <c r="H2102" s="13" t="str">
        <f t="shared" si="195"/>
        <v/>
      </c>
      <c r="I2102" t="str">
        <f>IFERROR(INDEX(Analysis!$D$116:$N$137, MATCH(B2102, Analysis!$C$116:$C$137, 0), MATCH(C2102, Analysis!$D$115:$N$115, 0)), "")</f>
        <v/>
      </c>
      <c r="J2102" t="str">
        <f t="shared" si="196"/>
        <v/>
      </c>
      <c r="K2102" s="28" t="str">
        <f t="shared" si="193"/>
        <v/>
      </c>
      <c r="L2102" s="46" t="str">
        <f t="shared" si="197"/>
        <v/>
      </c>
      <c r="M2102" t="str" cm="1">
        <f t="array" ref="M2102">IF(L2102="","",_xlfn.IFS(
  AND(L2102&gt;=TIME(9,0,0), L2102&lt;TIME(16,0,0)),"Morning",
  AND(L2102&gt;=TIME(16,0,0), L2102&lt;TIME(23,59,0)),"Evening",
  L2102&gt;=TIME(23,59,0),"Night",
  L2102&lt;TIME(9,0,0),"Night"
))</f>
        <v/>
      </c>
      <c r="O2102" t="str">
        <f t="shared" si="194"/>
        <v/>
      </c>
    </row>
    <row r="2103" spans="7:15" x14ac:dyDescent="0.25">
      <c r="G2103" t="str">
        <f t="shared" si="192"/>
        <v/>
      </c>
      <c r="H2103" s="13" t="str">
        <f t="shared" si="195"/>
        <v/>
      </c>
      <c r="I2103" t="str">
        <f>IFERROR(INDEX(Analysis!$D$116:$N$137, MATCH(B2103, Analysis!$C$116:$C$137, 0), MATCH(C2103, Analysis!$D$115:$N$115, 0)), "")</f>
        <v/>
      </c>
      <c r="J2103" t="str">
        <f t="shared" si="196"/>
        <v/>
      </c>
      <c r="K2103" s="28" t="str">
        <f t="shared" si="193"/>
        <v/>
      </c>
      <c r="L2103" s="46" t="str">
        <f t="shared" si="197"/>
        <v/>
      </c>
      <c r="M2103" t="str" cm="1">
        <f t="array" ref="M2103">IF(L2103="","",_xlfn.IFS(
  AND(L2103&gt;=TIME(9,0,0), L2103&lt;TIME(16,0,0)),"Morning",
  AND(L2103&gt;=TIME(16,0,0), L2103&lt;TIME(23,59,0)),"Evening",
  L2103&gt;=TIME(23,59,0),"Night",
  L2103&lt;TIME(9,0,0),"Night"
))</f>
        <v/>
      </c>
      <c r="O2103" t="str">
        <f t="shared" si="194"/>
        <v/>
      </c>
    </row>
    <row r="2104" spans="7:15" x14ac:dyDescent="0.25">
      <c r="G2104" t="str">
        <f t="shared" si="192"/>
        <v/>
      </c>
      <c r="H2104" s="13" t="str">
        <f t="shared" si="195"/>
        <v/>
      </c>
      <c r="I2104" t="str">
        <f>IFERROR(INDEX(Analysis!$D$116:$N$137, MATCH(B2104, Analysis!$C$116:$C$137, 0), MATCH(C2104, Analysis!$D$115:$N$115, 0)), "")</f>
        <v/>
      </c>
      <c r="J2104" t="str">
        <f t="shared" si="196"/>
        <v/>
      </c>
      <c r="K2104" s="28" t="str">
        <f t="shared" si="193"/>
        <v/>
      </c>
      <c r="L2104" s="46" t="str">
        <f t="shared" si="197"/>
        <v/>
      </c>
      <c r="M2104" t="str" cm="1">
        <f t="array" ref="M2104">IF(L2104="","",_xlfn.IFS(
  AND(L2104&gt;=TIME(9,0,0), L2104&lt;TIME(16,0,0)),"Morning",
  AND(L2104&gt;=TIME(16,0,0), L2104&lt;TIME(23,59,0)),"Evening",
  L2104&gt;=TIME(23,59,0),"Night",
  L2104&lt;TIME(9,0,0),"Night"
))</f>
        <v/>
      </c>
      <c r="O2104" t="str">
        <f t="shared" si="194"/>
        <v/>
      </c>
    </row>
    <row r="2105" spans="7:15" x14ac:dyDescent="0.25">
      <c r="G2105" t="str">
        <f t="shared" si="192"/>
        <v/>
      </c>
      <c r="H2105" s="13" t="str">
        <f t="shared" si="195"/>
        <v/>
      </c>
      <c r="I2105" t="str">
        <f>IFERROR(INDEX(Analysis!$D$116:$N$137, MATCH(B2105, Analysis!$C$116:$C$137, 0), MATCH(C2105, Analysis!$D$115:$N$115, 0)), "")</f>
        <v/>
      </c>
      <c r="J2105" t="str">
        <f t="shared" si="196"/>
        <v/>
      </c>
      <c r="K2105" s="28" t="str">
        <f t="shared" si="193"/>
        <v/>
      </c>
      <c r="L2105" s="46" t="str">
        <f t="shared" si="197"/>
        <v/>
      </c>
      <c r="M2105" t="str" cm="1">
        <f t="array" ref="M2105">IF(L2105="","",_xlfn.IFS(
  AND(L2105&gt;=TIME(9,0,0), L2105&lt;TIME(16,0,0)),"Morning",
  AND(L2105&gt;=TIME(16,0,0), L2105&lt;TIME(23,59,0)),"Evening",
  L2105&gt;=TIME(23,59,0),"Night",
  L2105&lt;TIME(9,0,0),"Night"
))</f>
        <v/>
      </c>
      <c r="O2105" t="str">
        <f t="shared" si="194"/>
        <v/>
      </c>
    </row>
    <row r="2106" spans="7:15" x14ac:dyDescent="0.25">
      <c r="G2106" t="str">
        <f t="shared" si="192"/>
        <v/>
      </c>
      <c r="H2106" s="13" t="str">
        <f t="shared" si="195"/>
        <v/>
      </c>
      <c r="I2106" t="str">
        <f>IFERROR(INDEX(Analysis!$D$116:$N$137, MATCH(B2106, Analysis!$C$116:$C$137, 0), MATCH(C2106, Analysis!$D$115:$N$115, 0)), "")</f>
        <v/>
      </c>
      <c r="J2106" t="str">
        <f t="shared" si="196"/>
        <v/>
      </c>
      <c r="K2106" s="28" t="str">
        <f t="shared" si="193"/>
        <v/>
      </c>
      <c r="L2106" s="46" t="str">
        <f t="shared" si="197"/>
        <v/>
      </c>
      <c r="M2106" t="str" cm="1">
        <f t="array" ref="M2106">IF(L2106="","",_xlfn.IFS(
  AND(L2106&gt;=TIME(9,0,0), L2106&lt;TIME(16,0,0)),"Morning",
  AND(L2106&gt;=TIME(16,0,0), L2106&lt;TIME(23,59,0)),"Evening",
  L2106&gt;=TIME(23,59,0),"Night",
  L2106&lt;TIME(9,0,0),"Night"
))</f>
        <v/>
      </c>
      <c r="O2106" t="str">
        <f t="shared" si="194"/>
        <v/>
      </c>
    </row>
    <row r="2107" spans="7:15" x14ac:dyDescent="0.25">
      <c r="G2107" t="str">
        <f t="shared" si="192"/>
        <v/>
      </c>
      <c r="H2107" s="13" t="str">
        <f t="shared" si="195"/>
        <v/>
      </c>
      <c r="I2107" t="str">
        <f>IFERROR(INDEX(Analysis!$D$116:$N$137, MATCH(B2107, Analysis!$C$116:$C$137, 0), MATCH(C2107, Analysis!$D$115:$N$115, 0)), "")</f>
        <v/>
      </c>
      <c r="J2107" t="str">
        <f t="shared" si="196"/>
        <v/>
      </c>
      <c r="K2107" s="28" t="str">
        <f t="shared" si="193"/>
        <v/>
      </c>
      <c r="L2107" s="46" t="str">
        <f t="shared" si="197"/>
        <v/>
      </c>
      <c r="M2107" t="str" cm="1">
        <f t="array" ref="M2107">IF(L2107="","",_xlfn.IFS(
  AND(L2107&gt;=TIME(9,0,0), L2107&lt;TIME(16,0,0)),"Morning",
  AND(L2107&gt;=TIME(16,0,0), L2107&lt;TIME(23,59,0)),"Evening",
  L2107&gt;=TIME(23,59,0),"Night",
  L2107&lt;TIME(9,0,0),"Night"
))</f>
        <v/>
      </c>
      <c r="O2107" t="str">
        <f t="shared" si="194"/>
        <v/>
      </c>
    </row>
    <row r="2108" spans="7:15" x14ac:dyDescent="0.25">
      <c r="G2108" t="str">
        <f t="shared" si="192"/>
        <v/>
      </c>
      <c r="H2108" s="13" t="str">
        <f t="shared" si="195"/>
        <v/>
      </c>
      <c r="I2108" t="str">
        <f>IFERROR(INDEX(Analysis!$D$116:$N$137, MATCH(B2108, Analysis!$C$116:$C$137, 0), MATCH(C2108, Analysis!$D$115:$N$115, 0)), "")</f>
        <v/>
      </c>
      <c r="J2108" t="str">
        <f t="shared" si="196"/>
        <v/>
      </c>
      <c r="K2108" s="28" t="str">
        <f t="shared" si="193"/>
        <v/>
      </c>
      <c r="L2108" s="46" t="str">
        <f t="shared" si="197"/>
        <v/>
      </c>
      <c r="M2108" t="str" cm="1">
        <f t="array" ref="M2108">IF(L2108="","",_xlfn.IFS(
  AND(L2108&gt;=TIME(9,0,0), L2108&lt;TIME(16,0,0)),"Morning",
  AND(L2108&gt;=TIME(16,0,0), L2108&lt;TIME(23,59,0)),"Evening",
  L2108&gt;=TIME(23,59,0),"Night",
  L2108&lt;TIME(9,0,0),"Night"
))</f>
        <v/>
      </c>
      <c r="O2108" t="str">
        <f t="shared" si="194"/>
        <v/>
      </c>
    </row>
    <row r="2109" spans="7:15" x14ac:dyDescent="0.25">
      <c r="G2109" t="str">
        <f t="shared" si="192"/>
        <v/>
      </c>
      <c r="H2109" s="13" t="str">
        <f t="shared" si="195"/>
        <v/>
      </c>
      <c r="I2109" t="str">
        <f>IFERROR(INDEX(Analysis!$D$116:$N$137, MATCH(B2109, Analysis!$C$116:$C$137, 0), MATCH(C2109, Analysis!$D$115:$N$115, 0)), "")</f>
        <v/>
      </c>
      <c r="J2109" t="str">
        <f t="shared" si="196"/>
        <v/>
      </c>
      <c r="K2109" s="28" t="str">
        <f t="shared" si="193"/>
        <v/>
      </c>
      <c r="L2109" s="46" t="str">
        <f t="shared" si="197"/>
        <v/>
      </c>
      <c r="M2109" t="str" cm="1">
        <f t="array" ref="M2109">IF(L2109="","",_xlfn.IFS(
  AND(L2109&gt;=TIME(9,0,0), L2109&lt;TIME(16,0,0)),"Morning",
  AND(L2109&gt;=TIME(16,0,0), L2109&lt;TIME(23,59,0)),"Evening",
  L2109&gt;=TIME(23,59,0),"Night",
  L2109&lt;TIME(9,0,0),"Night"
))</f>
        <v/>
      </c>
      <c r="O2109" t="str">
        <f t="shared" si="194"/>
        <v/>
      </c>
    </row>
    <row r="2110" spans="7:15" x14ac:dyDescent="0.25">
      <c r="G2110" t="str">
        <f t="shared" si="192"/>
        <v/>
      </c>
      <c r="H2110" s="13" t="str">
        <f t="shared" si="195"/>
        <v/>
      </c>
      <c r="I2110" t="str">
        <f>IFERROR(INDEX(Analysis!$D$116:$N$137, MATCH(B2110, Analysis!$C$116:$C$137, 0), MATCH(C2110, Analysis!$D$115:$N$115, 0)), "")</f>
        <v/>
      </c>
      <c r="J2110" t="str">
        <f t="shared" si="196"/>
        <v/>
      </c>
      <c r="K2110" s="28" t="str">
        <f t="shared" si="193"/>
        <v/>
      </c>
      <c r="L2110" s="46" t="str">
        <f t="shared" si="197"/>
        <v/>
      </c>
      <c r="M2110" t="str" cm="1">
        <f t="array" ref="M2110">IF(L2110="","",_xlfn.IFS(
  AND(L2110&gt;=TIME(9,0,0), L2110&lt;TIME(16,0,0)),"Morning",
  AND(L2110&gt;=TIME(16,0,0), L2110&lt;TIME(23,59,0)),"Evening",
  L2110&gt;=TIME(23,59,0),"Night",
  L2110&lt;TIME(9,0,0),"Night"
))</f>
        <v/>
      </c>
      <c r="O2110" t="str">
        <f t="shared" si="194"/>
        <v/>
      </c>
    </row>
    <row r="2111" spans="7:15" x14ac:dyDescent="0.25">
      <c r="G2111" t="str">
        <f t="shared" si="192"/>
        <v/>
      </c>
      <c r="H2111" s="13" t="str">
        <f t="shared" si="195"/>
        <v/>
      </c>
      <c r="I2111" t="str">
        <f>IFERROR(INDEX(Analysis!$D$116:$N$137, MATCH(B2111, Analysis!$C$116:$C$137, 0), MATCH(C2111, Analysis!$D$115:$N$115, 0)), "")</f>
        <v/>
      </c>
      <c r="J2111" t="str">
        <f t="shared" si="196"/>
        <v/>
      </c>
      <c r="K2111" s="28" t="str">
        <f t="shared" si="193"/>
        <v/>
      </c>
      <c r="L2111" s="46" t="str">
        <f t="shared" si="197"/>
        <v/>
      </c>
      <c r="M2111" t="str" cm="1">
        <f t="array" ref="M2111">IF(L2111="","",_xlfn.IFS(
  AND(L2111&gt;=TIME(9,0,0), L2111&lt;TIME(16,0,0)),"Morning",
  AND(L2111&gt;=TIME(16,0,0), L2111&lt;TIME(23,59,0)),"Evening",
  L2111&gt;=TIME(23,59,0),"Night",
  L2111&lt;TIME(9,0,0),"Night"
))</f>
        <v/>
      </c>
      <c r="O2111" t="str">
        <f t="shared" si="194"/>
        <v/>
      </c>
    </row>
    <row r="2112" spans="7:15" x14ac:dyDescent="0.25">
      <c r="G2112" t="str">
        <f t="shared" si="192"/>
        <v/>
      </c>
      <c r="H2112" s="13" t="str">
        <f t="shared" si="195"/>
        <v/>
      </c>
      <c r="I2112" t="str">
        <f>IFERROR(INDEX(Analysis!$D$116:$N$137, MATCH(B2112, Analysis!$C$116:$C$137, 0), MATCH(C2112, Analysis!$D$115:$N$115, 0)), "")</f>
        <v/>
      </c>
      <c r="J2112" t="str">
        <f t="shared" si="196"/>
        <v/>
      </c>
      <c r="K2112" s="28" t="str">
        <f t="shared" si="193"/>
        <v/>
      </c>
      <c r="L2112" s="46" t="str">
        <f t="shared" si="197"/>
        <v/>
      </c>
      <c r="M2112" t="str" cm="1">
        <f t="array" ref="M2112">IF(L2112="","",_xlfn.IFS(
  AND(L2112&gt;=TIME(9,0,0), L2112&lt;TIME(16,0,0)),"Morning",
  AND(L2112&gt;=TIME(16,0,0), L2112&lt;TIME(23,59,0)),"Evening",
  L2112&gt;=TIME(23,59,0),"Night",
  L2112&lt;TIME(9,0,0),"Night"
))</f>
        <v/>
      </c>
      <c r="O2112" t="str">
        <f t="shared" si="194"/>
        <v/>
      </c>
    </row>
    <row r="2113" spans="7:15" x14ac:dyDescent="0.25">
      <c r="G2113" t="str">
        <f t="shared" si="192"/>
        <v/>
      </c>
      <c r="H2113" s="13" t="str">
        <f t="shared" si="195"/>
        <v/>
      </c>
      <c r="I2113" t="str">
        <f>IFERROR(INDEX(Analysis!$D$116:$N$137, MATCH(B2113, Analysis!$C$116:$C$137, 0), MATCH(C2113, Analysis!$D$115:$N$115, 0)), "")</f>
        <v/>
      </c>
      <c r="J2113" t="str">
        <f t="shared" si="196"/>
        <v/>
      </c>
      <c r="K2113" s="28" t="str">
        <f t="shared" si="193"/>
        <v/>
      </c>
      <c r="L2113" s="46" t="str">
        <f t="shared" si="197"/>
        <v/>
      </c>
      <c r="M2113" t="str" cm="1">
        <f t="array" ref="M2113">IF(L2113="","",_xlfn.IFS(
  AND(L2113&gt;=TIME(9,0,0), L2113&lt;TIME(16,0,0)),"Morning",
  AND(L2113&gt;=TIME(16,0,0), L2113&lt;TIME(23,59,0)),"Evening",
  L2113&gt;=TIME(23,59,0),"Night",
  L2113&lt;TIME(9,0,0),"Night"
))</f>
        <v/>
      </c>
      <c r="O2113" t="str">
        <f t="shared" si="194"/>
        <v/>
      </c>
    </row>
    <row r="2114" spans="7:15" x14ac:dyDescent="0.25">
      <c r="G2114" t="str">
        <f t="shared" ref="G2114:G2177" si="198">IF(ISBLANK(A2114), "", IF(ISBLANK(F2114), 0, F2114))</f>
        <v/>
      </c>
      <c r="H2114" s="13" t="str">
        <f t="shared" si="195"/>
        <v/>
      </c>
      <c r="I2114" t="str">
        <f>IFERROR(INDEX(Analysis!$D$116:$N$137, MATCH(B2114, Analysis!$C$116:$C$137, 0), MATCH(C2114, Analysis!$D$115:$N$115, 0)), "")</f>
        <v/>
      </c>
      <c r="J2114" t="str">
        <f t="shared" si="196"/>
        <v/>
      </c>
      <c r="K2114" s="28" t="str">
        <f t="shared" ref="K2114:K2177" si="199">IF(ISBLANK(A2114),"",DATE(YEAR(A2114),MONTH(A2114),DAY(A2114)))</f>
        <v/>
      </c>
      <c r="L2114" s="46" t="str">
        <f t="shared" si="197"/>
        <v/>
      </c>
      <c r="M2114" t="str" cm="1">
        <f t="array" ref="M2114">IF(L2114="","",_xlfn.IFS(
  AND(L2114&gt;=TIME(9,0,0), L2114&lt;TIME(16,0,0)),"Morning",
  AND(L2114&gt;=TIME(16,0,0), L2114&lt;TIME(23,59,0)),"Evening",
  L2114&gt;=TIME(23,59,0),"Night",
  L2114&lt;TIME(9,0,0),"Night"
))</f>
        <v/>
      </c>
      <c r="O2114" t="str">
        <f t="shared" ref="O2114:O2177" si="200">IF(N2114="ON", _xlfn.IMAGE(E2114, 1), "")</f>
        <v/>
      </c>
    </row>
    <row r="2115" spans="7:15" x14ac:dyDescent="0.25">
      <c r="G2115" t="str">
        <f t="shared" si="198"/>
        <v/>
      </c>
      <c r="H2115" s="13" t="str">
        <f t="shared" ref="H2115:H2178" si="201">IF(ISBLANK(E2115),"",HYPERLINK(E2115,"Click here"))</f>
        <v/>
      </c>
      <c r="I2115" t="str">
        <f>IFERROR(INDEX(Analysis!$D$116:$N$137, MATCH(B2115, Analysis!$C$116:$C$137, 0), MATCH(C2115, Analysis!$D$115:$N$115, 0)), "")</f>
        <v/>
      </c>
      <c r="J2115" t="str">
        <f t="shared" ref="J2115:J2178" si="202">IF(ISBLANK(A2115),"",WEEKNUM(A2115))</f>
        <v/>
      </c>
      <c r="K2115" s="28" t="str">
        <f t="shared" si="199"/>
        <v/>
      </c>
      <c r="L2115" s="46" t="str">
        <f t="shared" ref="L2115:L2178" si="203">IF(A2115="", "", A2115 - INT(A2115))</f>
        <v/>
      </c>
      <c r="M2115" t="str" cm="1">
        <f t="array" ref="M2115">IF(L2115="","",_xlfn.IFS(
  AND(L2115&gt;=TIME(9,0,0), L2115&lt;TIME(16,0,0)),"Morning",
  AND(L2115&gt;=TIME(16,0,0), L2115&lt;TIME(23,59,0)),"Evening",
  L2115&gt;=TIME(23,59,0),"Night",
  L2115&lt;TIME(9,0,0),"Night"
))</f>
        <v/>
      </c>
      <c r="O2115" t="str">
        <f t="shared" si="200"/>
        <v/>
      </c>
    </row>
    <row r="2116" spans="7:15" x14ac:dyDescent="0.25">
      <c r="G2116" t="str">
        <f t="shared" si="198"/>
        <v/>
      </c>
      <c r="H2116" s="13" t="str">
        <f t="shared" si="201"/>
        <v/>
      </c>
      <c r="I2116" t="str">
        <f>IFERROR(INDEX(Analysis!$D$116:$N$137, MATCH(B2116, Analysis!$C$116:$C$137, 0), MATCH(C2116, Analysis!$D$115:$N$115, 0)), "")</f>
        <v/>
      </c>
      <c r="J2116" t="str">
        <f t="shared" si="202"/>
        <v/>
      </c>
      <c r="K2116" s="28" t="str">
        <f t="shared" si="199"/>
        <v/>
      </c>
      <c r="L2116" s="46" t="str">
        <f t="shared" si="203"/>
        <v/>
      </c>
      <c r="M2116" t="str" cm="1">
        <f t="array" ref="M2116">IF(L2116="","",_xlfn.IFS(
  AND(L2116&gt;=TIME(9,0,0), L2116&lt;TIME(16,0,0)),"Morning",
  AND(L2116&gt;=TIME(16,0,0), L2116&lt;TIME(23,59,0)),"Evening",
  L2116&gt;=TIME(23,59,0),"Night",
  L2116&lt;TIME(9,0,0),"Night"
))</f>
        <v/>
      </c>
      <c r="O2116" t="str">
        <f t="shared" si="200"/>
        <v/>
      </c>
    </row>
    <row r="2117" spans="7:15" x14ac:dyDescent="0.25">
      <c r="G2117" t="str">
        <f t="shared" si="198"/>
        <v/>
      </c>
      <c r="H2117" s="13" t="str">
        <f t="shared" si="201"/>
        <v/>
      </c>
      <c r="I2117" t="str">
        <f>IFERROR(INDEX(Analysis!$D$116:$N$137, MATCH(B2117, Analysis!$C$116:$C$137, 0), MATCH(C2117, Analysis!$D$115:$N$115, 0)), "")</f>
        <v/>
      </c>
      <c r="J2117" t="str">
        <f t="shared" si="202"/>
        <v/>
      </c>
      <c r="K2117" s="28" t="str">
        <f t="shared" si="199"/>
        <v/>
      </c>
      <c r="L2117" s="46" t="str">
        <f t="shared" si="203"/>
        <v/>
      </c>
      <c r="M2117" t="str" cm="1">
        <f t="array" ref="M2117">IF(L2117="","",_xlfn.IFS(
  AND(L2117&gt;=TIME(9,0,0), L2117&lt;TIME(16,0,0)),"Morning",
  AND(L2117&gt;=TIME(16,0,0), L2117&lt;TIME(23,59,0)),"Evening",
  L2117&gt;=TIME(23,59,0),"Night",
  L2117&lt;TIME(9,0,0),"Night"
))</f>
        <v/>
      </c>
      <c r="O2117" t="str">
        <f t="shared" si="200"/>
        <v/>
      </c>
    </row>
    <row r="2118" spans="7:15" x14ac:dyDescent="0.25">
      <c r="G2118" t="str">
        <f t="shared" si="198"/>
        <v/>
      </c>
      <c r="H2118" s="13" t="str">
        <f t="shared" si="201"/>
        <v/>
      </c>
      <c r="I2118" t="str">
        <f>IFERROR(INDEX(Analysis!$D$116:$N$137, MATCH(B2118, Analysis!$C$116:$C$137, 0), MATCH(C2118, Analysis!$D$115:$N$115, 0)), "")</f>
        <v/>
      </c>
      <c r="J2118" t="str">
        <f t="shared" si="202"/>
        <v/>
      </c>
      <c r="K2118" s="28" t="str">
        <f t="shared" si="199"/>
        <v/>
      </c>
      <c r="L2118" s="46" t="str">
        <f t="shared" si="203"/>
        <v/>
      </c>
      <c r="M2118" t="str" cm="1">
        <f t="array" ref="M2118">IF(L2118="","",_xlfn.IFS(
  AND(L2118&gt;=TIME(9,0,0), L2118&lt;TIME(16,0,0)),"Morning",
  AND(L2118&gt;=TIME(16,0,0), L2118&lt;TIME(23,59,0)),"Evening",
  L2118&gt;=TIME(23,59,0),"Night",
  L2118&lt;TIME(9,0,0),"Night"
))</f>
        <v/>
      </c>
      <c r="O2118" t="str">
        <f t="shared" si="200"/>
        <v/>
      </c>
    </row>
    <row r="2119" spans="7:15" x14ac:dyDescent="0.25">
      <c r="G2119" t="str">
        <f t="shared" si="198"/>
        <v/>
      </c>
      <c r="H2119" s="13" t="str">
        <f t="shared" si="201"/>
        <v/>
      </c>
      <c r="I2119" t="str">
        <f>IFERROR(INDEX(Analysis!$D$116:$N$137, MATCH(B2119, Analysis!$C$116:$C$137, 0), MATCH(C2119, Analysis!$D$115:$N$115, 0)), "")</f>
        <v/>
      </c>
      <c r="J2119" t="str">
        <f t="shared" si="202"/>
        <v/>
      </c>
      <c r="K2119" s="28" t="str">
        <f t="shared" si="199"/>
        <v/>
      </c>
      <c r="L2119" s="46" t="str">
        <f t="shared" si="203"/>
        <v/>
      </c>
      <c r="M2119" t="str" cm="1">
        <f t="array" ref="M2119">IF(L2119="","",_xlfn.IFS(
  AND(L2119&gt;=TIME(9,0,0), L2119&lt;TIME(16,0,0)),"Morning",
  AND(L2119&gt;=TIME(16,0,0), L2119&lt;TIME(23,59,0)),"Evening",
  L2119&gt;=TIME(23,59,0),"Night",
  L2119&lt;TIME(9,0,0),"Night"
))</f>
        <v/>
      </c>
      <c r="O2119" t="str">
        <f t="shared" si="200"/>
        <v/>
      </c>
    </row>
    <row r="2120" spans="7:15" x14ac:dyDescent="0.25">
      <c r="G2120" t="str">
        <f t="shared" si="198"/>
        <v/>
      </c>
      <c r="H2120" s="13" t="str">
        <f t="shared" si="201"/>
        <v/>
      </c>
      <c r="I2120" t="str">
        <f>IFERROR(INDEX(Analysis!$D$116:$N$137, MATCH(B2120, Analysis!$C$116:$C$137, 0), MATCH(C2120, Analysis!$D$115:$N$115, 0)), "")</f>
        <v/>
      </c>
      <c r="J2120" t="str">
        <f t="shared" si="202"/>
        <v/>
      </c>
      <c r="K2120" s="28" t="str">
        <f t="shared" si="199"/>
        <v/>
      </c>
      <c r="L2120" s="46" t="str">
        <f t="shared" si="203"/>
        <v/>
      </c>
      <c r="M2120" t="str" cm="1">
        <f t="array" ref="M2120">IF(L2120="","",_xlfn.IFS(
  AND(L2120&gt;=TIME(9,0,0), L2120&lt;TIME(16,0,0)),"Morning",
  AND(L2120&gt;=TIME(16,0,0), L2120&lt;TIME(23,59,0)),"Evening",
  L2120&gt;=TIME(23,59,0),"Night",
  L2120&lt;TIME(9,0,0),"Night"
))</f>
        <v/>
      </c>
      <c r="O2120" t="str">
        <f t="shared" si="200"/>
        <v/>
      </c>
    </row>
    <row r="2121" spans="7:15" x14ac:dyDescent="0.25">
      <c r="G2121" t="str">
        <f t="shared" si="198"/>
        <v/>
      </c>
      <c r="H2121" s="13" t="str">
        <f t="shared" si="201"/>
        <v/>
      </c>
      <c r="I2121" t="str">
        <f>IFERROR(INDEX(Analysis!$D$116:$N$137, MATCH(B2121, Analysis!$C$116:$C$137, 0), MATCH(C2121, Analysis!$D$115:$N$115, 0)), "")</f>
        <v/>
      </c>
      <c r="J2121" t="str">
        <f t="shared" si="202"/>
        <v/>
      </c>
      <c r="K2121" s="28" t="str">
        <f t="shared" si="199"/>
        <v/>
      </c>
      <c r="L2121" s="46" t="str">
        <f t="shared" si="203"/>
        <v/>
      </c>
      <c r="M2121" t="str" cm="1">
        <f t="array" ref="M2121">IF(L2121="","",_xlfn.IFS(
  AND(L2121&gt;=TIME(9,0,0), L2121&lt;TIME(16,0,0)),"Morning",
  AND(L2121&gt;=TIME(16,0,0), L2121&lt;TIME(23,59,0)),"Evening",
  L2121&gt;=TIME(23,59,0),"Night",
  L2121&lt;TIME(9,0,0),"Night"
))</f>
        <v/>
      </c>
      <c r="O2121" t="str">
        <f t="shared" si="200"/>
        <v/>
      </c>
    </row>
    <row r="2122" spans="7:15" x14ac:dyDescent="0.25">
      <c r="G2122" t="str">
        <f t="shared" si="198"/>
        <v/>
      </c>
      <c r="H2122" s="13" t="str">
        <f t="shared" si="201"/>
        <v/>
      </c>
      <c r="I2122" t="str">
        <f>IFERROR(INDEX(Analysis!$D$116:$N$137, MATCH(B2122, Analysis!$C$116:$C$137, 0), MATCH(C2122, Analysis!$D$115:$N$115, 0)), "")</f>
        <v/>
      </c>
      <c r="J2122" t="str">
        <f t="shared" si="202"/>
        <v/>
      </c>
      <c r="K2122" s="28" t="str">
        <f t="shared" si="199"/>
        <v/>
      </c>
      <c r="L2122" s="46" t="str">
        <f t="shared" si="203"/>
        <v/>
      </c>
      <c r="M2122" t="str" cm="1">
        <f t="array" ref="M2122">IF(L2122="","",_xlfn.IFS(
  AND(L2122&gt;=TIME(9,0,0), L2122&lt;TIME(16,0,0)),"Morning",
  AND(L2122&gt;=TIME(16,0,0), L2122&lt;TIME(23,59,0)),"Evening",
  L2122&gt;=TIME(23,59,0),"Night",
  L2122&lt;TIME(9,0,0),"Night"
))</f>
        <v/>
      </c>
      <c r="O2122" t="str">
        <f t="shared" si="200"/>
        <v/>
      </c>
    </row>
    <row r="2123" spans="7:15" x14ac:dyDescent="0.25">
      <c r="G2123" t="str">
        <f t="shared" si="198"/>
        <v/>
      </c>
      <c r="H2123" s="13" t="str">
        <f t="shared" si="201"/>
        <v/>
      </c>
      <c r="I2123" t="str">
        <f>IFERROR(INDEX(Analysis!$D$116:$N$137, MATCH(B2123, Analysis!$C$116:$C$137, 0), MATCH(C2123, Analysis!$D$115:$N$115, 0)), "")</f>
        <v/>
      </c>
      <c r="J2123" t="str">
        <f t="shared" si="202"/>
        <v/>
      </c>
      <c r="K2123" s="28" t="str">
        <f t="shared" si="199"/>
        <v/>
      </c>
      <c r="L2123" s="46" t="str">
        <f t="shared" si="203"/>
        <v/>
      </c>
      <c r="M2123" t="str" cm="1">
        <f t="array" ref="M2123">IF(L2123="","",_xlfn.IFS(
  AND(L2123&gt;=TIME(9,0,0), L2123&lt;TIME(16,0,0)),"Morning",
  AND(L2123&gt;=TIME(16,0,0), L2123&lt;TIME(23,59,0)),"Evening",
  L2123&gt;=TIME(23,59,0),"Night",
  L2123&lt;TIME(9,0,0),"Night"
))</f>
        <v/>
      </c>
      <c r="O2123" t="str">
        <f t="shared" si="200"/>
        <v/>
      </c>
    </row>
    <row r="2124" spans="7:15" x14ac:dyDescent="0.25">
      <c r="G2124" t="str">
        <f t="shared" si="198"/>
        <v/>
      </c>
      <c r="H2124" s="13" t="str">
        <f t="shared" si="201"/>
        <v/>
      </c>
      <c r="I2124" t="str">
        <f>IFERROR(INDEX(Analysis!$D$116:$N$137, MATCH(B2124, Analysis!$C$116:$C$137, 0), MATCH(C2124, Analysis!$D$115:$N$115, 0)), "")</f>
        <v/>
      </c>
      <c r="J2124" t="str">
        <f t="shared" si="202"/>
        <v/>
      </c>
      <c r="K2124" s="28" t="str">
        <f t="shared" si="199"/>
        <v/>
      </c>
      <c r="L2124" s="46" t="str">
        <f t="shared" si="203"/>
        <v/>
      </c>
      <c r="M2124" t="str" cm="1">
        <f t="array" ref="M2124">IF(L2124="","",_xlfn.IFS(
  AND(L2124&gt;=TIME(9,0,0), L2124&lt;TIME(16,0,0)),"Morning",
  AND(L2124&gt;=TIME(16,0,0), L2124&lt;TIME(23,59,0)),"Evening",
  L2124&gt;=TIME(23,59,0),"Night",
  L2124&lt;TIME(9,0,0),"Night"
))</f>
        <v/>
      </c>
      <c r="O2124" t="str">
        <f t="shared" si="200"/>
        <v/>
      </c>
    </row>
    <row r="2125" spans="7:15" x14ac:dyDescent="0.25">
      <c r="G2125" t="str">
        <f t="shared" si="198"/>
        <v/>
      </c>
      <c r="H2125" s="13" t="str">
        <f t="shared" si="201"/>
        <v/>
      </c>
      <c r="I2125" t="str">
        <f>IFERROR(INDEX(Analysis!$D$116:$N$137, MATCH(B2125, Analysis!$C$116:$C$137, 0), MATCH(C2125, Analysis!$D$115:$N$115, 0)), "")</f>
        <v/>
      </c>
      <c r="J2125" t="str">
        <f t="shared" si="202"/>
        <v/>
      </c>
      <c r="K2125" s="28" t="str">
        <f t="shared" si="199"/>
        <v/>
      </c>
      <c r="L2125" s="46" t="str">
        <f t="shared" si="203"/>
        <v/>
      </c>
      <c r="M2125" t="str" cm="1">
        <f t="array" ref="M2125">IF(L2125="","",_xlfn.IFS(
  AND(L2125&gt;=TIME(9,0,0), L2125&lt;TIME(16,0,0)),"Morning",
  AND(L2125&gt;=TIME(16,0,0), L2125&lt;TIME(23,59,0)),"Evening",
  L2125&gt;=TIME(23,59,0),"Night",
  L2125&lt;TIME(9,0,0),"Night"
))</f>
        <v/>
      </c>
      <c r="O2125" t="str">
        <f t="shared" si="200"/>
        <v/>
      </c>
    </row>
    <row r="2126" spans="7:15" x14ac:dyDescent="0.25">
      <c r="G2126" t="str">
        <f t="shared" si="198"/>
        <v/>
      </c>
      <c r="H2126" s="13" t="str">
        <f t="shared" si="201"/>
        <v/>
      </c>
      <c r="I2126" t="str">
        <f>IFERROR(INDEX(Analysis!$D$116:$N$137, MATCH(B2126, Analysis!$C$116:$C$137, 0), MATCH(C2126, Analysis!$D$115:$N$115, 0)), "")</f>
        <v/>
      </c>
      <c r="J2126" t="str">
        <f t="shared" si="202"/>
        <v/>
      </c>
      <c r="K2126" s="28" t="str">
        <f t="shared" si="199"/>
        <v/>
      </c>
      <c r="L2126" s="46" t="str">
        <f t="shared" si="203"/>
        <v/>
      </c>
      <c r="M2126" t="str" cm="1">
        <f t="array" ref="M2126">IF(L2126="","",_xlfn.IFS(
  AND(L2126&gt;=TIME(9,0,0), L2126&lt;TIME(16,0,0)),"Morning",
  AND(L2126&gt;=TIME(16,0,0), L2126&lt;TIME(23,59,0)),"Evening",
  L2126&gt;=TIME(23,59,0),"Night",
  L2126&lt;TIME(9,0,0),"Night"
))</f>
        <v/>
      </c>
      <c r="O2126" t="str">
        <f t="shared" si="200"/>
        <v/>
      </c>
    </row>
    <row r="2127" spans="7:15" x14ac:dyDescent="0.25">
      <c r="G2127" t="str">
        <f t="shared" si="198"/>
        <v/>
      </c>
      <c r="H2127" s="13" t="str">
        <f t="shared" si="201"/>
        <v/>
      </c>
      <c r="I2127" t="str">
        <f>IFERROR(INDEX(Analysis!$D$116:$N$137, MATCH(B2127, Analysis!$C$116:$C$137, 0), MATCH(C2127, Analysis!$D$115:$N$115, 0)), "")</f>
        <v/>
      </c>
      <c r="J2127" t="str">
        <f t="shared" si="202"/>
        <v/>
      </c>
      <c r="K2127" s="28" t="str">
        <f t="shared" si="199"/>
        <v/>
      </c>
      <c r="L2127" s="46" t="str">
        <f t="shared" si="203"/>
        <v/>
      </c>
      <c r="M2127" t="str" cm="1">
        <f t="array" ref="M2127">IF(L2127="","",_xlfn.IFS(
  AND(L2127&gt;=TIME(9,0,0), L2127&lt;TIME(16,0,0)),"Morning",
  AND(L2127&gt;=TIME(16,0,0), L2127&lt;TIME(23,59,0)),"Evening",
  L2127&gt;=TIME(23,59,0),"Night",
  L2127&lt;TIME(9,0,0),"Night"
))</f>
        <v/>
      </c>
      <c r="O2127" t="str">
        <f t="shared" si="200"/>
        <v/>
      </c>
    </row>
    <row r="2128" spans="7:15" x14ac:dyDescent="0.25">
      <c r="G2128" t="str">
        <f t="shared" si="198"/>
        <v/>
      </c>
      <c r="H2128" s="13" t="str">
        <f t="shared" si="201"/>
        <v/>
      </c>
      <c r="I2128" t="str">
        <f>IFERROR(INDEX(Analysis!$D$116:$N$137, MATCH(B2128, Analysis!$C$116:$C$137, 0), MATCH(C2128, Analysis!$D$115:$N$115, 0)), "")</f>
        <v/>
      </c>
      <c r="J2128" t="str">
        <f t="shared" si="202"/>
        <v/>
      </c>
      <c r="K2128" s="28" t="str">
        <f t="shared" si="199"/>
        <v/>
      </c>
      <c r="L2128" s="46" t="str">
        <f t="shared" si="203"/>
        <v/>
      </c>
      <c r="M2128" t="str" cm="1">
        <f t="array" ref="M2128">IF(L2128="","",_xlfn.IFS(
  AND(L2128&gt;=TIME(9,0,0), L2128&lt;TIME(16,0,0)),"Morning",
  AND(L2128&gt;=TIME(16,0,0), L2128&lt;TIME(23,59,0)),"Evening",
  L2128&gt;=TIME(23,59,0),"Night",
  L2128&lt;TIME(9,0,0),"Night"
))</f>
        <v/>
      </c>
      <c r="O2128" t="str">
        <f t="shared" si="200"/>
        <v/>
      </c>
    </row>
    <row r="2129" spans="7:15" x14ac:dyDescent="0.25">
      <c r="G2129" t="str">
        <f t="shared" si="198"/>
        <v/>
      </c>
      <c r="H2129" s="13" t="str">
        <f t="shared" si="201"/>
        <v/>
      </c>
      <c r="I2129" t="str">
        <f>IFERROR(INDEX(Analysis!$D$116:$N$137, MATCH(B2129, Analysis!$C$116:$C$137, 0), MATCH(C2129, Analysis!$D$115:$N$115, 0)), "")</f>
        <v/>
      </c>
      <c r="J2129" t="str">
        <f t="shared" si="202"/>
        <v/>
      </c>
      <c r="K2129" s="28" t="str">
        <f t="shared" si="199"/>
        <v/>
      </c>
      <c r="L2129" s="46" t="str">
        <f t="shared" si="203"/>
        <v/>
      </c>
      <c r="M2129" t="str" cm="1">
        <f t="array" ref="M2129">IF(L2129="","",_xlfn.IFS(
  AND(L2129&gt;=TIME(9,0,0), L2129&lt;TIME(16,0,0)),"Morning",
  AND(L2129&gt;=TIME(16,0,0), L2129&lt;TIME(23,59,0)),"Evening",
  L2129&gt;=TIME(23,59,0),"Night",
  L2129&lt;TIME(9,0,0),"Night"
))</f>
        <v/>
      </c>
      <c r="O2129" t="str">
        <f t="shared" si="200"/>
        <v/>
      </c>
    </row>
    <row r="2130" spans="7:15" x14ac:dyDescent="0.25">
      <c r="G2130" t="str">
        <f t="shared" si="198"/>
        <v/>
      </c>
      <c r="H2130" s="13" t="str">
        <f t="shared" si="201"/>
        <v/>
      </c>
      <c r="I2130" t="str">
        <f>IFERROR(INDEX(Analysis!$D$116:$N$137, MATCH(B2130, Analysis!$C$116:$C$137, 0), MATCH(C2130, Analysis!$D$115:$N$115, 0)), "")</f>
        <v/>
      </c>
      <c r="J2130" t="str">
        <f t="shared" si="202"/>
        <v/>
      </c>
      <c r="K2130" s="28" t="str">
        <f t="shared" si="199"/>
        <v/>
      </c>
      <c r="L2130" s="46" t="str">
        <f t="shared" si="203"/>
        <v/>
      </c>
      <c r="M2130" t="str" cm="1">
        <f t="array" ref="M2130">IF(L2130="","",_xlfn.IFS(
  AND(L2130&gt;=TIME(9,0,0), L2130&lt;TIME(16,0,0)),"Morning",
  AND(L2130&gt;=TIME(16,0,0), L2130&lt;TIME(23,59,0)),"Evening",
  L2130&gt;=TIME(23,59,0),"Night",
  L2130&lt;TIME(9,0,0),"Night"
))</f>
        <v/>
      </c>
      <c r="O2130" t="str">
        <f t="shared" si="200"/>
        <v/>
      </c>
    </row>
    <row r="2131" spans="7:15" x14ac:dyDescent="0.25">
      <c r="G2131" t="str">
        <f t="shared" si="198"/>
        <v/>
      </c>
      <c r="H2131" s="13" t="str">
        <f t="shared" si="201"/>
        <v/>
      </c>
      <c r="I2131" t="str">
        <f>IFERROR(INDEX(Analysis!$D$116:$N$137, MATCH(B2131, Analysis!$C$116:$C$137, 0), MATCH(C2131, Analysis!$D$115:$N$115, 0)), "")</f>
        <v/>
      </c>
      <c r="J2131" t="str">
        <f t="shared" si="202"/>
        <v/>
      </c>
      <c r="K2131" s="28" t="str">
        <f t="shared" si="199"/>
        <v/>
      </c>
      <c r="L2131" s="46" t="str">
        <f t="shared" si="203"/>
        <v/>
      </c>
      <c r="M2131" t="str" cm="1">
        <f t="array" ref="M2131">IF(L2131="","",_xlfn.IFS(
  AND(L2131&gt;=TIME(9,0,0), L2131&lt;TIME(16,0,0)),"Morning",
  AND(L2131&gt;=TIME(16,0,0), L2131&lt;TIME(23,59,0)),"Evening",
  L2131&gt;=TIME(23,59,0),"Night",
  L2131&lt;TIME(9,0,0),"Night"
))</f>
        <v/>
      </c>
      <c r="O2131" t="str">
        <f t="shared" si="200"/>
        <v/>
      </c>
    </row>
    <row r="2132" spans="7:15" x14ac:dyDescent="0.25">
      <c r="G2132" t="str">
        <f t="shared" si="198"/>
        <v/>
      </c>
      <c r="H2132" s="13" t="str">
        <f t="shared" si="201"/>
        <v/>
      </c>
      <c r="I2132" t="str">
        <f>IFERROR(INDEX(Analysis!$D$116:$N$137, MATCH(B2132, Analysis!$C$116:$C$137, 0), MATCH(C2132, Analysis!$D$115:$N$115, 0)), "")</f>
        <v/>
      </c>
      <c r="J2132" t="str">
        <f t="shared" si="202"/>
        <v/>
      </c>
      <c r="K2132" s="28" t="str">
        <f t="shared" si="199"/>
        <v/>
      </c>
      <c r="L2132" s="46" t="str">
        <f t="shared" si="203"/>
        <v/>
      </c>
      <c r="M2132" t="str" cm="1">
        <f t="array" ref="M2132">IF(L2132="","",_xlfn.IFS(
  AND(L2132&gt;=TIME(9,0,0), L2132&lt;TIME(16,0,0)),"Morning",
  AND(L2132&gt;=TIME(16,0,0), L2132&lt;TIME(23,59,0)),"Evening",
  L2132&gt;=TIME(23,59,0),"Night",
  L2132&lt;TIME(9,0,0),"Night"
))</f>
        <v/>
      </c>
      <c r="O2132" t="str">
        <f t="shared" si="200"/>
        <v/>
      </c>
    </row>
    <row r="2133" spans="7:15" x14ac:dyDescent="0.25">
      <c r="G2133" t="str">
        <f t="shared" si="198"/>
        <v/>
      </c>
      <c r="H2133" s="13" t="str">
        <f t="shared" si="201"/>
        <v/>
      </c>
      <c r="I2133" t="str">
        <f>IFERROR(INDEX(Analysis!$D$116:$N$137, MATCH(B2133, Analysis!$C$116:$C$137, 0), MATCH(C2133, Analysis!$D$115:$N$115, 0)), "")</f>
        <v/>
      </c>
      <c r="J2133" t="str">
        <f t="shared" si="202"/>
        <v/>
      </c>
      <c r="K2133" s="28" t="str">
        <f t="shared" si="199"/>
        <v/>
      </c>
      <c r="L2133" s="46" t="str">
        <f t="shared" si="203"/>
        <v/>
      </c>
      <c r="M2133" t="str" cm="1">
        <f t="array" ref="M2133">IF(L2133="","",_xlfn.IFS(
  AND(L2133&gt;=TIME(9,0,0), L2133&lt;TIME(16,0,0)),"Morning",
  AND(L2133&gt;=TIME(16,0,0), L2133&lt;TIME(23,59,0)),"Evening",
  L2133&gt;=TIME(23,59,0),"Night",
  L2133&lt;TIME(9,0,0),"Night"
))</f>
        <v/>
      </c>
      <c r="O2133" t="str">
        <f t="shared" si="200"/>
        <v/>
      </c>
    </row>
    <row r="2134" spans="7:15" x14ac:dyDescent="0.25">
      <c r="G2134" t="str">
        <f t="shared" si="198"/>
        <v/>
      </c>
      <c r="H2134" s="13" t="str">
        <f t="shared" si="201"/>
        <v/>
      </c>
      <c r="I2134" t="str">
        <f>IFERROR(INDEX(Analysis!$D$116:$N$137, MATCH(B2134, Analysis!$C$116:$C$137, 0), MATCH(C2134, Analysis!$D$115:$N$115, 0)), "")</f>
        <v/>
      </c>
      <c r="J2134" t="str">
        <f t="shared" si="202"/>
        <v/>
      </c>
      <c r="K2134" s="28" t="str">
        <f t="shared" si="199"/>
        <v/>
      </c>
      <c r="L2134" s="46" t="str">
        <f t="shared" si="203"/>
        <v/>
      </c>
      <c r="M2134" t="str" cm="1">
        <f t="array" ref="M2134">IF(L2134="","",_xlfn.IFS(
  AND(L2134&gt;=TIME(9,0,0), L2134&lt;TIME(16,0,0)),"Morning",
  AND(L2134&gt;=TIME(16,0,0), L2134&lt;TIME(23,59,0)),"Evening",
  L2134&gt;=TIME(23,59,0),"Night",
  L2134&lt;TIME(9,0,0),"Night"
))</f>
        <v/>
      </c>
      <c r="O2134" t="str">
        <f t="shared" si="200"/>
        <v/>
      </c>
    </row>
    <row r="2135" spans="7:15" x14ac:dyDescent="0.25">
      <c r="G2135" t="str">
        <f t="shared" si="198"/>
        <v/>
      </c>
      <c r="H2135" s="13" t="str">
        <f t="shared" si="201"/>
        <v/>
      </c>
      <c r="I2135" t="str">
        <f>IFERROR(INDEX(Analysis!$D$116:$N$137, MATCH(B2135, Analysis!$C$116:$C$137, 0), MATCH(C2135, Analysis!$D$115:$N$115, 0)), "")</f>
        <v/>
      </c>
      <c r="J2135" t="str">
        <f t="shared" si="202"/>
        <v/>
      </c>
      <c r="K2135" s="28" t="str">
        <f t="shared" si="199"/>
        <v/>
      </c>
      <c r="L2135" s="46" t="str">
        <f t="shared" si="203"/>
        <v/>
      </c>
      <c r="M2135" t="str" cm="1">
        <f t="array" ref="M2135">IF(L2135="","",_xlfn.IFS(
  AND(L2135&gt;=TIME(9,0,0), L2135&lt;TIME(16,0,0)),"Morning",
  AND(L2135&gt;=TIME(16,0,0), L2135&lt;TIME(23,59,0)),"Evening",
  L2135&gt;=TIME(23,59,0),"Night",
  L2135&lt;TIME(9,0,0),"Night"
))</f>
        <v/>
      </c>
      <c r="O2135" t="str">
        <f t="shared" si="200"/>
        <v/>
      </c>
    </row>
    <row r="2136" spans="7:15" x14ac:dyDescent="0.25">
      <c r="G2136" t="str">
        <f t="shared" si="198"/>
        <v/>
      </c>
      <c r="H2136" s="13" t="str">
        <f t="shared" si="201"/>
        <v/>
      </c>
      <c r="I2136" t="str">
        <f>IFERROR(INDEX(Analysis!$D$116:$N$137, MATCH(B2136, Analysis!$C$116:$C$137, 0), MATCH(C2136, Analysis!$D$115:$N$115, 0)), "")</f>
        <v/>
      </c>
      <c r="J2136" t="str">
        <f t="shared" si="202"/>
        <v/>
      </c>
      <c r="K2136" s="28" t="str">
        <f t="shared" si="199"/>
        <v/>
      </c>
      <c r="L2136" s="46" t="str">
        <f t="shared" si="203"/>
        <v/>
      </c>
      <c r="M2136" t="str" cm="1">
        <f t="array" ref="M2136">IF(L2136="","",_xlfn.IFS(
  AND(L2136&gt;=TIME(9,0,0), L2136&lt;TIME(16,0,0)),"Morning",
  AND(L2136&gt;=TIME(16,0,0), L2136&lt;TIME(23,59,0)),"Evening",
  L2136&gt;=TIME(23,59,0),"Night",
  L2136&lt;TIME(9,0,0),"Night"
))</f>
        <v/>
      </c>
      <c r="O2136" t="str">
        <f t="shared" si="200"/>
        <v/>
      </c>
    </row>
    <row r="2137" spans="7:15" x14ac:dyDescent="0.25">
      <c r="G2137" t="str">
        <f t="shared" si="198"/>
        <v/>
      </c>
      <c r="H2137" s="13" t="str">
        <f t="shared" si="201"/>
        <v/>
      </c>
      <c r="I2137" t="str">
        <f>IFERROR(INDEX(Analysis!$D$116:$N$137, MATCH(B2137, Analysis!$C$116:$C$137, 0), MATCH(C2137, Analysis!$D$115:$N$115, 0)), "")</f>
        <v/>
      </c>
      <c r="J2137" t="str">
        <f t="shared" si="202"/>
        <v/>
      </c>
      <c r="K2137" s="28" t="str">
        <f t="shared" si="199"/>
        <v/>
      </c>
      <c r="L2137" s="46" t="str">
        <f t="shared" si="203"/>
        <v/>
      </c>
      <c r="M2137" t="str" cm="1">
        <f t="array" ref="M2137">IF(L2137="","",_xlfn.IFS(
  AND(L2137&gt;=TIME(9,0,0), L2137&lt;TIME(16,0,0)),"Morning",
  AND(L2137&gt;=TIME(16,0,0), L2137&lt;TIME(23,59,0)),"Evening",
  L2137&gt;=TIME(23,59,0),"Night",
  L2137&lt;TIME(9,0,0),"Night"
))</f>
        <v/>
      </c>
      <c r="O2137" t="str">
        <f t="shared" si="200"/>
        <v/>
      </c>
    </row>
    <row r="2138" spans="7:15" x14ac:dyDescent="0.25">
      <c r="G2138" t="str">
        <f t="shared" si="198"/>
        <v/>
      </c>
      <c r="H2138" s="13" t="str">
        <f t="shared" si="201"/>
        <v/>
      </c>
      <c r="I2138" t="str">
        <f>IFERROR(INDEX(Analysis!$D$116:$N$137, MATCH(B2138, Analysis!$C$116:$C$137, 0), MATCH(C2138, Analysis!$D$115:$N$115, 0)), "")</f>
        <v/>
      </c>
      <c r="J2138" t="str">
        <f t="shared" si="202"/>
        <v/>
      </c>
      <c r="K2138" s="28" t="str">
        <f t="shared" si="199"/>
        <v/>
      </c>
      <c r="L2138" s="46" t="str">
        <f t="shared" si="203"/>
        <v/>
      </c>
      <c r="M2138" t="str" cm="1">
        <f t="array" ref="M2138">IF(L2138="","",_xlfn.IFS(
  AND(L2138&gt;=TIME(9,0,0), L2138&lt;TIME(16,0,0)),"Morning",
  AND(L2138&gt;=TIME(16,0,0), L2138&lt;TIME(23,59,0)),"Evening",
  L2138&gt;=TIME(23,59,0),"Night",
  L2138&lt;TIME(9,0,0),"Night"
))</f>
        <v/>
      </c>
      <c r="O2138" t="str">
        <f t="shared" si="200"/>
        <v/>
      </c>
    </row>
    <row r="2139" spans="7:15" x14ac:dyDescent="0.25">
      <c r="G2139" t="str">
        <f t="shared" si="198"/>
        <v/>
      </c>
      <c r="H2139" s="13" t="str">
        <f t="shared" si="201"/>
        <v/>
      </c>
      <c r="I2139" t="str">
        <f>IFERROR(INDEX(Analysis!$D$116:$N$137, MATCH(B2139, Analysis!$C$116:$C$137, 0), MATCH(C2139, Analysis!$D$115:$N$115, 0)), "")</f>
        <v/>
      </c>
      <c r="J2139" t="str">
        <f t="shared" si="202"/>
        <v/>
      </c>
      <c r="K2139" s="28" t="str">
        <f t="shared" si="199"/>
        <v/>
      </c>
      <c r="L2139" s="46" t="str">
        <f t="shared" si="203"/>
        <v/>
      </c>
      <c r="M2139" t="str" cm="1">
        <f t="array" ref="M2139">IF(L2139="","",_xlfn.IFS(
  AND(L2139&gt;=TIME(9,0,0), L2139&lt;TIME(16,0,0)),"Morning",
  AND(L2139&gt;=TIME(16,0,0), L2139&lt;TIME(23,59,0)),"Evening",
  L2139&gt;=TIME(23,59,0),"Night",
  L2139&lt;TIME(9,0,0),"Night"
))</f>
        <v/>
      </c>
      <c r="O2139" t="str">
        <f t="shared" si="200"/>
        <v/>
      </c>
    </row>
    <row r="2140" spans="7:15" x14ac:dyDescent="0.25">
      <c r="G2140" t="str">
        <f t="shared" si="198"/>
        <v/>
      </c>
      <c r="H2140" s="13" t="str">
        <f t="shared" si="201"/>
        <v/>
      </c>
      <c r="I2140" t="str">
        <f>IFERROR(INDEX(Analysis!$D$116:$N$137, MATCH(B2140, Analysis!$C$116:$C$137, 0), MATCH(C2140, Analysis!$D$115:$N$115, 0)), "")</f>
        <v/>
      </c>
      <c r="J2140" t="str">
        <f t="shared" si="202"/>
        <v/>
      </c>
      <c r="K2140" s="28" t="str">
        <f t="shared" si="199"/>
        <v/>
      </c>
      <c r="L2140" s="46" t="str">
        <f t="shared" si="203"/>
        <v/>
      </c>
      <c r="M2140" t="str" cm="1">
        <f t="array" ref="M2140">IF(L2140="","",_xlfn.IFS(
  AND(L2140&gt;=TIME(9,0,0), L2140&lt;TIME(16,0,0)),"Morning",
  AND(L2140&gt;=TIME(16,0,0), L2140&lt;TIME(23,59,0)),"Evening",
  L2140&gt;=TIME(23,59,0),"Night",
  L2140&lt;TIME(9,0,0),"Night"
))</f>
        <v/>
      </c>
      <c r="O2140" t="str">
        <f t="shared" si="200"/>
        <v/>
      </c>
    </row>
    <row r="2141" spans="7:15" x14ac:dyDescent="0.25">
      <c r="G2141" t="str">
        <f t="shared" si="198"/>
        <v/>
      </c>
      <c r="H2141" s="13" t="str">
        <f t="shared" si="201"/>
        <v/>
      </c>
      <c r="I2141" t="str">
        <f>IFERROR(INDEX(Analysis!$D$116:$N$137, MATCH(B2141, Analysis!$C$116:$C$137, 0), MATCH(C2141, Analysis!$D$115:$N$115, 0)), "")</f>
        <v/>
      </c>
      <c r="J2141" t="str">
        <f t="shared" si="202"/>
        <v/>
      </c>
      <c r="K2141" s="28" t="str">
        <f t="shared" si="199"/>
        <v/>
      </c>
      <c r="L2141" s="46" t="str">
        <f t="shared" si="203"/>
        <v/>
      </c>
      <c r="M2141" t="str" cm="1">
        <f t="array" ref="M2141">IF(L2141="","",_xlfn.IFS(
  AND(L2141&gt;=TIME(9,0,0), L2141&lt;TIME(16,0,0)),"Morning",
  AND(L2141&gt;=TIME(16,0,0), L2141&lt;TIME(23,59,0)),"Evening",
  L2141&gt;=TIME(23,59,0),"Night",
  L2141&lt;TIME(9,0,0),"Night"
))</f>
        <v/>
      </c>
      <c r="O2141" t="str">
        <f t="shared" si="200"/>
        <v/>
      </c>
    </row>
    <row r="2142" spans="7:15" x14ac:dyDescent="0.25">
      <c r="G2142" t="str">
        <f t="shared" si="198"/>
        <v/>
      </c>
      <c r="H2142" s="13" t="str">
        <f t="shared" si="201"/>
        <v/>
      </c>
      <c r="I2142" t="str">
        <f>IFERROR(INDEX(Analysis!$D$116:$N$137, MATCH(B2142, Analysis!$C$116:$C$137, 0), MATCH(C2142, Analysis!$D$115:$N$115, 0)), "")</f>
        <v/>
      </c>
      <c r="J2142" t="str">
        <f t="shared" si="202"/>
        <v/>
      </c>
      <c r="K2142" s="28" t="str">
        <f t="shared" si="199"/>
        <v/>
      </c>
      <c r="L2142" s="46" t="str">
        <f t="shared" si="203"/>
        <v/>
      </c>
      <c r="M2142" t="str" cm="1">
        <f t="array" ref="M2142">IF(L2142="","",_xlfn.IFS(
  AND(L2142&gt;=TIME(9,0,0), L2142&lt;TIME(16,0,0)),"Morning",
  AND(L2142&gt;=TIME(16,0,0), L2142&lt;TIME(23,59,0)),"Evening",
  L2142&gt;=TIME(23,59,0),"Night",
  L2142&lt;TIME(9,0,0),"Night"
))</f>
        <v/>
      </c>
      <c r="O2142" t="str">
        <f t="shared" si="200"/>
        <v/>
      </c>
    </row>
    <row r="2143" spans="7:15" x14ac:dyDescent="0.25">
      <c r="G2143" t="str">
        <f t="shared" si="198"/>
        <v/>
      </c>
      <c r="H2143" s="13" t="str">
        <f t="shared" si="201"/>
        <v/>
      </c>
      <c r="I2143" t="str">
        <f>IFERROR(INDEX(Analysis!$D$116:$N$137, MATCH(B2143, Analysis!$C$116:$C$137, 0), MATCH(C2143, Analysis!$D$115:$N$115, 0)), "")</f>
        <v/>
      </c>
      <c r="J2143" t="str">
        <f t="shared" si="202"/>
        <v/>
      </c>
      <c r="K2143" s="28" t="str">
        <f t="shared" si="199"/>
        <v/>
      </c>
      <c r="L2143" s="46" t="str">
        <f t="shared" si="203"/>
        <v/>
      </c>
      <c r="M2143" t="str" cm="1">
        <f t="array" ref="M2143">IF(L2143="","",_xlfn.IFS(
  AND(L2143&gt;=TIME(9,0,0), L2143&lt;TIME(16,0,0)),"Morning",
  AND(L2143&gt;=TIME(16,0,0), L2143&lt;TIME(23,59,0)),"Evening",
  L2143&gt;=TIME(23,59,0),"Night",
  L2143&lt;TIME(9,0,0),"Night"
))</f>
        <v/>
      </c>
      <c r="O2143" t="str">
        <f t="shared" si="200"/>
        <v/>
      </c>
    </row>
    <row r="2144" spans="7:15" x14ac:dyDescent="0.25">
      <c r="G2144" t="str">
        <f t="shared" si="198"/>
        <v/>
      </c>
      <c r="H2144" s="13" t="str">
        <f t="shared" si="201"/>
        <v/>
      </c>
      <c r="I2144" t="str">
        <f>IFERROR(INDEX(Analysis!$D$116:$N$137, MATCH(B2144, Analysis!$C$116:$C$137, 0), MATCH(C2144, Analysis!$D$115:$N$115, 0)), "")</f>
        <v/>
      </c>
      <c r="J2144" t="str">
        <f t="shared" si="202"/>
        <v/>
      </c>
      <c r="K2144" s="28" t="str">
        <f t="shared" si="199"/>
        <v/>
      </c>
      <c r="L2144" s="46" t="str">
        <f t="shared" si="203"/>
        <v/>
      </c>
      <c r="M2144" t="str" cm="1">
        <f t="array" ref="M2144">IF(L2144="","",_xlfn.IFS(
  AND(L2144&gt;=TIME(9,0,0), L2144&lt;TIME(16,0,0)),"Morning",
  AND(L2144&gt;=TIME(16,0,0), L2144&lt;TIME(23,59,0)),"Evening",
  L2144&gt;=TIME(23,59,0),"Night",
  L2144&lt;TIME(9,0,0),"Night"
))</f>
        <v/>
      </c>
      <c r="O2144" t="str">
        <f t="shared" si="200"/>
        <v/>
      </c>
    </row>
    <row r="2145" spans="7:15" x14ac:dyDescent="0.25">
      <c r="G2145" t="str">
        <f t="shared" si="198"/>
        <v/>
      </c>
      <c r="H2145" s="13" t="str">
        <f t="shared" si="201"/>
        <v/>
      </c>
      <c r="I2145" t="str">
        <f>IFERROR(INDEX(Analysis!$D$116:$N$137, MATCH(B2145, Analysis!$C$116:$C$137, 0), MATCH(C2145, Analysis!$D$115:$N$115, 0)), "")</f>
        <v/>
      </c>
      <c r="J2145" t="str">
        <f t="shared" si="202"/>
        <v/>
      </c>
      <c r="K2145" s="28" t="str">
        <f t="shared" si="199"/>
        <v/>
      </c>
      <c r="L2145" s="46" t="str">
        <f t="shared" si="203"/>
        <v/>
      </c>
      <c r="M2145" t="str" cm="1">
        <f t="array" ref="M2145">IF(L2145="","",_xlfn.IFS(
  AND(L2145&gt;=TIME(9,0,0), L2145&lt;TIME(16,0,0)),"Morning",
  AND(L2145&gt;=TIME(16,0,0), L2145&lt;TIME(23,59,0)),"Evening",
  L2145&gt;=TIME(23,59,0),"Night",
  L2145&lt;TIME(9,0,0),"Night"
))</f>
        <v/>
      </c>
      <c r="O2145" t="str">
        <f t="shared" si="200"/>
        <v/>
      </c>
    </row>
    <row r="2146" spans="7:15" x14ac:dyDescent="0.25">
      <c r="G2146" t="str">
        <f t="shared" si="198"/>
        <v/>
      </c>
      <c r="H2146" s="13" t="str">
        <f t="shared" si="201"/>
        <v/>
      </c>
      <c r="I2146" t="str">
        <f>IFERROR(INDEX(Analysis!$D$116:$N$137, MATCH(B2146, Analysis!$C$116:$C$137, 0), MATCH(C2146, Analysis!$D$115:$N$115, 0)), "")</f>
        <v/>
      </c>
      <c r="J2146" t="str">
        <f t="shared" si="202"/>
        <v/>
      </c>
      <c r="K2146" s="28" t="str">
        <f t="shared" si="199"/>
        <v/>
      </c>
      <c r="L2146" s="46" t="str">
        <f t="shared" si="203"/>
        <v/>
      </c>
      <c r="M2146" t="str" cm="1">
        <f t="array" ref="M2146">IF(L2146="","",_xlfn.IFS(
  AND(L2146&gt;=TIME(9,0,0), L2146&lt;TIME(16,0,0)),"Morning",
  AND(L2146&gt;=TIME(16,0,0), L2146&lt;TIME(23,59,0)),"Evening",
  L2146&gt;=TIME(23,59,0),"Night",
  L2146&lt;TIME(9,0,0),"Night"
))</f>
        <v/>
      </c>
      <c r="O2146" t="str">
        <f t="shared" si="200"/>
        <v/>
      </c>
    </row>
    <row r="2147" spans="7:15" x14ac:dyDescent="0.25">
      <c r="G2147" t="str">
        <f t="shared" si="198"/>
        <v/>
      </c>
      <c r="H2147" s="13" t="str">
        <f t="shared" si="201"/>
        <v/>
      </c>
      <c r="I2147" t="str">
        <f>IFERROR(INDEX(Analysis!$D$116:$N$137, MATCH(B2147, Analysis!$C$116:$C$137, 0), MATCH(C2147, Analysis!$D$115:$N$115, 0)), "")</f>
        <v/>
      </c>
      <c r="J2147" t="str">
        <f t="shared" si="202"/>
        <v/>
      </c>
      <c r="K2147" s="28" t="str">
        <f t="shared" si="199"/>
        <v/>
      </c>
      <c r="L2147" s="46" t="str">
        <f t="shared" si="203"/>
        <v/>
      </c>
      <c r="M2147" t="str" cm="1">
        <f t="array" ref="M2147">IF(L2147="","",_xlfn.IFS(
  AND(L2147&gt;=TIME(9,0,0), L2147&lt;TIME(16,0,0)),"Morning",
  AND(L2147&gt;=TIME(16,0,0), L2147&lt;TIME(23,59,0)),"Evening",
  L2147&gt;=TIME(23,59,0),"Night",
  L2147&lt;TIME(9,0,0),"Night"
))</f>
        <v/>
      </c>
      <c r="O2147" t="str">
        <f t="shared" si="200"/>
        <v/>
      </c>
    </row>
    <row r="2148" spans="7:15" x14ac:dyDescent="0.25">
      <c r="G2148" t="str">
        <f t="shared" si="198"/>
        <v/>
      </c>
      <c r="H2148" s="13" t="str">
        <f t="shared" si="201"/>
        <v/>
      </c>
      <c r="I2148" t="str">
        <f>IFERROR(INDEX(Analysis!$D$116:$N$137, MATCH(B2148, Analysis!$C$116:$C$137, 0), MATCH(C2148, Analysis!$D$115:$N$115, 0)), "")</f>
        <v/>
      </c>
      <c r="J2148" t="str">
        <f t="shared" si="202"/>
        <v/>
      </c>
      <c r="K2148" s="28" t="str">
        <f t="shared" si="199"/>
        <v/>
      </c>
      <c r="L2148" s="46" t="str">
        <f t="shared" si="203"/>
        <v/>
      </c>
      <c r="M2148" t="str" cm="1">
        <f t="array" ref="M2148">IF(L2148="","",_xlfn.IFS(
  AND(L2148&gt;=TIME(9,0,0), L2148&lt;TIME(16,0,0)),"Morning",
  AND(L2148&gt;=TIME(16,0,0), L2148&lt;TIME(23,59,0)),"Evening",
  L2148&gt;=TIME(23,59,0),"Night",
  L2148&lt;TIME(9,0,0),"Night"
))</f>
        <v/>
      </c>
      <c r="O2148" t="str">
        <f t="shared" si="200"/>
        <v/>
      </c>
    </row>
    <row r="2149" spans="7:15" x14ac:dyDescent="0.25">
      <c r="G2149" t="str">
        <f t="shared" si="198"/>
        <v/>
      </c>
      <c r="H2149" s="13" t="str">
        <f t="shared" si="201"/>
        <v/>
      </c>
      <c r="I2149" t="str">
        <f>IFERROR(INDEX(Analysis!$D$116:$N$137, MATCH(B2149, Analysis!$C$116:$C$137, 0), MATCH(C2149, Analysis!$D$115:$N$115, 0)), "")</f>
        <v/>
      </c>
      <c r="J2149" t="str">
        <f t="shared" si="202"/>
        <v/>
      </c>
      <c r="K2149" s="28" t="str">
        <f t="shared" si="199"/>
        <v/>
      </c>
      <c r="L2149" s="46" t="str">
        <f t="shared" si="203"/>
        <v/>
      </c>
      <c r="M2149" t="str" cm="1">
        <f t="array" ref="M2149">IF(L2149="","",_xlfn.IFS(
  AND(L2149&gt;=TIME(9,0,0), L2149&lt;TIME(16,0,0)),"Morning",
  AND(L2149&gt;=TIME(16,0,0), L2149&lt;TIME(23,59,0)),"Evening",
  L2149&gt;=TIME(23,59,0),"Night",
  L2149&lt;TIME(9,0,0),"Night"
))</f>
        <v/>
      </c>
      <c r="O2149" t="str">
        <f t="shared" si="200"/>
        <v/>
      </c>
    </row>
    <row r="2150" spans="7:15" x14ac:dyDescent="0.25">
      <c r="G2150" t="str">
        <f t="shared" si="198"/>
        <v/>
      </c>
      <c r="H2150" s="13" t="str">
        <f t="shared" si="201"/>
        <v/>
      </c>
      <c r="I2150" t="str">
        <f>IFERROR(INDEX(Analysis!$D$116:$N$137, MATCH(B2150, Analysis!$C$116:$C$137, 0), MATCH(C2150, Analysis!$D$115:$N$115, 0)), "")</f>
        <v/>
      </c>
      <c r="J2150" t="str">
        <f t="shared" si="202"/>
        <v/>
      </c>
      <c r="K2150" s="28" t="str">
        <f t="shared" si="199"/>
        <v/>
      </c>
      <c r="L2150" s="46" t="str">
        <f t="shared" si="203"/>
        <v/>
      </c>
      <c r="M2150" t="str" cm="1">
        <f t="array" ref="M2150">IF(L2150="","",_xlfn.IFS(
  AND(L2150&gt;=TIME(9,0,0), L2150&lt;TIME(16,0,0)),"Morning",
  AND(L2150&gt;=TIME(16,0,0), L2150&lt;TIME(23,59,0)),"Evening",
  L2150&gt;=TIME(23,59,0),"Night",
  L2150&lt;TIME(9,0,0),"Night"
))</f>
        <v/>
      </c>
      <c r="O2150" t="str">
        <f t="shared" si="200"/>
        <v/>
      </c>
    </row>
    <row r="2151" spans="7:15" x14ac:dyDescent="0.25">
      <c r="G2151" t="str">
        <f t="shared" si="198"/>
        <v/>
      </c>
      <c r="H2151" s="13" t="str">
        <f t="shared" si="201"/>
        <v/>
      </c>
      <c r="I2151" t="str">
        <f>IFERROR(INDEX(Analysis!$D$116:$N$137, MATCH(B2151, Analysis!$C$116:$C$137, 0), MATCH(C2151, Analysis!$D$115:$N$115, 0)), "")</f>
        <v/>
      </c>
      <c r="J2151" t="str">
        <f t="shared" si="202"/>
        <v/>
      </c>
      <c r="K2151" s="28" t="str">
        <f t="shared" si="199"/>
        <v/>
      </c>
      <c r="L2151" s="46" t="str">
        <f t="shared" si="203"/>
        <v/>
      </c>
      <c r="M2151" t="str" cm="1">
        <f t="array" ref="M2151">IF(L2151="","",_xlfn.IFS(
  AND(L2151&gt;=TIME(9,0,0), L2151&lt;TIME(16,0,0)),"Morning",
  AND(L2151&gt;=TIME(16,0,0), L2151&lt;TIME(23,59,0)),"Evening",
  L2151&gt;=TIME(23,59,0),"Night",
  L2151&lt;TIME(9,0,0),"Night"
))</f>
        <v/>
      </c>
      <c r="O2151" t="str">
        <f t="shared" si="200"/>
        <v/>
      </c>
    </row>
    <row r="2152" spans="7:15" x14ac:dyDescent="0.25">
      <c r="G2152" t="str">
        <f t="shared" si="198"/>
        <v/>
      </c>
      <c r="H2152" s="13" t="str">
        <f t="shared" si="201"/>
        <v/>
      </c>
      <c r="I2152" t="str">
        <f>IFERROR(INDEX(Analysis!$D$116:$N$137, MATCH(B2152, Analysis!$C$116:$C$137, 0), MATCH(C2152, Analysis!$D$115:$N$115, 0)), "")</f>
        <v/>
      </c>
      <c r="J2152" t="str">
        <f t="shared" si="202"/>
        <v/>
      </c>
      <c r="K2152" s="28" t="str">
        <f t="shared" si="199"/>
        <v/>
      </c>
      <c r="L2152" s="46" t="str">
        <f t="shared" si="203"/>
        <v/>
      </c>
      <c r="M2152" t="str" cm="1">
        <f t="array" ref="M2152">IF(L2152="","",_xlfn.IFS(
  AND(L2152&gt;=TIME(9,0,0), L2152&lt;TIME(16,0,0)),"Morning",
  AND(L2152&gt;=TIME(16,0,0), L2152&lt;TIME(23,59,0)),"Evening",
  L2152&gt;=TIME(23,59,0),"Night",
  L2152&lt;TIME(9,0,0),"Night"
))</f>
        <v/>
      </c>
      <c r="O2152" t="str">
        <f t="shared" si="200"/>
        <v/>
      </c>
    </row>
    <row r="2153" spans="7:15" x14ac:dyDescent="0.25">
      <c r="G2153" t="str">
        <f t="shared" si="198"/>
        <v/>
      </c>
      <c r="H2153" s="13" t="str">
        <f t="shared" si="201"/>
        <v/>
      </c>
      <c r="I2153" t="str">
        <f>IFERROR(INDEX(Analysis!$D$116:$N$137, MATCH(B2153, Analysis!$C$116:$C$137, 0), MATCH(C2153, Analysis!$D$115:$N$115, 0)), "")</f>
        <v/>
      </c>
      <c r="J2153" t="str">
        <f t="shared" si="202"/>
        <v/>
      </c>
      <c r="K2153" s="28" t="str">
        <f t="shared" si="199"/>
        <v/>
      </c>
      <c r="L2153" s="46" t="str">
        <f t="shared" si="203"/>
        <v/>
      </c>
      <c r="M2153" t="str" cm="1">
        <f t="array" ref="M2153">IF(L2153="","",_xlfn.IFS(
  AND(L2153&gt;=TIME(9,0,0), L2153&lt;TIME(16,0,0)),"Morning",
  AND(L2153&gt;=TIME(16,0,0), L2153&lt;TIME(23,59,0)),"Evening",
  L2153&gt;=TIME(23,59,0),"Night",
  L2153&lt;TIME(9,0,0),"Night"
))</f>
        <v/>
      </c>
      <c r="O2153" t="str">
        <f t="shared" si="200"/>
        <v/>
      </c>
    </row>
    <row r="2154" spans="7:15" x14ac:dyDescent="0.25">
      <c r="G2154" t="str">
        <f t="shared" si="198"/>
        <v/>
      </c>
      <c r="H2154" s="13" t="str">
        <f t="shared" si="201"/>
        <v/>
      </c>
      <c r="I2154" t="str">
        <f>IFERROR(INDEX(Analysis!$D$116:$N$137, MATCH(B2154, Analysis!$C$116:$C$137, 0), MATCH(C2154, Analysis!$D$115:$N$115, 0)), "")</f>
        <v/>
      </c>
      <c r="J2154" t="str">
        <f t="shared" si="202"/>
        <v/>
      </c>
      <c r="K2154" s="28" t="str">
        <f t="shared" si="199"/>
        <v/>
      </c>
      <c r="L2154" s="46" t="str">
        <f t="shared" si="203"/>
        <v/>
      </c>
      <c r="M2154" t="str" cm="1">
        <f t="array" ref="M2154">IF(L2154="","",_xlfn.IFS(
  AND(L2154&gt;=TIME(9,0,0), L2154&lt;TIME(16,0,0)),"Morning",
  AND(L2154&gt;=TIME(16,0,0), L2154&lt;TIME(23,59,0)),"Evening",
  L2154&gt;=TIME(23,59,0),"Night",
  L2154&lt;TIME(9,0,0),"Night"
))</f>
        <v/>
      </c>
      <c r="O2154" t="str">
        <f t="shared" si="200"/>
        <v/>
      </c>
    </row>
    <row r="2155" spans="7:15" x14ac:dyDescent="0.25">
      <c r="G2155" t="str">
        <f t="shared" si="198"/>
        <v/>
      </c>
      <c r="H2155" s="13" t="str">
        <f t="shared" si="201"/>
        <v/>
      </c>
      <c r="I2155" t="str">
        <f>IFERROR(INDEX(Analysis!$D$116:$N$137, MATCH(B2155, Analysis!$C$116:$C$137, 0), MATCH(C2155, Analysis!$D$115:$N$115, 0)), "")</f>
        <v/>
      </c>
      <c r="J2155" t="str">
        <f t="shared" si="202"/>
        <v/>
      </c>
      <c r="K2155" s="28" t="str">
        <f t="shared" si="199"/>
        <v/>
      </c>
      <c r="L2155" s="46" t="str">
        <f t="shared" si="203"/>
        <v/>
      </c>
      <c r="M2155" t="str" cm="1">
        <f t="array" ref="M2155">IF(L2155="","",_xlfn.IFS(
  AND(L2155&gt;=TIME(9,0,0), L2155&lt;TIME(16,0,0)),"Morning",
  AND(L2155&gt;=TIME(16,0,0), L2155&lt;TIME(23,59,0)),"Evening",
  L2155&gt;=TIME(23,59,0),"Night",
  L2155&lt;TIME(9,0,0),"Night"
))</f>
        <v/>
      </c>
      <c r="O2155" t="str">
        <f t="shared" si="200"/>
        <v/>
      </c>
    </row>
    <row r="2156" spans="7:15" x14ac:dyDescent="0.25">
      <c r="G2156" t="str">
        <f t="shared" si="198"/>
        <v/>
      </c>
      <c r="H2156" s="13" t="str">
        <f t="shared" si="201"/>
        <v/>
      </c>
      <c r="I2156" t="str">
        <f>IFERROR(INDEX(Analysis!$D$116:$N$137, MATCH(B2156, Analysis!$C$116:$C$137, 0), MATCH(C2156, Analysis!$D$115:$N$115, 0)), "")</f>
        <v/>
      </c>
      <c r="J2156" t="str">
        <f t="shared" si="202"/>
        <v/>
      </c>
      <c r="K2156" s="28" t="str">
        <f t="shared" si="199"/>
        <v/>
      </c>
      <c r="L2156" s="46" t="str">
        <f t="shared" si="203"/>
        <v/>
      </c>
      <c r="M2156" t="str" cm="1">
        <f t="array" ref="M2156">IF(L2156="","",_xlfn.IFS(
  AND(L2156&gt;=TIME(9,0,0), L2156&lt;TIME(16,0,0)),"Morning",
  AND(L2156&gt;=TIME(16,0,0), L2156&lt;TIME(23,59,0)),"Evening",
  L2156&gt;=TIME(23,59,0),"Night",
  L2156&lt;TIME(9,0,0),"Night"
))</f>
        <v/>
      </c>
      <c r="O2156" t="str">
        <f t="shared" si="200"/>
        <v/>
      </c>
    </row>
    <row r="2157" spans="7:15" x14ac:dyDescent="0.25">
      <c r="G2157" t="str">
        <f t="shared" si="198"/>
        <v/>
      </c>
      <c r="H2157" s="13" t="str">
        <f t="shared" si="201"/>
        <v/>
      </c>
      <c r="I2157" t="str">
        <f>IFERROR(INDEX(Analysis!$D$116:$N$137, MATCH(B2157, Analysis!$C$116:$C$137, 0), MATCH(C2157, Analysis!$D$115:$N$115, 0)), "")</f>
        <v/>
      </c>
      <c r="J2157" t="str">
        <f t="shared" si="202"/>
        <v/>
      </c>
      <c r="K2157" s="28" t="str">
        <f t="shared" si="199"/>
        <v/>
      </c>
      <c r="L2157" s="46" t="str">
        <f t="shared" si="203"/>
        <v/>
      </c>
      <c r="M2157" t="str" cm="1">
        <f t="array" ref="M2157">IF(L2157="","",_xlfn.IFS(
  AND(L2157&gt;=TIME(9,0,0), L2157&lt;TIME(16,0,0)),"Morning",
  AND(L2157&gt;=TIME(16,0,0), L2157&lt;TIME(23,59,0)),"Evening",
  L2157&gt;=TIME(23,59,0),"Night",
  L2157&lt;TIME(9,0,0),"Night"
))</f>
        <v/>
      </c>
      <c r="O2157" t="str">
        <f t="shared" si="200"/>
        <v/>
      </c>
    </row>
    <row r="2158" spans="7:15" x14ac:dyDescent="0.25">
      <c r="G2158" t="str">
        <f t="shared" si="198"/>
        <v/>
      </c>
      <c r="H2158" s="13" t="str">
        <f t="shared" si="201"/>
        <v/>
      </c>
      <c r="I2158" t="str">
        <f>IFERROR(INDEX(Analysis!$D$116:$N$137, MATCH(B2158, Analysis!$C$116:$C$137, 0), MATCH(C2158, Analysis!$D$115:$N$115, 0)), "")</f>
        <v/>
      </c>
      <c r="J2158" t="str">
        <f t="shared" si="202"/>
        <v/>
      </c>
      <c r="K2158" s="28" t="str">
        <f t="shared" si="199"/>
        <v/>
      </c>
      <c r="L2158" s="46" t="str">
        <f t="shared" si="203"/>
        <v/>
      </c>
      <c r="M2158" t="str" cm="1">
        <f t="array" ref="M2158">IF(L2158="","",_xlfn.IFS(
  AND(L2158&gt;=TIME(9,0,0), L2158&lt;TIME(16,0,0)),"Morning",
  AND(L2158&gt;=TIME(16,0,0), L2158&lt;TIME(23,59,0)),"Evening",
  L2158&gt;=TIME(23,59,0),"Night",
  L2158&lt;TIME(9,0,0),"Night"
))</f>
        <v/>
      </c>
      <c r="O2158" t="str">
        <f t="shared" si="200"/>
        <v/>
      </c>
    </row>
    <row r="2159" spans="7:15" x14ac:dyDescent="0.25">
      <c r="G2159" t="str">
        <f t="shared" si="198"/>
        <v/>
      </c>
      <c r="H2159" s="13" t="str">
        <f t="shared" si="201"/>
        <v/>
      </c>
      <c r="I2159" t="str">
        <f>IFERROR(INDEX(Analysis!$D$116:$N$137, MATCH(B2159, Analysis!$C$116:$C$137, 0), MATCH(C2159, Analysis!$D$115:$N$115, 0)), "")</f>
        <v/>
      </c>
      <c r="J2159" t="str">
        <f t="shared" si="202"/>
        <v/>
      </c>
      <c r="K2159" s="28" t="str">
        <f t="shared" si="199"/>
        <v/>
      </c>
      <c r="L2159" s="46" t="str">
        <f t="shared" si="203"/>
        <v/>
      </c>
      <c r="M2159" t="str" cm="1">
        <f t="array" ref="M2159">IF(L2159="","",_xlfn.IFS(
  AND(L2159&gt;=TIME(9,0,0), L2159&lt;TIME(16,0,0)),"Morning",
  AND(L2159&gt;=TIME(16,0,0), L2159&lt;TIME(23,59,0)),"Evening",
  L2159&gt;=TIME(23,59,0),"Night",
  L2159&lt;TIME(9,0,0),"Night"
))</f>
        <v/>
      </c>
      <c r="O2159" t="str">
        <f t="shared" si="200"/>
        <v/>
      </c>
    </row>
    <row r="2160" spans="7:15" x14ac:dyDescent="0.25">
      <c r="G2160" t="str">
        <f t="shared" si="198"/>
        <v/>
      </c>
      <c r="H2160" s="13" t="str">
        <f t="shared" si="201"/>
        <v/>
      </c>
      <c r="I2160" t="str">
        <f>IFERROR(INDEX(Analysis!$D$116:$N$137, MATCH(B2160, Analysis!$C$116:$C$137, 0), MATCH(C2160, Analysis!$D$115:$N$115, 0)), "")</f>
        <v/>
      </c>
      <c r="J2160" t="str">
        <f t="shared" si="202"/>
        <v/>
      </c>
      <c r="K2160" s="28" t="str">
        <f t="shared" si="199"/>
        <v/>
      </c>
      <c r="L2160" s="46" t="str">
        <f t="shared" si="203"/>
        <v/>
      </c>
      <c r="M2160" t="str" cm="1">
        <f t="array" ref="M2160">IF(L2160="","",_xlfn.IFS(
  AND(L2160&gt;=TIME(9,0,0), L2160&lt;TIME(16,0,0)),"Morning",
  AND(L2160&gt;=TIME(16,0,0), L2160&lt;TIME(23,59,0)),"Evening",
  L2160&gt;=TIME(23,59,0),"Night",
  L2160&lt;TIME(9,0,0),"Night"
))</f>
        <v/>
      </c>
      <c r="O2160" t="str">
        <f t="shared" si="200"/>
        <v/>
      </c>
    </row>
    <row r="2161" spans="7:15" x14ac:dyDescent="0.25">
      <c r="G2161" t="str">
        <f t="shared" si="198"/>
        <v/>
      </c>
      <c r="H2161" s="13" t="str">
        <f t="shared" si="201"/>
        <v/>
      </c>
      <c r="I2161" t="str">
        <f>IFERROR(INDEX(Analysis!$D$116:$N$137, MATCH(B2161, Analysis!$C$116:$C$137, 0), MATCH(C2161, Analysis!$D$115:$N$115, 0)), "")</f>
        <v/>
      </c>
      <c r="J2161" t="str">
        <f t="shared" si="202"/>
        <v/>
      </c>
      <c r="K2161" s="28" t="str">
        <f t="shared" si="199"/>
        <v/>
      </c>
      <c r="L2161" s="46" t="str">
        <f t="shared" si="203"/>
        <v/>
      </c>
      <c r="M2161" t="str" cm="1">
        <f t="array" ref="M2161">IF(L2161="","",_xlfn.IFS(
  AND(L2161&gt;=TIME(9,0,0), L2161&lt;TIME(16,0,0)),"Morning",
  AND(L2161&gt;=TIME(16,0,0), L2161&lt;TIME(23,59,0)),"Evening",
  L2161&gt;=TIME(23,59,0),"Night",
  L2161&lt;TIME(9,0,0),"Night"
))</f>
        <v/>
      </c>
      <c r="O2161" t="str">
        <f t="shared" si="200"/>
        <v/>
      </c>
    </row>
    <row r="2162" spans="7:15" x14ac:dyDescent="0.25">
      <c r="G2162" t="str">
        <f t="shared" si="198"/>
        <v/>
      </c>
      <c r="H2162" s="13" t="str">
        <f t="shared" si="201"/>
        <v/>
      </c>
      <c r="I2162" t="str">
        <f>IFERROR(INDEX(Analysis!$D$116:$N$137, MATCH(B2162, Analysis!$C$116:$C$137, 0), MATCH(C2162, Analysis!$D$115:$N$115, 0)), "")</f>
        <v/>
      </c>
      <c r="J2162" t="str">
        <f t="shared" si="202"/>
        <v/>
      </c>
      <c r="K2162" s="28" t="str">
        <f t="shared" si="199"/>
        <v/>
      </c>
      <c r="L2162" s="46" t="str">
        <f t="shared" si="203"/>
        <v/>
      </c>
      <c r="M2162" t="str" cm="1">
        <f t="array" ref="M2162">IF(L2162="","",_xlfn.IFS(
  AND(L2162&gt;=TIME(9,0,0), L2162&lt;TIME(16,0,0)),"Morning",
  AND(L2162&gt;=TIME(16,0,0), L2162&lt;TIME(23,59,0)),"Evening",
  L2162&gt;=TIME(23,59,0),"Night",
  L2162&lt;TIME(9,0,0),"Night"
))</f>
        <v/>
      </c>
      <c r="O2162" t="str">
        <f t="shared" si="200"/>
        <v/>
      </c>
    </row>
    <row r="2163" spans="7:15" x14ac:dyDescent="0.25">
      <c r="G2163" t="str">
        <f t="shared" si="198"/>
        <v/>
      </c>
      <c r="H2163" s="13" t="str">
        <f t="shared" si="201"/>
        <v/>
      </c>
      <c r="I2163" t="str">
        <f>IFERROR(INDEX(Analysis!$D$116:$N$137, MATCH(B2163, Analysis!$C$116:$C$137, 0), MATCH(C2163, Analysis!$D$115:$N$115, 0)), "")</f>
        <v/>
      </c>
      <c r="J2163" t="str">
        <f t="shared" si="202"/>
        <v/>
      </c>
      <c r="K2163" s="28" t="str">
        <f t="shared" si="199"/>
        <v/>
      </c>
      <c r="L2163" s="46" t="str">
        <f t="shared" si="203"/>
        <v/>
      </c>
      <c r="M2163" t="str" cm="1">
        <f t="array" ref="M2163">IF(L2163="","",_xlfn.IFS(
  AND(L2163&gt;=TIME(9,0,0), L2163&lt;TIME(16,0,0)),"Morning",
  AND(L2163&gt;=TIME(16,0,0), L2163&lt;TIME(23,59,0)),"Evening",
  L2163&gt;=TIME(23,59,0),"Night",
  L2163&lt;TIME(9,0,0),"Night"
))</f>
        <v/>
      </c>
      <c r="O2163" t="str">
        <f t="shared" si="200"/>
        <v/>
      </c>
    </row>
    <row r="2164" spans="7:15" x14ac:dyDescent="0.25">
      <c r="G2164" t="str">
        <f t="shared" si="198"/>
        <v/>
      </c>
      <c r="H2164" s="13" t="str">
        <f t="shared" si="201"/>
        <v/>
      </c>
      <c r="I2164" t="str">
        <f>IFERROR(INDEX(Analysis!$D$116:$N$137, MATCH(B2164, Analysis!$C$116:$C$137, 0), MATCH(C2164, Analysis!$D$115:$N$115, 0)), "")</f>
        <v/>
      </c>
      <c r="J2164" t="str">
        <f t="shared" si="202"/>
        <v/>
      </c>
      <c r="K2164" s="28" t="str">
        <f t="shared" si="199"/>
        <v/>
      </c>
      <c r="L2164" s="46" t="str">
        <f t="shared" si="203"/>
        <v/>
      </c>
      <c r="M2164" t="str" cm="1">
        <f t="array" ref="M2164">IF(L2164="","",_xlfn.IFS(
  AND(L2164&gt;=TIME(9,0,0), L2164&lt;TIME(16,0,0)),"Morning",
  AND(L2164&gt;=TIME(16,0,0), L2164&lt;TIME(23,59,0)),"Evening",
  L2164&gt;=TIME(23,59,0),"Night",
  L2164&lt;TIME(9,0,0),"Night"
))</f>
        <v/>
      </c>
      <c r="O2164" t="str">
        <f t="shared" si="200"/>
        <v/>
      </c>
    </row>
    <row r="2165" spans="7:15" x14ac:dyDescent="0.25">
      <c r="G2165" t="str">
        <f t="shared" si="198"/>
        <v/>
      </c>
      <c r="H2165" s="13" t="str">
        <f t="shared" si="201"/>
        <v/>
      </c>
      <c r="I2165" t="str">
        <f>IFERROR(INDEX(Analysis!$D$116:$N$137, MATCH(B2165, Analysis!$C$116:$C$137, 0), MATCH(C2165, Analysis!$D$115:$N$115, 0)), "")</f>
        <v/>
      </c>
      <c r="J2165" t="str">
        <f t="shared" si="202"/>
        <v/>
      </c>
      <c r="K2165" s="28" t="str">
        <f t="shared" si="199"/>
        <v/>
      </c>
      <c r="L2165" s="46" t="str">
        <f t="shared" si="203"/>
        <v/>
      </c>
      <c r="M2165" t="str" cm="1">
        <f t="array" ref="M2165">IF(L2165="","",_xlfn.IFS(
  AND(L2165&gt;=TIME(9,0,0), L2165&lt;TIME(16,0,0)),"Morning",
  AND(L2165&gt;=TIME(16,0,0), L2165&lt;TIME(23,59,0)),"Evening",
  L2165&gt;=TIME(23,59,0),"Night",
  L2165&lt;TIME(9,0,0),"Night"
))</f>
        <v/>
      </c>
      <c r="O2165" t="str">
        <f t="shared" si="200"/>
        <v/>
      </c>
    </row>
    <row r="2166" spans="7:15" x14ac:dyDescent="0.25">
      <c r="G2166" t="str">
        <f t="shared" si="198"/>
        <v/>
      </c>
      <c r="H2166" s="13" t="str">
        <f t="shared" si="201"/>
        <v/>
      </c>
      <c r="I2166" t="str">
        <f>IFERROR(INDEX(Analysis!$D$116:$N$137, MATCH(B2166, Analysis!$C$116:$C$137, 0), MATCH(C2166, Analysis!$D$115:$N$115, 0)), "")</f>
        <v/>
      </c>
      <c r="J2166" t="str">
        <f t="shared" si="202"/>
        <v/>
      </c>
      <c r="K2166" s="28" t="str">
        <f t="shared" si="199"/>
        <v/>
      </c>
      <c r="L2166" s="46" t="str">
        <f t="shared" si="203"/>
        <v/>
      </c>
      <c r="M2166" t="str" cm="1">
        <f t="array" ref="M2166">IF(L2166="","",_xlfn.IFS(
  AND(L2166&gt;=TIME(9,0,0), L2166&lt;TIME(16,0,0)),"Morning",
  AND(L2166&gt;=TIME(16,0,0), L2166&lt;TIME(23,59,0)),"Evening",
  L2166&gt;=TIME(23,59,0),"Night",
  L2166&lt;TIME(9,0,0),"Night"
))</f>
        <v/>
      </c>
      <c r="O2166" t="str">
        <f t="shared" si="200"/>
        <v/>
      </c>
    </row>
    <row r="2167" spans="7:15" x14ac:dyDescent="0.25">
      <c r="G2167" t="str">
        <f t="shared" si="198"/>
        <v/>
      </c>
      <c r="H2167" s="13" t="str">
        <f t="shared" si="201"/>
        <v/>
      </c>
      <c r="I2167" t="str">
        <f>IFERROR(INDEX(Analysis!$D$116:$N$137, MATCH(B2167, Analysis!$C$116:$C$137, 0), MATCH(C2167, Analysis!$D$115:$N$115, 0)), "")</f>
        <v/>
      </c>
      <c r="J2167" t="str">
        <f t="shared" si="202"/>
        <v/>
      </c>
      <c r="K2167" s="28" t="str">
        <f t="shared" si="199"/>
        <v/>
      </c>
      <c r="L2167" s="46" t="str">
        <f t="shared" si="203"/>
        <v/>
      </c>
      <c r="M2167" t="str" cm="1">
        <f t="array" ref="M2167">IF(L2167="","",_xlfn.IFS(
  AND(L2167&gt;=TIME(9,0,0), L2167&lt;TIME(16,0,0)),"Morning",
  AND(L2167&gt;=TIME(16,0,0), L2167&lt;TIME(23,59,0)),"Evening",
  L2167&gt;=TIME(23,59,0),"Night",
  L2167&lt;TIME(9,0,0),"Night"
))</f>
        <v/>
      </c>
      <c r="O2167" t="str">
        <f t="shared" si="200"/>
        <v/>
      </c>
    </row>
    <row r="2168" spans="7:15" x14ac:dyDescent="0.25">
      <c r="G2168" t="str">
        <f t="shared" si="198"/>
        <v/>
      </c>
      <c r="H2168" s="13" t="str">
        <f t="shared" si="201"/>
        <v/>
      </c>
      <c r="I2168" t="str">
        <f>IFERROR(INDEX(Analysis!$D$116:$N$137, MATCH(B2168, Analysis!$C$116:$C$137, 0), MATCH(C2168, Analysis!$D$115:$N$115, 0)), "")</f>
        <v/>
      </c>
      <c r="J2168" t="str">
        <f t="shared" si="202"/>
        <v/>
      </c>
      <c r="K2168" s="28" t="str">
        <f t="shared" si="199"/>
        <v/>
      </c>
      <c r="L2168" s="46" t="str">
        <f t="shared" si="203"/>
        <v/>
      </c>
      <c r="M2168" t="str" cm="1">
        <f t="array" ref="M2168">IF(L2168="","",_xlfn.IFS(
  AND(L2168&gt;=TIME(9,0,0), L2168&lt;TIME(16,0,0)),"Morning",
  AND(L2168&gt;=TIME(16,0,0), L2168&lt;TIME(23,59,0)),"Evening",
  L2168&gt;=TIME(23,59,0),"Night",
  L2168&lt;TIME(9,0,0),"Night"
))</f>
        <v/>
      </c>
      <c r="O2168" t="str">
        <f t="shared" si="200"/>
        <v/>
      </c>
    </row>
    <row r="2169" spans="7:15" x14ac:dyDescent="0.25">
      <c r="G2169" t="str">
        <f t="shared" si="198"/>
        <v/>
      </c>
      <c r="H2169" s="13" t="str">
        <f t="shared" si="201"/>
        <v/>
      </c>
      <c r="I2169" t="str">
        <f>IFERROR(INDEX(Analysis!$D$116:$N$137, MATCH(B2169, Analysis!$C$116:$C$137, 0), MATCH(C2169, Analysis!$D$115:$N$115, 0)), "")</f>
        <v/>
      </c>
      <c r="J2169" t="str">
        <f t="shared" si="202"/>
        <v/>
      </c>
      <c r="K2169" s="28" t="str">
        <f t="shared" si="199"/>
        <v/>
      </c>
      <c r="L2169" s="46" t="str">
        <f t="shared" si="203"/>
        <v/>
      </c>
      <c r="M2169" t="str" cm="1">
        <f t="array" ref="M2169">IF(L2169="","",_xlfn.IFS(
  AND(L2169&gt;=TIME(9,0,0), L2169&lt;TIME(16,0,0)),"Morning",
  AND(L2169&gt;=TIME(16,0,0), L2169&lt;TIME(23,59,0)),"Evening",
  L2169&gt;=TIME(23,59,0),"Night",
  L2169&lt;TIME(9,0,0),"Night"
))</f>
        <v/>
      </c>
      <c r="O2169" t="str">
        <f t="shared" si="200"/>
        <v/>
      </c>
    </row>
    <row r="2170" spans="7:15" x14ac:dyDescent="0.25">
      <c r="G2170" t="str">
        <f t="shared" si="198"/>
        <v/>
      </c>
      <c r="H2170" s="13" t="str">
        <f t="shared" si="201"/>
        <v/>
      </c>
      <c r="I2170" t="str">
        <f>IFERROR(INDEX(Analysis!$D$116:$N$137, MATCH(B2170, Analysis!$C$116:$C$137, 0), MATCH(C2170, Analysis!$D$115:$N$115, 0)), "")</f>
        <v/>
      </c>
      <c r="J2170" t="str">
        <f t="shared" si="202"/>
        <v/>
      </c>
      <c r="K2170" s="28" t="str">
        <f t="shared" si="199"/>
        <v/>
      </c>
      <c r="L2170" s="46" t="str">
        <f t="shared" si="203"/>
        <v/>
      </c>
      <c r="M2170" t="str" cm="1">
        <f t="array" ref="M2170">IF(L2170="","",_xlfn.IFS(
  AND(L2170&gt;=TIME(9,0,0), L2170&lt;TIME(16,0,0)),"Morning",
  AND(L2170&gt;=TIME(16,0,0), L2170&lt;TIME(23,59,0)),"Evening",
  L2170&gt;=TIME(23,59,0),"Night",
  L2170&lt;TIME(9,0,0),"Night"
))</f>
        <v/>
      </c>
      <c r="O2170" t="str">
        <f t="shared" si="200"/>
        <v/>
      </c>
    </row>
    <row r="2171" spans="7:15" x14ac:dyDescent="0.25">
      <c r="G2171" t="str">
        <f t="shared" si="198"/>
        <v/>
      </c>
      <c r="H2171" s="13" t="str">
        <f t="shared" si="201"/>
        <v/>
      </c>
      <c r="I2171" t="str">
        <f>IFERROR(INDEX(Analysis!$D$116:$N$137, MATCH(B2171, Analysis!$C$116:$C$137, 0), MATCH(C2171, Analysis!$D$115:$N$115, 0)), "")</f>
        <v/>
      </c>
      <c r="J2171" t="str">
        <f t="shared" si="202"/>
        <v/>
      </c>
      <c r="K2171" s="28" t="str">
        <f t="shared" si="199"/>
        <v/>
      </c>
      <c r="L2171" s="46" t="str">
        <f t="shared" si="203"/>
        <v/>
      </c>
      <c r="M2171" t="str" cm="1">
        <f t="array" ref="M2171">IF(L2171="","",_xlfn.IFS(
  AND(L2171&gt;=TIME(9,0,0), L2171&lt;TIME(16,0,0)),"Morning",
  AND(L2171&gt;=TIME(16,0,0), L2171&lt;TIME(23,59,0)),"Evening",
  L2171&gt;=TIME(23,59,0),"Night",
  L2171&lt;TIME(9,0,0),"Night"
))</f>
        <v/>
      </c>
      <c r="O2171" t="str">
        <f t="shared" si="200"/>
        <v/>
      </c>
    </row>
    <row r="2172" spans="7:15" x14ac:dyDescent="0.25">
      <c r="G2172" t="str">
        <f t="shared" si="198"/>
        <v/>
      </c>
      <c r="H2172" s="13" t="str">
        <f t="shared" si="201"/>
        <v/>
      </c>
      <c r="I2172" t="str">
        <f>IFERROR(INDEX(Analysis!$D$116:$N$137, MATCH(B2172, Analysis!$C$116:$C$137, 0), MATCH(C2172, Analysis!$D$115:$N$115, 0)), "")</f>
        <v/>
      </c>
      <c r="J2172" t="str">
        <f t="shared" si="202"/>
        <v/>
      </c>
      <c r="K2172" s="28" t="str">
        <f t="shared" si="199"/>
        <v/>
      </c>
      <c r="L2172" s="46" t="str">
        <f t="shared" si="203"/>
        <v/>
      </c>
      <c r="M2172" t="str" cm="1">
        <f t="array" ref="M2172">IF(L2172="","",_xlfn.IFS(
  AND(L2172&gt;=TIME(9,0,0), L2172&lt;TIME(16,0,0)),"Morning",
  AND(L2172&gt;=TIME(16,0,0), L2172&lt;TIME(23,59,0)),"Evening",
  L2172&gt;=TIME(23,59,0),"Night",
  L2172&lt;TIME(9,0,0),"Night"
))</f>
        <v/>
      </c>
      <c r="O2172" t="str">
        <f t="shared" si="200"/>
        <v/>
      </c>
    </row>
    <row r="2173" spans="7:15" x14ac:dyDescent="0.25">
      <c r="G2173" t="str">
        <f t="shared" si="198"/>
        <v/>
      </c>
      <c r="H2173" s="13" t="str">
        <f t="shared" si="201"/>
        <v/>
      </c>
      <c r="I2173" t="str">
        <f>IFERROR(INDEX(Analysis!$D$116:$N$137, MATCH(B2173, Analysis!$C$116:$C$137, 0), MATCH(C2173, Analysis!$D$115:$N$115, 0)), "")</f>
        <v/>
      </c>
      <c r="J2173" t="str">
        <f t="shared" si="202"/>
        <v/>
      </c>
      <c r="K2173" s="28" t="str">
        <f t="shared" si="199"/>
        <v/>
      </c>
      <c r="L2173" s="46" t="str">
        <f t="shared" si="203"/>
        <v/>
      </c>
      <c r="M2173" t="str" cm="1">
        <f t="array" ref="M2173">IF(L2173="","",_xlfn.IFS(
  AND(L2173&gt;=TIME(9,0,0), L2173&lt;TIME(16,0,0)),"Morning",
  AND(L2173&gt;=TIME(16,0,0), L2173&lt;TIME(23,59,0)),"Evening",
  L2173&gt;=TIME(23,59,0),"Night",
  L2173&lt;TIME(9,0,0),"Night"
))</f>
        <v/>
      </c>
      <c r="O2173" t="str">
        <f t="shared" si="200"/>
        <v/>
      </c>
    </row>
    <row r="2174" spans="7:15" x14ac:dyDescent="0.25">
      <c r="G2174" t="str">
        <f t="shared" si="198"/>
        <v/>
      </c>
      <c r="H2174" s="13" t="str">
        <f t="shared" si="201"/>
        <v/>
      </c>
      <c r="I2174" t="str">
        <f>IFERROR(INDEX(Analysis!$D$116:$N$137, MATCH(B2174, Analysis!$C$116:$C$137, 0), MATCH(C2174, Analysis!$D$115:$N$115, 0)), "")</f>
        <v/>
      </c>
      <c r="J2174" t="str">
        <f t="shared" si="202"/>
        <v/>
      </c>
      <c r="K2174" s="28" t="str">
        <f t="shared" si="199"/>
        <v/>
      </c>
      <c r="L2174" s="46" t="str">
        <f t="shared" si="203"/>
        <v/>
      </c>
      <c r="M2174" t="str" cm="1">
        <f t="array" ref="M2174">IF(L2174="","",_xlfn.IFS(
  AND(L2174&gt;=TIME(9,0,0), L2174&lt;TIME(16,0,0)),"Morning",
  AND(L2174&gt;=TIME(16,0,0), L2174&lt;TIME(23,59,0)),"Evening",
  L2174&gt;=TIME(23,59,0),"Night",
  L2174&lt;TIME(9,0,0),"Night"
))</f>
        <v/>
      </c>
      <c r="O2174" t="str">
        <f t="shared" si="200"/>
        <v/>
      </c>
    </row>
    <row r="2175" spans="7:15" x14ac:dyDescent="0.25">
      <c r="G2175" t="str">
        <f t="shared" si="198"/>
        <v/>
      </c>
      <c r="H2175" s="13" t="str">
        <f t="shared" si="201"/>
        <v/>
      </c>
      <c r="I2175" t="str">
        <f>IFERROR(INDEX(Analysis!$D$116:$N$137, MATCH(B2175, Analysis!$C$116:$C$137, 0), MATCH(C2175, Analysis!$D$115:$N$115, 0)), "")</f>
        <v/>
      </c>
      <c r="J2175" t="str">
        <f t="shared" si="202"/>
        <v/>
      </c>
      <c r="K2175" s="28" t="str">
        <f t="shared" si="199"/>
        <v/>
      </c>
      <c r="L2175" s="46" t="str">
        <f t="shared" si="203"/>
        <v/>
      </c>
      <c r="M2175" t="str" cm="1">
        <f t="array" ref="M2175">IF(L2175="","",_xlfn.IFS(
  AND(L2175&gt;=TIME(9,0,0), L2175&lt;TIME(16,0,0)),"Morning",
  AND(L2175&gt;=TIME(16,0,0), L2175&lt;TIME(23,59,0)),"Evening",
  L2175&gt;=TIME(23,59,0),"Night",
  L2175&lt;TIME(9,0,0),"Night"
))</f>
        <v/>
      </c>
      <c r="O2175" t="str">
        <f t="shared" si="200"/>
        <v/>
      </c>
    </row>
    <row r="2176" spans="7:15" x14ac:dyDescent="0.25">
      <c r="G2176" t="str">
        <f t="shared" si="198"/>
        <v/>
      </c>
      <c r="H2176" s="13" t="str">
        <f t="shared" si="201"/>
        <v/>
      </c>
      <c r="I2176" t="str">
        <f>IFERROR(INDEX(Analysis!$D$116:$N$137, MATCH(B2176, Analysis!$C$116:$C$137, 0), MATCH(C2176, Analysis!$D$115:$N$115, 0)), "")</f>
        <v/>
      </c>
      <c r="J2176" t="str">
        <f t="shared" si="202"/>
        <v/>
      </c>
      <c r="K2176" s="28" t="str">
        <f t="shared" si="199"/>
        <v/>
      </c>
      <c r="L2176" s="46" t="str">
        <f t="shared" si="203"/>
        <v/>
      </c>
      <c r="M2176" t="str" cm="1">
        <f t="array" ref="M2176">IF(L2176="","",_xlfn.IFS(
  AND(L2176&gt;=TIME(9,0,0), L2176&lt;TIME(16,0,0)),"Morning",
  AND(L2176&gt;=TIME(16,0,0), L2176&lt;TIME(23,59,0)),"Evening",
  L2176&gt;=TIME(23,59,0),"Night",
  L2176&lt;TIME(9,0,0),"Night"
))</f>
        <v/>
      </c>
      <c r="O2176" t="str">
        <f t="shared" si="200"/>
        <v/>
      </c>
    </row>
    <row r="2177" spans="7:15" x14ac:dyDescent="0.25">
      <c r="G2177" t="str">
        <f t="shared" si="198"/>
        <v/>
      </c>
      <c r="H2177" s="13" t="str">
        <f t="shared" si="201"/>
        <v/>
      </c>
      <c r="I2177" t="str">
        <f>IFERROR(INDEX(Analysis!$D$116:$N$137, MATCH(B2177, Analysis!$C$116:$C$137, 0), MATCH(C2177, Analysis!$D$115:$N$115, 0)), "")</f>
        <v/>
      </c>
      <c r="J2177" t="str">
        <f t="shared" si="202"/>
        <v/>
      </c>
      <c r="K2177" s="28" t="str">
        <f t="shared" si="199"/>
        <v/>
      </c>
      <c r="L2177" s="46" t="str">
        <f t="shared" si="203"/>
        <v/>
      </c>
      <c r="M2177" t="str" cm="1">
        <f t="array" ref="M2177">IF(L2177="","",_xlfn.IFS(
  AND(L2177&gt;=TIME(9,0,0), L2177&lt;TIME(16,0,0)),"Morning",
  AND(L2177&gt;=TIME(16,0,0), L2177&lt;TIME(23,59,0)),"Evening",
  L2177&gt;=TIME(23,59,0),"Night",
  L2177&lt;TIME(9,0,0),"Night"
))</f>
        <v/>
      </c>
      <c r="O2177" t="str">
        <f t="shared" si="200"/>
        <v/>
      </c>
    </row>
    <row r="2178" spans="7:15" x14ac:dyDescent="0.25">
      <c r="G2178" t="str">
        <f t="shared" ref="G2178:G2241" si="204">IF(ISBLANK(A2178), "", IF(ISBLANK(F2178), 0, F2178))</f>
        <v/>
      </c>
      <c r="H2178" s="13" t="str">
        <f t="shared" si="201"/>
        <v/>
      </c>
      <c r="I2178" t="str">
        <f>IFERROR(INDEX(Analysis!$D$116:$N$137, MATCH(B2178, Analysis!$C$116:$C$137, 0), MATCH(C2178, Analysis!$D$115:$N$115, 0)), "")</f>
        <v/>
      </c>
      <c r="J2178" t="str">
        <f t="shared" si="202"/>
        <v/>
      </c>
      <c r="K2178" s="28" t="str">
        <f t="shared" ref="K2178:K2241" si="205">IF(ISBLANK(A2178),"",DATE(YEAR(A2178),MONTH(A2178),DAY(A2178)))</f>
        <v/>
      </c>
      <c r="L2178" s="46" t="str">
        <f t="shared" si="203"/>
        <v/>
      </c>
      <c r="M2178" t="str" cm="1">
        <f t="array" ref="M2178">IF(L2178="","",_xlfn.IFS(
  AND(L2178&gt;=TIME(9,0,0), L2178&lt;TIME(16,0,0)),"Morning",
  AND(L2178&gt;=TIME(16,0,0), L2178&lt;TIME(23,59,0)),"Evening",
  L2178&gt;=TIME(23,59,0),"Night",
  L2178&lt;TIME(9,0,0),"Night"
))</f>
        <v/>
      </c>
      <c r="O2178" t="str">
        <f t="shared" ref="O2178:O2241" si="206">IF(N2178="ON", _xlfn.IMAGE(E2178, 1), "")</f>
        <v/>
      </c>
    </row>
    <row r="2179" spans="7:15" x14ac:dyDescent="0.25">
      <c r="G2179" t="str">
        <f t="shared" si="204"/>
        <v/>
      </c>
      <c r="H2179" s="13" t="str">
        <f t="shared" ref="H2179:H2242" si="207">IF(ISBLANK(E2179),"",HYPERLINK(E2179,"Click here"))</f>
        <v/>
      </c>
      <c r="I2179" t="str">
        <f>IFERROR(INDEX(Analysis!$D$116:$N$137, MATCH(B2179, Analysis!$C$116:$C$137, 0), MATCH(C2179, Analysis!$D$115:$N$115, 0)), "")</f>
        <v/>
      </c>
      <c r="J2179" t="str">
        <f t="shared" ref="J2179:J2242" si="208">IF(ISBLANK(A2179),"",WEEKNUM(A2179))</f>
        <v/>
      </c>
      <c r="K2179" s="28" t="str">
        <f t="shared" si="205"/>
        <v/>
      </c>
      <c r="L2179" s="46" t="str">
        <f t="shared" ref="L2179:L2242" si="209">IF(A2179="", "", A2179 - INT(A2179))</f>
        <v/>
      </c>
      <c r="M2179" t="str" cm="1">
        <f t="array" ref="M2179">IF(L2179="","",_xlfn.IFS(
  AND(L2179&gt;=TIME(9,0,0), L2179&lt;TIME(16,0,0)),"Morning",
  AND(L2179&gt;=TIME(16,0,0), L2179&lt;TIME(23,59,0)),"Evening",
  L2179&gt;=TIME(23,59,0),"Night",
  L2179&lt;TIME(9,0,0),"Night"
))</f>
        <v/>
      </c>
      <c r="O2179" t="str">
        <f t="shared" si="206"/>
        <v/>
      </c>
    </row>
    <row r="2180" spans="7:15" x14ac:dyDescent="0.25">
      <c r="G2180" t="str">
        <f t="shared" si="204"/>
        <v/>
      </c>
      <c r="H2180" s="13" t="str">
        <f t="shared" si="207"/>
        <v/>
      </c>
      <c r="I2180" t="str">
        <f>IFERROR(INDEX(Analysis!$D$116:$N$137, MATCH(B2180, Analysis!$C$116:$C$137, 0), MATCH(C2180, Analysis!$D$115:$N$115, 0)), "")</f>
        <v/>
      </c>
      <c r="J2180" t="str">
        <f t="shared" si="208"/>
        <v/>
      </c>
      <c r="K2180" s="28" t="str">
        <f t="shared" si="205"/>
        <v/>
      </c>
      <c r="L2180" s="46" t="str">
        <f t="shared" si="209"/>
        <v/>
      </c>
      <c r="M2180" t="str" cm="1">
        <f t="array" ref="M2180">IF(L2180="","",_xlfn.IFS(
  AND(L2180&gt;=TIME(9,0,0), L2180&lt;TIME(16,0,0)),"Morning",
  AND(L2180&gt;=TIME(16,0,0), L2180&lt;TIME(23,59,0)),"Evening",
  L2180&gt;=TIME(23,59,0),"Night",
  L2180&lt;TIME(9,0,0),"Night"
))</f>
        <v/>
      </c>
      <c r="O2180" t="str">
        <f t="shared" si="206"/>
        <v/>
      </c>
    </row>
    <row r="2181" spans="7:15" x14ac:dyDescent="0.25">
      <c r="G2181" t="str">
        <f t="shared" si="204"/>
        <v/>
      </c>
      <c r="H2181" s="13" t="str">
        <f t="shared" si="207"/>
        <v/>
      </c>
      <c r="I2181" t="str">
        <f>IFERROR(INDEX(Analysis!$D$116:$N$137, MATCH(B2181, Analysis!$C$116:$C$137, 0), MATCH(C2181, Analysis!$D$115:$N$115, 0)), "")</f>
        <v/>
      </c>
      <c r="J2181" t="str">
        <f t="shared" si="208"/>
        <v/>
      </c>
      <c r="K2181" s="28" t="str">
        <f t="shared" si="205"/>
        <v/>
      </c>
      <c r="L2181" s="46" t="str">
        <f t="shared" si="209"/>
        <v/>
      </c>
      <c r="M2181" t="str" cm="1">
        <f t="array" ref="M2181">IF(L2181="","",_xlfn.IFS(
  AND(L2181&gt;=TIME(9,0,0), L2181&lt;TIME(16,0,0)),"Morning",
  AND(L2181&gt;=TIME(16,0,0), L2181&lt;TIME(23,59,0)),"Evening",
  L2181&gt;=TIME(23,59,0),"Night",
  L2181&lt;TIME(9,0,0),"Night"
))</f>
        <v/>
      </c>
      <c r="O2181" t="str">
        <f t="shared" si="206"/>
        <v/>
      </c>
    </row>
    <row r="2182" spans="7:15" x14ac:dyDescent="0.25">
      <c r="G2182" t="str">
        <f t="shared" si="204"/>
        <v/>
      </c>
      <c r="H2182" s="13" t="str">
        <f t="shared" si="207"/>
        <v/>
      </c>
      <c r="I2182" t="str">
        <f>IFERROR(INDEX(Analysis!$D$116:$N$137, MATCH(B2182, Analysis!$C$116:$C$137, 0), MATCH(C2182, Analysis!$D$115:$N$115, 0)), "")</f>
        <v/>
      </c>
      <c r="J2182" t="str">
        <f t="shared" si="208"/>
        <v/>
      </c>
      <c r="K2182" s="28" t="str">
        <f t="shared" si="205"/>
        <v/>
      </c>
      <c r="L2182" s="46" t="str">
        <f t="shared" si="209"/>
        <v/>
      </c>
      <c r="M2182" t="str" cm="1">
        <f t="array" ref="M2182">IF(L2182="","",_xlfn.IFS(
  AND(L2182&gt;=TIME(9,0,0), L2182&lt;TIME(16,0,0)),"Morning",
  AND(L2182&gt;=TIME(16,0,0), L2182&lt;TIME(23,59,0)),"Evening",
  L2182&gt;=TIME(23,59,0),"Night",
  L2182&lt;TIME(9,0,0),"Night"
))</f>
        <v/>
      </c>
      <c r="O2182" t="str">
        <f t="shared" si="206"/>
        <v/>
      </c>
    </row>
    <row r="2183" spans="7:15" x14ac:dyDescent="0.25">
      <c r="G2183" t="str">
        <f t="shared" si="204"/>
        <v/>
      </c>
      <c r="H2183" s="13" t="str">
        <f t="shared" si="207"/>
        <v/>
      </c>
      <c r="I2183" t="str">
        <f>IFERROR(INDEX(Analysis!$D$116:$N$137, MATCH(B2183, Analysis!$C$116:$C$137, 0), MATCH(C2183, Analysis!$D$115:$N$115, 0)), "")</f>
        <v/>
      </c>
      <c r="J2183" t="str">
        <f t="shared" si="208"/>
        <v/>
      </c>
      <c r="K2183" s="28" t="str">
        <f t="shared" si="205"/>
        <v/>
      </c>
      <c r="L2183" s="46" t="str">
        <f t="shared" si="209"/>
        <v/>
      </c>
      <c r="M2183" t="str" cm="1">
        <f t="array" ref="M2183">IF(L2183="","",_xlfn.IFS(
  AND(L2183&gt;=TIME(9,0,0), L2183&lt;TIME(16,0,0)),"Morning",
  AND(L2183&gt;=TIME(16,0,0), L2183&lt;TIME(23,59,0)),"Evening",
  L2183&gt;=TIME(23,59,0),"Night",
  L2183&lt;TIME(9,0,0),"Night"
))</f>
        <v/>
      </c>
      <c r="O2183" t="str">
        <f t="shared" si="206"/>
        <v/>
      </c>
    </row>
    <row r="2184" spans="7:15" x14ac:dyDescent="0.25">
      <c r="G2184" t="str">
        <f t="shared" si="204"/>
        <v/>
      </c>
      <c r="H2184" s="13" t="str">
        <f t="shared" si="207"/>
        <v/>
      </c>
      <c r="I2184" t="str">
        <f>IFERROR(INDEX(Analysis!$D$116:$N$137, MATCH(B2184, Analysis!$C$116:$C$137, 0), MATCH(C2184, Analysis!$D$115:$N$115, 0)), "")</f>
        <v/>
      </c>
      <c r="J2184" t="str">
        <f t="shared" si="208"/>
        <v/>
      </c>
      <c r="K2184" s="28" t="str">
        <f t="shared" si="205"/>
        <v/>
      </c>
      <c r="L2184" s="46" t="str">
        <f t="shared" si="209"/>
        <v/>
      </c>
      <c r="M2184" t="str" cm="1">
        <f t="array" ref="M2184">IF(L2184="","",_xlfn.IFS(
  AND(L2184&gt;=TIME(9,0,0), L2184&lt;TIME(16,0,0)),"Morning",
  AND(L2184&gt;=TIME(16,0,0), L2184&lt;TIME(23,59,0)),"Evening",
  L2184&gt;=TIME(23,59,0),"Night",
  L2184&lt;TIME(9,0,0),"Night"
))</f>
        <v/>
      </c>
      <c r="O2184" t="str">
        <f t="shared" si="206"/>
        <v/>
      </c>
    </row>
    <row r="2185" spans="7:15" x14ac:dyDescent="0.25">
      <c r="G2185" t="str">
        <f t="shared" si="204"/>
        <v/>
      </c>
      <c r="H2185" s="13" t="str">
        <f t="shared" si="207"/>
        <v/>
      </c>
      <c r="I2185" t="str">
        <f>IFERROR(INDEX(Analysis!$D$116:$N$137, MATCH(B2185, Analysis!$C$116:$C$137, 0), MATCH(C2185, Analysis!$D$115:$N$115, 0)), "")</f>
        <v/>
      </c>
      <c r="J2185" t="str">
        <f t="shared" si="208"/>
        <v/>
      </c>
      <c r="K2185" s="28" t="str">
        <f t="shared" si="205"/>
        <v/>
      </c>
      <c r="L2185" s="46" t="str">
        <f t="shared" si="209"/>
        <v/>
      </c>
      <c r="M2185" t="str" cm="1">
        <f t="array" ref="M2185">IF(L2185="","",_xlfn.IFS(
  AND(L2185&gt;=TIME(9,0,0), L2185&lt;TIME(16,0,0)),"Morning",
  AND(L2185&gt;=TIME(16,0,0), L2185&lt;TIME(23,59,0)),"Evening",
  L2185&gt;=TIME(23,59,0),"Night",
  L2185&lt;TIME(9,0,0),"Night"
))</f>
        <v/>
      </c>
      <c r="O2185" t="str">
        <f t="shared" si="206"/>
        <v/>
      </c>
    </row>
    <row r="2186" spans="7:15" x14ac:dyDescent="0.25">
      <c r="G2186" t="str">
        <f t="shared" si="204"/>
        <v/>
      </c>
      <c r="H2186" s="13" t="str">
        <f t="shared" si="207"/>
        <v/>
      </c>
      <c r="I2186" t="str">
        <f>IFERROR(INDEX(Analysis!$D$116:$N$137, MATCH(B2186, Analysis!$C$116:$C$137, 0), MATCH(C2186, Analysis!$D$115:$N$115, 0)), "")</f>
        <v/>
      </c>
      <c r="J2186" t="str">
        <f t="shared" si="208"/>
        <v/>
      </c>
      <c r="K2186" s="28" t="str">
        <f t="shared" si="205"/>
        <v/>
      </c>
      <c r="L2186" s="46" t="str">
        <f t="shared" si="209"/>
        <v/>
      </c>
      <c r="M2186" t="str" cm="1">
        <f t="array" ref="M2186">IF(L2186="","",_xlfn.IFS(
  AND(L2186&gt;=TIME(9,0,0), L2186&lt;TIME(16,0,0)),"Morning",
  AND(L2186&gt;=TIME(16,0,0), L2186&lt;TIME(23,59,0)),"Evening",
  L2186&gt;=TIME(23,59,0),"Night",
  L2186&lt;TIME(9,0,0),"Night"
))</f>
        <v/>
      </c>
      <c r="O2186" t="str">
        <f t="shared" si="206"/>
        <v/>
      </c>
    </row>
    <row r="2187" spans="7:15" x14ac:dyDescent="0.25">
      <c r="G2187" t="str">
        <f t="shared" si="204"/>
        <v/>
      </c>
      <c r="H2187" s="13" t="str">
        <f t="shared" si="207"/>
        <v/>
      </c>
      <c r="I2187" t="str">
        <f>IFERROR(INDEX(Analysis!$D$116:$N$137, MATCH(B2187, Analysis!$C$116:$C$137, 0), MATCH(C2187, Analysis!$D$115:$N$115, 0)), "")</f>
        <v/>
      </c>
      <c r="J2187" t="str">
        <f t="shared" si="208"/>
        <v/>
      </c>
      <c r="K2187" s="28" t="str">
        <f t="shared" si="205"/>
        <v/>
      </c>
      <c r="L2187" s="46" t="str">
        <f t="shared" si="209"/>
        <v/>
      </c>
      <c r="M2187" t="str" cm="1">
        <f t="array" ref="M2187">IF(L2187="","",_xlfn.IFS(
  AND(L2187&gt;=TIME(9,0,0), L2187&lt;TIME(16,0,0)),"Morning",
  AND(L2187&gt;=TIME(16,0,0), L2187&lt;TIME(23,59,0)),"Evening",
  L2187&gt;=TIME(23,59,0),"Night",
  L2187&lt;TIME(9,0,0),"Night"
))</f>
        <v/>
      </c>
      <c r="O2187" t="str">
        <f t="shared" si="206"/>
        <v/>
      </c>
    </row>
    <row r="2188" spans="7:15" x14ac:dyDescent="0.25">
      <c r="G2188" t="str">
        <f t="shared" si="204"/>
        <v/>
      </c>
      <c r="H2188" s="13" t="str">
        <f t="shared" si="207"/>
        <v/>
      </c>
      <c r="I2188" t="str">
        <f>IFERROR(INDEX(Analysis!$D$116:$N$137, MATCH(B2188, Analysis!$C$116:$C$137, 0), MATCH(C2188, Analysis!$D$115:$N$115, 0)), "")</f>
        <v/>
      </c>
      <c r="J2188" t="str">
        <f t="shared" si="208"/>
        <v/>
      </c>
      <c r="K2188" s="28" t="str">
        <f t="shared" si="205"/>
        <v/>
      </c>
      <c r="L2188" s="46" t="str">
        <f t="shared" si="209"/>
        <v/>
      </c>
      <c r="M2188" t="str" cm="1">
        <f t="array" ref="M2188">IF(L2188="","",_xlfn.IFS(
  AND(L2188&gt;=TIME(9,0,0), L2188&lt;TIME(16,0,0)),"Morning",
  AND(L2188&gt;=TIME(16,0,0), L2188&lt;TIME(23,59,0)),"Evening",
  L2188&gt;=TIME(23,59,0),"Night",
  L2188&lt;TIME(9,0,0),"Night"
))</f>
        <v/>
      </c>
      <c r="O2188" t="str">
        <f t="shared" si="206"/>
        <v/>
      </c>
    </row>
    <row r="2189" spans="7:15" x14ac:dyDescent="0.25">
      <c r="G2189" t="str">
        <f t="shared" si="204"/>
        <v/>
      </c>
      <c r="H2189" s="13" t="str">
        <f t="shared" si="207"/>
        <v/>
      </c>
      <c r="I2189" t="str">
        <f>IFERROR(INDEX(Analysis!$D$116:$N$137, MATCH(B2189, Analysis!$C$116:$C$137, 0), MATCH(C2189, Analysis!$D$115:$N$115, 0)), "")</f>
        <v/>
      </c>
      <c r="J2189" t="str">
        <f t="shared" si="208"/>
        <v/>
      </c>
      <c r="K2189" s="28" t="str">
        <f t="shared" si="205"/>
        <v/>
      </c>
      <c r="L2189" s="46" t="str">
        <f t="shared" si="209"/>
        <v/>
      </c>
      <c r="M2189" t="str" cm="1">
        <f t="array" ref="M2189">IF(L2189="","",_xlfn.IFS(
  AND(L2189&gt;=TIME(9,0,0), L2189&lt;TIME(16,0,0)),"Morning",
  AND(L2189&gt;=TIME(16,0,0), L2189&lt;TIME(23,59,0)),"Evening",
  L2189&gt;=TIME(23,59,0),"Night",
  L2189&lt;TIME(9,0,0),"Night"
))</f>
        <v/>
      </c>
      <c r="O2189" t="str">
        <f t="shared" si="206"/>
        <v/>
      </c>
    </row>
    <row r="2190" spans="7:15" x14ac:dyDescent="0.25">
      <c r="G2190" t="str">
        <f t="shared" si="204"/>
        <v/>
      </c>
      <c r="H2190" s="13" t="str">
        <f t="shared" si="207"/>
        <v/>
      </c>
      <c r="I2190" t="str">
        <f>IFERROR(INDEX(Analysis!$D$116:$N$137, MATCH(B2190, Analysis!$C$116:$C$137, 0), MATCH(C2190, Analysis!$D$115:$N$115, 0)), "")</f>
        <v/>
      </c>
      <c r="J2190" t="str">
        <f t="shared" si="208"/>
        <v/>
      </c>
      <c r="K2190" s="28" t="str">
        <f t="shared" si="205"/>
        <v/>
      </c>
      <c r="L2190" s="46" t="str">
        <f t="shared" si="209"/>
        <v/>
      </c>
      <c r="M2190" t="str" cm="1">
        <f t="array" ref="M2190">IF(L2190="","",_xlfn.IFS(
  AND(L2190&gt;=TIME(9,0,0), L2190&lt;TIME(16,0,0)),"Morning",
  AND(L2190&gt;=TIME(16,0,0), L2190&lt;TIME(23,59,0)),"Evening",
  L2190&gt;=TIME(23,59,0),"Night",
  L2190&lt;TIME(9,0,0),"Night"
))</f>
        <v/>
      </c>
      <c r="O2190" t="str">
        <f t="shared" si="206"/>
        <v/>
      </c>
    </row>
    <row r="2191" spans="7:15" x14ac:dyDescent="0.25">
      <c r="G2191" t="str">
        <f t="shared" si="204"/>
        <v/>
      </c>
      <c r="H2191" s="13" t="str">
        <f t="shared" si="207"/>
        <v/>
      </c>
      <c r="I2191" t="str">
        <f>IFERROR(INDEX(Analysis!$D$116:$N$137, MATCH(B2191, Analysis!$C$116:$C$137, 0), MATCH(C2191, Analysis!$D$115:$N$115, 0)), "")</f>
        <v/>
      </c>
      <c r="J2191" t="str">
        <f t="shared" si="208"/>
        <v/>
      </c>
      <c r="K2191" s="28" t="str">
        <f t="shared" si="205"/>
        <v/>
      </c>
      <c r="L2191" s="46" t="str">
        <f t="shared" si="209"/>
        <v/>
      </c>
      <c r="M2191" t="str" cm="1">
        <f t="array" ref="M2191">IF(L2191="","",_xlfn.IFS(
  AND(L2191&gt;=TIME(9,0,0), L2191&lt;TIME(16,0,0)),"Morning",
  AND(L2191&gt;=TIME(16,0,0), L2191&lt;TIME(23,59,0)),"Evening",
  L2191&gt;=TIME(23,59,0),"Night",
  L2191&lt;TIME(9,0,0),"Night"
))</f>
        <v/>
      </c>
      <c r="O2191" t="str">
        <f t="shared" si="206"/>
        <v/>
      </c>
    </row>
    <row r="2192" spans="7:15" x14ac:dyDescent="0.25">
      <c r="G2192" t="str">
        <f t="shared" si="204"/>
        <v/>
      </c>
      <c r="H2192" s="13" t="str">
        <f t="shared" si="207"/>
        <v/>
      </c>
      <c r="I2192" t="str">
        <f>IFERROR(INDEX(Analysis!$D$116:$N$137, MATCH(B2192, Analysis!$C$116:$C$137, 0), MATCH(C2192, Analysis!$D$115:$N$115, 0)), "")</f>
        <v/>
      </c>
      <c r="J2192" t="str">
        <f t="shared" si="208"/>
        <v/>
      </c>
      <c r="K2192" s="28" t="str">
        <f t="shared" si="205"/>
        <v/>
      </c>
      <c r="L2192" s="46" t="str">
        <f t="shared" si="209"/>
        <v/>
      </c>
      <c r="M2192" t="str" cm="1">
        <f t="array" ref="M2192">IF(L2192="","",_xlfn.IFS(
  AND(L2192&gt;=TIME(9,0,0), L2192&lt;TIME(16,0,0)),"Morning",
  AND(L2192&gt;=TIME(16,0,0), L2192&lt;TIME(23,59,0)),"Evening",
  L2192&gt;=TIME(23,59,0),"Night",
  L2192&lt;TIME(9,0,0),"Night"
))</f>
        <v/>
      </c>
      <c r="O2192" t="str">
        <f t="shared" si="206"/>
        <v/>
      </c>
    </row>
    <row r="2193" spans="7:15" x14ac:dyDescent="0.25">
      <c r="G2193" t="str">
        <f t="shared" si="204"/>
        <v/>
      </c>
      <c r="H2193" s="13" t="str">
        <f t="shared" si="207"/>
        <v/>
      </c>
      <c r="I2193" t="str">
        <f>IFERROR(INDEX(Analysis!$D$116:$N$137, MATCH(B2193, Analysis!$C$116:$C$137, 0), MATCH(C2193, Analysis!$D$115:$N$115, 0)), "")</f>
        <v/>
      </c>
      <c r="J2193" t="str">
        <f t="shared" si="208"/>
        <v/>
      </c>
      <c r="K2193" s="28" t="str">
        <f t="shared" si="205"/>
        <v/>
      </c>
      <c r="L2193" s="46" t="str">
        <f t="shared" si="209"/>
        <v/>
      </c>
      <c r="M2193" t="str" cm="1">
        <f t="array" ref="M2193">IF(L2193="","",_xlfn.IFS(
  AND(L2193&gt;=TIME(9,0,0), L2193&lt;TIME(16,0,0)),"Morning",
  AND(L2193&gt;=TIME(16,0,0), L2193&lt;TIME(23,59,0)),"Evening",
  L2193&gt;=TIME(23,59,0),"Night",
  L2193&lt;TIME(9,0,0),"Night"
))</f>
        <v/>
      </c>
      <c r="O2193" t="str">
        <f t="shared" si="206"/>
        <v/>
      </c>
    </row>
    <row r="2194" spans="7:15" x14ac:dyDescent="0.25">
      <c r="G2194" t="str">
        <f t="shared" si="204"/>
        <v/>
      </c>
      <c r="H2194" s="13" t="str">
        <f t="shared" si="207"/>
        <v/>
      </c>
      <c r="I2194" t="str">
        <f>IFERROR(INDEX(Analysis!$D$116:$N$137, MATCH(B2194, Analysis!$C$116:$C$137, 0), MATCH(C2194, Analysis!$D$115:$N$115, 0)), "")</f>
        <v/>
      </c>
      <c r="J2194" t="str">
        <f t="shared" si="208"/>
        <v/>
      </c>
      <c r="K2194" s="28" t="str">
        <f t="shared" si="205"/>
        <v/>
      </c>
      <c r="L2194" s="46" t="str">
        <f t="shared" si="209"/>
        <v/>
      </c>
      <c r="M2194" t="str" cm="1">
        <f t="array" ref="M2194">IF(L2194="","",_xlfn.IFS(
  AND(L2194&gt;=TIME(9,0,0), L2194&lt;TIME(16,0,0)),"Morning",
  AND(L2194&gt;=TIME(16,0,0), L2194&lt;TIME(23,59,0)),"Evening",
  L2194&gt;=TIME(23,59,0),"Night",
  L2194&lt;TIME(9,0,0),"Night"
))</f>
        <v/>
      </c>
      <c r="O2194" t="str">
        <f t="shared" si="206"/>
        <v/>
      </c>
    </row>
    <row r="2195" spans="7:15" x14ac:dyDescent="0.25">
      <c r="G2195" t="str">
        <f t="shared" si="204"/>
        <v/>
      </c>
      <c r="H2195" s="13" t="str">
        <f t="shared" si="207"/>
        <v/>
      </c>
      <c r="I2195" t="str">
        <f>IFERROR(INDEX(Analysis!$D$116:$N$137, MATCH(B2195, Analysis!$C$116:$C$137, 0), MATCH(C2195, Analysis!$D$115:$N$115, 0)), "")</f>
        <v/>
      </c>
      <c r="J2195" t="str">
        <f t="shared" si="208"/>
        <v/>
      </c>
      <c r="K2195" s="28" t="str">
        <f t="shared" si="205"/>
        <v/>
      </c>
      <c r="L2195" s="46" t="str">
        <f t="shared" si="209"/>
        <v/>
      </c>
      <c r="M2195" t="str" cm="1">
        <f t="array" ref="M2195">IF(L2195="","",_xlfn.IFS(
  AND(L2195&gt;=TIME(9,0,0), L2195&lt;TIME(16,0,0)),"Morning",
  AND(L2195&gt;=TIME(16,0,0), L2195&lt;TIME(23,59,0)),"Evening",
  L2195&gt;=TIME(23,59,0),"Night",
  L2195&lt;TIME(9,0,0),"Night"
))</f>
        <v/>
      </c>
      <c r="O2195" t="str">
        <f t="shared" si="206"/>
        <v/>
      </c>
    </row>
    <row r="2196" spans="7:15" x14ac:dyDescent="0.25">
      <c r="G2196" t="str">
        <f t="shared" si="204"/>
        <v/>
      </c>
      <c r="H2196" s="13" t="str">
        <f t="shared" si="207"/>
        <v/>
      </c>
      <c r="I2196" t="str">
        <f>IFERROR(INDEX(Analysis!$D$116:$N$137, MATCH(B2196, Analysis!$C$116:$C$137, 0), MATCH(C2196, Analysis!$D$115:$N$115, 0)), "")</f>
        <v/>
      </c>
      <c r="J2196" t="str">
        <f t="shared" si="208"/>
        <v/>
      </c>
      <c r="K2196" s="28" t="str">
        <f t="shared" si="205"/>
        <v/>
      </c>
      <c r="L2196" s="46" t="str">
        <f t="shared" si="209"/>
        <v/>
      </c>
      <c r="M2196" t="str" cm="1">
        <f t="array" ref="M2196">IF(L2196="","",_xlfn.IFS(
  AND(L2196&gt;=TIME(9,0,0), L2196&lt;TIME(16,0,0)),"Morning",
  AND(L2196&gt;=TIME(16,0,0), L2196&lt;TIME(23,59,0)),"Evening",
  L2196&gt;=TIME(23,59,0),"Night",
  L2196&lt;TIME(9,0,0),"Night"
))</f>
        <v/>
      </c>
      <c r="O2196" t="str">
        <f t="shared" si="206"/>
        <v/>
      </c>
    </row>
    <row r="2197" spans="7:15" x14ac:dyDescent="0.25">
      <c r="G2197" t="str">
        <f t="shared" si="204"/>
        <v/>
      </c>
      <c r="H2197" s="13" t="str">
        <f t="shared" si="207"/>
        <v/>
      </c>
      <c r="I2197" t="str">
        <f>IFERROR(INDEX(Analysis!$D$116:$N$137, MATCH(B2197, Analysis!$C$116:$C$137, 0), MATCH(C2197, Analysis!$D$115:$N$115, 0)), "")</f>
        <v/>
      </c>
      <c r="J2197" t="str">
        <f t="shared" si="208"/>
        <v/>
      </c>
      <c r="K2197" s="28" t="str">
        <f t="shared" si="205"/>
        <v/>
      </c>
      <c r="L2197" s="46" t="str">
        <f t="shared" si="209"/>
        <v/>
      </c>
      <c r="M2197" t="str" cm="1">
        <f t="array" ref="M2197">IF(L2197="","",_xlfn.IFS(
  AND(L2197&gt;=TIME(9,0,0), L2197&lt;TIME(16,0,0)),"Morning",
  AND(L2197&gt;=TIME(16,0,0), L2197&lt;TIME(23,59,0)),"Evening",
  L2197&gt;=TIME(23,59,0),"Night",
  L2197&lt;TIME(9,0,0),"Night"
))</f>
        <v/>
      </c>
      <c r="O2197" t="str">
        <f t="shared" si="206"/>
        <v/>
      </c>
    </row>
    <row r="2198" spans="7:15" x14ac:dyDescent="0.25">
      <c r="G2198" t="str">
        <f t="shared" si="204"/>
        <v/>
      </c>
      <c r="H2198" s="13" t="str">
        <f t="shared" si="207"/>
        <v/>
      </c>
      <c r="I2198" t="str">
        <f>IFERROR(INDEX(Analysis!$D$116:$N$137, MATCH(B2198, Analysis!$C$116:$C$137, 0), MATCH(C2198, Analysis!$D$115:$N$115, 0)), "")</f>
        <v/>
      </c>
      <c r="J2198" t="str">
        <f t="shared" si="208"/>
        <v/>
      </c>
      <c r="K2198" s="28" t="str">
        <f t="shared" si="205"/>
        <v/>
      </c>
      <c r="L2198" s="46" t="str">
        <f t="shared" si="209"/>
        <v/>
      </c>
      <c r="M2198" t="str" cm="1">
        <f t="array" ref="M2198">IF(L2198="","",_xlfn.IFS(
  AND(L2198&gt;=TIME(9,0,0), L2198&lt;TIME(16,0,0)),"Morning",
  AND(L2198&gt;=TIME(16,0,0), L2198&lt;TIME(23,59,0)),"Evening",
  L2198&gt;=TIME(23,59,0),"Night",
  L2198&lt;TIME(9,0,0),"Night"
))</f>
        <v/>
      </c>
      <c r="O2198" t="str">
        <f t="shared" si="206"/>
        <v/>
      </c>
    </row>
    <row r="2199" spans="7:15" x14ac:dyDescent="0.25">
      <c r="G2199" t="str">
        <f t="shared" si="204"/>
        <v/>
      </c>
      <c r="H2199" s="13" t="str">
        <f t="shared" si="207"/>
        <v/>
      </c>
      <c r="I2199" t="str">
        <f>IFERROR(INDEX(Analysis!$D$116:$N$137, MATCH(B2199, Analysis!$C$116:$C$137, 0), MATCH(C2199, Analysis!$D$115:$N$115, 0)), "")</f>
        <v/>
      </c>
      <c r="J2199" t="str">
        <f t="shared" si="208"/>
        <v/>
      </c>
      <c r="K2199" s="28" t="str">
        <f t="shared" si="205"/>
        <v/>
      </c>
      <c r="L2199" s="46" t="str">
        <f t="shared" si="209"/>
        <v/>
      </c>
      <c r="M2199" t="str" cm="1">
        <f t="array" ref="M2199">IF(L2199="","",_xlfn.IFS(
  AND(L2199&gt;=TIME(9,0,0), L2199&lt;TIME(16,0,0)),"Morning",
  AND(L2199&gt;=TIME(16,0,0), L2199&lt;TIME(23,59,0)),"Evening",
  L2199&gt;=TIME(23,59,0),"Night",
  L2199&lt;TIME(9,0,0),"Night"
))</f>
        <v/>
      </c>
      <c r="O2199" t="str">
        <f t="shared" si="206"/>
        <v/>
      </c>
    </row>
    <row r="2200" spans="7:15" x14ac:dyDescent="0.25">
      <c r="G2200" t="str">
        <f t="shared" si="204"/>
        <v/>
      </c>
      <c r="H2200" s="13" t="str">
        <f t="shared" si="207"/>
        <v/>
      </c>
      <c r="I2200" t="str">
        <f>IFERROR(INDEX(Analysis!$D$116:$N$137, MATCH(B2200, Analysis!$C$116:$C$137, 0), MATCH(C2200, Analysis!$D$115:$N$115, 0)), "")</f>
        <v/>
      </c>
      <c r="J2200" t="str">
        <f t="shared" si="208"/>
        <v/>
      </c>
      <c r="K2200" s="28" t="str">
        <f t="shared" si="205"/>
        <v/>
      </c>
      <c r="L2200" s="46" t="str">
        <f t="shared" si="209"/>
        <v/>
      </c>
      <c r="M2200" t="str" cm="1">
        <f t="array" ref="M2200">IF(L2200="","",_xlfn.IFS(
  AND(L2200&gt;=TIME(9,0,0), L2200&lt;TIME(16,0,0)),"Morning",
  AND(L2200&gt;=TIME(16,0,0), L2200&lt;TIME(23,59,0)),"Evening",
  L2200&gt;=TIME(23,59,0),"Night",
  L2200&lt;TIME(9,0,0),"Night"
))</f>
        <v/>
      </c>
      <c r="O2200" t="str">
        <f t="shared" si="206"/>
        <v/>
      </c>
    </row>
    <row r="2201" spans="7:15" x14ac:dyDescent="0.25">
      <c r="G2201" t="str">
        <f t="shared" si="204"/>
        <v/>
      </c>
      <c r="H2201" s="13" t="str">
        <f t="shared" si="207"/>
        <v/>
      </c>
      <c r="I2201" t="str">
        <f>IFERROR(INDEX(Analysis!$D$116:$N$137, MATCH(B2201, Analysis!$C$116:$C$137, 0), MATCH(C2201, Analysis!$D$115:$N$115, 0)), "")</f>
        <v/>
      </c>
      <c r="J2201" t="str">
        <f t="shared" si="208"/>
        <v/>
      </c>
      <c r="K2201" s="28" t="str">
        <f t="shared" si="205"/>
        <v/>
      </c>
      <c r="L2201" s="46" t="str">
        <f t="shared" si="209"/>
        <v/>
      </c>
      <c r="M2201" t="str" cm="1">
        <f t="array" ref="M2201">IF(L2201="","",_xlfn.IFS(
  AND(L2201&gt;=TIME(9,0,0), L2201&lt;TIME(16,0,0)),"Morning",
  AND(L2201&gt;=TIME(16,0,0), L2201&lt;TIME(23,59,0)),"Evening",
  L2201&gt;=TIME(23,59,0),"Night",
  L2201&lt;TIME(9,0,0),"Night"
))</f>
        <v/>
      </c>
      <c r="O2201" t="str">
        <f t="shared" si="206"/>
        <v/>
      </c>
    </row>
    <row r="2202" spans="7:15" x14ac:dyDescent="0.25">
      <c r="G2202" t="str">
        <f t="shared" si="204"/>
        <v/>
      </c>
      <c r="H2202" s="13" t="str">
        <f t="shared" si="207"/>
        <v/>
      </c>
      <c r="I2202" t="str">
        <f>IFERROR(INDEX(Analysis!$D$116:$N$137, MATCH(B2202, Analysis!$C$116:$C$137, 0), MATCH(C2202, Analysis!$D$115:$N$115, 0)), "")</f>
        <v/>
      </c>
      <c r="J2202" t="str">
        <f t="shared" si="208"/>
        <v/>
      </c>
      <c r="K2202" s="28" t="str">
        <f t="shared" si="205"/>
        <v/>
      </c>
      <c r="L2202" s="46" t="str">
        <f t="shared" si="209"/>
        <v/>
      </c>
      <c r="M2202" t="str" cm="1">
        <f t="array" ref="M2202">IF(L2202="","",_xlfn.IFS(
  AND(L2202&gt;=TIME(9,0,0), L2202&lt;TIME(16,0,0)),"Morning",
  AND(L2202&gt;=TIME(16,0,0), L2202&lt;TIME(23,59,0)),"Evening",
  L2202&gt;=TIME(23,59,0),"Night",
  L2202&lt;TIME(9,0,0),"Night"
))</f>
        <v/>
      </c>
      <c r="O2202" t="str">
        <f t="shared" si="206"/>
        <v/>
      </c>
    </row>
    <row r="2203" spans="7:15" x14ac:dyDescent="0.25">
      <c r="G2203" t="str">
        <f t="shared" si="204"/>
        <v/>
      </c>
      <c r="H2203" s="13" t="str">
        <f t="shared" si="207"/>
        <v/>
      </c>
      <c r="I2203" t="str">
        <f>IFERROR(INDEX(Analysis!$D$116:$N$137, MATCH(B2203, Analysis!$C$116:$C$137, 0), MATCH(C2203, Analysis!$D$115:$N$115, 0)), "")</f>
        <v/>
      </c>
      <c r="J2203" t="str">
        <f t="shared" si="208"/>
        <v/>
      </c>
      <c r="K2203" s="28" t="str">
        <f t="shared" si="205"/>
        <v/>
      </c>
      <c r="L2203" s="46" t="str">
        <f t="shared" si="209"/>
        <v/>
      </c>
      <c r="M2203" t="str" cm="1">
        <f t="array" ref="M2203">IF(L2203="","",_xlfn.IFS(
  AND(L2203&gt;=TIME(9,0,0), L2203&lt;TIME(16,0,0)),"Morning",
  AND(L2203&gt;=TIME(16,0,0), L2203&lt;TIME(23,59,0)),"Evening",
  L2203&gt;=TIME(23,59,0),"Night",
  L2203&lt;TIME(9,0,0),"Night"
))</f>
        <v/>
      </c>
      <c r="O2203" t="str">
        <f t="shared" si="206"/>
        <v/>
      </c>
    </row>
    <row r="2204" spans="7:15" x14ac:dyDescent="0.25">
      <c r="G2204" t="str">
        <f t="shared" si="204"/>
        <v/>
      </c>
      <c r="H2204" s="13" t="str">
        <f t="shared" si="207"/>
        <v/>
      </c>
      <c r="I2204" t="str">
        <f>IFERROR(INDEX(Analysis!$D$116:$N$137, MATCH(B2204, Analysis!$C$116:$C$137, 0), MATCH(C2204, Analysis!$D$115:$N$115, 0)), "")</f>
        <v/>
      </c>
      <c r="J2204" t="str">
        <f t="shared" si="208"/>
        <v/>
      </c>
      <c r="K2204" s="28" t="str">
        <f t="shared" si="205"/>
        <v/>
      </c>
      <c r="L2204" s="46" t="str">
        <f t="shared" si="209"/>
        <v/>
      </c>
      <c r="M2204" t="str" cm="1">
        <f t="array" ref="M2204">IF(L2204="","",_xlfn.IFS(
  AND(L2204&gt;=TIME(9,0,0), L2204&lt;TIME(16,0,0)),"Morning",
  AND(L2204&gt;=TIME(16,0,0), L2204&lt;TIME(23,59,0)),"Evening",
  L2204&gt;=TIME(23,59,0),"Night",
  L2204&lt;TIME(9,0,0),"Night"
))</f>
        <v/>
      </c>
      <c r="O2204" t="str">
        <f t="shared" si="206"/>
        <v/>
      </c>
    </row>
    <row r="2205" spans="7:15" x14ac:dyDescent="0.25">
      <c r="G2205" t="str">
        <f t="shared" si="204"/>
        <v/>
      </c>
      <c r="H2205" s="13" t="str">
        <f t="shared" si="207"/>
        <v/>
      </c>
      <c r="I2205" t="str">
        <f>IFERROR(INDEX(Analysis!$D$116:$N$137, MATCH(B2205, Analysis!$C$116:$C$137, 0), MATCH(C2205, Analysis!$D$115:$N$115, 0)), "")</f>
        <v/>
      </c>
      <c r="J2205" t="str">
        <f t="shared" si="208"/>
        <v/>
      </c>
      <c r="K2205" s="28" t="str">
        <f t="shared" si="205"/>
        <v/>
      </c>
      <c r="L2205" s="46" t="str">
        <f t="shared" si="209"/>
        <v/>
      </c>
      <c r="M2205" t="str" cm="1">
        <f t="array" ref="M2205">IF(L2205="","",_xlfn.IFS(
  AND(L2205&gt;=TIME(9,0,0), L2205&lt;TIME(16,0,0)),"Morning",
  AND(L2205&gt;=TIME(16,0,0), L2205&lt;TIME(23,59,0)),"Evening",
  L2205&gt;=TIME(23,59,0),"Night",
  L2205&lt;TIME(9,0,0),"Night"
))</f>
        <v/>
      </c>
      <c r="O2205" t="str">
        <f t="shared" si="206"/>
        <v/>
      </c>
    </row>
    <row r="2206" spans="7:15" x14ac:dyDescent="0.25">
      <c r="G2206" t="str">
        <f t="shared" si="204"/>
        <v/>
      </c>
      <c r="H2206" s="13" t="str">
        <f t="shared" si="207"/>
        <v/>
      </c>
      <c r="I2206" t="str">
        <f>IFERROR(INDEX(Analysis!$D$116:$N$137, MATCH(B2206, Analysis!$C$116:$C$137, 0), MATCH(C2206, Analysis!$D$115:$N$115, 0)), "")</f>
        <v/>
      </c>
      <c r="J2206" t="str">
        <f t="shared" si="208"/>
        <v/>
      </c>
      <c r="K2206" s="28" t="str">
        <f t="shared" si="205"/>
        <v/>
      </c>
      <c r="L2206" s="46" t="str">
        <f t="shared" si="209"/>
        <v/>
      </c>
      <c r="M2206" t="str" cm="1">
        <f t="array" ref="M2206">IF(L2206="","",_xlfn.IFS(
  AND(L2206&gt;=TIME(9,0,0), L2206&lt;TIME(16,0,0)),"Morning",
  AND(L2206&gt;=TIME(16,0,0), L2206&lt;TIME(23,59,0)),"Evening",
  L2206&gt;=TIME(23,59,0),"Night",
  L2206&lt;TIME(9,0,0),"Night"
))</f>
        <v/>
      </c>
      <c r="O2206" t="str">
        <f t="shared" si="206"/>
        <v/>
      </c>
    </row>
    <row r="2207" spans="7:15" x14ac:dyDescent="0.25">
      <c r="G2207" t="str">
        <f t="shared" si="204"/>
        <v/>
      </c>
      <c r="H2207" s="13" t="str">
        <f t="shared" si="207"/>
        <v/>
      </c>
      <c r="I2207" t="str">
        <f>IFERROR(INDEX(Analysis!$D$116:$N$137, MATCH(B2207, Analysis!$C$116:$C$137, 0), MATCH(C2207, Analysis!$D$115:$N$115, 0)), "")</f>
        <v/>
      </c>
      <c r="J2207" t="str">
        <f t="shared" si="208"/>
        <v/>
      </c>
      <c r="K2207" s="28" t="str">
        <f t="shared" si="205"/>
        <v/>
      </c>
      <c r="L2207" s="46" t="str">
        <f t="shared" si="209"/>
        <v/>
      </c>
      <c r="M2207" t="str" cm="1">
        <f t="array" ref="M2207">IF(L2207="","",_xlfn.IFS(
  AND(L2207&gt;=TIME(9,0,0), L2207&lt;TIME(16,0,0)),"Morning",
  AND(L2207&gt;=TIME(16,0,0), L2207&lt;TIME(23,59,0)),"Evening",
  L2207&gt;=TIME(23,59,0),"Night",
  L2207&lt;TIME(9,0,0),"Night"
))</f>
        <v/>
      </c>
      <c r="O2207" t="str">
        <f t="shared" si="206"/>
        <v/>
      </c>
    </row>
    <row r="2208" spans="7:15" x14ac:dyDescent="0.25">
      <c r="G2208" t="str">
        <f t="shared" si="204"/>
        <v/>
      </c>
      <c r="H2208" s="13" t="str">
        <f t="shared" si="207"/>
        <v/>
      </c>
      <c r="I2208" t="str">
        <f>IFERROR(INDEX(Analysis!$D$116:$N$137, MATCH(B2208, Analysis!$C$116:$C$137, 0), MATCH(C2208, Analysis!$D$115:$N$115, 0)), "")</f>
        <v/>
      </c>
      <c r="J2208" t="str">
        <f t="shared" si="208"/>
        <v/>
      </c>
      <c r="K2208" s="28" t="str">
        <f t="shared" si="205"/>
        <v/>
      </c>
      <c r="L2208" s="46" t="str">
        <f t="shared" si="209"/>
        <v/>
      </c>
      <c r="M2208" t="str" cm="1">
        <f t="array" ref="M2208">IF(L2208="","",_xlfn.IFS(
  AND(L2208&gt;=TIME(9,0,0), L2208&lt;TIME(16,0,0)),"Morning",
  AND(L2208&gt;=TIME(16,0,0), L2208&lt;TIME(23,59,0)),"Evening",
  L2208&gt;=TIME(23,59,0),"Night",
  L2208&lt;TIME(9,0,0),"Night"
))</f>
        <v/>
      </c>
      <c r="O2208" t="str">
        <f t="shared" si="206"/>
        <v/>
      </c>
    </row>
    <row r="2209" spans="7:15" x14ac:dyDescent="0.25">
      <c r="G2209" t="str">
        <f t="shared" si="204"/>
        <v/>
      </c>
      <c r="H2209" s="13" t="str">
        <f t="shared" si="207"/>
        <v/>
      </c>
      <c r="I2209" t="str">
        <f>IFERROR(INDEX(Analysis!$D$116:$N$137, MATCH(B2209, Analysis!$C$116:$C$137, 0), MATCH(C2209, Analysis!$D$115:$N$115, 0)), "")</f>
        <v/>
      </c>
      <c r="J2209" t="str">
        <f t="shared" si="208"/>
        <v/>
      </c>
      <c r="K2209" s="28" t="str">
        <f t="shared" si="205"/>
        <v/>
      </c>
      <c r="L2209" s="46" t="str">
        <f t="shared" si="209"/>
        <v/>
      </c>
      <c r="M2209" t="str" cm="1">
        <f t="array" ref="M2209">IF(L2209="","",_xlfn.IFS(
  AND(L2209&gt;=TIME(9,0,0), L2209&lt;TIME(16,0,0)),"Morning",
  AND(L2209&gt;=TIME(16,0,0), L2209&lt;TIME(23,59,0)),"Evening",
  L2209&gt;=TIME(23,59,0),"Night",
  L2209&lt;TIME(9,0,0),"Night"
))</f>
        <v/>
      </c>
      <c r="O2209" t="str">
        <f t="shared" si="206"/>
        <v/>
      </c>
    </row>
    <row r="2210" spans="7:15" x14ac:dyDescent="0.25">
      <c r="G2210" t="str">
        <f t="shared" si="204"/>
        <v/>
      </c>
      <c r="H2210" s="13" t="str">
        <f t="shared" si="207"/>
        <v/>
      </c>
      <c r="I2210" t="str">
        <f>IFERROR(INDEX(Analysis!$D$116:$N$137, MATCH(B2210, Analysis!$C$116:$C$137, 0), MATCH(C2210, Analysis!$D$115:$N$115, 0)), "")</f>
        <v/>
      </c>
      <c r="J2210" t="str">
        <f t="shared" si="208"/>
        <v/>
      </c>
      <c r="K2210" s="28" t="str">
        <f t="shared" si="205"/>
        <v/>
      </c>
      <c r="L2210" s="46" t="str">
        <f t="shared" si="209"/>
        <v/>
      </c>
      <c r="M2210" t="str" cm="1">
        <f t="array" ref="M2210">IF(L2210="","",_xlfn.IFS(
  AND(L2210&gt;=TIME(9,0,0), L2210&lt;TIME(16,0,0)),"Morning",
  AND(L2210&gt;=TIME(16,0,0), L2210&lt;TIME(23,59,0)),"Evening",
  L2210&gt;=TIME(23,59,0),"Night",
  L2210&lt;TIME(9,0,0),"Night"
))</f>
        <v/>
      </c>
      <c r="O2210" t="str">
        <f t="shared" si="206"/>
        <v/>
      </c>
    </row>
    <row r="2211" spans="7:15" x14ac:dyDescent="0.25">
      <c r="G2211" t="str">
        <f t="shared" si="204"/>
        <v/>
      </c>
      <c r="H2211" s="13" t="str">
        <f t="shared" si="207"/>
        <v/>
      </c>
      <c r="I2211" t="str">
        <f>IFERROR(INDEX(Analysis!$D$116:$N$137, MATCH(B2211, Analysis!$C$116:$C$137, 0), MATCH(C2211, Analysis!$D$115:$N$115, 0)), "")</f>
        <v/>
      </c>
      <c r="J2211" t="str">
        <f t="shared" si="208"/>
        <v/>
      </c>
      <c r="K2211" s="28" t="str">
        <f t="shared" si="205"/>
        <v/>
      </c>
      <c r="L2211" s="46" t="str">
        <f t="shared" si="209"/>
        <v/>
      </c>
      <c r="M2211" t="str" cm="1">
        <f t="array" ref="M2211">IF(L2211="","",_xlfn.IFS(
  AND(L2211&gt;=TIME(9,0,0), L2211&lt;TIME(16,0,0)),"Morning",
  AND(L2211&gt;=TIME(16,0,0), L2211&lt;TIME(23,59,0)),"Evening",
  L2211&gt;=TIME(23,59,0),"Night",
  L2211&lt;TIME(9,0,0),"Night"
))</f>
        <v/>
      </c>
      <c r="O2211" t="str">
        <f t="shared" si="206"/>
        <v/>
      </c>
    </row>
    <row r="2212" spans="7:15" x14ac:dyDescent="0.25">
      <c r="G2212" t="str">
        <f t="shared" si="204"/>
        <v/>
      </c>
      <c r="H2212" s="13" t="str">
        <f t="shared" si="207"/>
        <v/>
      </c>
      <c r="I2212" t="str">
        <f>IFERROR(INDEX(Analysis!$D$116:$N$137, MATCH(B2212, Analysis!$C$116:$C$137, 0), MATCH(C2212, Analysis!$D$115:$N$115, 0)), "")</f>
        <v/>
      </c>
      <c r="J2212" t="str">
        <f t="shared" si="208"/>
        <v/>
      </c>
      <c r="K2212" s="28" t="str">
        <f t="shared" si="205"/>
        <v/>
      </c>
      <c r="L2212" s="46" t="str">
        <f t="shared" si="209"/>
        <v/>
      </c>
      <c r="M2212" t="str" cm="1">
        <f t="array" ref="M2212">IF(L2212="","",_xlfn.IFS(
  AND(L2212&gt;=TIME(9,0,0), L2212&lt;TIME(16,0,0)),"Morning",
  AND(L2212&gt;=TIME(16,0,0), L2212&lt;TIME(23,59,0)),"Evening",
  L2212&gt;=TIME(23,59,0),"Night",
  L2212&lt;TIME(9,0,0),"Night"
))</f>
        <v/>
      </c>
      <c r="O2212" t="str">
        <f t="shared" si="206"/>
        <v/>
      </c>
    </row>
    <row r="2213" spans="7:15" x14ac:dyDescent="0.25">
      <c r="G2213" t="str">
        <f t="shared" si="204"/>
        <v/>
      </c>
      <c r="H2213" s="13" t="str">
        <f t="shared" si="207"/>
        <v/>
      </c>
      <c r="I2213" t="str">
        <f>IFERROR(INDEX(Analysis!$D$116:$N$137, MATCH(B2213, Analysis!$C$116:$C$137, 0), MATCH(C2213, Analysis!$D$115:$N$115, 0)), "")</f>
        <v/>
      </c>
      <c r="J2213" t="str">
        <f t="shared" si="208"/>
        <v/>
      </c>
      <c r="K2213" s="28" t="str">
        <f t="shared" si="205"/>
        <v/>
      </c>
      <c r="L2213" s="46" t="str">
        <f t="shared" si="209"/>
        <v/>
      </c>
      <c r="M2213" t="str" cm="1">
        <f t="array" ref="M2213">IF(L2213="","",_xlfn.IFS(
  AND(L2213&gt;=TIME(9,0,0), L2213&lt;TIME(16,0,0)),"Morning",
  AND(L2213&gt;=TIME(16,0,0), L2213&lt;TIME(23,59,0)),"Evening",
  L2213&gt;=TIME(23,59,0),"Night",
  L2213&lt;TIME(9,0,0),"Night"
))</f>
        <v/>
      </c>
      <c r="O2213" t="str">
        <f t="shared" si="206"/>
        <v/>
      </c>
    </row>
    <row r="2214" spans="7:15" x14ac:dyDescent="0.25">
      <c r="G2214" t="str">
        <f t="shared" si="204"/>
        <v/>
      </c>
      <c r="H2214" s="13" t="str">
        <f t="shared" si="207"/>
        <v/>
      </c>
      <c r="I2214" t="str">
        <f>IFERROR(INDEX(Analysis!$D$116:$N$137, MATCH(B2214, Analysis!$C$116:$C$137, 0), MATCH(C2214, Analysis!$D$115:$N$115, 0)), "")</f>
        <v/>
      </c>
      <c r="J2214" t="str">
        <f t="shared" si="208"/>
        <v/>
      </c>
      <c r="K2214" s="28" t="str">
        <f t="shared" si="205"/>
        <v/>
      </c>
      <c r="L2214" s="46" t="str">
        <f t="shared" si="209"/>
        <v/>
      </c>
      <c r="M2214" t="str" cm="1">
        <f t="array" ref="M2214">IF(L2214="","",_xlfn.IFS(
  AND(L2214&gt;=TIME(9,0,0), L2214&lt;TIME(16,0,0)),"Morning",
  AND(L2214&gt;=TIME(16,0,0), L2214&lt;TIME(23,59,0)),"Evening",
  L2214&gt;=TIME(23,59,0),"Night",
  L2214&lt;TIME(9,0,0),"Night"
))</f>
        <v/>
      </c>
      <c r="O2214" t="str">
        <f t="shared" si="206"/>
        <v/>
      </c>
    </row>
    <row r="2215" spans="7:15" x14ac:dyDescent="0.25">
      <c r="G2215" t="str">
        <f t="shared" si="204"/>
        <v/>
      </c>
      <c r="H2215" s="13" t="str">
        <f t="shared" si="207"/>
        <v/>
      </c>
      <c r="I2215" t="str">
        <f>IFERROR(INDEX(Analysis!$D$116:$N$137, MATCH(B2215, Analysis!$C$116:$C$137, 0), MATCH(C2215, Analysis!$D$115:$N$115, 0)), "")</f>
        <v/>
      </c>
      <c r="J2215" t="str">
        <f t="shared" si="208"/>
        <v/>
      </c>
      <c r="K2215" s="28" t="str">
        <f t="shared" si="205"/>
        <v/>
      </c>
      <c r="L2215" s="46" t="str">
        <f t="shared" si="209"/>
        <v/>
      </c>
      <c r="M2215" t="str" cm="1">
        <f t="array" ref="M2215">IF(L2215="","",_xlfn.IFS(
  AND(L2215&gt;=TIME(9,0,0), L2215&lt;TIME(16,0,0)),"Morning",
  AND(L2215&gt;=TIME(16,0,0), L2215&lt;TIME(23,59,0)),"Evening",
  L2215&gt;=TIME(23,59,0),"Night",
  L2215&lt;TIME(9,0,0),"Night"
))</f>
        <v/>
      </c>
      <c r="O2215" t="str">
        <f t="shared" si="206"/>
        <v/>
      </c>
    </row>
    <row r="2216" spans="7:15" x14ac:dyDescent="0.25">
      <c r="G2216" t="str">
        <f t="shared" si="204"/>
        <v/>
      </c>
      <c r="H2216" s="13" t="str">
        <f t="shared" si="207"/>
        <v/>
      </c>
      <c r="I2216" t="str">
        <f>IFERROR(INDEX(Analysis!$D$116:$N$137, MATCH(B2216, Analysis!$C$116:$C$137, 0), MATCH(C2216, Analysis!$D$115:$N$115, 0)), "")</f>
        <v/>
      </c>
      <c r="J2216" t="str">
        <f t="shared" si="208"/>
        <v/>
      </c>
      <c r="K2216" s="28" t="str">
        <f t="shared" si="205"/>
        <v/>
      </c>
      <c r="L2216" s="46" t="str">
        <f t="shared" si="209"/>
        <v/>
      </c>
      <c r="M2216" t="str" cm="1">
        <f t="array" ref="M2216">IF(L2216="","",_xlfn.IFS(
  AND(L2216&gt;=TIME(9,0,0), L2216&lt;TIME(16,0,0)),"Morning",
  AND(L2216&gt;=TIME(16,0,0), L2216&lt;TIME(23,59,0)),"Evening",
  L2216&gt;=TIME(23,59,0),"Night",
  L2216&lt;TIME(9,0,0),"Night"
))</f>
        <v/>
      </c>
      <c r="O2216" t="str">
        <f t="shared" si="206"/>
        <v/>
      </c>
    </row>
    <row r="2217" spans="7:15" x14ac:dyDescent="0.25">
      <c r="G2217" t="str">
        <f t="shared" si="204"/>
        <v/>
      </c>
      <c r="H2217" s="13" t="str">
        <f t="shared" si="207"/>
        <v/>
      </c>
      <c r="I2217" t="str">
        <f>IFERROR(INDEX(Analysis!$D$116:$N$137, MATCH(B2217, Analysis!$C$116:$C$137, 0), MATCH(C2217, Analysis!$D$115:$N$115, 0)), "")</f>
        <v/>
      </c>
      <c r="J2217" t="str">
        <f t="shared" si="208"/>
        <v/>
      </c>
      <c r="K2217" s="28" t="str">
        <f t="shared" si="205"/>
        <v/>
      </c>
      <c r="L2217" s="46" t="str">
        <f t="shared" si="209"/>
        <v/>
      </c>
      <c r="M2217" t="str" cm="1">
        <f t="array" ref="M2217">IF(L2217="","",_xlfn.IFS(
  AND(L2217&gt;=TIME(9,0,0), L2217&lt;TIME(16,0,0)),"Morning",
  AND(L2217&gt;=TIME(16,0,0), L2217&lt;TIME(23,59,0)),"Evening",
  L2217&gt;=TIME(23,59,0),"Night",
  L2217&lt;TIME(9,0,0),"Night"
))</f>
        <v/>
      </c>
      <c r="O2217" t="str">
        <f t="shared" si="206"/>
        <v/>
      </c>
    </row>
    <row r="2218" spans="7:15" x14ac:dyDescent="0.25">
      <c r="G2218" t="str">
        <f t="shared" si="204"/>
        <v/>
      </c>
      <c r="H2218" s="13" t="str">
        <f t="shared" si="207"/>
        <v/>
      </c>
      <c r="I2218" t="str">
        <f>IFERROR(INDEX(Analysis!$D$116:$N$137, MATCH(B2218, Analysis!$C$116:$C$137, 0), MATCH(C2218, Analysis!$D$115:$N$115, 0)), "")</f>
        <v/>
      </c>
      <c r="J2218" t="str">
        <f t="shared" si="208"/>
        <v/>
      </c>
      <c r="K2218" s="28" t="str">
        <f t="shared" si="205"/>
        <v/>
      </c>
      <c r="L2218" s="46" t="str">
        <f t="shared" si="209"/>
        <v/>
      </c>
      <c r="M2218" t="str" cm="1">
        <f t="array" ref="M2218">IF(L2218="","",_xlfn.IFS(
  AND(L2218&gt;=TIME(9,0,0), L2218&lt;TIME(16,0,0)),"Morning",
  AND(L2218&gt;=TIME(16,0,0), L2218&lt;TIME(23,59,0)),"Evening",
  L2218&gt;=TIME(23,59,0),"Night",
  L2218&lt;TIME(9,0,0),"Night"
))</f>
        <v/>
      </c>
      <c r="O2218" t="str">
        <f t="shared" si="206"/>
        <v/>
      </c>
    </row>
    <row r="2219" spans="7:15" x14ac:dyDescent="0.25">
      <c r="G2219" t="str">
        <f t="shared" si="204"/>
        <v/>
      </c>
      <c r="H2219" s="13" t="str">
        <f t="shared" si="207"/>
        <v/>
      </c>
      <c r="I2219" t="str">
        <f>IFERROR(INDEX(Analysis!$D$116:$N$137, MATCH(B2219, Analysis!$C$116:$C$137, 0), MATCH(C2219, Analysis!$D$115:$N$115, 0)), "")</f>
        <v/>
      </c>
      <c r="J2219" t="str">
        <f t="shared" si="208"/>
        <v/>
      </c>
      <c r="K2219" s="28" t="str">
        <f t="shared" si="205"/>
        <v/>
      </c>
      <c r="L2219" s="46" t="str">
        <f t="shared" si="209"/>
        <v/>
      </c>
      <c r="M2219" t="str" cm="1">
        <f t="array" ref="M2219">IF(L2219="","",_xlfn.IFS(
  AND(L2219&gt;=TIME(9,0,0), L2219&lt;TIME(16,0,0)),"Morning",
  AND(L2219&gt;=TIME(16,0,0), L2219&lt;TIME(23,59,0)),"Evening",
  L2219&gt;=TIME(23,59,0),"Night",
  L2219&lt;TIME(9,0,0),"Night"
))</f>
        <v/>
      </c>
      <c r="O2219" t="str">
        <f t="shared" si="206"/>
        <v/>
      </c>
    </row>
    <row r="2220" spans="7:15" x14ac:dyDescent="0.25">
      <c r="G2220" t="str">
        <f t="shared" si="204"/>
        <v/>
      </c>
      <c r="H2220" s="13" t="str">
        <f t="shared" si="207"/>
        <v/>
      </c>
      <c r="I2220" t="str">
        <f>IFERROR(INDEX(Analysis!$D$116:$N$137, MATCH(B2220, Analysis!$C$116:$C$137, 0), MATCH(C2220, Analysis!$D$115:$N$115, 0)), "")</f>
        <v/>
      </c>
      <c r="J2220" t="str">
        <f t="shared" si="208"/>
        <v/>
      </c>
      <c r="K2220" s="28" t="str">
        <f t="shared" si="205"/>
        <v/>
      </c>
      <c r="L2220" s="46" t="str">
        <f t="shared" si="209"/>
        <v/>
      </c>
      <c r="M2220" t="str" cm="1">
        <f t="array" ref="M2220">IF(L2220="","",_xlfn.IFS(
  AND(L2220&gt;=TIME(9,0,0), L2220&lt;TIME(16,0,0)),"Morning",
  AND(L2220&gt;=TIME(16,0,0), L2220&lt;TIME(23,59,0)),"Evening",
  L2220&gt;=TIME(23,59,0),"Night",
  L2220&lt;TIME(9,0,0),"Night"
))</f>
        <v/>
      </c>
      <c r="O2220" t="str">
        <f t="shared" si="206"/>
        <v/>
      </c>
    </row>
    <row r="2221" spans="7:15" x14ac:dyDescent="0.25">
      <c r="G2221" t="str">
        <f t="shared" si="204"/>
        <v/>
      </c>
      <c r="H2221" s="13" t="str">
        <f t="shared" si="207"/>
        <v/>
      </c>
      <c r="I2221" t="str">
        <f>IFERROR(INDEX(Analysis!$D$116:$N$137, MATCH(B2221, Analysis!$C$116:$C$137, 0), MATCH(C2221, Analysis!$D$115:$N$115, 0)), "")</f>
        <v/>
      </c>
      <c r="J2221" t="str">
        <f t="shared" si="208"/>
        <v/>
      </c>
      <c r="K2221" s="28" t="str">
        <f t="shared" si="205"/>
        <v/>
      </c>
      <c r="L2221" s="46" t="str">
        <f t="shared" si="209"/>
        <v/>
      </c>
      <c r="M2221" t="str" cm="1">
        <f t="array" ref="M2221">IF(L2221="","",_xlfn.IFS(
  AND(L2221&gt;=TIME(9,0,0), L2221&lt;TIME(16,0,0)),"Morning",
  AND(L2221&gt;=TIME(16,0,0), L2221&lt;TIME(23,59,0)),"Evening",
  L2221&gt;=TIME(23,59,0),"Night",
  L2221&lt;TIME(9,0,0),"Night"
))</f>
        <v/>
      </c>
      <c r="O2221" t="str">
        <f t="shared" si="206"/>
        <v/>
      </c>
    </row>
    <row r="2222" spans="7:15" x14ac:dyDescent="0.25">
      <c r="G2222" t="str">
        <f t="shared" si="204"/>
        <v/>
      </c>
      <c r="H2222" s="13" t="str">
        <f t="shared" si="207"/>
        <v/>
      </c>
      <c r="I2222" t="str">
        <f>IFERROR(INDEX(Analysis!$D$116:$N$137, MATCH(B2222, Analysis!$C$116:$C$137, 0), MATCH(C2222, Analysis!$D$115:$N$115, 0)), "")</f>
        <v/>
      </c>
      <c r="J2222" t="str">
        <f t="shared" si="208"/>
        <v/>
      </c>
      <c r="K2222" s="28" t="str">
        <f t="shared" si="205"/>
        <v/>
      </c>
      <c r="L2222" s="46" t="str">
        <f t="shared" si="209"/>
        <v/>
      </c>
      <c r="M2222" t="str" cm="1">
        <f t="array" ref="M2222">IF(L2222="","",_xlfn.IFS(
  AND(L2222&gt;=TIME(9,0,0), L2222&lt;TIME(16,0,0)),"Morning",
  AND(L2222&gt;=TIME(16,0,0), L2222&lt;TIME(23,59,0)),"Evening",
  L2222&gt;=TIME(23,59,0),"Night",
  L2222&lt;TIME(9,0,0),"Night"
))</f>
        <v/>
      </c>
      <c r="O2222" t="str">
        <f t="shared" si="206"/>
        <v/>
      </c>
    </row>
    <row r="2223" spans="7:15" x14ac:dyDescent="0.25">
      <c r="G2223" t="str">
        <f t="shared" si="204"/>
        <v/>
      </c>
      <c r="H2223" s="13" t="str">
        <f t="shared" si="207"/>
        <v/>
      </c>
      <c r="I2223" t="str">
        <f>IFERROR(INDEX(Analysis!$D$116:$N$137, MATCH(B2223, Analysis!$C$116:$C$137, 0), MATCH(C2223, Analysis!$D$115:$N$115, 0)), "")</f>
        <v/>
      </c>
      <c r="J2223" t="str">
        <f t="shared" si="208"/>
        <v/>
      </c>
      <c r="K2223" s="28" t="str">
        <f t="shared" si="205"/>
        <v/>
      </c>
      <c r="L2223" s="46" t="str">
        <f t="shared" si="209"/>
        <v/>
      </c>
      <c r="M2223" t="str" cm="1">
        <f t="array" ref="M2223">IF(L2223="","",_xlfn.IFS(
  AND(L2223&gt;=TIME(9,0,0), L2223&lt;TIME(16,0,0)),"Morning",
  AND(L2223&gt;=TIME(16,0,0), L2223&lt;TIME(23,59,0)),"Evening",
  L2223&gt;=TIME(23,59,0),"Night",
  L2223&lt;TIME(9,0,0),"Night"
))</f>
        <v/>
      </c>
      <c r="O2223" t="str">
        <f t="shared" si="206"/>
        <v/>
      </c>
    </row>
    <row r="2224" spans="7:15" x14ac:dyDescent="0.25">
      <c r="G2224" t="str">
        <f t="shared" si="204"/>
        <v/>
      </c>
      <c r="H2224" s="13" t="str">
        <f t="shared" si="207"/>
        <v/>
      </c>
      <c r="I2224" t="str">
        <f>IFERROR(INDEX(Analysis!$D$116:$N$137, MATCH(B2224, Analysis!$C$116:$C$137, 0), MATCH(C2224, Analysis!$D$115:$N$115, 0)), "")</f>
        <v/>
      </c>
      <c r="J2224" t="str">
        <f t="shared" si="208"/>
        <v/>
      </c>
      <c r="K2224" s="28" t="str">
        <f t="shared" si="205"/>
        <v/>
      </c>
      <c r="L2224" s="46" t="str">
        <f t="shared" si="209"/>
        <v/>
      </c>
      <c r="M2224" t="str" cm="1">
        <f t="array" ref="M2224">IF(L2224="","",_xlfn.IFS(
  AND(L2224&gt;=TIME(9,0,0), L2224&lt;TIME(16,0,0)),"Morning",
  AND(L2224&gt;=TIME(16,0,0), L2224&lt;TIME(23,59,0)),"Evening",
  L2224&gt;=TIME(23,59,0),"Night",
  L2224&lt;TIME(9,0,0),"Night"
))</f>
        <v/>
      </c>
      <c r="O2224" t="str">
        <f t="shared" si="206"/>
        <v/>
      </c>
    </row>
    <row r="2225" spans="7:15" x14ac:dyDescent="0.25">
      <c r="G2225" t="str">
        <f t="shared" si="204"/>
        <v/>
      </c>
      <c r="H2225" s="13" t="str">
        <f t="shared" si="207"/>
        <v/>
      </c>
      <c r="I2225" t="str">
        <f>IFERROR(INDEX(Analysis!$D$116:$N$137, MATCH(B2225, Analysis!$C$116:$C$137, 0), MATCH(C2225, Analysis!$D$115:$N$115, 0)), "")</f>
        <v/>
      </c>
      <c r="J2225" t="str">
        <f t="shared" si="208"/>
        <v/>
      </c>
      <c r="K2225" s="28" t="str">
        <f t="shared" si="205"/>
        <v/>
      </c>
      <c r="L2225" s="46" t="str">
        <f t="shared" si="209"/>
        <v/>
      </c>
      <c r="M2225" t="str" cm="1">
        <f t="array" ref="M2225">IF(L2225="","",_xlfn.IFS(
  AND(L2225&gt;=TIME(9,0,0), L2225&lt;TIME(16,0,0)),"Morning",
  AND(L2225&gt;=TIME(16,0,0), L2225&lt;TIME(23,59,0)),"Evening",
  L2225&gt;=TIME(23,59,0),"Night",
  L2225&lt;TIME(9,0,0),"Night"
))</f>
        <v/>
      </c>
      <c r="O2225" t="str">
        <f t="shared" si="206"/>
        <v/>
      </c>
    </row>
    <row r="2226" spans="7:15" x14ac:dyDescent="0.25">
      <c r="G2226" t="str">
        <f t="shared" si="204"/>
        <v/>
      </c>
      <c r="H2226" s="13" t="str">
        <f t="shared" si="207"/>
        <v/>
      </c>
      <c r="I2226" t="str">
        <f>IFERROR(INDEX(Analysis!$D$116:$N$137, MATCH(B2226, Analysis!$C$116:$C$137, 0), MATCH(C2226, Analysis!$D$115:$N$115, 0)), "")</f>
        <v/>
      </c>
      <c r="J2226" t="str">
        <f t="shared" si="208"/>
        <v/>
      </c>
      <c r="K2226" s="28" t="str">
        <f t="shared" si="205"/>
        <v/>
      </c>
      <c r="L2226" s="46" t="str">
        <f t="shared" si="209"/>
        <v/>
      </c>
      <c r="M2226" t="str" cm="1">
        <f t="array" ref="M2226">IF(L2226="","",_xlfn.IFS(
  AND(L2226&gt;=TIME(9,0,0), L2226&lt;TIME(16,0,0)),"Morning",
  AND(L2226&gt;=TIME(16,0,0), L2226&lt;TIME(23,59,0)),"Evening",
  L2226&gt;=TIME(23,59,0),"Night",
  L2226&lt;TIME(9,0,0),"Night"
))</f>
        <v/>
      </c>
      <c r="O2226" t="str">
        <f t="shared" si="206"/>
        <v/>
      </c>
    </row>
    <row r="2227" spans="7:15" x14ac:dyDescent="0.25">
      <c r="G2227" t="str">
        <f t="shared" si="204"/>
        <v/>
      </c>
      <c r="H2227" s="13" t="str">
        <f t="shared" si="207"/>
        <v/>
      </c>
      <c r="I2227" t="str">
        <f>IFERROR(INDEX(Analysis!$D$116:$N$137, MATCH(B2227, Analysis!$C$116:$C$137, 0), MATCH(C2227, Analysis!$D$115:$N$115, 0)), "")</f>
        <v/>
      </c>
      <c r="J2227" t="str">
        <f t="shared" si="208"/>
        <v/>
      </c>
      <c r="K2227" s="28" t="str">
        <f t="shared" si="205"/>
        <v/>
      </c>
      <c r="L2227" s="46" t="str">
        <f t="shared" si="209"/>
        <v/>
      </c>
      <c r="M2227" t="str" cm="1">
        <f t="array" ref="M2227">IF(L2227="","",_xlfn.IFS(
  AND(L2227&gt;=TIME(9,0,0), L2227&lt;TIME(16,0,0)),"Morning",
  AND(L2227&gt;=TIME(16,0,0), L2227&lt;TIME(23,59,0)),"Evening",
  L2227&gt;=TIME(23,59,0),"Night",
  L2227&lt;TIME(9,0,0),"Night"
))</f>
        <v/>
      </c>
      <c r="O2227" t="str">
        <f t="shared" si="206"/>
        <v/>
      </c>
    </row>
    <row r="2228" spans="7:15" x14ac:dyDescent="0.25">
      <c r="G2228" t="str">
        <f t="shared" si="204"/>
        <v/>
      </c>
      <c r="H2228" s="13" t="str">
        <f t="shared" si="207"/>
        <v/>
      </c>
      <c r="I2228" t="str">
        <f>IFERROR(INDEX(Analysis!$D$116:$N$137, MATCH(B2228, Analysis!$C$116:$C$137, 0), MATCH(C2228, Analysis!$D$115:$N$115, 0)), "")</f>
        <v/>
      </c>
      <c r="J2228" t="str">
        <f t="shared" si="208"/>
        <v/>
      </c>
      <c r="K2228" s="28" t="str">
        <f t="shared" si="205"/>
        <v/>
      </c>
      <c r="L2228" s="46" t="str">
        <f t="shared" si="209"/>
        <v/>
      </c>
      <c r="M2228" t="str" cm="1">
        <f t="array" ref="M2228">IF(L2228="","",_xlfn.IFS(
  AND(L2228&gt;=TIME(9,0,0), L2228&lt;TIME(16,0,0)),"Morning",
  AND(L2228&gt;=TIME(16,0,0), L2228&lt;TIME(23,59,0)),"Evening",
  L2228&gt;=TIME(23,59,0),"Night",
  L2228&lt;TIME(9,0,0),"Night"
))</f>
        <v/>
      </c>
      <c r="O2228" t="str">
        <f t="shared" si="206"/>
        <v/>
      </c>
    </row>
    <row r="2229" spans="7:15" x14ac:dyDescent="0.25">
      <c r="G2229" t="str">
        <f t="shared" si="204"/>
        <v/>
      </c>
      <c r="H2229" s="13" t="str">
        <f t="shared" si="207"/>
        <v/>
      </c>
      <c r="I2229" t="str">
        <f>IFERROR(INDEX(Analysis!$D$116:$N$137, MATCH(B2229, Analysis!$C$116:$C$137, 0), MATCH(C2229, Analysis!$D$115:$N$115, 0)), "")</f>
        <v/>
      </c>
      <c r="J2229" t="str">
        <f t="shared" si="208"/>
        <v/>
      </c>
      <c r="K2229" s="28" t="str">
        <f t="shared" si="205"/>
        <v/>
      </c>
      <c r="L2229" s="46" t="str">
        <f t="shared" si="209"/>
        <v/>
      </c>
      <c r="M2229" t="str" cm="1">
        <f t="array" ref="M2229">IF(L2229="","",_xlfn.IFS(
  AND(L2229&gt;=TIME(9,0,0), L2229&lt;TIME(16,0,0)),"Morning",
  AND(L2229&gt;=TIME(16,0,0), L2229&lt;TIME(23,59,0)),"Evening",
  L2229&gt;=TIME(23,59,0),"Night",
  L2229&lt;TIME(9,0,0),"Night"
))</f>
        <v/>
      </c>
      <c r="O2229" t="str">
        <f t="shared" si="206"/>
        <v/>
      </c>
    </row>
    <row r="2230" spans="7:15" x14ac:dyDescent="0.25">
      <c r="G2230" t="str">
        <f t="shared" si="204"/>
        <v/>
      </c>
      <c r="H2230" s="13" t="str">
        <f t="shared" si="207"/>
        <v/>
      </c>
      <c r="I2230" t="str">
        <f>IFERROR(INDEX(Analysis!$D$116:$N$137, MATCH(B2230, Analysis!$C$116:$C$137, 0), MATCH(C2230, Analysis!$D$115:$N$115, 0)), "")</f>
        <v/>
      </c>
      <c r="J2230" t="str">
        <f t="shared" si="208"/>
        <v/>
      </c>
      <c r="K2230" s="28" t="str">
        <f t="shared" si="205"/>
        <v/>
      </c>
      <c r="L2230" s="46" t="str">
        <f t="shared" si="209"/>
        <v/>
      </c>
      <c r="M2230" t="str" cm="1">
        <f t="array" ref="M2230">IF(L2230="","",_xlfn.IFS(
  AND(L2230&gt;=TIME(9,0,0), L2230&lt;TIME(16,0,0)),"Morning",
  AND(L2230&gt;=TIME(16,0,0), L2230&lt;TIME(23,59,0)),"Evening",
  L2230&gt;=TIME(23,59,0),"Night",
  L2230&lt;TIME(9,0,0),"Night"
))</f>
        <v/>
      </c>
      <c r="O2230" t="str">
        <f t="shared" si="206"/>
        <v/>
      </c>
    </row>
    <row r="2231" spans="7:15" x14ac:dyDescent="0.25">
      <c r="G2231" t="str">
        <f t="shared" si="204"/>
        <v/>
      </c>
      <c r="H2231" s="13" t="str">
        <f t="shared" si="207"/>
        <v/>
      </c>
      <c r="I2231" t="str">
        <f>IFERROR(INDEX(Analysis!$D$116:$N$137, MATCH(B2231, Analysis!$C$116:$C$137, 0), MATCH(C2231, Analysis!$D$115:$N$115, 0)), "")</f>
        <v/>
      </c>
      <c r="J2231" t="str">
        <f t="shared" si="208"/>
        <v/>
      </c>
      <c r="K2231" s="28" t="str">
        <f t="shared" si="205"/>
        <v/>
      </c>
      <c r="L2231" s="46" t="str">
        <f t="shared" si="209"/>
        <v/>
      </c>
      <c r="M2231" t="str" cm="1">
        <f t="array" ref="M2231">IF(L2231="","",_xlfn.IFS(
  AND(L2231&gt;=TIME(9,0,0), L2231&lt;TIME(16,0,0)),"Morning",
  AND(L2231&gt;=TIME(16,0,0), L2231&lt;TIME(23,59,0)),"Evening",
  L2231&gt;=TIME(23,59,0),"Night",
  L2231&lt;TIME(9,0,0),"Night"
))</f>
        <v/>
      </c>
      <c r="O2231" t="str">
        <f t="shared" si="206"/>
        <v/>
      </c>
    </row>
    <row r="2232" spans="7:15" x14ac:dyDescent="0.25">
      <c r="G2232" t="str">
        <f t="shared" si="204"/>
        <v/>
      </c>
      <c r="H2232" s="13" t="str">
        <f t="shared" si="207"/>
        <v/>
      </c>
      <c r="I2232" t="str">
        <f>IFERROR(INDEX(Analysis!$D$116:$N$137, MATCH(B2232, Analysis!$C$116:$C$137, 0), MATCH(C2232, Analysis!$D$115:$N$115, 0)), "")</f>
        <v/>
      </c>
      <c r="J2232" t="str">
        <f t="shared" si="208"/>
        <v/>
      </c>
      <c r="K2232" s="28" t="str">
        <f t="shared" si="205"/>
        <v/>
      </c>
      <c r="L2232" s="46" t="str">
        <f t="shared" si="209"/>
        <v/>
      </c>
      <c r="M2232" t="str" cm="1">
        <f t="array" ref="M2232">IF(L2232="","",_xlfn.IFS(
  AND(L2232&gt;=TIME(9,0,0), L2232&lt;TIME(16,0,0)),"Morning",
  AND(L2232&gt;=TIME(16,0,0), L2232&lt;TIME(23,59,0)),"Evening",
  L2232&gt;=TIME(23,59,0),"Night",
  L2232&lt;TIME(9,0,0),"Night"
))</f>
        <v/>
      </c>
      <c r="O2232" t="str">
        <f t="shared" si="206"/>
        <v/>
      </c>
    </row>
    <row r="2233" spans="7:15" x14ac:dyDescent="0.25">
      <c r="G2233" t="str">
        <f t="shared" si="204"/>
        <v/>
      </c>
      <c r="H2233" s="13" t="str">
        <f t="shared" si="207"/>
        <v/>
      </c>
      <c r="I2233" t="str">
        <f>IFERROR(INDEX(Analysis!$D$116:$N$137, MATCH(B2233, Analysis!$C$116:$C$137, 0), MATCH(C2233, Analysis!$D$115:$N$115, 0)), "")</f>
        <v/>
      </c>
      <c r="J2233" t="str">
        <f t="shared" si="208"/>
        <v/>
      </c>
      <c r="K2233" s="28" t="str">
        <f t="shared" si="205"/>
        <v/>
      </c>
      <c r="L2233" s="46" t="str">
        <f t="shared" si="209"/>
        <v/>
      </c>
      <c r="M2233" t="str" cm="1">
        <f t="array" ref="M2233">IF(L2233="","",_xlfn.IFS(
  AND(L2233&gt;=TIME(9,0,0), L2233&lt;TIME(16,0,0)),"Morning",
  AND(L2233&gt;=TIME(16,0,0), L2233&lt;TIME(23,59,0)),"Evening",
  L2233&gt;=TIME(23,59,0),"Night",
  L2233&lt;TIME(9,0,0),"Night"
))</f>
        <v/>
      </c>
      <c r="O2233" t="str">
        <f t="shared" si="206"/>
        <v/>
      </c>
    </row>
    <row r="2234" spans="7:15" x14ac:dyDescent="0.25">
      <c r="G2234" t="str">
        <f t="shared" si="204"/>
        <v/>
      </c>
      <c r="H2234" s="13" t="str">
        <f t="shared" si="207"/>
        <v/>
      </c>
      <c r="I2234" t="str">
        <f>IFERROR(INDEX(Analysis!$D$116:$N$137, MATCH(B2234, Analysis!$C$116:$C$137, 0), MATCH(C2234, Analysis!$D$115:$N$115, 0)), "")</f>
        <v/>
      </c>
      <c r="J2234" t="str">
        <f t="shared" si="208"/>
        <v/>
      </c>
      <c r="K2234" s="28" t="str">
        <f t="shared" si="205"/>
        <v/>
      </c>
      <c r="L2234" s="46" t="str">
        <f t="shared" si="209"/>
        <v/>
      </c>
      <c r="M2234" t="str" cm="1">
        <f t="array" ref="M2234">IF(L2234="","",_xlfn.IFS(
  AND(L2234&gt;=TIME(9,0,0), L2234&lt;TIME(16,0,0)),"Morning",
  AND(L2234&gt;=TIME(16,0,0), L2234&lt;TIME(23,59,0)),"Evening",
  L2234&gt;=TIME(23,59,0),"Night",
  L2234&lt;TIME(9,0,0),"Night"
))</f>
        <v/>
      </c>
      <c r="O2234" t="str">
        <f t="shared" si="206"/>
        <v/>
      </c>
    </row>
    <row r="2235" spans="7:15" x14ac:dyDescent="0.25">
      <c r="G2235" t="str">
        <f t="shared" si="204"/>
        <v/>
      </c>
      <c r="H2235" s="13" t="str">
        <f t="shared" si="207"/>
        <v/>
      </c>
      <c r="I2235" t="str">
        <f>IFERROR(INDEX(Analysis!$D$116:$N$137, MATCH(B2235, Analysis!$C$116:$C$137, 0), MATCH(C2235, Analysis!$D$115:$N$115, 0)), "")</f>
        <v/>
      </c>
      <c r="J2235" t="str">
        <f t="shared" si="208"/>
        <v/>
      </c>
      <c r="K2235" s="28" t="str">
        <f t="shared" si="205"/>
        <v/>
      </c>
      <c r="L2235" s="46" t="str">
        <f t="shared" si="209"/>
        <v/>
      </c>
      <c r="M2235" t="str" cm="1">
        <f t="array" ref="M2235">IF(L2235="","",_xlfn.IFS(
  AND(L2235&gt;=TIME(9,0,0), L2235&lt;TIME(16,0,0)),"Morning",
  AND(L2235&gt;=TIME(16,0,0), L2235&lt;TIME(23,59,0)),"Evening",
  L2235&gt;=TIME(23,59,0),"Night",
  L2235&lt;TIME(9,0,0),"Night"
))</f>
        <v/>
      </c>
      <c r="O2235" t="str">
        <f t="shared" si="206"/>
        <v/>
      </c>
    </row>
    <row r="2236" spans="7:15" x14ac:dyDescent="0.25">
      <c r="G2236" t="str">
        <f t="shared" si="204"/>
        <v/>
      </c>
      <c r="H2236" s="13" t="str">
        <f t="shared" si="207"/>
        <v/>
      </c>
      <c r="I2236" t="str">
        <f>IFERROR(INDEX(Analysis!$D$116:$N$137, MATCH(B2236, Analysis!$C$116:$C$137, 0), MATCH(C2236, Analysis!$D$115:$N$115, 0)), "")</f>
        <v/>
      </c>
      <c r="J2236" t="str">
        <f t="shared" si="208"/>
        <v/>
      </c>
      <c r="K2236" s="28" t="str">
        <f t="shared" si="205"/>
        <v/>
      </c>
      <c r="L2236" s="46" t="str">
        <f t="shared" si="209"/>
        <v/>
      </c>
      <c r="M2236" t="str" cm="1">
        <f t="array" ref="M2236">IF(L2236="","",_xlfn.IFS(
  AND(L2236&gt;=TIME(9,0,0), L2236&lt;TIME(16,0,0)),"Morning",
  AND(L2236&gt;=TIME(16,0,0), L2236&lt;TIME(23,59,0)),"Evening",
  L2236&gt;=TIME(23,59,0),"Night",
  L2236&lt;TIME(9,0,0),"Night"
))</f>
        <v/>
      </c>
      <c r="O2236" t="str">
        <f t="shared" si="206"/>
        <v/>
      </c>
    </row>
    <row r="2237" spans="7:15" x14ac:dyDescent="0.25">
      <c r="G2237" t="str">
        <f t="shared" si="204"/>
        <v/>
      </c>
      <c r="H2237" s="13" t="str">
        <f t="shared" si="207"/>
        <v/>
      </c>
      <c r="I2237" t="str">
        <f>IFERROR(INDEX(Analysis!$D$116:$N$137, MATCH(B2237, Analysis!$C$116:$C$137, 0), MATCH(C2237, Analysis!$D$115:$N$115, 0)), "")</f>
        <v/>
      </c>
      <c r="J2237" t="str">
        <f t="shared" si="208"/>
        <v/>
      </c>
      <c r="K2237" s="28" t="str">
        <f t="shared" si="205"/>
        <v/>
      </c>
      <c r="L2237" s="46" t="str">
        <f t="shared" si="209"/>
        <v/>
      </c>
      <c r="M2237" t="str" cm="1">
        <f t="array" ref="M2237">IF(L2237="","",_xlfn.IFS(
  AND(L2237&gt;=TIME(9,0,0), L2237&lt;TIME(16,0,0)),"Morning",
  AND(L2237&gt;=TIME(16,0,0), L2237&lt;TIME(23,59,0)),"Evening",
  L2237&gt;=TIME(23,59,0),"Night",
  L2237&lt;TIME(9,0,0),"Night"
))</f>
        <v/>
      </c>
      <c r="O2237" t="str">
        <f t="shared" si="206"/>
        <v/>
      </c>
    </row>
    <row r="2238" spans="7:15" x14ac:dyDescent="0.25">
      <c r="G2238" t="str">
        <f t="shared" si="204"/>
        <v/>
      </c>
      <c r="H2238" s="13" t="str">
        <f t="shared" si="207"/>
        <v/>
      </c>
      <c r="I2238" t="str">
        <f>IFERROR(INDEX(Analysis!$D$116:$N$137, MATCH(B2238, Analysis!$C$116:$C$137, 0), MATCH(C2238, Analysis!$D$115:$N$115, 0)), "")</f>
        <v/>
      </c>
      <c r="J2238" t="str">
        <f t="shared" si="208"/>
        <v/>
      </c>
      <c r="K2238" s="28" t="str">
        <f t="shared" si="205"/>
        <v/>
      </c>
      <c r="L2238" s="46" t="str">
        <f t="shared" si="209"/>
        <v/>
      </c>
      <c r="M2238" t="str" cm="1">
        <f t="array" ref="M2238">IF(L2238="","",_xlfn.IFS(
  AND(L2238&gt;=TIME(9,0,0), L2238&lt;TIME(16,0,0)),"Morning",
  AND(L2238&gt;=TIME(16,0,0), L2238&lt;TIME(23,59,0)),"Evening",
  L2238&gt;=TIME(23,59,0),"Night",
  L2238&lt;TIME(9,0,0),"Night"
))</f>
        <v/>
      </c>
      <c r="O2238" t="str">
        <f t="shared" si="206"/>
        <v/>
      </c>
    </row>
    <row r="2239" spans="7:15" x14ac:dyDescent="0.25">
      <c r="G2239" t="str">
        <f t="shared" si="204"/>
        <v/>
      </c>
      <c r="H2239" s="13" t="str">
        <f t="shared" si="207"/>
        <v/>
      </c>
      <c r="I2239" t="str">
        <f>IFERROR(INDEX(Analysis!$D$116:$N$137, MATCH(B2239, Analysis!$C$116:$C$137, 0), MATCH(C2239, Analysis!$D$115:$N$115, 0)), "")</f>
        <v/>
      </c>
      <c r="J2239" t="str">
        <f t="shared" si="208"/>
        <v/>
      </c>
      <c r="K2239" s="28" t="str">
        <f t="shared" si="205"/>
        <v/>
      </c>
      <c r="L2239" s="46" t="str">
        <f t="shared" si="209"/>
        <v/>
      </c>
      <c r="M2239" t="str" cm="1">
        <f t="array" ref="M2239">IF(L2239="","",_xlfn.IFS(
  AND(L2239&gt;=TIME(9,0,0), L2239&lt;TIME(16,0,0)),"Morning",
  AND(L2239&gt;=TIME(16,0,0), L2239&lt;TIME(23,59,0)),"Evening",
  L2239&gt;=TIME(23,59,0),"Night",
  L2239&lt;TIME(9,0,0),"Night"
))</f>
        <v/>
      </c>
      <c r="O2239" t="str">
        <f t="shared" si="206"/>
        <v/>
      </c>
    </row>
    <row r="2240" spans="7:15" x14ac:dyDescent="0.25">
      <c r="G2240" t="str">
        <f t="shared" si="204"/>
        <v/>
      </c>
      <c r="H2240" s="13" t="str">
        <f t="shared" si="207"/>
        <v/>
      </c>
      <c r="I2240" t="str">
        <f>IFERROR(INDEX(Analysis!$D$116:$N$137, MATCH(B2240, Analysis!$C$116:$C$137, 0), MATCH(C2240, Analysis!$D$115:$N$115, 0)), "")</f>
        <v/>
      </c>
      <c r="J2240" t="str">
        <f t="shared" si="208"/>
        <v/>
      </c>
      <c r="K2240" s="28" t="str">
        <f t="shared" si="205"/>
        <v/>
      </c>
      <c r="L2240" s="46" t="str">
        <f t="shared" si="209"/>
        <v/>
      </c>
      <c r="M2240" t="str" cm="1">
        <f t="array" ref="M2240">IF(L2240="","",_xlfn.IFS(
  AND(L2240&gt;=TIME(9,0,0), L2240&lt;TIME(16,0,0)),"Morning",
  AND(L2240&gt;=TIME(16,0,0), L2240&lt;TIME(23,59,0)),"Evening",
  L2240&gt;=TIME(23,59,0),"Night",
  L2240&lt;TIME(9,0,0),"Night"
))</f>
        <v/>
      </c>
      <c r="O2240" t="str">
        <f t="shared" si="206"/>
        <v/>
      </c>
    </row>
    <row r="2241" spans="7:15" x14ac:dyDescent="0.25">
      <c r="G2241" t="str">
        <f t="shared" si="204"/>
        <v/>
      </c>
      <c r="H2241" s="13" t="str">
        <f t="shared" si="207"/>
        <v/>
      </c>
      <c r="I2241" t="str">
        <f>IFERROR(INDEX(Analysis!$D$116:$N$137, MATCH(B2241, Analysis!$C$116:$C$137, 0), MATCH(C2241, Analysis!$D$115:$N$115, 0)), "")</f>
        <v/>
      </c>
      <c r="J2241" t="str">
        <f t="shared" si="208"/>
        <v/>
      </c>
      <c r="K2241" s="28" t="str">
        <f t="shared" si="205"/>
        <v/>
      </c>
      <c r="L2241" s="46" t="str">
        <f t="shared" si="209"/>
        <v/>
      </c>
      <c r="M2241" t="str" cm="1">
        <f t="array" ref="M2241">IF(L2241="","",_xlfn.IFS(
  AND(L2241&gt;=TIME(9,0,0), L2241&lt;TIME(16,0,0)),"Morning",
  AND(L2241&gt;=TIME(16,0,0), L2241&lt;TIME(23,59,0)),"Evening",
  L2241&gt;=TIME(23,59,0),"Night",
  L2241&lt;TIME(9,0,0),"Night"
))</f>
        <v/>
      </c>
      <c r="O2241" t="str">
        <f t="shared" si="206"/>
        <v/>
      </c>
    </row>
    <row r="2242" spans="7:15" x14ac:dyDescent="0.25">
      <c r="G2242" t="str">
        <f t="shared" ref="G2242:G2305" si="210">IF(ISBLANK(A2242), "", IF(ISBLANK(F2242), 0, F2242))</f>
        <v/>
      </c>
      <c r="H2242" s="13" t="str">
        <f t="shared" si="207"/>
        <v/>
      </c>
      <c r="I2242" t="str">
        <f>IFERROR(INDEX(Analysis!$D$116:$N$137, MATCH(B2242, Analysis!$C$116:$C$137, 0), MATCH(C2242, Analysis!$D$115:$N$115, 0)), "")</f>
        <v/>
      </c>
      <c r="J2242" t="str">
        <f t="shared" si="208"/>
        <v/>
      </c>
      <c r="K2242" s="28" t="str">
        <f t="shared" ref="K2242:K2305" si="211">IF(ISBLANK(A2242),"",DATE(YEAR(A2242),MONTH(A2242),DAY(A2242)))</f>
        <v/>
      </c>
      <c r="L2242" s="46" t="str">
        <f t="shared" si="209"/>
        <v/>
      </c>
      <c r="M2242" t="str" cm="1">
        <f t="array" ref="M2242">IF(L2242="","",_xlfn.IFS(
  AND(L2242&gt;=TIME(9,0,0), L2242&lt;TIME(16,0,0)),"Morning",
  AND(L2242&gt;=TIME(16,0,0), L2242&lt;TIME(23,59,0)),"Evening",
  L2242&gt;=TIME(23,59,0),"Night",
  L2242&lt;TIME(9,0,0),"Night"
))</f>
        <v/>
      </c>
      <c r="O2242" t="str">
        <f t="shared" ref="O2242:O2305" si="212">IF(N2242="ON", _xlfn.IMAGE(E2242, 1), "")</f>
        <v/>
      </c>
    </row>
    <row r="2243" spans="7:15" x14ac:dyDescent="0.25">
      <c r="G2243" t="str">
        <f t="shared" si="210"/>
        <v/>
      </c>
      <c r="H2243" s="13" t="str">
        <f t="shared" ref="H2243:H2306" si="213">IF(ISBLANK(E2243),"",HYPERLINK(E2243,"Click here"))</f>
        <v/>
      </c>
      <c r="I2243" t="str">
        <f>IFERROR(INDEX(Analysis!$D$116:$N$137, MATCH(B2243, Analysis!$C$116:$C$137, 0), MATCH(C2243, Analysis!$D$115:$N$115, 0)), "")</f>
        <v/>
      </c>
      <c r="J2243" t="str">
        <f t="shared" ref="J2243:J2306" si="214">IF(ISBLANK(A2243),"",WEEKNUM(A2243))</f>
        <v/>
      </c>
      <c r="K2243" s="28" t="str">
        <f t="shared" si="211"/>
        <v/>
      </c>
      <c r="L2243" s="46" t="str">
        <f t="shared" ref="L2243:L2306" si="215">IF(A2243="", "", A2243 - INT(A2243))</f>
        <v/>
      </c>
      <c r="M2243" t="str" cm="1">
        <f t="array" ref="M2243">IF(L2243="","",_xlfn.IFS(
  AND(L2243&gt;=TIME(9,0,0), L2243&lt;TIME(16,0,0)),"Morning",
  AND(L2243&gt;=TIME(16,0,0), L2243&lt;TIME(23,59,0)),"Evening",
  L2243&gt;=TIME(23,59,0),"Night",
  L2243&lt;TIME(9,0,0),"Night"
))</f>
        <v/>
      </c>
      <c r="O2243" t="str">
        <f t="shared" si="212"/>
        <v/>
      </c>
    </row>
    <row r="2244" spans="7:15" x14ac:dyDescent="0.25">
      <c r="G2244" t="str">
        <f t="shared" si="210"/>
        <v/>
      </c>
      <c r="H2244" s="13" t="str">
        <f t="shared" si="213"/>
        <v/>
      </c>
      <c r="I2244" t="str">
        <f>IFERROR(INDEX(Analysis!$D$116:$N$137, MATCH(B2244, Analysis!$C$116:$C$137, 0), MATCH(C2244, Analysis!$D$115:$N$115, 0)), "")</f>
        <v/>
      </c>
      <c r="J2244" t="str">
        <f t="shared" si="214"/>
        <v/>
      </c>
      <c r="K2244" s="28" t="str">
        <f t="shared" si="211"/>
        <v/>
      </c>
      <c r="L2244" s="46" t="str">
        <f t="shared" si="215"/>
        <v/>
      </c>
      <c r="M2244" t="str" cm="1">
        <f t="array" ref="M2244">IF(L2244="","",_xlfn.IFS(
  AND(L2244&gt;=TIME(9,0,0), L2244&lt;TIME(16,0,0)),"Morning",
  AND(L2244&gt;=TIME(16,0,0), L2244&lt;TIME(23,59,0)),"Evening",
  L2244&gt;=TIME(23,59,0),"Night",
  L2244&lt;TIME(9,0,0),"Night"
))</f>
        <v/>
      </c>
      <c r="O2244" t="str">
        <f t="shared" si="212"/>
        <v/>
      </c>
    </row>
    <row r="2245" spans="7:15" x14ac:dyDescent="0.25">
      <c r="G2245" t="str">
        <f t="shared" si="210"/>
        <v/>
      </c>
      <c r="H2245" s="13" t="str">
        <f t="shared" si="213"/>
        <v/>
      </c>
      <c r="I2245" t="str">
        <f>IFERROR(INDEX(Analysis!$D$116:$N$137, MATCH(B2245, Analysis!$C$116:$C$137, 0), MATCH(C2245, Analysis!$D$115:$N$115, 0)), "")</f>
        <v/>
      </c>
      <c r="J2245" t="str">
        <f t="shared" si="214"/>
        <v/>
      </c>
      <c r="K2245" s="28" t="str">
        <f t="shared" si="211"/>
        <v/>
      </c>
      <c r="L2245" s="46" t="str">
        <f t="shared" si="215"/>
        <v/>
      </c>
      <c r="M2245" t="str" cm="1">
        <f t="array" ref="M2245">IF(L2245="","",_xlfn.IFS(
  AND(L2245&gt;=TIME(9,0,0), L2245&lt;TIME(16,0,0)),"Morning",
  AND(L2245&gt;=TIME(16,0,0), L2245&lt;TIME(23,59,0)),"Evening",
  L2245&gt;=TIME(23,59,0),"Night",
  L2245&lt;TIME(9,0,0),"Night"
))</f>
        <v/>
      </c>
      <c r="O2245" t="str">
        <f t="shared" si="212"/>
        <v/>
      </c>
    </row>
    <row r="2246" spans="7:15" x14ac:dyDescent="0.25">
      <c r="G2246" t="str">
        <f t="shared" si="210"/>
        <v/>
      </c>
      <c r="H2246" s="13" t="str">
        <f t="shared" si="213"/>
        <v/>
      </c>
      <c r="I2246" t="str">
        <f>IFERROR(INDEX(Analysis!$D$116:$N$137, MATCH(B2246, Analysis!$C$116:$C$137, 0), MATCH(C2246, Analysis!$D$115:$N$115, 0)), "")</f>
        <v/>
      </c>
      <c r="J2246" t="str">
        <f t="shared" si="214"/>
        <v/>
      </c>
      <c r="K2246" s="28" t="str">
        <f t="shared" si="211"/>
        <v/>
      </c>
      <c r="L2246" s="46" t="str">
        <f t="shared" si="215"/>
        <v/>
      </c>
      <c r="M2246" t="str" cm="1">
        <f t="array" ref="M2246">IF(L2246="","",_xlfn.IFS(
  AND(L2246&gt;=TIME(9,0,0), L2246&lt;TIME(16,0,0)),"Morning",
  AND(L2246&gt;=TIME(16,0,0), L2246&lt;TIME(23,59,0)),"Evening",
  L2246&gt;=TIME(23,59,0),"Night",
  L2246&lt;TIME(9,0,0),"Night"
))</f>
        <v/>
      </c>
      <c r="O2246" t="str">
        <f t="shared" si="212"/>
        <v/>
      </c>
    </row>
    <row r="2247" spans="7:15" x14ac:dyDescent="0.25">
      <c r="G2247" t="str">
        <f t="shared" si="210"/>
        <v/>
      </c>
      <c r="H2247" s="13" t="str">
        <f t="shared" si="213"/>
        <v/>
      </c>
      <c r="I2247" t="str">
        <f>IFERROR(INDEX(Analysis!$D$116:$N$137, MATCH(B2247, Analysis!$C$116:$C$137, 0), MATCH(C2247, Analysis!$D$115:$N$115, 0)), "")</f>
        <v/>
      </c>
      <c r="J2247" t="str">
        <f t="shared" si="214"/>
        <v/>
      </c>
      <c r="K2247" s="28" t="str">
        <f t="shared" si="211"/>
        <v/>
      </c>
      <c r="L2247" s="46" t="str">
        <f t="shared" si="215"/>
        <v/>
      </c>
      <c r="M2247" t="str" cm="1">
        <f t="array" ref="M2247">IF(L2247="","",_xlfn.IFS(
  AND(L2247&gt;=TIME(9,0,0), L2247&lt;TIME(16,0,0)),"Morning",
  AND(L2247&gt;=TIME(16,0,0), L2247&lt;TIME(23,59,0)),"Evening",
  L2247&gt;=TIME(23,59,0),"Night",
  L2247&lt;TIME(9,0,0),"Night"
))</f>
        <v/>
      </c>
      <c r="O2247" t="str">
        <f t="shared" si="212"/>
        <v/>
      </c>
    </row>
    <row r="2248" spans="7:15" x14ac:dyDescent="0.25">
      <c r="G2248" t="str">
        <f t="shared" si="210"/>
        <v/>
      </c>
      <c r="H2248" s="13" t="str">
        <f t="shared" si="213"/>
        <v/>
      </c>
      <c r="I2248" t="str">
        <f>IFERROR(INDEX(Analysis!$D$116:$N$137, MATCH(B2248, Analysis!$C$116:$C$137, 0), MATCH(C2248, Analysis!$D$115:$N$115, 0)), "")</f>
        <v/>
      </c>
      <c r="J2248" t="str">
        <f t="shared" si="214"/>
        <v/>
      </c>
      <c r="K2248" s="28" t="str">
        <f t="shared" si="211"/>
        <v/>
      </c>
      <c r="L2248" s="46" t="str">
        <f t="shared" si="215"/>
        <v/>
      </c>
      <c r="M2248" t="str" cm="1">
        <f t="array" ref="M2248">IF(L2248="","",_xlfn.IFS(
  AND(L2248&gt;=TIME(9,0,0), L2248&lt;TIME(16,0,0)),"Morning",
  AND(L2248&gt;=TIME(16,0,0), L2248&lt;TIME(23,59,0)),"Evening",
  L2248&gt;=TIME(23,59,0),"Night",
  L2248&lt;TIME(9,0,0),"Night"
))</f>
        <v/>
      </c>
      <c r="O2248" t="str">
        <f t="shared" si="212"/>
        <v/>
      </c>
    </row>
    <row r="2249" spans="7:15" x14ac:dyDescent="0.25">
      <c r="G2249" t="str">
        <f t="shared" si="210"/>
        <v/>
      </c>
      <c r="H2249" s="13" t="str">
        <f t="shared" si="213"/>
        <v/>
      </c>
      <c r="I2249" t="str">
        <f>IFERROR(INDEX(Analysis!$D$116:$N$137, MATCH(B2249, Analysis!$C$116:$C$137, 0), MATCH(C2249, Analysis!$D$115:$N$115, 0)), "")</f>
        <v/>
      </c>
      <c r="J2249" t="str">
        <f t="shared" si="214"/>
        <v/>
      </c>
      <c r="K2249" s="28" t="str">
        <f t="shared" si="211"/>
        <v/>
      </c>
      <c r="L2249" s="46" t="str">
        <f t="shared" si="215"/>
        <v/>
      </c>
      <c r="M2249" t="str" cm="1">
        <f t="array" ref="M2249">IF(L2249="","",_xlfn.IFS(
  AND(L2249&gt;=TIME(9,0,0), L2249&lt;TIME(16,0,0)),"Morning",
  AND(L2249&gt;=TIME(16,0,0), L2249&lt;TIME(23,59,0)),"Evening",
  L2249&gt;=TIME(23,59,0),"Night",
  L2249&lt;TIME(9,0,0),"Night"
))</f>
        <v/>
      </c>
      <c r="O2249" t="str">
        <f t="shared" si="212"/>
        <v/>
      </c>
    </row>
    <row r="2250" spans="7:15" x14ac:dyDescent="0.25">
      <c r="G2250" t="str">
        <f t="shared" si="210"/>
        <v/>
      </c>
      <c r="H2250" s="13" t="str">
        <f t="shared" si="213"/>
        <v/>
      </c>
      <c r="I2250" t="str">
        <f>IFERROR(INDEX(Analysis!$D$116:$N$137, MATCH(B2250, Analysis!$C$116:$C$137, 0), MATCH(C2250, Analysis!$D$115:$N$115, 0)), "")</f>
        <v/>
      </c>
      <c r="J2250" t="str">
        <f t="shared" si="214"/>
        <v/>
      </c>
      <c r="K2250" s="28" t="str">
        <f t="shared" si="211"/>
        <v/>
      </c>
      <c r="L2250" s="46" t="str">
        <f t="shared" si="215"/>
        <v/>
      </c>
      <c r="M2250" t="str" cm="1">
        <f t="array" ref="M2250">IF(L2250="","",_xlfn.IFS(
  AND(L2250&gt;=TIME(9,0,0), L2250&lt;TIME(16,0,0)),"Morning",
  AND(L2250&gt;=TIME(16,0,0), L2250&lt;TIME(23,59,0)),"Evening",
  L2250&gt;=TIME(23,59,0),"Night",
  L2250&lt;TIME(9,0,0),"Night"
))</f>
        <v/>
      </c>
      <c r="O2250" t="str">
        <f t="shared" si="212"/>
        <v/>
      </c>
    </row>
    <row r="2251" spans="7:15" x14ac:dyDescent="0.25">
      <c r="G2251" t="str">
        <f t="shared" si="210"/>
        <v/>
      </c>
      <c r="H2251" s="13" t="str">
        <f t="shared" si="213"/>
        <v/>
      </c>
      <c r="I2251" t="str">
        <f>IFERROR(INDEX(Analysis!$D$116:$N$137, MATCH(B2251, Analysis!$C$116:$C$137, 0), MATCH(C2251, Analysis!$D$115:$N$115, 0)), "")</f>
        <v/>
      </c>
      <c r="J2251" t="str">
        <f t="shared" si="214"/>
        <v/>
      </c>
      <c r="K2251" s="28" t="str">
        <f t="shared" si="211"/>
        <v/>
      </c>
      <c r="L2251" s="46" t="str">
        <f t="shared" si="215"/>
        <v/>
      </c>
      <c r="M2251" t="str" cm="1">
        <f t="array" ref="M2251">IF(L2251="","",_xlfn.IFS(
  AND(L2251&gt;=TIME(9,0,0), L2251&lt;TIME(16,0,0)),"Morning",
  AND(L2251&gt;=TIME(16,0,0), L2251&lt;TIME(23,59,0)),"Evening",
  L2251&gt;=TIME(23,59,0),"Night",
  L2251&lt;TIME(9,0,0),"Night"
))</f>
        <v/>
      </c>
      <c r="O2251" t="str">
        <f t="shared" si="212"/>
        <v/>
      </c>
    </row>
    <row r="2252" spans="7:15" x14ac:dyDescent="0.25">
      <c r="G2252" t="str">
        <f t="shared" si="210"/>
        <v/>
      </c>
      <c r="H2252" s="13" t="str">
        <f t="shared" si="213"/>
        <v/>
      </c>
      <c r="I2252" t="str">
        <f>IFERROR(INDEX(Analysis!$D$116:$N$137, MATCH(B2252, Analysis!$C$116:$C$137, 0), MATCH(C2252, Analysis!$D$115:$N$115, 0)), "")</f>
        <v/>
      </c>
      <c r="J2252" t="str">
        <f t="shared" si="214"/>
        <v/>
      </c>
      <c r="K2252" s="28" t="str">
        <f t="shared" si="211"/>
        <v/>
      </c>
      <c r="L2252" s="46" t="str">
        <f t="shared" si="215"/>
        <v/>
      </c>
      <c r="M2252" t="str" cm="1">
        <f t="array" ref="M2252">IF(L2252="","",_xlfn.IFS(
  AND(L2252&gt;=TIME(9,0,0), L2252&lt;TIME(16,0,0)),"Morning",
  AND(L2252&gt;=TIME(16,0,0), L2252&lt;TIME(23,59,0)),"Evening",
  L2252&gt;=TIME(23,59,0),"Night",
  L2252&lt;TIME(9,0,0),"Night"
))</f>
        <v/>
      </c>
      <c r="O2252" t="str">
        <f t="shared" si="212"/>
        <v/>
      </c>
    </row>
    <row r="2253" spans="7:15" x14ac:dyDescent="0.25">
      <c r="G2253" t="str">
        <f t="shared" si="210"/>
        <v/>
      </c>
      <c r="H2253" s="13" t="str">
        <f t="shared" si="213"/>
        <v/>
      </c>
      <c r="I2253" t="str">
        <f>IFERROR(INDEX(Analysis!$D$116:$N$137, MATCH(B2253, Analysis!$C$116:$C$137, 0), MATCH(C2253, Analysis!$D$115:$N$115, 0)), "")</f>
        <v/>
      </c>
      <c r="J2253" t="str">
        <f t="shared" si="214"/>
        <v/>
      </c>
      <c r="K2253" s="28" t="str">
        <f t="shared" si="211"/>
        <v/>
      </c>
      <c r="L2253" s="46" t="str">
        <f t="shared" si="215"/>
        <v/>
      </c>
      <c r="M2253" t="str" cm="1">
        <f t="array" ref="M2253">IF(L2253="","",_xlfn.IFS(
  AND(L2253&gt;=TIME(9,0,0), L2253&lt;TIME(16,0,0)),"Morning",
  AND(L2253&gt;=TIME(16,0,0), L2253&lt;TIME(23,59,0)),"Evening",
  L2253&gt;=TIME(23,59,0),"Night",
  L2253&lt;TIME(9,0,0),"Night"
))</f>
        <v/>
      </c>
      <c r="O2253" t="str">
        <f t="shared" si="212"/>
        <v/>
      </c>
    </row>
    <row r="2254" spans="7:15" x14ac:dyDescent="0.25">
      <c r="G2254" t="str">
        <f t="shared" si="210"/>
        <v/>
      </c>
      <c r="H2254" s="13" t="str">
        <f t="shared" si="213"/>
        <v/>
      </c>
      <c r="I2254" t="str">
        <f>IFERROR(INDEX(Analysis!$D$116:$N$137, MATCH(B2254, Analysis!$C$116:$C$137, 0), MATCH(C2254, Analysis!$D$115:$N$115, 0)), "")</f>
        <v/>
      </c>
      <c r="J2254" t="str">
        <f t="shared" si="214"/>
        <v/>
      </c>
      <c r="K2254" s="28" t="str">
        <f t="shared" si="211"/>
        <v/>
      </c>
      <c r="L2254" s="46" t="str">
        <f t="shared" si="215"/>
        <v/>
      </c>
      <c r="M2254" t="str" cm="1">
        <f t="array" ref="M2254">IF(L2254="","",_xlfn.IFS(
  AND(L2254&gt;=TIME(9,0,0), L2254&lt;TIME(16,0,0)),"Morning",
  AND(L2254&gt;=TIME(16,0,0), L2254&lt;TIME(23,59,0)),"Evening",
  L2254&gt;=TIME(23,59,0),"Night",
  L2254&lt;TIME(9,0,0),"Night"
))</f>
        <v/>
      </c>
      <c r="O2254" t="str">
        <f t="shared" si="212"/>
        <v/>
      </c>
    </row>
    <row r="2255" spans="7:15" x14ac:dyDescent="0.25">
      <c r="G2255" t="str">
        <f t="shared" si="210"/>
        <v/>
      </c>
      <c r="H2255" s="13" t="str">
        <f t="shared" si="213"/>
        <v/>
      </c>
      <c r="I2255" t="str">
        <f>IFERROR(INDEX(Analysis!$D$116:$N$137, MATCH(B2255, Analysis!$C$116:$C$137, 0), MATCH(C2255, Analysis!$D$115:$N$115, 0)), "")</f>
        <v/>
      </c>
      <c r="J2255" t="str">
        <f t="shared" si="214"/>
        <v/>
      </c>
      <c r="K2255" s="28" t="str">
        <f t="shared" si="211"/>
        <v/>
      </c>
      <c r="L2255" s="46" t="str">
        <f t="shared" si="215"/>
        <v/>
      </c>
      <c r="M2255" t="str" cm="1">
        <f t="array" ref="M2255">IF(L2255="","",_xlfn.IFS(
  AND(L2255&gt;=TIME(9,0,0), L2255&lt;TIME(16,0,0)),"Morning",
  AND(L2255&gt;=TIME(16,0,0), L2255&lt;TIME(23,59,0)),"Evening",
  L2255&gt;=TIME(23,59,0),"Night",
  L2255&lt;TIME(9,0,0),"Night"
))</f>
        <v/>
      </c>
      <c r="O2255" t="str">
        <f t="shared" si="212"/>
        <v/>
      </c>
    </row>
    <row r="2256" spans="7:15" x14ac:dyDescent="0.25">
      <c r="G2256" t="str">
        <f t="shared" si="210"/>
        <v/>
      </c>
      <c r="H2256" s="13" t="str">
        <f t="shared" si="213"/>
        <v/>
      </c>
      <c r="I2256" t="str">
        <f>IFERROR(INDEX(Analysis!$D$116:$N$137, MATCH(B2256, Analysis!$C$116:$C$137, 0), MATCH(C2256, Analysis!$D$115:$N$115, 0)), "")</f>
        <v/>
      </c>
      <c r="J2256" t="str">
        <f t="shared" si="214"/>
        <v/>
      </c>
      <c r="K2256" s="28" t="str">
        <f t="shared" si="211"/>
        <v/>
      </c>
      <c r="L2256" s="46" t="str">
        <f t="shared" si="215"/>
        <v/>
      </c>
      <c r="M2256" t="str" cm="1">
        <f t="array" ref="M2256">IF(L2256="","",_xlfn.IFS(
  AND(L2256&gt;=TIME(9,0,0), L2256&lt;TIME(16,0,0)),"Morning",
  AND(L2256&gt;=TIME(16,0,0), L2256&lt;TIME(23,59,0)),"Evening",
  L2256&gt;=TIME(23,59,0),"Night",
  L2256&lt;TIME(9,0,0),"Night"
))</f>
        <v/>
      </c>
      <c r="O2256" t="str">
        <f t="shared" si="212"/>
        <v/>
      </c>
    </row>
    <row r="2257" spans="7:15" x14ac:dyDescent="0.25">
      <c r="G2257" t="str">
        <f t="shared" si="210"/>
        <v/>
      </c>
      <c r="H2257" s="13" t="str">
        <f t="shared" si="213"/>
        <v/>
      </c>
      <c r="I2257" t="str">
        <f>IFERROR(INDEX(Analysis!$D$116:$N$137, MATCH(B2257, Analysis!$C$116:$C$137, 0), MATCH(C2257, Analysis!$D$115:$N$115, 0)), "")</f>
        <v/>
      </c>
      <c r="J2257" t="str">
        <f t="shared" si="214"/>
        <v/>
      </c>
      <c r="K2257" s="28" t="str">
        <f t="shared" si="211"/>
        <v/>
      </c>
      <c r="L2257" s="46" t="str">
        <f t="shared" si="215"/>
        <v/>
      </c>
      <c r="M2257" t="str" cm="1">
        <f t="array" ref="M2257">IF(L2257="","",_xlfn.IFS(
  AND(L2257&gt;=TIME(9,0,0), L2257&lt;TIME(16,0,0)),"Morning",
  AND(L2257&gt;=TIME(16,0,0), L2257&lt;TIME(23,59,0)),"Evening",
  L2257&gt;=TIME(23,59,0),"Night",
  L2257&lt;TIME(9,0,0),"Night"
))</f>
        <v/>
      </c>
      <c r="O2257" t="str">
        <f t="shared" si="212"/>
        <v/>
      </c>
    </row>
    <row r="2258" spans="7:15" x14ac:dyDescent="0.25">
      <c r="G2258" t="str">
        <f t="shared" si="210"/>
        <v/>
      </c>
      <c r="H2258" s="13" t="str">
        <f t="shared" si="213"/>
        <v/>
      </c>
      <c r="I2258" t="str">
        <f>IFERROR(INDEX(Analysis!$D$116:$N$137, MATCH(B2258, Analysis!$C$116:$C$137, 0), MATCH(C2258, Analysis!$D$115:$N$115, 0)), "")</f>
        <v/>
      </c>
      <c r="J2258" t="str">
        <f t="shared" si="214"/>
        <v/>
      </c>
      <c r="K2258" s="28" t="str">
        <f t="shared" si="211"/>
        <v/>
      </c>
      <c r="L2258" s="46" t="str">
        <f t="shared" si="215"/>
        <v/>
      </c>
      <c r="M2258" t="str" cm="1">
        <f t="array" ref="M2258">IF(L2258="","",_xlfn.IFS(
  AND(L2258&gt;=TIME(9,0,0), L2258&lt;TIME(16,0,0)),"Morning",
  AND(L2258&gt;=TIME(16,0,0), L2258&lt;TIME(23,59,0)),"Evening",
  L2258&gt;=TIME(23,59,0),"Night",
  L2258&lt;TIME(9,0,0),"Night"
))</f>
        <v/>
      </c>
      <c r="O2258" t="str">
        <f t="shared" si="212"/>
        <v/>
      </c>
    </row>
    <row r="2259" spans="7:15" x14ac:dyDescent="0.25">
      <c r="G2259" t="str">
        <f t="shared" si="210"/>
        <v/>
      </c>
      <c r="H2259" s="13" t="str">
        <f t="shared" si="213"/>
        <v/>
      </c>
      <c r="I2259" t="str">
        <f>IFERROR(INDEX(Analysis!$D$116:$N$137, MATCH(B2259, Analysis!$C$116:$C$137, 0), MATCH(C2259, Analysis!$D$115:$N$115, 0)), "")</f>
        <v/>
      </c>
      <c r="J2259" t="str">
        <f t="shared" si="214"/>
        <v/>
      </c>
      <c r="K2259" s="28" t="str">
        <f t="shared" si="211"/>
        <v/>
      </c>
      <c r="L2259" s="46" t="str">
        <f t="shared" si="215"/>
        <v/>
      </c>
      <c r="M2259" t="str" cm="1">
        <f t="array" ref="M2259">IF(L2259="","",_xlfn.IFS(
  AND(L2259&gt;=TIME(9,0,0), L2259&lt;TIME(16,0,0)),"Morning",
  AND(L2259&gt;=TIME(16,0,0), L2259&lt;TIME(23,59,0)),"Evening",
  L2259&gt;=TIME(23,59,0),"Night",
  L2259&lt;TIME(9,0,0),"Night"
))</f>
        <v/>
      </c>
      <c r="O2259" t="str">
        <f t="shared" si="212"/>
        <v/>
      </c>
    </row>
    <row r="2260" spans="7:15" x14ac:dyDescent="0.25">
      <c r="G2260" t="str">
        <f t="shared" si="210"/>
        <v/>
      </c>
      <c r="H2260" s="13" t="str">
        <f t="shared" si="213"/>
        <v/>
      </c>
      <c r="I2260" t="str">
        <f>IFERROR(INDEX(Analysis!$D$116:$N$137, MATCH(B2260, Analysis!$C$116:$C$137, 0), MATCH(C2260, Analysis!$D$115:$N$115, 0)), "")</f>
        <v/>
      </c>
      <c r="J2260" t="str">
        <f t="shared" si="214"/>
        <v/>
      </c>
      <c r="K2260" s="28" t="str">
        <f t="shared" si="211"/>
        <v/>
      </c>
      <c r="L2260" s="46" t="str">
        <f t="shared" si="215"/>
        <v/>
      </c>
      <c r="M2260" t="str" cm="1">
        <f t="array" ref="M2260">IF(L2260="","",_xlfn.IFS(
  AND(L2260&gt;=TIME(9,0,0), L2260&lt;TIME(16,0,0)),"Morning",
  AND(L2260&gt;=TIME(16,0,0), L2260&lt;TIME(23,59,0)),"Evening",
  L2260&gt;=TIME(23,59,0),"Night",
  L2260&lt;TIME(9,0,0),"Night"
))</f>
        <v/>
      </c>
      <c r="O2260" t="str">
        <f t="shared" si="212"/>
        <v/>
      </c>
    </row>
    <row r="2261" spans="7:15" x14ac:dyDescent="0.25">
      <c r="G2261" t="str">
        <f t="shared" si="210"/>
        <v/>
      </c>
      <c r="H2261" s="13" t="str">
        <f t="shared" si="213"/>
        <v/>
      </c>
      <c r="I2261" t="str">
        <f>IFERROR(INDEX(Analysis!$D$116:$N$137, MATCH(B2261, Analysis!$C$116:$C$137, 0), MATCH(C2261, Analysis!$D$115:$N$115, 0)), "")</f>
        <v/>
      </c>
      <c r="J2261" t="str">
        <f t="shared" si="214"/>
        <v/>
      </c>
      <c r="K2261" s="28" t="str">
        <f t="shared" si="211"/>
        <v/>
      </c>
      <c r="L2261" s="46" t="str">
        <f t="shared" si="215"/>
        <v/>
      </c>
      <c r="M2261" t="str" cm="1">
        <f t="array" ref="M2261">IF(L2261="","",_xlfn.IFS(
  AND(L2261&gt;=TIME(9,0,0), L2261&lt;TIME(16,0,0)),"Morning",
  AND(L2261&gt;=TIME(16,0,0), L2261&lt;TIME(23,59,0)),"Evening",
  L2261&gt;=TIME(23,59,0),"Night",
  L2261&lt;TIME(9,0,0),"Night"
))</f>
        <v/>
      </c>
      <c r="O2261" t="str">
        <f t="shared" si="212"/>
        <v/>
      </c>
    </row>
    <row r="2262" spans="7:15" x14ac:dyDescent="0.25">
      <c r="G2262" t="str">
        <f t="shared" si="210"/>
        <v/>
      </c>
      <c r="H2262" s="13" t="str">
        <f t="shared" si="213"/>
        <v/>
      </c>
      <c r="I2262" t="str">
        <f>IFERROR(INDEX(Analysis!$D$116:$N$137, MATCH(B2262, Analysis!$C$116:$C$137, 0), MATCH(C2262, Analysis!$D$115:$N$115, 0)), "")</f>
        <v/>
      </c>
      <c r="J2262" t="str">
        <f t="shared" si="214"/>
        <v/>
      </c>
      <c r="K2262" s="28" t="str">
        <f t="shared" si="211"/>
        <v/>
      </c>
      <c r="L2262" s="46" t="str">
        <f t="shared" si="215"/>
        <v/>
      </c>
      <c r="M2262" t="str" cm="1">
        <f t="array" ref="M2262">IF(L2262="","",_xlfn.IFS(
  AND(L2262&gt;=TIME(9,0,0), L2262&lt;TIME(16,0,0)),"Morning",
  AND(L2262&gt;=TIME(16,0,0), L2262&lt;TIME(23,59,0)),"Evening",
  L2262&gt;=TIME(23,59,0),"Night",
  L2262&lt;TIME(9,0,0),"Night"
))</f>
        <v/>
      </c>
      <c r="O2262" t="str">
        <f t="shared" si="212"/>
        <v/>
      </c>
    </row>
    <row r="2263" spans="7:15" x14ac:dyDescent="0.25">
      <c r="G2263" t="str">
        <f t="shared" si="210"/>
        <v/>
      </c>
      <c r="H2263" s="13" t="str">
        <f t="shared" si="213"/>
        <v/>
      </c>
      <c r="I2263" t="str">
        <f>IFERROR(INDEX(Analysis!$D$116:$N$137, MATCH(B2263, Analysis!$C$116:$C$137, 0), MATCH(C2263, Analysis!$D$115:$N$115, 0)), "")</f>
        <v/>
      </c>
      <c r="J2263" t="str">
        <f t="shared" si="214"/>
        <v/>
      </c>
      <c r="K2263" s="28" t="str">
        <f t="shared" si="211"/>
        <v/>
      </c>
      <c r="L2263" s="46" t="str">
        <f t="shared" si="215"/>
        <v/>
      </c>
      <c r="M2263" t="str" cm="1">
        <f t="array" ref="M2263">IF(L2263="","",_xlfn.IFS(
  AND(L2263&gt;=TIME(9,0,0), L2263&lt;TIME(16,0,0)),"Morning",
  AND(L2263&gt;=TIME(16,0,0), L2263&lt;TIME(23,59,0)),"Evening",
  L2263&gt;=TIME(23,59,0),"Night",
  L2263&lt;TIME(9,0,0),"Night"
))</f>
        <v/>
      </c>
      <c r="O2263" t="str">
        <f t="shared" si="212"/>
        <v/>
      </c>
    </row>
    <row r="2264" spans="7:15" x14ac:dyDescent="0.25">
      <c r="G2264" t="str">
        <f t="shared" si="210"/>
        <v/>
      </c>
      <c r="H2264" s="13" t="str">
        <f t="shared" si="213"/>
        <v/>
      </c>
      <c r="I2264" t="str">
        <f>IFERROR(INDEX(Analysis!$D$116:$N$137, MATCH(B2264, Analysis!$C$116:$C$137, 0), MATCH(C2264, Analysis!$D$115:$N$115, 0)), "")</f>
        <v/>
      </c>
      <c r="J2264" t="str">
        <f t="shared" si="214"/>
        <v/>
      </c>
      <c r="K2264" s="28" t="str">
        <f t="shared" si="211"/>
        <v/>
      </c>
      <c r="L2264" s="46" t="str">
        <f t="shared" si="215"/>
        <v/>
      </c>
      <c r="M2264" t="str" cm="1">
        <f t="array" ref="M2264">IF(L2264="","",_xlfn.IFS(
  AND(L2264&gt;=TIME(9,0,0), L2264&lt;TIME(16,0,0)),"Morning",
  AND(L2264&gt;=TIME(16,0,0), L2264&lt;TIME(23,59,0)),"Evening",
  L2264&gt;=TIME(23,59,0),"Night",
  L2264&lt;TIME(9,0,0),"Night"
))</f>
        <v/>
      </c>
      <c r="O2264" t="str">
        <f t="shared" si="212"/>
        <v/>
      </c>
    </row>
    <row r="2265" spans="7:15" x14ac:dyDescent="0.25">
      <c r="G2265" t="str">
        <f t="shared" si="210"/>
        <v/>
      </c>
      <c r="H2265" s="13" t="str">
        <f t="shared" si="213"/>
        <v/>
      </c>
      <c r="I2265" t="str">
        <f>IFERROR(INDEX(Analysis!$D$116:$N$137, MATCH(B2265, Analysis!$C$116:$C$137, 0), MATCH(C2265, Analysis!$D$115:$N$115, 0)), "")</f>
        <v/>
      </c>
      <c r="J2265" t="str">
        <f t="shared" si="214"/>
        <v/>
      </c>
      <c r="K2265" s="28" t="str">
        <f t="shared" si="211"/>
        <v/>
      </c>
      <c r="L2265" s="46" t="str">
        <f t="shared" si="215"/>
        <v/>
      </c>
      <c r="M2265" t="str" cm="1">
        <f t="array" ref="M2265">IF(L2265="","",_xlfn.IFS(
  AND(L2265&gt;=TIME(9,0,0), L2265&lt;TIME(16,0,0)),"Morning",
  AND(L2265&gt;=TIME(16,0,0), L2265&lt;TIME(23,59,0)),"Evening",
  L2265&gt;=TIME(23,59,0),"Night",
  L2265&lt;TIME(9,0,0),"Night"
))</f>
        <v/>
      </c>
      <c r="O2265" t="str">
        <f t="shared" si="212"/>
        <v/>
      </c>
    </row>
    <row r="2266" spans="7:15" x14ac:dyDescent="0.25">
      <c r="G2266" t="str">
        <f t="shared" si="210"/>
        <v/>
      </c>
      <c r="H2266" s="13" t="str">
        <f t="shared" si="213"/>
        <v/>
      </c>
      <c r="I2266" t="str">
        <f>IFERROR(INDEX(Analysis!$D$116:$N$137, MATCH(B2266, Analysis!$C$116:$C$137, 0), MATCH(C2266, Analysis!$D$115:$N$115, 0)), "")</f>
        <v/>
      </c>
      <c r="J2266" t="str">
        <f t="shared" si="214"/>
        <v/>
      </c>
      <c r="K2266" s="28" t="str">
        <f t="shared" si="211"/>
        <v/>
      </c>
      <c r="L2266" s="46" t="str">
        <f t="shared" si="215"/>
        <v/>
      </c>
      <c r="M2266" t="str" cm="1">
        <f t="array" ref="M2266">IF(L2266="","",_xlfn.IFS(
  AND(L2266&gt;=TIME(9,0,0), L2266&lt;TIME(16,0,0)),"Morning",
  AND(L2266&gt;=TIME(16,0,0), L2266&lt;TIME(23,59,0)),"Evening",
  L2266&gt;=TIME(23,59,0),"Night",
  L2266&lt;TIME(9,0,0),"Night"
))</f>
        <v/>
      </c>
      <c r="O2266" t="str">
        <f t="shared" si="212"/>
        <v/>
      </c>
    </row>
    <row r="2267" spans="7:15" x14ac:dyDescent="0.25">
      <c r="G2267" t="str">
        <f t="shared" si="210"/>
        <v/>
      </c>
      <c r="H2267" s="13" t="str">
        <f t="shared" si="213"/>
        <v/>
      </c>
      <c r="I2267" t="str">
        <f>IFERROR(INDEX(Analysis!$D$116:$N$137, MATCH(B2267, Analysis!$C$116:$C$137, 0), MATCH(C2267, Analysis!$D$115:$N$115, 0)), "")</f>
        <v/>
      </c>
      <c r="J2267" t="str">
        <f t="shared" si="214"/>
        <v/>
      </c>
      <c r="K2267" s="28" t="str">
        <f t="shared" si="211"/>
        <v/>
      </c>
      <c r="L2267" s="46" t="str">
        <f t="shared" si="215"/>
        <v/>
      </c>
      <c r="M2267" t="str" cm="1">
        <f t="array" ref="M2267">IF(L2267="","",_xlfn.IFS(
  AND(L2267&gt;=TIME(9,0,0), L2267&lt;TIME(16,0,0)),"Morning",
  AND(L2267&gt;=TIME(16,0,0), L2267&lt;TIME(23,59,0)),"Evening",
  L2267&gt;=TIME(23,59,0),"Night",
  L2267&lt;TIME(9,0,0),"Night"
))</f>
        <v/>
      </c>
      <c r="O2267" t="str">
        <f t="shared" si="212"/>
        <v/>
      </c>
    </row>
    <row r="2268" spans="7:15" x14ac:dyDescent="0.25">
      <c r="G2268" t="str">
        <f t="shared" si="210"/>
        <v/>
      </c>
      <c r="H2268" s="13" t="str">
        <f t="shared" si="213"/>
        <v/>
      </c>
      <c r="I2268" t="str">
        <f>IFERROR(INDEX(Analysis!$D$116:$N$137, MATCH(B2268, Analysis!$C$116:$C$137, 0), MATCH(C2268, Analysis!$D$115:$N$115, 0)), "")</f>
        <v/>
      </c>
      <c r="J2268" t="str">
        <f t="shared" si="214"/>
        <v/>
      </c>
      <c r="K2268" s="28" t="str">
        <f t="shared" si="211"/>
        <v/>
      </c>
      <c r="L2268" s="46" t="str">
        <f t="shared" si="215"/>
        <v/>
      </c>
      <c r="M2268" t="str" cm="1">
        <f t="array" ref="M2268">IF(L2268="","",_xlfn.IFS(
  AND(L2268&gt;=TIME(9,0,0), L2268&lt;TIME(16,0,0)),"Morning",
  AND(L2268&gt;=TIME(16,0,0), L2268&lt;TIME(23,59,0)),"Evening",
  L2268&gt;=TIME(23,59,0),"Night",
  L2268&lt;TIME(9,0,0),"Night"
))</f>
        <v/>
      </c>
      <c r="O2268" t="str">
        <f t="shared" si="212"/>
        <v/>
      </c>
    </row>
    <row r="2269" spans="7:15" x14ac:dyDescent="0.25">
      <c r="G2269" t="str">
        <f t="shared" si="210"/>
        <v/>
      </c>
      <c r="H2269" s="13" t="str">
        <f t="shared" si="213"/>
        <v/>
      </c>
      <c r="I2269" t="str">
        <f>IFERROR(INDEX(Analysis!$D$116:$N$137, MATCH(B2269, Analysis!$C$116:$C$137, 0), MATCH(C2269, Analysis!$D$115:$N$115, 0)), "")</f>
        <v/>
      </c>
      <c r="J2269" t="str">
        <f t="shared" si="214"/>
        <v/>
      </c>
      <c r="K2269" s="28" t="str">
        <f t="shared" si="211"/>
        <v/>
      </c>
      <c r="L2269" s="46" t="str">
        <f t="shared" si="215"/>
        <v/>
      </c>
      <c r="M2269" t="str" cm="1">
        <f t="array" ref="M2269">IF(L2269="","",_xlfn.IFS(
  AND(L2269&gt;=TIME(9,0,0), L2269&lt;TIME(16,0,0)),"Morning",
  AND(L2269&gt;=TIME(16,0,0), L2269&lt;TIME(23,59,0)),"Evening",
  L2269&gt;=TIME(23,59,0),"Night",
  L2269&lt;TIME(9,0,0),"Night"
))</f>
        <v/>
      </c>
      <c r="O2269" t="str">
        <f t="shared" si="212"/>
        <v/>
      </c>
    </row>
    <row r="2270" spans="7:15" x14ac:dyDescent="0.25">
      <c r="G2270" t="str">
        <f t="shared" si="210"/>
        <v/>
      </c>
      <c r="H2270" s="13" t="str">
        <f t="shared" si="213"/>
        <v/>
      </c>
      <c r="I2270" t="str">
        <f>IFERROR(INDEX(Analysis!$D$116:$N$137, MATCH(B2270, Analysis!$C$116:$C$137, 0), MATCH(C2270, Analysis!$D$115:$N$115, 0)), "")</f>
        <v/>
      </c>
      <c r="J2270" t="str">
        <f t="shared" si="214"/>
        <v/>
      </c>
      <c r="K2270" s="28" t="str">
        <f t="shared" si="211"/>
        <v/>
      </c>
      <c r="L2270" s="46" t="str">
        <f t="shared" si="215"/>
        <v/>
      </c>
      <c r="M2270" t="str" cm="1">
        <f t="array" ref="M2270">IF(L2270="","",_xlfn.IFS(
  AND(L2270&gt;=TIME(9,0,0), L2270&lt;TIME(16,0,0)),"Morning",
  AND(L2270&gt;=TIME(16,0,0), L2270&lt;TIME(23,59,0)),"Evening",
  L2270&gt;=TIME(23,59,0),"Night",
  L2270&lt;TIME(9,0,0),"Night"
))</f>
        <v/>
      </c>
      <c r="O2270" t="str">
        <f t="shared" si="212"/>
        <v/>
      </c>
    </row>
    <row r="2271" spans="7:15" x14ac:dyDescent="0.25">
      <c r="G2271" t="str">
        <f t="shared" si="210"/>
        <v/>
      </c>
      <c r="H2271" s="13" t="str">
        <f t="shared" si="213"/>
        <v/>
      </c>
      <c r="I2271" t="str">
        <f>IFERROR(INDEX(Analysis!$D$116:$N$137, MATCH(B2271, Analysis!$C$116:$C$137, 0), MATCH(C2271, Analysis!$D$115:$N$115, 0)), "")</f>
        <v/>
      </c>
      <c r="J2271" t="str">
        <f t="shared" si="214"/>
        <v/>
      </c>
      <c r="K2271" s="28" t="str">
        <f t="shared" si="211"/>
        <v/>
      </c>
      <c r="L2271" s="46" t="str">
        <f t="shared" si="215"/>
        <v/>
      </c>
      <c r="M2271" t="str" cm="1">
        <f t="array" ref="M2271">IF(L2271="","",_xlfn.IFS(
  AND(L2271&gt;=TIME(9,0,0), L2271&lt;TIME(16,0,0)),"Morning",
  AND(L2271&gt;=TIME(16,0,0), L2271&lt;TIME(23,59,0)),"Evening",
  L2271&gt;=TIME(23,59,0),"Night",
  L2271&lt;TIME(9,0,0),"Night"
))</f>
        <v/>
      </c>
      <c r="O2271" t="str">
        <f t="shared" si="212"/>
        <v/>
      </c>
    </row>
    <row r="2272" spans="7:15" x14ac:dyDescent="0.25">
      <c r="G2272" t="str">
        <f t="shared" si="210"/>
        <v/>
      </c>
      <c r="H2272" s="13" t="str">
        <f t="shared" si="213"/>
        <v/>
      </c>
      <c r="I2272" t="str">
        <f>IFERROR(INDEX(Analysis!$D$116:$N$137, MATCH(B2272, Analysis!$C$116:$C$137, 0), MATCH(C2272, Analysis!$D$115:$N$115, 0)), "")</f>
        <v/>
      </c>
      <c r="J2272" t="str">
        <f t="shared" si="214"/>
        <v/>
      </c>
      <c r="K2272" s="28" t="str">
        <f t="shared" si="211"/>
        <v/>
      </c>
      <c r="L2272" s="46" t="str">
        <f t="shared" si="215"/>
        <v/>
      </c>
      <c r="M2272" t="str" cm="1">
        <f t="array" ref="M2272">IF(L2272="","",_xlfn.IFS(
  AND(L2272&gt;=TIME(9,0,0), L2272&lt;TIME(16,0,0)),"Morning",
  AND(L2272&gt;=TIME(16,0,0), L2272&lt;TIME(23,59,0)),"Evening",
  L2272&gt;=TIME(23,59,0),"Night",
  L2272&lt;TIME(9,0,0),"Night"
))</f>
        <v/>
      </c>
      <c r="O2272" t="str">
        <f t="shared" si="212"/>
        <v/>
      </c>
    </row>
    <row r="2273" spans="7:15" x14ac:dyDescent="0.25">
      <c r="G2273" t="str">
        <f t="shared" si="210"/>
        <v/>
      </c>
      <c r="H2273" s="13" t="str">
        <f t="shared" si="213"/>
        <v/>
      </c>
      <c r="I2273" t="str">
        <f>IFERROR(INDEX(Analysis!$D$116:$N$137, MATCH(B2273, Analysis!$C$116:$C$137, 0), MATCH(C2273, Analysis!$D$115:$N$115, 0)), "")</f>
        <v/>
      </c>
      <c r="J2273" t="str">
        <f t="shared" si="214"/>
        <v/>
      </c>
      <c r="K2273" s="28" t="str">
        <f t="shared" si="211"/>
        <v/>
      </c>
      <c r="L2273" s="46" t="str">
        <f t="shared" si="215"/>
        <v/>
      </c>
      <c r="M2273" t="str" cm="1">
        <f t="array" ref="M2273">IF(L2273="","",_xlfn.IFS(
  AND(L2273&gt;=TIME(9,0,0), L2273&lt;TIME(16,0,0)),"Morning",
  AND(L2273&gt;=TIME(16,0,0), L2273&lt;TIME(23,59,0)),"Evening",
  L2273&gt;=TIME(23,59,0),"Night",
  L2273&lt;TIME(9,0,0),"Night"
))</f>
        <v/>
      </c>
      <c r="O2273" t="str">
        <f t="shared" si="212"/>
        <v/>
      </c>
    </row>
    <row r="2274" spans="7:15" x14ac:dyDescent="0.25">
      <c r="G2274" t="str">
        <f t="shared" si="210"/>
        <v/>
      </c>
      <c r="H2274" s="13" t="str">
        <f t="shared" si="213"/>
        <v/>
      </c>
      <c r="I2274" t="str">
        <f>IFERROR(INDEX(Analysis!$D$116:$N$137, MATCH(B2274, Analysis!$C$116:$C$137, 0), MATCH(C2274, Analysis!$D$115:$N$115, 0)), "")</f>
        <v/>
      </c>
      <c r="J2274" t="str">
        <f t="shared" si="214"/>
        <v/>
      </c>
      <c r="K2274" s="28" t="str">
        <f t="shared" si="211"/>
        <v/>
      </c>
      <c r="L2274" s="46" t="str">
        <f t="shared" si="215"/>
        <v/>
      </c>
      <c r="M2274" t="str" cm="1">
        <f t="array" ref="M2274">IF(L2274="","",_xlfn.IFS(
  AND(L2274&gt;=TIME(9,0,0), L2274&lt;TIME(16,0,0)),"Morning",
  AND(L2274&gt;=TIME(16,0,0), L2274&lt;TIME(23,59,0)),"Evening",
  L2274&gt;=TIME(23,59,0),"Night",
  L2274&lt;TIME(9,0,0),"Night"
))</f>
        <v/>
      </c>
      <c r="O2274" t="str">
        <f t="shared" si="212"/>
        <v/>
      </c>
    </row>
    <row r="2275" spans="7:15" x14ac:dyDescent="0.25">
      <c r="G2275" t="str">
        <f t="shared" si="210"/>
        <v/>
      </c>
      <c r="H2275" s="13" t="str">
        <f t="shared" si="213"/>
        <v/>
      </c>
      <c r="I2275" t="str">
        <f>IFERROR(INDEX(Analysis!$D$116:$N$137, MATCH(B2275, Analysis!$C$116:$C$137, 0), MATCH(C2275, Analysis!$D$115:$N$115, 0)), "")</f>
        <v/>
      </c>
      <c r="J2275" t="str">
        <f t="shared" si="214"/>
        <v/>
      </c>
      <c r="K2275" s="28" t="str">
        <f t="shared" si="211"/>
        <v/>
      </c>
      <c r="L2275" s="46" t="str">
        <f t="shared" si="215"/>
        <v/>
      </c>
      <c r="M2275" t="str" cm="1">
        <f t="array" ref="M2275">IF(L2275="","",_xlfn.IFS(
  AND(L2275&gt;=TIME(9,0,0), L2275&lt;TIME(16,0,0)),"Morning",
  AND(L2275&gt;=TIME(16,0,0), L2275&lt;TIME(23,59,0)),"Evening",
  L2275&gt;=TIME(23,59,0),"Night",
  L2275&lt;TIME(9,0,0),"Night"
))</f>
        <v/>
      </c>
      <c r="O2275" t="str">
        <f t="shared" si="212"/>
        <v/>
      </c>
    </row>
    <row r="2276" spans="7:15" x14ac:dyDescent="0.25">
      <c r="G2276" t="str">
        <f t="shared" si="210"/>
        <v/>
      </c>
      <c r="H2276" s="13" t="str">
        <f t="shared" si="213"/>
        <v/>
      </c>
      <c r="I2276" t="str">
        <f>IFERROR(INDEX(Analysis!$D$116:$N$137, MATCH(B2276, Analysis!$C$116:$C$137, 0), MATCH(C2276, Analysis!$D$115:$N$115, 0)), "")</f>
        <v/>
      </c>
      <c r="J2276" t="str">
        <f t="shared" si="214"/>
        <v/>
      </c>
      <c r="K2276" s="28" t="str">
        <f t="shared" si="211"/>
        <v/>
      </c>
      <c r="L2276" s="46" t="str">
        <f t="shared" si="215"/>
        <v/>
      </c>
      <c r="M2276" t="str" cm="1">
        <f t="array" ref="M2276">IF(L2276="","",_xlfn.IFS(
  AND(L2276&gt;=TIME(9,0,0), L2276&lt;TIME(16,0,0)),"Morning",
  AND(L2276&gt;=TIME(16,0,0), L2276&lt;TIME(23,59,0)),"Evening",
  L2276&gt;=TIME(23,59,0),"Night",
  L2276&lt;TIME(9,0,0),"Night"
))</f>
        <v/>
      </c>
      <c r="O2276" t="str">
        <f t="shared" si="212"/>
        <v/>
      </c>
    </row>
    <row r="2277" spans="7:15" x14ac:dyDescent="0.25">
      <c r="G2277" t="str">
        <f t="shared" si="210"/>
        <v/>
      </c>
      <c r="H2277" s="13" t="str">
        <f t="shared" si="213"/>
        <v/>
      </c>
      <c r="I2277" t="str">
        <f>IFERROR(INDEX(Analysis!$D$116:$N$137, MATCH(B2277, Analysis!$C$116:$C$137, 0), MATCH(C2277, Analysis!$D$115:$N$115, 0)), "")</f>
        <v/>
      </c>
      <c r="J2277" t="str">
        <f t="shared" si="214"/>
        <v/>
      </c>
      <c r="K2277" s="28" t="str">
        <f t="shared" si="211"/>
        <v/>
      </c>
      <c r="L2277" s="46" t="str">
        <f t="shared" si="215"/>
        <v/>
      </c>
      <c r="M2277" t="str" cm="1">
        <f t="array" ref="M2277">IF(L2277="","",_xlfn.IFS(
  AND(L2277&gt;=TIME(9,0,0), L2277&lt;TIME(16,0,0)),"Morning",
  AND(L2277&gt;=TIME(16,0,0), L2277&lt;TIME(23,59,0)),"Evening",
  L2277&gt;=TIME(23,59,0),"Night",
  L2277&lt;TIME(9,0,0),"Night"
))</f>
        <v/>
      </c>
      <c r="O2277" t="str">
        <f t="shared" si="212"/>
        <v/>
      </c>
    </row>
    <row r="2278" spans="7:15" x14ac:dyDescent="0.25">
      <c r="G2278" t="str">
        <f t="shared" si="210"/>
        <v/>
      </c>
      <c r="H2278" s="13" t="str">
        <f t="shared" si="213"/>
        <v/>
      </c>
      <c r="I2278" t="str">
        <f>IFERROR(INDEX(Analysis!$D$116:$N$137, MATCH(B2278, Analysis!$C$116:$C$137, 0), MATCH(C2278, Analysis!$D$115:$N$115, 0)), "")</f>
        <v/>
      </c>
      <c r="J2278" t="str">
        <f t="shared" si="214"/>
        <v/>
      </c>
      <c r="K2278" s="28" t="str">
        <f t="shared" si="211"/>
        <v/>
      </c>
      <c r="L2278" s="46" t="str">
        <f t="shared" si="215"/>
        <v/>
      </c>
      <c r="M2278" t="str" cm="1">
        <f t="array" ref="M2278">IF(L2278="","",_xlfn.IFS(
  AND(L2278&gt;=TIME(9,0,0), L2278&lt;TIME(16,0,0)),"Morning",
  AND(L2278&gt;=TIME(16,0,0), L2278&lt;TIME(23,59,0)),"Evening",
  L2278&gt;=TIME(23,59,0),"Night",
  L2278&lt;TIME(9,0,0),"Night"
))</f>
        <v/>
      </c>
      <c r="O2278" t="str">
        <f t="shared" si="212"/>
        <v/>
      </c>
    </row>
    <row r="2279" spans="7:15" x14ac:dyDescent="0.25">
      <c r="G2279" t="str">
        <f t="shared" si="210"/>
        <v/>
      </c>
      <c r="H2279" s="13" t="str">
        <f t="shared" si="213"/>
        <v/>
      </c>
      <c r="I2279" t="str">
        <f>IFERROR(INDEX(Analysis!$D$116:$N$137, MATCH(B2279, Analysis!$C$116:$C$137, 0), MATCH(C2279, Analysis!$D$115:$N$115, 0)), "")</f>
        <v/>
      </c>
      <c r="J2279" t="str">
        <f t="shared" si="214"/>
        <v/>
      </c>
      <c r="K2279" s="28" t="str">
        <f t="shared" si="211"/>
        <v/>
      </c>
      <c r="L2279" s="46" t="str">
        <f t="shared" si="215"/>
        <v/>
      </c>
      <c r="M2279" t="str" cm="1">
        <f t="array" ref="M2279">IF(L2279="","",_xlfn.IFS(
  AND(L2279&gt;=TIME(9,0,0), L2279&lt;TIME(16,0,0)),"Morning",
  AND(L2279&gt;=TIME(16,0,0), L2279&lt;TIME(23,59,0)),"Evening",
  L2279&gt;=TIME(23,59,0),"Night",
  L2279&lt;TIME(9,0,0),"Night"
))</f>
        <v/>
      </c>
      <c r="O2279" t="str">
        <f t="shared" si="212"/>
        <v/>
      </c>
    </row>
    <row r="2280" spans="7:15" x14ac:dyDescent="0.25">
      <c r="G2280" t="str">
        <f t="shared" si="210"/>
        <v/>
      </c>
      <c r="H2280" s="13" t="str">
        <f t="shared" si="213"/>
        <v/>
      </c>
      <c r="I2280" t="str">
        <f>IFERROR(INDEX(Analysis!$D$116:$N$137, MATCH(B2280, Analysis!$C$116:$C$137, 0), MATCH(C2280, Analysis!$D$115:$N$115, 0)), "")</f>
        <v/>
      </c>
      <c r="J2280" t="str">
        <f t="shared" si="214"/>
        <v/>
      </c>
      <c r="K2280" s="28" t="str">
        <f t="shared" si="211"/>
        <v/>
      </c>
      <c r="L2280" s="46" t="str">
        <f t="shared" si="215"/>
        <v/>
      </c>
      <c r="M2280" t="str" cm="1">
        <f t="array" ref="M2280">IF(L2280="","",_xlfn.IFS(
  AND(L2280&gt;=TIME(9,0,0), L2280&lt;TIME(16,0,0)),"Morning",
  AND(L2280&gt;=TIME(16,0,0), L2280&lt;TIME(23,59,0)),"Evening",
  L2280&gt;=TIME(23,59,0),"Night",
  L2280&lt;TIME(9,0,0),"Night"
))</f>
        <v/>
      </c>
      <c r="O2280" t="str">
        <f t="shared" si="212"/>
        <v/>
      </c>
    </row>
    <row r="2281" spans="7:15" x14ac:dyDescent="0.25">
      <c r="G2281" t="str">
        <f t="shared" si="210"/>
        <v/>
      </c>
      <c r="H2281" s="13" t="str">
        <f t="shared" si="213"/>
        <v/>
      </c>
      <c r="I2281" t="str">
        <f>IFERROR(INDEX(Analysis!$D$116:$N$137, MATCH(B2281, Analysis!$C$116:$C$137, 0), MATCH(C2281, Analysis!$D$115:$N$115, 0)), "")</f>
        <v/>
      </c>
      <c r="J2281" t="str">
        <f t="shared" si="214"/>
        <v/>
      </c>
      <c r="K2281" s="28" t="str">
        <f t="shared" si="211"/>
        <v/>
      </c>
      <c r="L2281" s="46" t="str">
        <f t="shared" si="215"/>
        <v/>
      </c>
      <c r="M2281" t="str" cm="1">
        <f t="array" ref="M2281">IF(L2281="","",_xlfn.IFS(
  AND(L2281&gt;=TIME(9,0,0), L2281&lt;TIME(16,0,0)),"Morning",
  AND(L2281&gt;=TIME(16,0,0), L2281&lt;TIME(23,59,0)),"Evening",
  L2281&gt;=TIME(23,59,0),"Night",
  L2281&lt;TIME(9,0,0),"Night"
))</f>
        <v/>
      </c>
      <c r="O2281" t="str">
        <f t="shared" si="212"/>
        <v/>
      </c>
    </row>
    <row r="2282" spans="7:15" x14ac:dyDescent="0.25">
      <c r="G2282" t="str">
        <f t="shared" si="210"/>
        <v/>
      </c>
      <c r="H2282" s="13" t="str">
        <f t="shared" si="213"/>
        <v/>
      </c>
      <c r="I2282" t="str">
        <f>IFERROR(INDEX(Analysis!$D$116:$N$137, MATCH(B2282, Analysis!$C$116:$C$137, 0), MATCH(C2282, Analysis!$D$115:$N$115, 0)), "")</f>
        <v/>
      </c>
      <c r="J2282" t="str">
        <f t="shared" si="214"/>
        <v/>
      </c>
      <c r="K2282" s="28" t="str">
        <f t="shared" si="211"/>
        <v/>
      </c>
      <c r="L2282" s="46" t="str">
        <f t="shared" si="215"/>
        <v/>
      </c>
      <c r="M2282" t="str" cm="1">
        <f t="array" ref="M2282">IF(L2282="","",_xlfn.IFS(
  AND(L2282&gt;=TIME(9,0,0), L2282&lt;TIME(16,0,0)),"Morning",
  AND(L2282&gt;=TIME(16,0,0), L2282&lt;TIME(23,59,0)),"Evening",
  L2282&gt;=TIME(23,59,0),"Night",
  L2282&lt;TIME(9,0,0),"Night"
))</f>
        <v/>
      </c>
      <c r="O2282" t="str">
        <f t="shared" si="212"/>
        <v/>
      </c>
    </row>
    <row r="2283" spans="7:15" x14ac:dyDescent="0.25">
      <c r="G2283" t="str">
        <f t="shared" si="210"/>
        <v/>
      </c>
      <c r="H2283" s="13" t="str">
        <f t="shared" si="213"/>
        <v/>
      </c>
      <c r="I2283" t="str">
        <f>IFERROR(INDEX(Analysis!$D$116:$N$137, MATCH(B2283, Analysis!$C$116:$C$137, 0), MATCH(C2283, Analysis!$D$115:$N$115, 0)), "")</f>
        <v/>
      </c>
      <c r="J2283" t="str">
        <f t="shared" si="214"/>
        <v/>
      </c>
      <c r="K2283" s="28" t="str">
        <f t="shared" si="211"/>
        <v/>
      </c>
      <c r="L2283" s="46" t="str">
        <f t="shared" si="215"/>
        <v/>
      </c>
      <c r="M2283" t="str" cm="1">
        <f t="array" ref="M2283">IF(L2283="","",_xlfn.IFS(
  AND(L2283&gt;=TIME(9,0,0), L2283&lt;TIME(16,0,0)),"Morning",
  AND(L2283&gt;=TIME(16,0,0), L2283&lt;TIME(23,59,0)),"Evening",
  L2283&gt;=TIME(23,59,0),"Night",
  L2283&lt;TIME(9,0,0),"Night"
))</f>
        <v/>
      </c>
      <c r="O2283" t="str">
        <f t="shared" si="212"/>
        <v/>
      </c>
    </row>
    <row r="2284" spans="7:15" x14ac:dyDescent="0.25">
      <c r="G2284" t="str">
        <f t="shared" si="210"/>
        <v/>
      </c>
      <c r="H2284" s="13" t="str">
        <f t="shared" si="213"/>
        <v/>
      </c>
      <c r="I2284" t="str">
        <f>IFERROR(INDEX(Analysis!$D$116:$N$137, MATCH(B2284, Analysis!$C$116:$C$137, 0), MATCH(C2284, Analysis!$D$115:$N$115, 0)), "")</f>
        <v/>
      </c>
      <c r="J2284" t="str">
        <f t="shared" si="214"/>
        <v/>
      </c>
      <c r="K2284" s="28" t="str">
        <f t="shared" si="211"/>
        <v/>
      </c>
      <c r="L2284" s="46" t="str">
        <f t="shared" si="215"/>
        <v/>
      </c>
      <c r="M2284" t="str" cm="1">
        <f t="array" ref="M2284">IF(L2284="","",_xlfn.IFS(
  AND(L2284&gt;=TIME(9,0,0), L2284&lt;TIME(16,0,0)),"Morning",
  AND(L2284&gt;=TIME(16,0,0), L2284&lt;TIME(23,59,0)),"Evening",
  L2284&gt;=TIME(23,59,0),"Night",
  L2284&lt;TIME(9,0,0),"Night"
))</f>
        <v/>
      </c>
      <c r="O2284" t="str">
        <f t="shared" si="212"/>
        <v/>
      </c>
    </row>
    <row r="2285" spans="7:15" x14ac:dyDescent="0.25">
      <c r="G2285" t="str">
        <f t="shared" si="210"/>
        <v/>
      </c>
      <c r="H2285" s="13" t="str">
        <f t="shared" si="213"/>
        <v/>
      </c>
      <c r="I2285" t="str">
        <f>IFERROR(INDEX(Analysis!$D$116:$N$137, MATCH(B2285, Analysis!$C$116:$C$137, 0), MATCH(C2285, Analysis!$D$115:$N$115, 0)), "")</f>
        <v/>
      </c>
      <c r="J2285" t="str">
        <f t="shared" si="214"/>
        <v/>
      </c>
      <c r="K2285" s="28" t="str">
        <f t="shared" si="211"/>
        <v/>
      </c>
      <c r="L2285" s="46" t="str">
        <f t="shared" si="215"/>
        <v/>
      </c>
      <c r="M2285" t="str" cm="1">
        <f t="array" ref="M2285">IF(L2285="","",_xlfn.IFS(
  AND(L2285&gt;=TIME(9,0,0), L2285&lt;TIME(16,0,0)),"Morning",
  AND(L2285&gt;=TIME(16,0,0), L2285&lt;TIME(23,59,0)),"Evening",
  L2285&gt;=TIME(23,59,0),"Night",
  L2285&lt;TIME(9,0,0),"Night"
))</f>
        <v/>
      </c>
      <c r="O2285" t="str">
        <f t="shared" si="212"/>
        <v/>
      </c>
    </row>
    <row r="2286" spans="7:15" x14ac:dyDescent="0.25">
      <c r="G2286" t="str">
        <f t="shared" si="210"/>
        <v/>
      </c>
      <c r="H2286" s="13" t="str">
        <f t="shared" si="213"/>
        <v/>
      </c>
      <c r="I2286" t="str">
        <f>IFERROR(INDEX(Analysis!$D$116:$N$137, MATCH(B2286, Analysis!$C$116:$C$137, 0), MATCH(C2286, Analysis!$D$115:$N$115, 0)), "")</f>
        <v/>
      </c>
      <c r="J2286" t="str">
        <f t="shared" si="214"/>
        <v/>
      </c>
      <c r="K2286" s="28" t="str">
        <f t="shared" si="211"/>
        <v/>
      </c>
      <c r="L2286" s="46" t="str">
        <f t="shared" si="215"/>
        <v/>
      </c>
      <c r="M2286" t="str" cm="1">
        <f t="array" ref="M2286">IF(L2286="","",_xlfn.IFS(
  AND(L2286&gt;=TIME(9,0,0), L2286&lt;TIME(16,0,0)),"Morning",
  AND(L2286&gt;=TIME(16,0,0), L2286&lt;TIME(23,59,0)),"Evening",
  L2286&gt;=TIME(23,59,0),"Night",
  L2286&lt;TIME(9,0,0),"Night"
))</f>
        <v/>
      </c>
      <c r="O2286" t="str">
        <f t="shared" si="212"/>
        <v/>
      </c>
    </row>
    <row r="2287" spans="7:15" x14ac:dyDescent="0.25">
      <c r="G2287" t="str">
        <f t="shared" si="210"/>
        <v/>
      </c>
      <c r="H2287" s="13" t="str">
        <f t="shared" si="213"/>
        <v/>
      </c>
      <c r="I2287" t="str">
        <f>IFERROR(INDEX(Analysis!$D$116:$N$137, MATCH(B2287, Analysis!$C$116:$C$137, 0), MATCH(C2287, Analysis!$D$115:$N$115, 0)), "")</f>
        <v/>
      </c>
      <c r="J2287" t="str">
        <f t="shared" si="214"/>
        <v/>
      </c>
      <c r="K2287" s="28" t="str">
        <f t="shared" si="211"/>
        <v/>
      </c>
      <c r="L2287" s="46" t="str">
        <f t="shared" si="215"/>
        <v/>
      </c>
      <c r="M2287" t="str" cm="1">
        <f t="array" ref="M2287">IF(L2287="","",_xlfn.IFS(
  AND(L2287&gt;=TIME(9,0,0), L2287&lt;TIME(16,0,0)),"Morning",
  AND(L2287&gt;=TIME(16,0,0), L2287&lt;TIME(23,59,0)),"Evening",
  L2287&gt;=TIME(23,59,0),"Night",
  L2287&lt;TIME(9,0,0),"Night"
))</f>
        <v/>
      </c>
      <c r="O2287" t="str">
        <f t="shared" si="212"/>
        <v/>
      </c>
    </row>
    <row r="2288" spans="7:15" x14ac:dyDescent="0.25">
      <c r="G2288" t="str">
        <f t="shared" si="210"/>
        <v/>
      </c>
      <c r="H2288" s="13" t="str">
        <f t="shared" si="213"/>
        <v/>
      </c>
      <c r="I2288" t="str">
        <f>IFERROR(INDEX(Analysis!$D$116:$N$137, MATCH(B2288, Analysis!$C$116:$C$137, 0), MATCH(C2288, Analysis!$D$115:$N$115, 0)), "")</f>
        <v/>
      </c>
      <c r="J2288" t="str">
        <f t="shared" si="214"/>
        <v/>
      </c>
      <c r="K2288" s="28" t="str">
        <f t="shared" si="211"/>
        <v/>
      </c>
      <c r="L2288" s="46" t="str">
        <f t="shared" si="215"/>
        <v/>
      </c>
      <c r="M2288" t="str" cm="1">
        <f t="array" ref="M2288">IF(L2288="","",_xlfn.IFS(
  AND(L2288&gt;=TIME(9,0,0), L2288&lt;TIME(16,0,0)),"Morning",
  AND(L2288&gt;=TIME(16,0,0), L2288&lt;TIME(23,59,0)),"Evening",
  L2288&gt;=TIME(23,59,0),"Night",
  L2288&lt;TIME(9,0,0),"Night"
))</f>
        <v/>
      </c>
      <c r="O2288" t="str">
        <f t="shared" si="212"/>
        <v/>
      </c>
    </row>
    <row r="2289" spans="7:15" x14ac:dyDescent="0.25">
      <c r="G2289" t="str">
        <f t="shared" si="210"/>
        <v/>
      </c>
      <c r="H2289" s="13" t="str">
        <f t="shared" si="213"/>
        <v/>
      </c>
      <c r="I2289" t="str">
        <f>IFERROR(INDEX(Analysis!$D$116:$N$137, MATCH(B2289, Analysis!$C$116:$C$137, 0), MATCH(C2289, Analysis!$D$115:$N$115, 0)), "")</f>
        <v/>
      </c>
      <c r="J2289" t="str">
        <f t="shared" si="214"/>
        <v/>
      </c>
      <c r="K2289" s="28" t="str">
        <f t="shared" si="211"/>
        <v/>
      </c>
      <c r="L2289" s="46" t="str">
        <f t="shared" si="215"/>
        <v/>
      </c>
      <c r="M2289" t="str" cm="1">
        <f t="array" ref="M2289">IF(L2289="","",_xlfn.IFS(
  AND(L2289&gt;=TIME(9,0,0), L2289&lt;TIME(16,0,0)),"Morning",
  AND(L2289&gt;=TIME(16,0,0), L2289&lt;TIME(23,59,0)),"Evening",
  L2289&gt;=TIME(23,59,0),"Night",
  L2289&lt;TIME(9,0,0),"Night"
))</f>
        <v/>
      </c>
      <c r="O2289" t="str">
        <f t="shared" si="212"/>
        <v/>
      </c>
    </row>
    <row r="2290" spans="7:15" x14ac:dyDescent="0.25">
      <c r="G2290" t="str">
        <f t="shared" si="210"/>
        <v/>
      </c>
      <c r="H2290" s="13" t="str">
        <f t="shared" si="213"/>
        <v/>
      </c>
      <c r="I2290" t="str">
        <f>IFERROR(INDEX(Analysis!$D$116:$N$137, MATCH(B2290, Analysis!$C$116:$C$137, 0), MATCH(C2290, Analysis!$D$115:$N$115, 0)), "")</f>
        <v/>
      </c>
      <c r="J2290" t="str">
        <f t="shared" si="214"/>
        <v/>
      </c>
      <c r="K2290" s="28" t="str">
        <f t="shared" si="211"/>
        <v/>
      </c>
      <c r="L2290" s="46" t="str">
        <f t="shared" si="215"/>
        <v/>
      </c>
      <c r="M2290" t="str" cm="1">
        <f t="array" ref="M2290">IF(L2290="","",_xlfn.IFS(
  AND(L2290&gt;=TIME(9,0,0), L2290&lt;TIME(16,0,0)),"Morning",
  AND(L2290&gt;=TIME(16,0,0), L2290&lt;TIME(23,59,0)),"Evening",
  L2290&gt;=TIME(23,59,0),"Night",
  L2290&lt;TIME(9,0,0),"Night"
))</f>
        <v/>
      </c>
      <c r="O2290" t="str">
        <f t="shared" si="212"/>
        <v/>
      </c>
    </row>
    <row r="2291" spans="7:15" x14ac:dyDescent="0.25">
      <c r="G2291" t="str">
        <f t="shared" si="210"/>
        <v/>
      </c>
      <c r="H2291" s="13" t="str">
        <f t="shared" si="213"/>
        <v/>
      </c>
      <c r="I2291" t="str">
        <f>IFERROR(INDEX(Analysis!$D$116:$N$137, MATCH(B2291, Analysis!$C$116:$C$137, 0), MATCH(C2291, Analysis!$D$115:$N$115, 0)), "")</f>
        <v/>
      </c>
      <c r="J2291" t="str">
        <f t="shared" si="214"/>
        <v/>
      </c>
      <c r="K2291" s="28" t="str">
        <f t="shared" si="211"/>
        <v/>
      </c>
      <c r="L2291" s="46" t="str">
        <f t="shared" si="215"/>
        <v/>
      </c>
      <c r="M2291" t="str" cm="1">
        <f t="array" ref="M2291">IF(L2291="","",_xlfn.IFS(
  AND(L2291&gt;=TIME(9,0,0), L2291&lt;TIME(16,0,0)),"Morning",
  AND(L2291&gt;=TIME(16,0,0), L2291&lt;TIME(23,59,0)),"Evening",
  L2291&gt;=TIME(23,59,0),"Night",
  L2291&lt;TIME(9,0,0),"Night"
))</f>
        <v/>
      </c>
      <c r="O2291" t="str">
        <f t="shared" si="212"/>
        <v/>
      </c>
    </row>
    <row r="2292" spans="7:15" x14ac:dyDescent="0.25">
      <c r="G2292" t="str">
        <f t="shared" si="210"/>
        <v/>
      </c>
      <c r="H2292" s="13" t="str">
        <f t="shared" si="213"/>
        <v/>
      </c>
      <c r="I2292" t="str">
        <f>IFERROR(INDEX(Analysis!$D$116:$N$137, MATCH(B2292, Analysis!$C$116:$C$137, 0), MATCH(C2292, Analysis!$D$115:$N$115, 0)), "")</f>
        <v/>
      </c>
      <c r="J2292" t="str">
        <f t="shared" si="214"/>
        <v/>
      </c>
      <c r="K2292" s="28" t="str">
        <f t="shared" si="211"/>
        <v/>
      </c>
      <c r="L2292" s="46" t="str">
        <f t="shared" si="215"/>
        <v/>
      </c>
      <c r="M2292" t="str" cm="1">
        <f t="array" ref="M2292">IF(L2292="","",_xlfn.IFS(
  AND(L2292&gt;=TIME(9,0,0), L2292&lt;TIME(16,0,0)),"Morning",
  AND(L2292&gt;=TIME(16,0,0), L2292&lt;TIME(23,59,0)),"Evening",
  L2292&gt;=TIME(23,59,0),"Night",
  L2292&lt;TIME(9,0,0),"Night"
))</f>
        <v/>
      </c>
      <c r="O2292" t="str">
        <f t="shared" si="212"/>
        <v/>
      </c>
    </row>
    <row r="2293" spans="7:15" x14ac:dyDescent="0.25">
      <c r="G2293" t="str">
        <f t="shared" si="210"/>
        <v/>
      </c>
      <c r="H2293" s="13" t="str">
        <f t="shared" si="213"/>
        <v/>
      </c>
      <c r="I2293" t="str">
        <f>IFERROR(INDEX(Analysis!$D$116:$N$137, MATCH(B2293, Analysis!$C$116:$C$137, 0), MATCH(C2293, Analysis!$D$115:$N$115, 0)), "")</f>
        <v/>
      </c>
      <c r="J2293" t="str">
        <f t="shared" si="214"/>
        <v/>
      </c>
      <c r="K2293" s="28" t="str">
        <f t="shared" si="211"/>
        <v/>
      </c>
      <c r="L2293" s="46" t="str">
        <f t="shared" si="215"/>
        <v/>
      </c>
      <c r="M2293" t="str" cm="1">
        <f t="array" ref="M2293">IF(L2293="","",_xlfn.IFS(
  AND(L2293&gt;=TIME(9,0,0), L2293&lt;TIME(16,0,0)),"Morning",
  AND(L2293&gt;=TIME(16,0,0), L2293&lt;TIME(23,59,0)),"Evening",
  L2293&gt;=TIME(23,59,0),"Night",
  L2293&lt;TIME(9,0,0),"Night"
))</f>
        <v/>
      </c>
      <c r="O2293" t="str">
        <f t="shared" si="212"/>
        <v/>
      </c>
    </row>
    <row r="2294" spans="7:15" x14ac:dyDescent="0.25">
      <c r="G2294" t="str">
        <f t="shared" si="210"/>
        <v/>
      </c>
      <c r="H2294" s="13" t="str">
        <f t="shared" si="213"/>
        <v/>
      </c>
      <c r="I2294" t="str">
        <f>IFERROR(INDEX(Analysis!$D$116:$N$137, MATCH(B2294, Analysis!$C$116:$C$137, 0), MATCH(C2294, Analysis!$D$115:$N$115, 0)), "")</f>
        <v/>
      </c>
      <c r="J2294" t="str">
        <f t="shared" si="214"/>
        <v/>
      </c>
      <c r="K2294" s="28" t="str">
        <f t="shared" si="211"/>
        <v/>
      </c>
      <c r="L2294" s="46" t="str">
        <f t="shared" si="215"/>
        <v/>
      </c>
      <c r="M2294" t="str" cm="1">
        <f t="array" ref="M2294">IF(L2294="","",_xlfn.IFS(
  AND(L2294&gt;=TIME(9,0,0), L2294&lt;TIME(16,0,0)),"Morning",
  AND(L2294&gt;=TIME(16,0,0), L2294&lt;TIME(23,59,0)),"Evening",
  L2294&gt;=TIME(23,59,0),"Night",
  L2294&lt;TIME(9,0,0),"Night"
))</f>
        <v/>
      </c>
      <c r="O2294" t="str">
        <f t="shared" si="212"/>
        <v/>
      </c>
    </row>
    <row r="2295" spans="7:15" x14ac:dyDescent="0.25">
      <c r="G2295" t="str">
        <f t="shared" si="210"/>
        <v/>
      </c>
      <c r="H2295" s="13" t="str">
        <f t="shared" si="213"/>
        <v/>
      </c>
      <c r="I2295" t="str">
        <f>IFERROR(INDEX(Analysis!$D$116:$N$137, MATCH(B2295, Analysis!$C$116:$C$137, 0), MATCH(C2295, Analysis!$D$115:$N$115, 0)), "")</f>
        <v/>
      </c>
      <c r="J2295" t="str">
        <f t="shared" si="214"/>
        <v/>
      </c>
      <c r="K2295" s="28" t="str">
        <f t="shared" si="211"/>
        <v/>
      </c>
      <c r="L2295" s="46" t="str">
        <f t="shared" si="215"/>
        <v/>
      </c>
      <c r="M2295" t="str" cm="1">
        <f t="array" ref="M2295">IF(L2295="","",_xlfn.IFS(
  AND(L2295&gt;=TIME(9,0,0), L2295&lt;TIME(16,0,0)),"Morning",
  AND(L2295&gt;=TIME(16,0,0), L2295&lt;TIME(23,59,0)),"Evening",
  L2295&gt;=TIME(23,59,0),"Night",
  L2295&lt;TIME(9,0,0),"Night"
))</f>
        <v/>
      </c>
      <c r="O2295" t="str">
        <f t="shared" si="212"/>
        <v/>
      </c>
    </row>
    <row r="2296" spans="7:15" x14ac:dyDescent="0.25">
      <c r="G2296" t="str">
        <f t="shared" si="210"/>
        <v/>
      </c>
      <c r="H2296" s="13" t="str">
        <f t="shared" si="213"/>
        <v/>
      </c>
      <c r="I2296" t="str">
        <f>IFERROR(INDEX(Analysis!$D$116:$N$137, MATCH(B2296, Analysis!$C$116:$C$137, 0), MATCH(C2296, Analysis!$D$115:$N$115, 0)), "")</f>
        <v/>
      </c>
      <c r="J2296" t="str">
        <f t="shared" si="214"/>
        <v/>
      </c>
      <c r="K2296" s="28" t="str">
        <f t="shared" si="211"/>
        <v/>
      </c>
      <c r="L2296" s="46" t="str">
        <f t="shared" si="215"/>
        <v/>
      </c>
      <c r="M2296" t="str" cm="1">
        <f t="array" ref="M2296">IF(L2296="","",_xlfn.IFS(
  AND(L2296&gt;=TIME(9,0,0), L2296&lt;TIME(16,0,0)),"Morning",
  AND(L2296&gt;=TIME(16,0,0), L2296&lt;TIME(23,59,0)),"Evening",
  L2296&gt;=TIME(23,59,0),"Night",
  L2296&lt;TIME(9,0,0),"Night"
))</f>
        <v/>
      </c>
      <c r="O2296" t="str">
        <f t="shared" si="212"/>
        <v/>
      </c>
    </row>
    <row r="2297" spans="7:15" x14ac:dyDescent="0.25">
      <c r="G2297" t="str">
        <f t="shared" si="210"/>
        <v/>
      </c>
      <c r="H2297" s="13" t="str">
        <f t="shared" si="213"/>
        <v/>
      </c>
      <c r="I2297" t="str">
        <f>IFERROR(INDEX(Analysis!$D$116:$N$137, MATCH(B2297, Analysis!$C$116:$C$137, 0), MATCH(C2297, Analysis!$D$115:$N$115, 0)), "")</f>
        <v/>
      </c>
      <c r="J2297" t="str">
        <f t="shared" si="214"/>
        <v/>
      </c>
      <c r="K2297" s="28" t="str">
        <f t="shared" si="211"/>
        <v/>
      </c>
      <c r="L2297" s="46" t="str">
        <f t="shared" si="215"/>
        <v/>
      </c>
      <c r="M2297" t="str" cm="1">
        <f t="array" ref="M2297">IF(L2297="","",_xlfn.IFS(
  AND(L2297&gt;=TIME(9,0,0), L2297&lt;TIME(16,0,0)),"Morning",
  AND(L2297&gt;=TIME(16,0,0), L2297&lt;TIME(23,59,0)),"Evening",
  L2297&gt;=TIME(23,59,0),"Night",
  L2297&lt;TIME(9,0,0),"Night"
))</f>
        <v/>
      </c>
      <c r="O2297" t="str">
        <f t="shared" si="212"/>
        <v/>
      </c>
    </row>
    <row r="2298" spans="7:15" x14ac:dyDescent="0.25">
      <c r="G2298" t="str">
        <f t="shared" si="210"/>
        <v/>
      </c>
      <c r="H2298" s="13" t="str">
        <f t="shared" si="213"/>
        <v/>
      </c>
      <c r="I2298" t="str">
        <f>IFERROR(INDEX(Analysis!$D$116:$N$137, MATCH(B2298, Analysis!$C$116:$C$137, 0), MATCH(C2298, Analysis!$D$115:$N$115, 0)), "")</f>
        <v/>
      </c>
      <c r="J2298" t="str">
        <f t="shared" si="214"/>
        <v/>
      </c>
      <c r="K2298" s="28" t="str">
        <f t="shared" si="211"/>
        <v/>
      </c>
      <c r="L2298" s="46" t="str">
        <f t="shared" si="215"/>
        <v/>
      </c>
      <c r="M2298" t="str" cm="1">
        <f t="array" ref="M2298">IF(L2298="","",_xlfn.IFS(
  AND(L2298&gt;=TIME(9,0,0), L2298&lt;TIME(16,0,0)),"Morning",
  AND(L2298&gt;=TIME(16,0,0), L2298&lt;TIME(23,59,0)),"Evening",
  L2298&gt;=TIME(23,59,0),"Night",
  L2298&lt;TIME(9,0,0),"Night"
))</f>
        <v/>
      </c>
      <c r="O2298" t="str">
        <f t="shared" si="212"/>
        <v/>
      </c>
    </row>
    <row r="2299" spans="7:15" x14ac:dyDescent="0.25">
      <c r="G2299" t="str">
        <f t="shared" si="210"/>
        <v/>
      </c>
      <c r="H2299" s="13" t="str">
        <f t="shared" si="213"/>
        <v/>
      </c>
      <c r="I2299" t="str">
        <f>IFERROR(INDEX(Analysis!$D$116:$N$137, MATCH(B2299, Analysis!$C$116:$C$137, 0), MATCH(C2299, Analysis!$D$115:$N$115, 0)), "")</f>
        <v/>
      </c>
      <c r="J2299" t="str">
        <f t="shared" si="214"/>
        <v/>
      </c>
      <c r="K2299" s="28" t="str">
        <f t="shared" si="211"/>
        <v/>
      </c>
      <c r="L2299" s="46" t="str">
        <f t="shared" si="215"/>
        <v/>
      </c>
      <c r="M2299" t="str" cm="1">
        <f t="array" ref="M2299">IF(L2299="","",_xlfn.IFS(
  AND(L2299&gt;=TIME(9,0,0), L2299&lt;TIME(16,0,0)),"Morning",
  AND(L2299&gt;=TIME(16,0,0), L2299&lt;TIME(23,59,0)),"Evening",
  L2299&gt;=TIME(23,59,0),"Night",
  L2299&lt;TIME(9,0,0),"Night"
))</f>
        <v/>
      </c>
      <c r="O2299" t="str">
        <f t="shared" si="212"/>
        <v/>
      </c>
    </row>
    <row r="2300" spans="7:15" x14ac:dyDescent="0.25">
      <c r="G2300" t="str">
        <f t="shared" si="210"/>
        <v/>
      </c>
      <c r="H2300" s="13" t="str">
        <f t="shared" si="213"/>
        <v/>
      </c>
      <c r="I2300" t="str">
        <f>IFERROR(INDEX(Analysis!$D$116:$N$137, MATCH(B2300, Analysis!$C$116:$C$137, 0), MATCH(C2300, Analysis!$D$115:$N$115, 0)), "")</f>
        <v/>
      </c>
      <c r="J2300" t="str">
        <f t="shared" si="214"/>
        <v/>
      </c>
      <c r="K2300" s="28" t="str">
        <f t="shared" si="211"/>
        <v/>
      </c>
      <c r="L2300" s="46" t="str">
        <f t="shared" si="215"/>
        <v/>
      </c>
      <c r="M2300" t="str" cm="1">
        <f t="array" ref="M2300">IF(L2300="","",_xlfn.IFS(
  AND(L2300&gt;=TIME(9,0,0), L2300&lt;TIME(16,0,0)),"Morning",
  AND(L2300&gt;=TIME(16,0,0), L2300&lt;TIME(23,59,0)),"Evening",
  L2300&gt;=TIME(23,59,0),"Night",
  L2300&lt;TIME(9,0,0),"Night"
))</f>
        <v/>
      </c>
      <c r="O2300" t="str">
        <f t="shared" si="212"/>
        <v/>
      </c>
    </row>
    <row r="2301" spans="7:15" x14ac:dyDescent="0.25">
      <c r="G2301" t="str">
        <f t="shared" si="210"/>
        <v/>
      </c>
      <c r="H2301" s="13" t="str">
        <f t="shared" si="213"/>
        <v/>
      </c>
      <c r="I2301" t="str">
        <f>IFERROR(INDEX(Analysis!$D$116:$N$137, MATCH(B2301, Analysis!$C$116:$C$137, 0), MATCH(C2301, Analysis!$D$115:$N$115, 0)), "")</f>
        <v/>
      </c>
      <c r="J2301" t="str">
        <f t="shared" si="214"/>
        <v/>
      </c>
      <c r="K2301" s="28" t="str">
        <f t="shared" si="211"/>
        <v/>
      </c>
      <c r="L2301" s="46" t="str">
        <f t="shared" si="215"/>
        <v/>
      </c>
      <c r="M2301" t="str" cm="1">
        <f t="array" ref="M2301">IF(L2301="","",_xlfn.IFS(
  AND(L2301&gt;=TIME(9,0,0), L2301&lt;TIME(16,0,0)),"Morning",
  AND(L2301&gt;=TIME(16,0,0), L2301&lt;TIME(23,59,0)),"Evening",
  L2301&gt;=TIME(23,59,0),"Night",
  L2301&lt;TIME(9,0,0),"Night"
))</f>
        <v/>
      </c>
      <c r="O2301" t="str">
        <f t="shared" si="212"/>
        <v/>
      </c>
    </row>
    <row r="2302" spans="7:15" x14ac:dyDescent="0.25">
      <c r="G2302" t="str">
        <f t="shared" si="210"/>
        <v/>
      </c>
      <c r="H2302" s="13" t="str">
        <f t="shared" si="213"/>
        <v/>
      </c>
      <c r="I2302" t="str">
        <f>IFERROR(INDEX(Analysis!$D$116:$N$137, MATCH(B2302, Analysis!$C$116:$C$137, 0), MATCH(C2302, Analysis!$D$115:$N$115, 0)), "")</f>
        <v/>
      </c>
      <c r="J2302" t="str">
        <f t="shared" si="214"/>
        <v/>
      </c>
      <c r="K2302" s="28" t="str">
        <f t="shared" si="211"/>
        <v/>
      </c>
      <c r="L2302" s="46" t="str">
        <f t="shared" si="215"/>
        <v/>
      </c>
      <c r="M2302" t="str" cm="1">
        <f t="array" ref="M2302">IF(L2302="","",_xlfn.IFS(
  AND(L2302&gt;=TIME(9,0,0), L2302&lt;TIME(16,0,0)),"Morning",
  AND(L2302&gt;=TIME(16,0,0), L2302&lt;TIME(23,59,0)),"Evening",
  L2302&gt;=TIME(23,59,0),"Night",
  L2302&lt;TIME(9,0,0),"Night"
))</f>
        <v/>
      </c>
      <c r="O2302" t="str">
        <f t="shared" si="212"/>
        <v/>
      </c>
    </row>
    <row r="2303" spans="7:15" x14ac:dyDescent="0.25">
      <c r="G2303" t="str">
        <f t="shared" si="210"/>
        <v/>
      </c>
      <c r="H2303" s="13" t="str">
        <f t="shared" si="213"/>
        <v/>
      </c>
      <c r="I2303" t="str">
        <f>IFERROR(INDEX(Analysis!$D$116:$N$137, MATCH(B2303, Analysis!$C$116:$C$137, 0), MATCH(C2303, Analysis!$D$115:$N$115, 0)), "")</f>
        <v/>
      </c>
      <c r="J2303" t="str">
        <f t="shared" si="214"/>
        <v/>
      </c>
      <c r="K2303" s="28" t="str">
        <f t="shared" si="211"/>
        <v/>
      </c>
      <c r="L2303" s="46" t="str">
        <f t="shared" si="215"/>
        <v/>
      </c>
      <c r="M2303" t="str" cm="1">
        <f t="array" ref="M2303">IF(L2303="","",_xlfn.IFS(
  AND(L2303&gt;=TIME(9,0,0), L2303&lt;TIME(16,0,0)),"Morning",
  AND(L2303&gt;=TIME(16,0,0), L2303&lt;TIME(23,59,0)),"Evening",
  L2303&gt;=TIME(23,59,0),"Night",
  L2303&lt;TIME(9,0,0),"Night"
))</f>
        <v/>
      </c>
      <c r="O2303" t="str">
        <f t="shared" si="212"/>
        <v/>
      </c>
    </row>
    <row r="2304" spans="7:15" x14ac:dyDescent="0.25">
      <c r="G2304" t="str">
        <f t="shared" si="210"/>
        <v/>
      </c>
      <c r="H2304" s="13" t="str">
        <f t="shared" si="213"/>
        <v/>
      </c>
      <c r="I2304" t="str">
        <f>IFERROR(INDEX(Analysis!$D$116:$N$137, MATCH(B2304, Analysis!$C$116:$C$137, 0), MATCH(C2304, Analysis!$D$115:$N$115, 0)), "")</f>
        <v/>
      </c>
      <c r="J2304" t="str">
        <f t="shared" si="214"/>
        <v/>
      </c>
      <c r="K2304" s="28" t="str">
        <f t="shared" si="211"/>
        <v/>
      </c>
      <c r="L2304" s="46" t="str">
        <f t="shared" si="215"/>
        <v/>
      </c>
      <c r="M2304" t="str" cm="1">
        <f t="array" ref="M2304">IF(L2304="","",_xlfn.IFS(
  AND(L2304&gt;=TIME(9,0,0), L2304&lt;TIME(16,0,0)),"Morning",
  AND(L2304&gt;=TIME(16,0,0), L2304&lt;TIME(23,59,0)),"Evening",
  L2304&gt;=TIME(23,59,0),"Night",
  L2304&lt;TIME(9,0,0),"Night"
))</f>
        <v/>
      </c>
      <c r="O2304" t="str">
        <f t="shared" si="212"/>
        <v/>
      </c>
    </row>
    <row r="2305" spans="7:15" x14ac:dyDescent="0.25">
      <c r="G2305" t="str">
        <f t="shared" si="210"/>
        <v/>
      </c>
      <c r="H2305" s="13" t="str">
        <f t="shared" si="213"/>
        <v/>
      </c>
      <c r="I2305" t="str">
        <f>IFERROR(INDEX(Analysis!$D$116:$N$137, MATCH(B2305, Analysis!$C$116:$C$137, 0), MATCH(C2305, Analysis!$D$115:$N$115, 0)), "")</f>
        <v/>
      </c>
      <c r="J2305" t="str">
        <f t="shared" si="214"/>
        <v/>
      </c>
      <c r="K2305" s="28" t="str">
        <f t="shared" si="211"/>
        <v/>
      </c>
      <c r="L2305" s="46" t="str">
        <f t="shared" si="215"/>
        <v/>
      </c>
      <c r="M2305" t="str" cm="1">
        <f t="array" ref="M2305">IF(L2305="","",_xlfn.IFS(
  AND(L2305&gt;=TIME(9,0,0), L2305&lt;TIME(16,0,0)),"Morning",
  AND(L2305&gt;=TIME(16,0,0), L2305&lt;TIME(23,59,0)),"Evening",
  L2305&gt;=TIME(23,59,0),"Night",
  L2305&lt;TIME(9,0,0),"Night"
))</f>
        <v/>
      </c>
      <c r="O2305" t="str">
        <f t="shared" si="212"/>
        <v/>
      </c>
    </row>
    <row r="2306" spans="7:15" x14ac:dyDescent="0.25">
      <c r="G2306" t="str">
        <f t="shared" ref="G2306:G2369" si="216">IF(ISBLANK(A2306), "", IF(ISBLANK(F2306), 0, F2306))</f>
        <v/>
      </c>
      <c r="H2306" s="13" t="str">
        <f t="shared" si="213"/>
        <v/>
      </c>
      <c r="I2306" t="str">
        <f>IFERROR(INDEX(Analysis!$D$116:$N$137, MATCH(B2306, Analysis!$C$116:$C$137, 0), MATCH(C2306, Analysis!$D$115:$N$115, 0)), "")</f>
        <v/>
      </c>
      <c r="J2306" t="str">
        <f t="shared" si="214"/>
        <v/>
      </c>
      <c r="K2306" s="28" t="str">
        <f t="shared" ref="K2306:K2369" si="217">IF(ISBLANK(A2306),"",DATE(YEAR(A2306),MONTH(A2306),DAY(A2306)))</f>
        <v/>
      </c>
      <c r="L2306" s="46" t="str">
        <f t="shared" si="215"/>
        <v/>
      </c>
      <c r="M2306" t="str" cm="1">
        <f t="array" ref="M2306">IF(L2306="","",_xlfn.IFS(
  AND(L2306&gt;=TIME(9,0,0), L2306&lt;TIME(16,0,0)),"Morning",
  AND(L2306&gt;=TIME(16,0,0), L2306&lt;TIME(23,59,0)),"Evening",
  L2306&gt;=TIME(23,59,0),"Night",
  L2306&lt;TIME(9,0,0),"Night"
))</f>
        <v/>
      </c>
      <c r="O2306" t="str">
        <f t="shared" ref="O2306:O2369" si="218">IF(N2306="ON", _xlfn.IMAGE(E2306, 1), "")</f>
        <v/>
      </c>
    </row>
    <row r="2307" spans="7:15" x14ac:dyDescent="0.25">
      <c r="G2307" t="str">
        <f t="shared" si="216"/>
        <v/>
      </c>
      <c r="H2307" s="13" t="str">
        <f t="shared" ref="H2307:H2370" si="219">IF(ISBLANK(E2307),"",HYPERLINK(E2307,"Click here"))</f>
        <v/>
      </c>
      <c r="I2307" t="str">
        <f>IFERROR(INDEX(Analysis!$D$116:$N$137, MATCH(B2307, Analysis!$C$116:$C$137, 0), MATCH(C2307, Analysis!$D$115:$N$115, 0)), "")</f>
        <v/>
      </c>
      <c r="J2307" t="str">
        <f t="shared" ref="J2307:J2370" si="220">IF(ISBLANK(A2307),"",WEEKNUM(A2307))</f>
        <v/>
      </c>
      <c r="K2307" s="28" t="str">
        <f t="shared" si="217"/>
        <v/>
      </c>
      <c r="L2307" s="46" t="str">
        <f t="shared" ref="L2307:L2370" si="221">IF(A2307="", "", A2307 - INT(A2307))</f>
        <v/>
      </c>
      <c r="M2307" t="str" cm="1">
        <f t="array" ref="M2307">IF(L2307="","",_xlfn.IFS(
  AND(L2307&gt;=TIME(9,0,0), L2307&lt;TIME(16,0,0)),"Morning",
  AND(L2307&gt;=TIME(16,0,0), L2307&lt;TIME(23,59,0)),"Evening",
  L2307&gt;=TIME(23,59,0),"Night",
  L2307&lt;TIME(9,0,0),"Night"
))</f>
        <v/>
      </c>
      <c r="O2307" t="str">
        <f t="shared" si="218"/>
        <v/>
      </c>
    </row>
    <row r="2308" spans="7:15" x14ac:dyDescent="0.25">
      <c r="G2308" t="str">
        <f t="shared" si="216"/>
        <v/>
      </c>
      <c r="H2308" s="13" t="str">
        <f t="shared" si="219"/>
        <v/>
      </c>
      <c r="I2308" t="str">
        <f>IFERROR(INDEX(Analysis!$D$116:$N$137, MATCH(B2308, Analysis!$C$116:$C$137, 0), MATCH(C2308, Analysis!$D$115:$N$115, 0)), "")</f>
        <v/>
      </c>
      <c r="J2308" t="str">
        <f t="shared" si="220"/>
        <v/>
      </c>
      <c r="K2308" s="28" t="str">
        <f t="shared" si="217"/>
        <v/>
      </c>
      <c r="L2308" s="46" t="str">
        <f t="shared" si="221"/>
        <v/>
      </c>
      <c r="M2308" t="str" cm="1">
        <f t="array" ref="M2308">IF(L2308="","",_xlfn.IFS(
  AND(L2308&gt;=TIME(9,0,0), L2308&lt;TIME(16,0,0)),"Morning",
  AND(L2308&gt;=TIME(16,0,0), L2308&lt;TIME(23,59,0)),"Evening",
  L2308&gt;=TIME(23,59,0),"Night",
  L2308&lt;TIME(9,0,0),"Night"
))</f>
        <v/>
      </c>
      <c r="O2308" t="str">
        <f t="shared" si="218"/>
        <v/>
      </c>
    </row>
    <row r="2309" spans="7:15" x14ac:dyDescent="0.25">
      <c r="G2309" t="str">
        <f t="shared" si="216"/>
        <v/>
      </c>
      <c r="H2309" s="13" t="str">
        <f t="shared" si="219"/>
        <v/>
      </c>
      <c r="I2309" t="str">
        <f>IFERROR(INDEX(Analysis!$D$116:$N$137, MATCH(B2309, Analysis!$C$116:$C$137, 0), MATCH(C2309, Analysis!$D$115:$N$115, 0)), "")</f>
        <v/>
      </c>
      <c r="J2309" t="str">
        <f t="shared" si="220"/>
        <v/>
      </c>
      <c r="K2309" s="28" t="str">
        <f t="shared" si="217"/>
        <v/>
      </c>
      <c r="L2309" s="46" t="str">
        <f t="shared" si="221"/>
        <v/>
      </c>
      <c r="M2309" t="str" cm="1">
        <f t="array" ref="M2309">IF(L2309="","",_xlfn.IFS(
  AND(L2309&gt;=TIME(9,0,0), L2309&lt;TIME(16,0,0)),"Morning",
  AND(L2309&gt;=TIME(16,0,0), L2309&lt;TIME(23,59,0)),"Evening",
  L2309&gt;=TIME(23,59,0),"Night",
  L2309&lt;TIME(9,0,0),"Night"
))</f>
        <v/>
      </c>
      <c r="O2309" t="str">
        <f t="shared" si="218"/>
        <v/>
      </c>
    </row>
    <row r="2310" spans="7:15" x14ac:dyDescent="0.25">
      <c r="G2310" t="str">
        <f t="shared" si="216"/>
        <v/>
      </c>
      <c r="H2310" s="13" t="str">
        <f t="shared" si="219"/>
        <v/>
      </c>
      <c r="I2310" t="str">
        <f>IFERROR(INDEX(Analysis!$D$116:$N$137, MATCH(B2310, Analysis!$C$116:$C$137, 0), MATCH(C2310, Analysis!$D$115:$N$115, 0)), "")</f>
        <v/>
      </c>
      <c r="J2310" t="str">
        <f t="shared" si="220"/>
        <v/>
      </c>
      <c r="K2310" s="28" t="str">
        <f t="shared" si="217"/>
        <v/>
      </c>
      <c r="L2310" s="46" t="str">
        <f t="shared" si="221"/>
        <v/>
      </c>
      <c r="M2310" t="str" cm="1">
        <f t="array" ref="M2310">IF(L2310="","",_xlfn.IFS(
  AND(L2310&gt;=TIME(9,0,0), L2310&lt;TIME(16,0,0)),"Morning",
  AND(L2310&gt;=TIME(16,0,0), L2310&lt;TIME(23,59,0)),"Evening",
  L2310&gt;=TIME(23,59,0),"Night",
  L2310&lt;TIME(9,0,0),"Night"
))</f>
        <v/>
      </c>
      <c r="O2310" t="str">
        <f t="shared" si="218"/>
        <v/>
      </c>
    </row>
    <row r="2311" spans="7:15" x14ac:dyDescent="0.25">
      <c r="G2311" t="str">
        <f t="shared" si="216"/>
        <v/>
      </c>
      <c r="H2311" s="13" t="str">
        <f t="shared" si="219"/>
        <v/>
      </c>
      <c r="I2311" t="str">
        <f>IFERROR(INDEX(Analysis!$D$116:$N$137, MATCH(B2311, Analysis!$C$116:$C$137, 0), MATCH(C2311, Analysis!$D$115:$N$115, 0)), "")</f>
        <v/>
      </c>
      <c r="J2311" t="str">
        <f t="shared" si="220"/>
        <v/>
      </c>
      <c r="K2311" s="28" t="str">
        <f t="shared" si="217"/>
        <v/>
      </c>
      <c r="L2311" s="46" t="str">
        <f t="shared" si="221"/>
        <v/>
      </c>
      <c r="M2311" t="str" cm="1">
        <f t="array" ref="M2311">IF(L2311="","",_xlfn.IFS(
  AND(L2311&gt;=TIME(9,0,0), L2311&lt;TIME(16,0,0)),"Morning",
  AND(L2311&gt;=TIME(16,0,0), L2311&lt;TIME(23,59,0)),"Evening",
  L2311&gt;=TIME(23,59,0),"Night",
  L2311&lt;TIME(9,0,0),"Night"
))</f>
        <v/>
      </c>
      <c r="O2311" t="str">
        <f t="shared" si="218"/>
        <v/>
      </c>
    </row>
    <row r="2312" spans="7:15" x14ac:dyDescent="0.25">
      <c r="G2312" t="str">
        <f t="shared" si="216"/>
        <v/>
      </c>
      <c r="H2312" s="13" t="str">
        <f t="shared" si="219"/>
        <v/>
      </c>
      <c r="I2312" t="str">
        <f>IFERROR(INDEX(Analysis!$D$116:$N$137, MATCH(B2312, Analysis!$C$116:$C$137, 0), MATCH(C2312, Analysis!$D$115:$N$115, 0)), "")</f>
        <v/>
      </c>
      <c r="J2312" t="str">
        <f t="shared" si="220"/>
        <v/>
      </c>
      <c r="K2312" s="28" t="str">
        <f t="shared" si="217"/>
        <v/>
      </c>
      <c r="L2312" s="46" t="str">
        <f t="shared" si="221"/>
        <v/>
      </c>
      <c r="M2312" t="str" cm="1">
        <f t="array" ref="M2312">IF(L2312="","",_xlfn.IFS(
  AND(L2312&gt;=TIME(9,0,0), L2312&lt;TIME(16,0,0)),"Morning",
  AND(L2312&gt;=TIME(16,0,0), L2312&lt;TIME(23,59,0)),"Evening",
  L2312&gt;=TIME(23,59,0),"Night",
  L2312&lt;TIME(9,0,0),"Night"
))</f>
        <v/>
      </c>
      <c r="O2312" t="str">
        <f t="shared" si="218"/>
        <v/>
      </c>
    </row>
    <row r="2313" spans="7:15" x14ac:dyDescent="0.25">
      <c r="G2313" t="str">
        <f t="shared" si="216"/>
        <v/>
      </c>
      <c r="H2313" s="13" t="str">
        <f t="shared" si="219"/>
        <v/>
      </c>
      <c r="I2313" t="str">
        <f>IFERROR(INDEX(Analysis!$D$116:$N$137, MATCH(B2313, Analysis!$C$116:$C$137, 0), MATCH(C2313, Analysis!$D$115:$N$115, 0)), "")</f>
        <v/>
      </c>
      <c r="J2313" t="str">
        <f t="shared" si="220"/>
        <v/>
      </c>
      <c r="K2313" s="28" t="str">
        <f t="shared" si="217"/>
        <v/>
      </c>
      <c r="L2313" s="46" t="str">
        <f t="shared" si="221"/>
        <v/>
      </c>
      <c r="M2313" t="str" cm="1">
        <f t="array" ref="M2313">IF(L2313="","",_xlfn.IFS(
  AND(L2313&gt;=TIME(9,0,0), L2313&lt;TIME(16,0,0)),"Morning",
  AND(L2313&gt;=TIME(16,0,0), L2313&lt;TIME(23,59,0)),"Evening",
  L2313&gt;=TIME(23,59,0),"Night",
  L2313&lt;TIME(9,0,0),"Night"
))</f>
        <v/>
      </c>
      <c r="O2313" t="str">
        <f t="shared" si="218"/>
        <v/>
      </c>
    </row>
    <row r="2314" spans="7:15" x14ac:dyDescent="0.25">
      <c r="G2314" t="str">
        <f t="shared" si="216"/>
        <v/>
      </c>
      <c r="H2314" s="13" t="str">
        <f t="shared" si="219"/>
        <v/>
      </c>
      <c r="I2314" t="str">
        <f>IFERROR(INDEX(Analysis!$D$116:$N$137, MATCH(B2314, Analysis!$C$116:$C$137, 0), MATCH(C2314, Analysis!$D$115:$N$115, 0)), "")</f>
        <v/>
      </c>
      <c r="J2314" t="str">
        <f t="shared" si="220"/>
        <v/>
      </c>
      <c r="K2314" s="28" t="str">
        <f t="shared" si="217"/>
        <v/>
      </c>
      <c r="L2314" s="46" t="str">
        <f t="shared" si="221"/>
        <v/>
      </c>
      <c r="M2314" t="str" cm="1">
        <f t="array" ref="M2314">IF(L2314="","",_xlfn.IFS(
  AND(L2314&gt;=TIME(9,0,0), L2314&lt;TIME(16,0,0)),"Morning",
  AND(L2314&gt;=TIME(16,0,0), L2314&lt;TIME(23,59,0)),"Evening",
  L2314&gt;=TIME(23,59,0),"Night",
  L2314&lt;TIME(9,0,0),"Night"
))</f>
        <v/>
      </c>
      <c r="O2314" t="str">
        <f t="shared" si="218"/>
        <v/>
      </c>
    </row>
    <row r="2315" spans="7:15" x14ac:dyDescent="0.25">
      <c r="G2315" t="str">
        <f t="shared" si="216"/>
        <v/>
      </c>
      <c r="H2315" s="13" t="str">
        <f t="shared" si="219"/>
        <v/>
      </c>
      <c r="I2315" t="str">
        <f>IFERROR(INDEX(Analysis!$D$116:$N$137, MATCH(B2315, Analysis!$C$116:$C$137, 0), MATCH(C2315, Analysis!$D$115:$N$115, 0)), "")</f>
        <v/>
      </c>
      <c r="J2315" t="str">
        <f t="shared" si="220"/>
        <v/>
      </c>
      <c r="K2315" s="28" t="str">
        <f t="shared" si="217"/>
        <v/>
      </c>
      <c r="L2315" s="46" t="str">
        <f t="shared" si="221"/>
        <v/>
      </c>
      <c r="M2315" t="str" cm="1">
        <f t="array" ref="M2315">IF(L2315="","",_xlfn.IFS(
  AND(L2315&gt;=TIME(9,0,0), L2315&lt;TIME(16,0,0)),"Morning",
  AND(L2315&gt;=TIME(16,0,0), L2315&lt;TIME(23,59,0)),"Evening",
  L2315&gt;=TIME(23,59,0),"Night",
  L2315&lt;TIME(9,0,0),"Night"
))</f>
        <v/>
      </c>
      <c r="O2315" t="str">
        <f t="shared" si="218"/>
        <v/>
      </c>
    </row>
    <row r="2316" spans="7:15" x14ac:dyDescent="0.25">
      <c r="G2316" t="str">
        <f t="shared" si="216"/>
        <v/>
      </c>
      <c r="H2316" s="13" t="str">
        <f t="shared" si="219"/>
        <v/>
      </c>
      <c r="I2316" t="str">
        <f>IFERROR(INDEX(Analysis!$D$116:$N$137, MATCH(B2316, Analysis!$C$116:$C$137, 0), MATCH(C2316, Analysis!$D$115:$N$115, 0)), "")</f>
        <v/>
      </c>
      <c r="J2316" t="str">
        <f t="shared" si="220"/>
        <v/>
      </c>
      <c r="K2316" s="28" t="str">
        <f t="shared" si="217"/>
        <v/>
      </c>
      <c r="L2316" s="46" t="str">
        <f t="shared" si="221"/>
        <v/>
      </c>
      <c r="M2316" t="str" cm="1">
        <f t="array" ref="M2316">IF(L2316="","",_xlfn.IFS(
  AND(L2316&gt;=TIME(9,0,0), L2316&lt;TIME(16,0,0)),"Morning",
  AND(L2316&gt;=TIME(16,0,0), L2316&lt;TIME(23,59,0)),"Evening",
  L2316&gt;=TIME(23,59,0),"Night",
  L2316&lt;TIME(9,0,0),"Night"
))</f>
        <v/>
      </c>
      <c r="O2316" t="str">
        <f t="shared" si="218"/>
        <v/>
      </c>
    </row>
    <row r="2317" spans="7:15" x14ac:dyDescent="0.25">
      <c r="G2317" t="str">
        <f t="shared" si="216"/>
        <v/>
      </c>
      <c r="H2317" s="13" t="str">
        <f t="shared" si="219"/>
        <v/>
      </c>
      <c r="I2317" t="str">
        <f>IFERROR(INDEX(Analysis!$D$116:$N$137, MATCH(B2317, Analysis!$C$116:$C$137, 0), MATCH(C2317, Analysis!$D$115:$N$115, 0)), "")</f>
        <v/>
      </c>
      <c r="J2317" t="str">
        <f t="shared" si="220"/>
        <v/>
      </c>
      <c r="K2317" s="28" t="str">
        <f t="shared" si="217"/>
        <v/>
      </c>
      <c r="L2317" s="46" t="str">
        <f t="shared" si="221"/>
        <v/>
      </c>
      <c r="M2317" t="str" cm="1">
        <f t="array" ref="M2317">IF(L2317="","",_xlfn.IFS(
  AND(L2317&gt;=TIME(9,0,0), L2317&lt;TIME(16,0,0)),"Morning",
  AND(L2317&gt;=TIME(16,0,0), L2317&lt;TIME(23,59,0)),"Evening",
  L2317&gt;=TIME(23,59,0),"Night",
  L2317&lt;TIME(9,0,0),"Night"
))</f>
        <v/>
      </c>
      <c r="O2317" t="str">
        <f t="shared" si="218"/>
        <v/>
      </c>
    </row>
    <row r="2318" spans="7:15" x14ac:dyDescent="0.25">
      <c r="G2318" t="str">
        <f t="shared" si="216"/>
        <v/>
      </c>
      <c r="H2318" s="13" t="str">
        <f t="shared" si="219"/>
        <v/>
      </c>
      <c r="I2318" t="str">
        <f>IFERROR(INDEX(Analysis!$D$116:$N$137, MATCH(B2318, Analysis!$C$116:$C$137, 0), MATCH(C2318, Analysis!$D$115:$N$115, 0)), "")</f>
        <v/>
      </c>
      <c r="J2318" t="str">
        <f t="shared" si="220"/>
        <v/>
      </c>
      <c r="K2318" s="28" t="str">
        <f t="shared" si="217"/>
        <v/>
      </c>
      <c r="L2318" s="46" t="str">
        <f t="shared" si="221"/>
        <v/>
      </c>
      <c r="M2318" t="str" cm="1">
        <f t="array" ref="M2318">IF(L2318="","",_xlfn.IFS(
  AND(L2318&gt;=TIME(9,0,0), L2318&lt;TIME(16,0,0)),"Morning",
  AND(L2318&gt;=TIME(16,0,0), L2318&lt;TIME(23,59,0)),"Evening",
  L2318&gt;=TIME(23,59,0),"Night",
  L2318&lt;TIME(9,0,0),"Night"
))</f>
        <v/>
      </c>
      <c r="O2318" t="str">
        <f t="shared" si="218"/>
        <v/>
      </c>
    </row>
    <row r="2319" spans="7:15" x14ac:dyDescent="0.25">
      <c r="G2319" t="str">
        <f t="shared" si="216"/>
        <v/>
      </c>
      <c r="H2319" s="13" t="str">
        <f t="shared" si="219"/>
        <v/>
      </c>
      <c r="I2319" t="str">
        <f>IFERROR(INDEX(Analysis!$D$116:$N$137, MATCH(B2319, Analysis!$C$116:$C$137, 0), MATCH(C2319, Analysis!$D$115:$N$115, 0)), "")</f>
        <v/>
      </c>
      <c r="J2319" t="str">
        <f t="shared" si="220"/>
        <v/>
      </c>
      <c r="K2319" s="28" t="str">
        <f t="shared" si="217"/>
        <v/>
      </c>
      <c r="L2319" s="46" t="str">
        <f t="shared" si="221"/>
        <v/>
      </c>
      <c r="M2319" t="str" cm="1">
        <f t="array" ref="M2319">IF(L2319="","",_xlfn.IFS(
  AND(L2319&gt;=TIME(9,0,0), L2319&lt;TIME(16,0,0)),"Morning",
  AND(L2319&gt;=TIME(16,0,0), L2319&lt;TIME(23,59,0)),"Evening",
  L2319&gt;=TIME(23,59,0),"Night",
  L2319&lt;TIME(9,0,0),"Night"
))</f>
        <v/>
      </c>
      <c r="O2319" t="str">
        <f t="shared" si="218"/>
        <v/>
      </c>
    </row>
    <row r="2320" spans="7:15" x14ac:dyDescent="0.25">
      <c r="G2320" t="str">
        <f t="shared" si="216"/>
        <v/>
      </c>
      <c r="H2320" s="13" t="str">
        <f t="shared" si="219"/>
        <v/>
      </c>
      <c r="I2320" t="str">
        <f>IFERROR(INDEX(Analysis!$D$116:$N$137, MATCH(B2320, Analysis!$C$116:$C$137, 0), MATCH(C2320, Analysis!$D$115:$N$115, 0)), "")</f>
        <v/>
      </c>
      <c r="J2320" t="str">
        <f t="shared" si="220"/>
        <v/>
      </c>
      <c r="K2320" s="28" t="str">
        <f t="shared" si="217"/>
        <v/>
      </c>
      <c r="L2320" s="46" t="str">
        <f t="shared" si="221"/>
        <v/>
      </c>
      <c r="M2320" t="str" cm="1">
        <f t="array" ref="M2320">IF(L2320="","",_xlfn.IFS(
  AND(L2320&gt;=TIME(9,0,0), L2320&lt;TIME(16,0,0)),"Morning",
  AND(L2320&gt;=TIME(16,0,0), L2320&lt;TIME(23,59,0)),"Evening",
  L2320&gt;=TIME(23,59,0),"Night",
  L2320&lt;TIME(9,0,0),"Night"
))</f>
        <v/>
      </c>
      <c r="O2320" t="str">
        <f t="shared" si="218"/>
        <v/>
      </c>
    </row>
    <row r="2321" spans="7:15" x14ac:dyDescent="0.25">
      <c r="G2321" t="str">
        <f t="shared" si="216"/>
        <v/>
      </c>
      <c r="H2321" s="13" t="str">
        <f t="shared" si="219"/>
        <v/>
      </c>
      <c r="I2321" t="str">
        <f>IFERROR(INDEX(Analysis!$D$116:$N$137, MATCH(B2321, Analysis!$C$116:$C$137, 0), MATCH(C2321, Analysis!$D$115:$N$115, 0)), "")</f>
        <v/>
      </c>
      <c r="J2321" t="str">
        <f t="shared" si="220"/>
        <v/>
      </c>
      <c r="K2321" s="28" t="str">
        <f t="shared" si="217"/>
        <v/>
      </c>
      <c r="L2321" s="46" t="str">
        <f t="shared" si="221"/>
        <v/>
      </c>
      <c r="M2321" t="str" cm="1">
        <f t="array" ref="M2321">IF(L2321="","",_xlfn.IFS(
  AND(L2321&gt;=TIME(9,0,0), L2321&lt;TIME(16,0,0)),"Morning",
  AND(L2321&gt;=TIME(16,0,0), L2321&lt;TIME(23,59,0)),"Evening",
  L2321&gt;=TIME(23,59,0),"Night",
  L2321&lt;TIME(9,0,0),"Night"
))</f>
        <v/>
      </c>
      <c r="O2321" t="str">
        <f t="shared" si="218"/>
        <v/>
      </c>
    </row>
    <row r="2322" spans="7:15" x14ac:dyDescent="0.25">
      <c r="G2322" t="str">
        <f t="shared" si="216"/>
        <v/>
      </c>
      <c r="H2322" s="13" t="str">
        <f t="shared" si="219"/>
        <v/>
      </c>
      <c r="I2322" t="str">
        <f>IFERROR(INDEX(Analysis!$D$116:$N$137, MATCH(B2322, Analysis!$C$116:$C$137, 0), MATCH(C2322, Analysis!$D$115:$N$115, 0)), "")</f>
        <v/>
      </c>
      <c r="J2322" t="str">
        <f t="shared" si="220"/>
        <v/>
      </c>
      <c r="K2322" s="28" t="str">
        <f t="shared" si="217"/>
        <v/>
      </c>
      <c r="L2322" s="46" t="str">
        <f t="shared" si="221"/>
        <v/>
      </c>
      <c r="M2322" t="str" cm="1">
        <f t="array" ref="M2322">IF(L2322="","",_xlfn.IFS(
  AND(L2322&gt;=TIME(9,0,0), L2322&lt;TIME(16,0,0)),"Morning",
  AND(L2322&gt;=TIME(16,0,0), L2322&lt;TIME(23,59,0)),"Evening",
  L2322&gt;=TIME(23,59,0),"Night",
  L2322&lt;TIME(9,0,0),"Night"
))</f>
        <v/>
      </c>
      <c r="O2322" t="str">
        <f t="shared" si="218"/>
        <v/>
      </c>
    </row>
    <row r="2323" spans="7:15" x14ac:dyDescent="0.25">
      <c r="G2323" t="str">
        <f t="shared" si="216"/>
        <v/>
      </c>
      <c r="H2323" s="13" t="str">
        <f t="shared" si="219"/>
        <v/>
      </c>
      <c r="I2323" t="str">
        <f>IFERROR(INDEX(Analysis!$D$116:$N$137, MATCH(B2323, Analysis!$C$116:$C$137, 0), MATCH(C2323, Analysis!$D$115:$N$115, 0)), "")</f>
        <v/>
      </c>
      <c r="J2323" t="str">
        <f t="shared" si="220"/>
        <v/>
      </c>
      <c r="K2323" s="28" t="str">
        <f t="shared" si="217"/>
        <v/>
      </c>
      <c r="L2323" s="46" t="str">
        <f t="shared" si="221"/>
        <v/>
      </c>
      <c r="M2323" t="str" cm="1">
        <f t="array" ref="M2323">IF(L2323="","",_xlfn.IFS(
  AND(L2323&gt;=TIME(9,0,0), L2323&lt;TIME(16,0,0)),"Morning",
  AND(L2323&gt;=TIME(16,0,0), L2323&lt;TIME(23,59,0)),"Evening",
  L2323&gt;=TIME(23,59,0),"Night",
  L2323&lt;TIME(9,0,0),"Night"
))</f>
        <v/>
      </c>
      <c r="O2323" t="str">
        <f t="shared" si="218"/>
        <v/>
      </c>
    </row>
    <row r="2324" spans="7:15" x14ac:dyDescent="0.25">
      <c r="G2324" t="str">
        <f t="shared" si="216"/>
        <v/>
      </c>
      <c r="H2324" s="13" t="str">
        <f t="shared" si="219"/>
        <v/>
      </c>
      <c r="I2324" t="str">
        <f>IFERROR(INDEX(Analysis!$D$116:$N$137, MATCH(B2324, Analysis!$C$116:$C$137, 0), MATCH(C2324, Analysis!$D$115:$N$115, 0)), "")</f>
        <v/>
      </c>
      <c r="J2324" t="str">
        <f t="shared" si="220"/>
        <v/>
      </c>
      <c r="K2324" s="28" t="str">
        <f t="shared" si="217"/>
        <v/>
      </c>
      <c r="L2324" s="46" t="str">
        <f t="shared" si="221"/>
        <v/>
      </c>
      <c r="M2324" t="str" cm="1">
        <f t="array" ref="M2324">IF(L2324="","",_xlfn.IFS(
  AND(L2324&gt;=TIME(9,0,0), L2324&lt;TIME(16,0,0)),"Morning",
  AND(L2324&gt;=TIME(16,0,0), L2324&lt;TIME(23,59,0)),"Evening",
  L2324&gt;=TIME(23,59,0),"Night",
  L2324&lt;TIME(9,0,0),"Night"
))</f>
        <v/>
      </c>
      <c r="O2324" t="str">
        <f t="shared" si="218"/>
        <v/>
      </c>
    </row>
    <row r="2325" spans="7:15" x14ac:dyDescent="0.25">
      <c r="G2325" t="str">
        <f t="shared" si="216"/>
        <v/>
      </c>
      <c r="H2325" s="13" t="str">
        <f t="shared" si="219"/>
        <v/>
      </c>
      <c r="I2325" t="str">
        <f>IFERROR(INDEX(Analysis!$D$116:$N$137, MATCH(B2325, Analysis!$C$116:$C$137, 0), MATCH(C2325, Analysis!$D$115:$N$115, 0)), "")</f>
        <v/>
      </c>
      <c r="J2325" t="str">
        <f t="shared" si="220"/>
        <v/>
      </c>
      <c r="K2325" s="28" t="str">
        <f t="shared" si="217"/>
        <v/>
      </c>
      <c r="L2325" s="46" t="str">
        <f t="shared" si="221"/>
        <v/>
      </c>
      <c r="M2325" t="str" cm="1">
        <f t="array" ref="M2325">IF(L2325="","",_xlfn.IFS(
  AND(L2325&gt;=TIME(9,0,0), L2325&lt;TIME(16,0,0)),"Morning",
  AND(L2325&gt;=TIME(16,0,0), L2325&lt;TIME(23,59,0)),"Evening",
  L2325&gt;=TIME(23,59,0),"Night",
  L2325&lt;TIME(9,0,0),"Night"
))</f>
        <v/>
      </c>
      <c r="O2325" t="str">
        <f t="shared" si="218"/>
        <v/>
      </c>
    </row>
    <row r="2326" spans="7:15" x14ac:dyDescent="0.25">
      <c r="G2326" t="str">
        <f t="shared" si="216"/>
        <v/>
      </c>
      <c r="H2326" s="13" t="str">
        <f t="shared" si="219"/>
        <v/>
      </c>
      <c r="I2326" t="str">
        <f>IFERROR(INDEX(Analysis!$D$116:$N$137, MATCH(B2326, Analysis!$C$116:$C$137, 0), MATCH(C2326, Analysis!$D$115:$N$115, 0)), "")</f>
        <v/>
      </c>
      <c r="J2326" t="str">
        <f t="shared" si="220"/>
        <v/>
      </c>
      <c r="K2326" s="28" t="str">
        <f t="shared" si="217"/>
        <v/>
      </c>
      <c r="L2326" s="46" t="str">
        <f t="shared" si="221"/>
        <v/>
      </c>
      <c r="M2326" t="str" cm="1">
        <f t="array" ref="M2326">IF(L2326="","",_xlfn.IFS(
  AND(L2326&gt;=TIME(9,0,0), L2326&lt;TIME(16,0,0)),"Morning",
  AND(L2326&gt;=TIME(16,0,0), L2326&lt;TIME(23,59,0)),"Evening",
  L2326&gt;=TIME(23,59,0),"Night",
  L2326&lt;TIME(9,0,0),"Night"
))</f>
        <v/>
      </c>
      <c r="O2326" t="str">
        <f t="shared" si="218"/>
        <v/>
      </c>
    </row>
    <row r="2327" spans="7:15" x14ac:dyDescent="0.25">
      <c r="G2327" t="str">
        <f t="shared" si="216"/>
        <v/>
      </c>
      <c r="H2327" s="13" t="str">
        <f t="shared" si="219"/>
        <v/>
      </c>
      <c r="I2327" t="str">
        <f>IFERROR(INDEX(Analysis!$D$116:$N$137, MATCH(B2327, Analysis!$C$116:$C$137, 0), MATCH(C2327, Analysis!$D$115:$N$115, 0)), "")</f>
        <v/>
      </c>
      <c r="J2327" t="str">
        <f t="shared" si="220"/>
        <v/>
      </c>
      <c r="K2327" s="28" t="str">
        <f t="shared" si="217"/>
        <v/>
      </c>
      <c r="L2327" s="46" t="str">
        <f t="shared" si="221"/>
        <v/>
      </c>
      <c r="M2327" t="str" cm="1">
        <f t="array" ref="M2327">IF(L2327="","",_xlfn.IFS(
  AND(L2327&gt;=TIME(9,0,0), L2327&lt;TIME(16,0,0)),"Morning",
  AND(L2327&gt;=TIME(16,0,0), L2327&lt;TIME(23,59,0)),"Evening",
  L2327&gt;=TIME(23,59,0),"Night",
  L2327&lt;TIME(9,0,0),"Night"
))</f>
        <v/>
      </c>
      <c r="O2327" t="str">
        <f t="shared" si="218"/>
        <v/>
      </c>
    </row>
    <row r="2328" spans="7:15" x14ac:dyDescent="0.25">
      <c r="G2328" t="str">
        <f t="shared" si="216"/>
        <v/>
      </c>
      <c r="H2328" s="13" t="str">
        <f t="shared" si="219"/>
        <v/>
      </c>
      <c r="I2328" t="str">
        <f>IFERROR(INDEX(Analysis!$D$116:$N$137, MATCH(B2328, Analysis!$C$116:$C$137, 0), MATCH(C2328, Analysis!$D$115:$N$115, 0)), "")</f>
        <v/>
      </c>
      <c r="J2328" t="str">
        <f t="shared" si="220"/>
        <v/>
      </c>
      <c r="K2328" s="28" t="str">
        <f t="shared" si="217"/>
        <v/>
      </c>
      <c r="L2328" s="46" t="str">
        <f t="shared" si="221"/>
        <v/>
      </c>
      <c r="M2328" t="str" cm="1">
        <f t="array" ref="M2328">IF(L2328="","",_xlfn.IFS(
  AND(L2328&gt;=TIME(9,0,0), L2328&lt;TIME(16,0,0)),"Morning",
  AND(L2328&gt;=TIME(16,0,0), L2328&lt;TIME(23,59,0)),"Evening",
  L2328&gt;=TIME(23,59,0),"Night",
  L2328&lt;TIME(9,0,0),"Night"
))</f>
        <v/>
      </c>
      <c r="O2328" t="str">
        <f t="shared" si="218"/>
        <v/>
      </c>
    </row>
    <row r="2329" spans="7:15" x14ac:dyDescent="0.25">
      <c r="G2329" t="str">
        <f t="shared" si="216"/>
        <v/>
      </c>
      <c r="H2329" s="13" t="str">
        <f t="shared" si="219"/>
        <v/>
      </c>
      <c r="I2329" t="str">
        <f>IFERROR(INDEX(Analysis!$D$116:$N$137, MATCH(B2329, Analysis!$C$116:$C$137, 0), MATCH(C2329, Analysis!$D$115:$N$115, 0)), "")</f>
        <v/>
      </c>
      <c r="J2329" t="str">
        <f t="shared" si="220"/>
        <v/>
      </c>
      <c r="K2329" s="28" t="str">
        <f t="shared" si="217"/>
        <v/>
      </c>
      <c r="L2329" s="46" t="str">
        <f t="shared" si="221"/>
        <v/>
      </c>
      <c r="M2329" t="str" cm="1">
        <f t="array" ref="M2329">IF(L2329="","",_xlfn.IFS(
  AND(L2329&gt;=TIME(9,0,0), L2329&lt;TIME(16,0,0)),"Morning",
  AND(L2329&gt;=TIME(16,0,0), L2329&lt;TIME(23,59,0)),"Evening",
  L2329&gt;=TIME(23,59,0),"Night",
  L2329&lt;TIME(9,0,0),"Night"
))</f>
        <v/>
      </c>
      <c r="O2329" t="str">
        <f t="shared" si="218"/>
        <v/>
      </c>
    </row>
    <row r="2330" spans="7:15" x14ac:dyDescent="0.25">
      <c r="G2330" t="str">
        <f t="shared" si="216"/>
        <v/>
      </c>
      <c r="H2330" s="13" t="str">
        <f t="shared" si="219"/>
        <v/>
      </c>
      <c r="I2330" t="str">
        <f>IFERROR(INDEX(Analysis!$D$116:$N$137, MATCH(B2330, Analysis!$C$116:$C$137, 0), MATCH(C2330, Analysis!$D$115:$N$115, 0)), "")</f>
        <v/>
      </c>
      <c r="J2330" t="str">
        <f t="shared" si="220"/>
        <v/>
      </c>
      <c r="K2330" s="28" t="str">
        <f t="shared" si="217"/>
        <v/>
      </c>
      <c r="L2330" s="46" t="str">
        <f t="shared" si="221"/>
        <v/>
      </c>
      <c r="M2330" t="str" cm="1">
        <f t="array" ref="M2330">IF(L2330="","",_xlfn.IFS(
  AND(L2330&gt;=TIME(9,0,0), L2330&lt;TIME(16,0,0)),"Morning",
  AND(L2330&gt;=TIME(16,0,0), L2330&lt;TIME(23,59,0)),"Evening",
  L2330&gt;=TIME(23,59,0),"Night",
  L2330&lt;TIME(9,0,0),"Night"
))</f>
        <v/>
      </c>
      <c r="O2330" t="str">
        <f t="shared" si="218"/>
        <v/>
      </c>
    </row>
    <row r="2331" spans="7:15" x14ac:dyDescent="0.25">
      <c r="G2331" t="str">
        <f t="shared" si="216"/>
        <v/>
      </c>
      <c r="H2331" s="13" t="str">
        <f t="shared" si="219"/>
        <v/>
      </c>
      <c r="I2331" t="str">
        <f>IFERROR(INDEX(Analysis!$D$116:$N$137, MATCH(B2331, Analysis!$C$116:$C$137, 0), MATCH(C2331, Analysis!$D$115:$N$115, 0)), "")</f>
        <v/>
      </c>
      <c r="J2331" t="str">
        <f t="shared" si="220"/>
        <v/>
      </c>
      <c r="K2331" s="28" t="str">
        <f t="shared" si="217"/>
        <v/>
      </c>
      <c r="L2331" s="46" t="str">
        <f t="shared" si="221"/>
        <v/>
      </c>
      <c r="M2331" t="str" cm="1">
        <f t="array" ref="M2331">IF(L2331="","",_xlfn.IFS(
  AND(L2331&gt;=TIME(9,0,0), L2331&lt;TIME(16,0,0)),"Morning",
  AND(L2331&gt;=TIME(16,0,0), L2331&lt;TIME(23,59,0)),"Evening",
  L2331&gt;=TIME(23,59,0),"Night",
  L2331&lt;TIME(9,0,0),"Night"
))</f>
        <v/>
      </c>
      <c r="O2331" t="str">
        <f t="shared" si="218"/>
        <v/>
      </c>
    </row>
    <row r="2332" spans="7:15" x14ac:dyDescent="0.25">
      <c r="G2332" t="str">
        <f t="shared" si="216"/>
        <v/>
      </c>
      <c r="H2332" s="13" t="str">
        <f t="shared" si="219"/>
        <v/>
      </c>
      <c r="I2332" t="str">
        <f>IFERROR(INDEX(Analysis!$D$116:$N$137, MATCH(B2332, Analysis!$C$116:$C$137, 0), MATCH(C2332, Analysis!$D$115:$N$115, 0)), "")</f>
        <v/>
      </c>
      <c r="J2332" t="str">
        <f t="shared" si="220"/>
        <v/>
      </c>
      <c r="K2332" s="28" t="str">
        <f t="shared" si="217"/>
        <v/>
      </c>
      <c r="L2332" s="46" t="str">
        <f t="shared" si="221"/>
        <v/>
      </c>
      <c r="M2332" t="str" cm="1">
        <f t="array" ref="M2332">IF(L2332="","",_xlfn.IFS(
  AND(L2332&gt;=TIME(9,0,0), L2332&lt;TIME(16,0,0)),"Morning",
  AND(L2332&gt;=TIME(16,0,0), L2332&lt;TIME(23,59,0)),"Evening",
  L2332&gt;=TIME(23,59,0),"Night",
  L2332&lt;TIME(9,0,0),"Night"
))</f>
        <v/>
      </c>
      <c r="O2332" t="str">
        <f t="shared" si="218"/>
        <v/>
      </c>
    </row>
    <row r="2333" spans="7:15" x14ac:dyDescent="0.25">
      <c r="G2333" t="str">
        <f t="shared" si="216"/>
        <v/>
      </c>
      <c r="H2333" s="13" t="str">
        <f t="shared" si="219"/>
        <v/>
      </c>
      <c r="I2333" t="str">
        <f>IFERROR(INDEX(Analysis!$D$116:$N$137, MATCH(B2333, Analysis!$C$116:$C$137, 0), MATCH(C2333, Analysis!$D$115:$N$115, 0)), "")</f>
        <v/>
      </c>
      <c r="J2333" t="str">
        <f t="shared" si="220"/>
        <v/>
      </c>
      <c r="K2333" s="28" t="str">
        <f t="shared" si="217"/>
        <v/>
      </c>
      <c r="L2333" s="46" t="str">
        <f t="shared" si="221"/>
        <v/>
      </c>
      <c r="M2333" t="str" cm="1">
        <f t="array" ref="M2333">IF(L2333="","",_xlfn.IFS(
  AND(L2333&gt;=TIME(9,0,0), L2333&lt;TIME(16,0,0)),"Morning",
  AND(L2333&gt;=TIME(16,0,0), L2333&lt;TIME(23,59,0)),"Evening",
  L2333&gt;=TIME(23,59,0),"Night",
  L2333&lt;TIME(9,0,0),"Night"
))</f>
        <v/>
      </c>
      <c r="O2333" t="str">
        <f t="shared" si="218"/>
        <v/>
      </c>
    </row>
    <row r="2334" spans="7:15" x14ac:dyDescent="0.25">
      <c r="G2334" t="str">
        <f t="shared" si="216"/>
        <v/>
      </c>
      <c r="H2334" s="13" t="str">
        <f t="shared" si="219"/>
        <v/>
      </c>
      <c r="I2334" t="str">
        <f>IFERROR(INDEX(Analysis!$D$116:$N$137, MATCH(B2334, Analysis!$C$116:$C$137, 0), MATCH(C2334, Analysis!$D$115:$N$115, 0)), "")</f>
        <v/>
      </c>
      <c r="J2334" t="str">
        <f t="shared" si="220"/>
        <v/>
      </c>
      <c r="K2334" s="28" t="str">
        <f t="shared" si="217"/>
        <v/>
      </c>
      <c r="L2334" s="46" t="str">
        <f t="shared" si="221"/>
        <v/>
      </c>
      <c r="M2334" t="str" cm="1">
        <f t="array" ref="M2334">IF(L2334="","",_xlfn.IFS(
  AND(L2334&gt;=TIME(9,0,0), L2334&lt;TIME(16,0,0)),"Morning",
  AND(L2334&gt;=TIME(16,0,0), L2334&lt;TIME(23,59,0)),"Evening",
  L2334&gt;=TIME(23,59,0),"Night",
  L2334&lt;TIME(9,0,0),"Night"
))</f>
        <v/>
      </c>
      <c r="O2334" t="str">
        <f t="shared" si="218"/>
        <v/>
      </c>
    </row>
    <row r="2335" spans="7:15" x14ac:dyDescent="0.25">
      <c r="G2335" t="str">
        <f t="shared" si="216"/>
        <v/>
      </c>
      <c r="H2335" s="13" t="str">
        <f t="shared" si="219"/>
        <v/>
      </c>
      <c r="I2335" t="str">
        <f>IFERROR(INDEX(Analysis!$D$116:$N$137, MATCH(B2335, Analysis!$C$116:$C$137, 0), MATCH(C2335, Analysis!$D$115:$N$115, 0)), "")</f>
        <v/>
      </c>
      <c r="J2335" t="str">
        <f t="shared" si="220"/>
        <v/>
      </c>
      <c r="K2335" s="28" t="str">
        <f t="shared" si="217"/>
        <v/>
      </c>
      <c r="L2335" s="46" t="str">
        <f t="shared" si="221"/>
        <v/>
      </c>
      <c r="M2335" t="str" cm="1">
        <f t="array" ref="M2335">IF(L2335="","",_xlfn.IFS(
  AND(L2335&gt;=TIME(9,0,0), L2335&lt;TIME(16,0,0)),"Morning",
  AND(L2335&gt;=TIME(16,0,0), L2335&lt;TIME(23,59,0)),"Evening",
  L2335&gt;=TIME(23,59,0),"Night",
  L2335&lt;TIME(9,0,0),"Night"
))</f>
        <v/>
      </c>
      <c r="O2335" t="str">
        <f t="shared" si="218"/>
        <v/>
      </c>
    </row>
    <row r="2336" spans="7:15" x14ac:dyDescent="0.25">
      <c r="G2336" t="str">
        <f t="shared" si="216"/>
        <v/>
      </c>
      <c r="H2336" s="13" t="str">
        <f t="shared" si="219"/>
        <v/>
      </c>
      <c r="I2336" t="str">
        <f>IFERROR(INDEX(Analysis!$D$116:$N$137, MATCH(B2336, Analysis!$C$116:$C$137, 0), MATCH(C2336, Analysis!$D$115:$N$115, 0)), "")</f>
        <v/>
      </c>
      <c r="J2336" t="str">
        <f t="shared" si="220"/>
        <v/>
      </c>
      <c r="K2336" s="28" t="str">
        <f t="shared" si="217"/>
        <v/>
      </c>
      <c r="L2336" s="46" t="str">
        <f t="shared" si="221"/>
        <v/>
      </c>
      <c r="M2336" t="str" cm="1">
        <f t="array" ref="M2336">IF(L2336="","",_xlfn.IFS(
  AND(L2336&gt;=TIME(9,0,0), L2336&lt;TIME(16,0,0)),"Morning",
  AND(L2336&gt;=TIME(16,0,0), L2336&lt;TIME(23,59,0)),"Evening",
  L2336&gt;=TIME(23,59,0),"Night",
  L2336&lt;TIME(9,0,0),"Night"
))</f>
        <v/>
      </c>
      <c r="O2336" t="str">
        <f t="shared" si="218"/>
        <v/>
      </c>
    </row>
    <row r="2337" spans="7:15" x14ac:dyDescent="0.25">
      <c r="G2337" t="str">
        <f t="shared" si="216"/>
        <v/>
      </c>
      <c r="H2337" s="13" t="str">
        <f t="shared" si="219"/>
        <v/>
      </c>
      <c r="I2337" t="str">
        <f>IFERROR(INDEX(Analysis!$D$116:$N$137, MATCH(B2337, Analysis!$C$116:$C$137, 0), MATCH(C2337, Analysis!$D$115:$N$115, 0)), "")</f>
        <v/>
      </c>
      <c r="J2337" t="str">
        <f t="shared" si="220"/>
        <v/>
      </c>
      <c r="K2337" s="28" t="str">
        <f t="shared" si="217"/>
        <v/>
      </c>
      <c r="L2337" s="46" t="str">
        <f t="shared" si="221"/>
        <v/>
      </c>
      <c r="M2337" t="str" cm="1">
        <f t="array" ref="M2337">IF(L2337="","",_xlfn.IFS(
  AND(L2337&gt;=TIME(9,0,0), L2337&lt;TIME(16,0,0)),"Morning",
  AND(L2337&gt;=TIME(16,0,0), L2337&lt;TIME(23,59,0)),"Evening",
  L2337&gt;=TIME(23,59,0),"Night",
  L2337&lt;TIME(9,0,0),"Night"
))</f>
        <v/>
      </c>
      <c r="O2337" t="str">
        <f t="shared" si="218"/>
        <v/>
      </c>
    </row>
    <row r="2338" spans="7:15" x14ac:dyDescent="0.25">
      <c r="G2338" t="str">
        <f t="shared" si="216"/>
        <v/>
      </c>
      <c r="H2338" s="13" t="str">
        <f t="shared" si="219"/>
        <v/>
      </c>
      <c r="I2338" t="str">
        <f>IFERROR(INDEX(Analysis!$D$116:$N$137, MATCH(B2338, Analysis!$C$116:$C$137, 0), MATCH(C2338, Analysis!$D$115:$N$115, 0)), "")</f>
        <v/>
      </c>
      <c r="J2338" t="str">
        <f t="shared" si="220"/>
        <v/>
      </c>
      <c r="K2338" s="28" t="str">
        <f t="shared" si="217"/>
        <v/>
      </c>
      <c r="L2338" s="46" t="str">
        <f t="shared" si="221"/>
        <v/>
      </c>
      <c r="M2338" t="str" cm="1">
        <f t="array" ref="M2338">IF(L2338="","",_xlfn.IFS(
  AND(L2338&gt;=TIME(9,0,0), L2338&lt;TIME(16,0,0)),"Morning",
  AND(L2338&gt;=TIME(16,0,0), L2338&lt;TIME(23,59,0)),"Evening",
  L2338&gt;=TIME(23,59,0),"Night",
  L2338&lt;TIME(9,0,0),"Night"
))</f>
        <v/>
      </c>
      <c r="O2338" t="str">
        <f t="shared" si="218"/>
        <v/>
      </c>
    </row>
    <row r="2339" spans="7:15" x14ac:dyDescent="0.25">
      <c r="G2339" t="str">
        <f t="shared" si="216"/>
        <v/>
      </c>
      <c r="H2339" s="13" t="str">
        <f t="shared" si="219"/>
        <v/>
      </c>
      <c r="I2339" t="str">
        <f>IFERROR(INDEX(Analysis!$D$116:$N$137, MATCH(B2339, Analysis!$C$116:$C$137, 0), MATCH(C2339, Analysis!$D$115:$N$115, 0)), "")</f>
        <v/>
      </c>
      <c r="J2339" t="str">
        <f t="shared" si="220"/>
        <v/>
      </c>
      <c r="K2339" s="28" t="str">
        <f t="shared" si="217"/>
        <v/>
      </c>
      <c r="L2339" s="46" t="str">
        <f t="shared" si="221"/>
        <v/>
      </c>
      <c r="M2339" t="str" cm="1">
        <f t="array" ref="M2339">IF(L2339="","",_xlfn.IFS(
  AND(L2339&gt;=TIME(9,0,0), L2339&lt;TIME(16,0,0)),"Morning",
  AND(L2339&gt;=TIME(16,0,0), L2339&lt;TIME(23,59,0)),"Evening",
  L2339&gt;=TIME(23,59,0),"Night",
  L2339&lt;TIME(9,0,0),"Night"
))</f>
        <v/>
      </c>
      <c r="O2339" t="str">
        <f t="shared" si="218"/>
        <v/>
      </c>
    </row>
    <row r="2340" spans="7:15" x14ac:dyDescent="0.25">
      <c r="G2340" t="str">
        <f t="shared" si="216"/>
        <v/>
      </c>
      <c r="H2340" s="13" t="str">
        <f t="shared" si="219"/>
        <v/>
      </c>
      <c r="I2340" t="str">
        <f>IFERROR(INDEX(Analysis!$D$116:$N$137, MATCH(B2340, Analysis!$C$116:$C$137, 0), MATCH(C2340, Analysis!$D$115:$N$115, 0)), "")</f>
        <v/>
      </c>
      <c r="J2340" t="str">
        <f t="shared" si="220"/>
        <v/>
      </c>
      <c r="K2340" s="28" t="str">
        <f t="shared" si="217"/>
        <v/>
      </c>
      <c r="L2340" s="46" t="str">
        <f t="shared" si="221"/>
        <v/>
      </c>
      <c r="M2340" t="str" cm="1">
        <f t="array" ref="M2340">IF(L2340="","",_xlfn.IFS(
  AND(L2340&gt;=TIME(9,0,0), L2340&lt;TIME(16,0,0)),"Morning",
  AND(L2340&gt;=TIME(16,0,0), L2340&lt;TIME(23,59,0)),"Evening",
  L2340&gt;=TIME(23,59,0),"Night",
  L2340&lt;TIME(9,0,0),"Night"
))</f>
        <v/>
      </c>
      <c r="O2340" t="str">
        <f t="shared" si="218"/>
        <v/>
      </c>
    </row>
    <row r="2341" spans="7:15" x14ac:dyDescent="0.25">
      <c r="G2341" t="str">
        <f t="shared" si="216"/>
        <v/>
      </c>
      <c r="H2341" s="13" t="str">
        <f t="shared" si="219"/>
        <v/>
      </c>
      <c r="I2341" t="str">
        <f>IFERROR(INDEX(Analysis!$D$116:$N$137, MATCH(B2341, Analysis!$C$116:$C$137, 0), MATCH(C2341, Analysis!$D$115:$N$115, 0)), "")</f>
        <v/>
      </c>
      <c r="J2341" t="str">
        <f t="shared" si="220"/>
        <v/>
      </c>
      <c r="K2341" s="28" t="str">
        <f t="shared" si="217"/>
        <v/>
      </c>
      <c r="L2341" s="46" t="str">
        <f t="shared" si="221"/>
        <v/>
      </c>
      <c r="M2341" t="str" cm="1">
        <f t="array" ref="M2341">IF(L2341="","",_xlfn.IFS(
  AND(L2341&gt;=TIME(9,0,0), L2341&lt;TIME(16,0,0)),"Morning",
  AND(L2341&gt;=TIME(16,0,0), L2341&lt;TIME(23,59,0)),"Evening",
  L2341&gt;=TIME(23,59,0),"Night",
  L2341&lt;TIME(9,0,0),"Night"
))</f>
        <v/>
      </c>
      <c r="O2341" t="str">
        <f t="shared" si="218"/>
        <v/>
      </c>
    </row>
    <row r="2342" spans="7:15" x14ac:dyDescent="0.25">
      <c r="G2342" t="str">
        <f t="shared" si="216"/>
        <v/>
      </c>
      <c r="H2342" s="13" t="str">
        <f t="shared" si="219"/>
        <v/>
      </c>
      <c r="I2342" t="str">
        <f>IFERROR(INDEX(Analysis!$D$116:$N$137, MATCH(B2342, Analysis!$C$116:$C$137, 0), MATCH(C2342, Analysis!$D$115:$N$115, 0)), "")</f>
        <v/>
      </c>
      <c r="J2342" t="str">
        <f t="shared" si="220"/>
        <v/>
      </c>
      <c r="K2342" s="28" t="str">
        <f t="shared" si="217"/>
        <v/>
      </c>
      <c r="L2342" s="46" t="str">
        <f t="shared" si="221"/>
        <v/>
      </c>
      <c r="M2342" t="str" cm="1">
        <f t="array" ref="M2342">IF(L2342="","",_xlfn.IFS(
  AND(L2342&gt;=TIME(9,0,0), L2342&lt;TIME(16,0,0)),"Morning",
  AND(L2342&gt;=TIME(16,0,0), L2342&lt;TIME(23,59,0)),"Evening",
  L2342&gt;=TIME(23,59,0),"Night",
  L2342&lt;TIME(9,0,0),"Night"
))</f>
        <v/>
      </c>
      <c r="O2342" t="str">
        <f t="shared" si="218"/>
        <v/>
      </c>
    </row>
    <row r="2343" spans="7:15" x14ac:dyDescent="0.25">
      <c r="G2343" t="str">
        <f t="shared" si="216"/>
        <v/>
      </c>
      <c r="H2343" s="13" t="str">
        <f t="shared" si="219"/>
        <v/>
      </c>
      <c r="I2343" t="str">
        <f>IFERROR(INDEX(Analysis!$D$116:$N$137, MATCH(B2343, Analysis!$C$116:$C$137, 0), MATCH(C2343, Analysis!$D$115:$N$115, 0)), "")</f>
        <v/>
      </c>
      <c r="J2343" t="str">
        <f t="shared" si="220"/>
        <v/>
      </c>
      <c r="K2343" s="28" t="str">
        <f t="shared" si="217"/>
        <v/>
      </c>
      <c r="L2343" s="46" t="str">
        <f t="shared" si="221"/>
        <v/>
      </c>
      <c r="M2343" t="str" cm="1">
        <f t="array" ref="M2343">IF(L2343="","",_xlfn.IFS(
  AND(L2343&gt;=TIME(9,0,0), L2343&lt;TIME(16,0,0)),"Morning",
  AND(L2343&gt;=TIME(16,0,0), L2343&lt;TIME(23,59,0)),"Evening",
  L2343&gt;=TIME(23,59,0),"Night",
  L2343&lt;TIME(9,0,0),"Night"
))</f>
        <v/>
      </c>
      <c r="O2343" t="str">
        <f t="shared" si="218"/>
        <v/>
      </c>
    </row>
    <row r="2344" spans="7:15" x14ac:dyDescent="0.25">
      <c r="G2344" t="str">
        <f t="shared" si="216"/>
        <v/>
      </c>
      <c r="H2344" s="13" t="str">
        <f t="shared" si="219"/>
        <v/>
      </c>
      <c r="I2344" t="str">
        <f>IFERROR(INDEX(Analysis!$D$116:$N$137, MATCH(B2344, Analysis!$C$116:$C$137, 0), MATCH(C2344, Analysis!$D$115:$N$115, 0)), "")</f>
        <v/>
      </c>
      <c r="J2344" t="str">
        <f t="shared" si="220"/>
        <v/>
      </c>
      <c r="K2344" s="28" t="str">
        <f t="shared" si="217"/>
        <v/>
      </c>
      <c r="L2344" s="46" t="str">
        <f t="shared" si="221"/>
        <v/>
      </c>
      <c r="M2344" t="str" cm="1">
        <f t="array" ref="M2344">IF(L2344="","",_xlfn.IFS(
  AND(L2344&gt;=TIME(9,0,0), L2344&lt;TIME(16,0,0)),"Morning",
  AND(L2344&gt;=TIME(16,0,0), L2344&lt;TIME(23,59,0)),"Evening",
  L2344&gt;=TIME(23,59,0),"Night",
  L2344&lt;TIME(9,0,0),"Night"
))</f>
        <v/>
      </c>
      <c r="O2344" t="str">
        <f t="shared" si="218"/>
        <v/>
      </c>
    </row>
    <row r="2345" spans="7:15" x14ac:dyDescent="0.25">
      <c r="G2345" t="str">
        <f t="shared" si="216"/>
        <v/>
      </c>
      <c r="H2345" s="13" t="str">
        <f t="shared" si="219"/>
        <v/>
      </c>
      <c r="I2345" t="str">
        <f>IFERROR(INDEX(Analysis!$D$116:$N$137, MATCH(B2345, Analysis!$C$116:$C$137, 0), MATCH(C2345, Analysis!$D$115:$N$115, 0)), "")</f>
        <v/>
      </c>
      <c r="J2345" t="str">
        <f t="shared" si="220"/>
        <v/>
      </c>
      <c r="K2345" s="28" t="str">
        <f t="shared" si="217"/>
        <v/>
      </c>
      <c r="L2345" s="46" t="str">
        <f t="shared" si="221"/>
        <v/>
      </c>
      <c r="M2345" t="str" cm="1">
        <f t="array" ref="M2345">IF(L2345="","",_xlfn.IFS(
  AND(L2345&gt;=TIME(9,0,0), L2345&lt;TIME(16,0,0)),"Morning",
  AND(L2345&gt;=TIME(16,0,0), L2345&lt;TIME(23,59,0)),"Evening",
  L2345&gt;=TIME(23,59,0),"Night",
  L2345&lt;TIME(9,0,0),"Night"
))</f>
        <v/>
      </c>
      <c r="O2345" t="str">
        <f t="shared" si="218"/>
        <v/>
      </c>
    </row>
    <row r="2346" spans="7:15" x14ac:dyDescent="0.25">
      <c r="G2346" t="str">
        <f t="shared" si="216"/>
        <v/>
      </c>
      <c r="H2346" s="13" t="str">
        <f t="shared" si="219"/>
        <v/>
      </c>
      <c r="I2346" t="str">
        <f>IFERROR(INDEX(Analysis!$D$116:$N$137, MATCH(B2346, Analysis!$C$116:$C$137, 0), MATCH(C2346, Analysis!$D$115:$N$115, 0)), "")</f>
        <v/>
      </c>
      <c r="J2346" t="str">
        <f t="shared" si="220"/>
        <v/>
      </c>
      <c r="K2346" s="28" t="str">
        <f t="shared" si="217"/>
        <v/>
      </c>
      <c r="L2346" s="46" t="str">
        <f t="shared" si="221"/>
        <v/>
      </c>
      <c r="M2346" t="str" cm="1">
        <f t="array" ref="M2346">IF(L2346="","",_xlfn.IFS(
  AND(L2346&gt;=TIME(9,0,0), L2346&lt;TIME(16,0,0)),"Morning",
  AND(L2346&gt;=TIME(16,0,0), L2346&lt;TIME(23,59,0)),"Evening",
  L2346&gt;=TIME(23,59,0),"Night",
  L2346&lt;TIME(9,0,0),"Night"
))</f>
        <v/>
      </c>
      <c r="O2346" t="str">
        <f t="shared" si="218"/>
        <v/>
      </c>
    </row>
    <row r="2347" spans="7:15" x14ac:dyDescent="0.25">
      <c r="G2347" t="str">
        <f t="shared" si="216"/>
        <v/>
      </c>
      <c r="H2347" s="13" t="str">
        <f t="shared" si="219"/>
        <v/>
      </c>
      <c r="I2347" t="str">
        <f>IFERROR(INDEX(Analysis!$D$116:$N$137, MATCH(B2347, Analysis!$C$116:$C$137, 0), MATCH(C2347, Analysis!$D$115:$N$115, 0)), "")</f>
        <v/>
      </c>
      <c r="J2347" t="str">
        <f t="shared" si="220"/>
        <v/>
      </c>
      <c r="K2347" s="28" t="str">
        <f t="shared" si="217"/>
        <v/>
      </c>
      <c r="L2347" s="46" t="str">
        <f t="shared" si="221"/>
        <v/>
      </c>
      <c r="M2347" t="str" cm="1">
        <f t="array" ref="M2347">IF(L2347="","",_xlfn.IFS(
  AND(L2347&gt;=TIME(9,0,0), L2347&lt;TIME(16,0,0)),"Morning",
  AND(L2347&gt;=TIME(16,0,0), L2347&lt;TIME(23,59,0)),"Evening",
  L2347&gt;=TIME(23,59,0),"Night",
  L2347&lt;TIME(9,0,0),"Night"
))</f>
        <v/>
      </c>
      <c r="O2347" t="str">
        <f t="shared" si="218"/>
        <v/>
      </c>
    </row>
    <row r="2348" spans="7:15" x14ac:dyDescent="0.25">
      <c r="G2348" t="str">
        <f t="shared" si="216"/>
        <v/>
      </c>
      <c r="H2348" s="13" t="str">
        <f t="shared" si="219"/>
        <v/>
      </c>
      <c r="I2348" t="str">
        <f>IFERROR(INDEX(Analysis!$D$116:$N$137, MATCH(B2348, Analysis!$C$116:$C$137, 0), MATCH(C2348, Analysis!$D$115:$N$115, 0)), "")</f>
        <v/>
      </c>
      <c r="J2348" t="str">
        <f t="shared" si="220"/>
        <v/>
      </c>
      <c r="K2348" s="28" t="str">
        <f t="shared" si="217"/>
        <v/>
      </c>
      <c r="L2348" s="46" t="str">
        <f t="shared" si="221"/>
        <v/>
      </c>
      <c r="M2348" t="str" cm="1">
        <f t="array" ref="M2348">IF(L2348="","",_xlfn.IFS(
  AND(L2348&gt;=TIME(9,0,0), L2348&lt;TIME(16,0,0)),"Morning",
  AND(L2348&gt;=TIME(16,0,0), L2348&lt;TIME(23,59,0)),"Evening",
  L2348&gt;=TIME(23,59,0),"Night",
  L2348&lt;TIME(9,0,0),"Night"
))</f>
        <v/>
      </c>
      <c r="O2348" t="str">
        <f t="shared" si="218"/>
        <v/>
      </c>
    </row>
    <row r="2349" spans="7:15" x14ac:dyDescent="0.25">
      <c r="G2349" t="str">
        <f t="shared" si="216"/>
        <v/>
      </c>
      <c r="H2349" s="13" t="str">
        <f t="shared" si="219"/>
        <v/>
      </c>
      <c r="I2349" t="str">
        <f>IFERROR(INDEX(Analysis!$D$116:$N$137, MATCH(B2349, Analysis!$C$116:$C$137, 0), MATCH(C2349, Analysis!$D$115:$N$115, 0)), "")</f>
        <v/>
      </c>
      <c r="J2349" t="str">
        <f t="shared" si="220"/>
        <v/>
      </c>
      <c r="K2349" s="28" t="str">
        <f t="shared" si="217"/>
        <v/>
      </c>
      <c r="L2349" s="46" t="str">
        <f t="shared" si="221"/>
        <v/>
      </c>
      <c r="M2349" t="str" cm="1">
        <f t="array" ref="M2349">IF(L2349="","",_xlfn.IFS(
  AND(L2349&gt;=TIME(9,0,0), L2349&lt;TIME(16,0,0)),"Morning",
  AND(L2349&gt;=TIME(16,0,0), L2349&lt;TIME(23,59,0)),"Evening",
  L2349&gt;=TIME(23,59,0),"Night",
  L2349&lt;TIME(9,0,0),"Night"
))</f>
        <v/>
      </c>
      <c r="O2349" t="str">
        <f t="shared" si="218"/>
        <v/>
      </c>
    </row>
    <row r="2350" spans="7:15" x14ac:dyDescent="0.25">
      <c r="G2350" t="str">
        <f t="shared" si="216"/>
        <v/>
      </c>
      <c r="H2350" s="13" t="str">
        <f t="shared" si="219"/>
        <v/>
      </c>
      <c r="I2350" t="str">
        <f>IFERROR(INDEX(Analysis!$D$116:$N$137, MATCH(B2350, Analysis!$C$116:$C$137, 0), MATCH(C2350, Analysis!$D$115:$N$115, 0)), "")</f>
        <v/>
      </c>
      <c r="J2350" t="str">
        <f t="shared" si="220"/>
        <v/>
      </c>
      <c r="K2350" s="28" t="str">
        <f t="shared" si="217"/>
        <v/>
      </c>
      <c r="L2350" s="46" t="str">
        <f t="shared" si="221"/>
        <v/>
      </c>
      <c r="M2350" t="str" cm="1">
        <f t="array" ref="M2350">IF(L2350="","",_xlfn.IFS(
  AND(L2350&gt;=TIME(9,0,0), L2350&lt;TIME(16,0,0)),"Morning",
  AND(L2350&gt;=TIME(16,0,0), L2350&lt;TIME(23,59,0)),"Evening",
  L2350&gt;=TIME(23,59,0),"Night",
  L2350&lt;TIME(9,0,0),"Night"
))</f>
        <v/>
      </c>
      <c r="O2350" t="str">
        <f t="shared" si="218"/>
        <v/>
      </c>
    </row>
    <row r="2351" spans="7:15" x14ac:dyDescent="0.25">
      <c r="G2351" t="str">
        <f t="shared" si="216"/>
        <v/>
      </c>
      <c r="H2351" s="13" t="str">
        <f t="shared" si="219"/>
        <v/>
      </c>
      <c r="I2351" t="str">
        <f>IFERROR(INDEX(Analysis!$D$116:$N$137, MATCH(B2351, Analysis!$C$116:$C$137, 0), MATCH(C2351, Analysis!$D$115:$N$115, 0)), "")</f>
        <v/>
      </c>
      <c r="J2351" t="str">
        <f t="shared" si="220"/>
        <v/>
      </c>
      <c r="K2351" s="28" t="str">
        <f t="shared" si="217"/>
        <v/>
      </c>
      <c r="L2351" s="46" t="str">
        <f t="shared" si="221"/>
        <v/>
      </c>
      <c r="M2351" t="str" cm="1">
        <f t="array" ref="M2351">IF(L2351="","",_xlfn.IFS(
  AND(L2351&gt;=TIME(9,0,0), L2351&lt;TIME(16,0,0)),"Morning",
  AND(L2351&gt;=TIME(16,0,0), L2351&lt;TIME(23,59,0)),"Evening",
  L2351&gt;=TIME(23,59,0),"Night",
  L2351&lt;TIME(9,0,0),"Night"
))</f>
        <v/>
      </c>
      <c r="O2351" t="str">
        <f t="shared" si="218"/>
        <v/>
      </c>
    </row>
    <row r="2352" spans="7:15" x14ac:dyDescent="0.25">
      <c r="G2352" t="str">
        <f t="shared" si="216"/>
        <v/>
      </c>
      <c r="H2352" s="13" t="str">
        <f t="shared" si="219"/>
        <v/>
      </c>
      <c r="I2352" t="str">
        <f>IFERROR(INDEX(Analysis!$D$116:$N$137, MATCH(B2352, Analysis!$C$116:$C$137, 0), MATCH(C2352, Analysis!$D$115:$N$115, 0)), "")</f>
        <v/>
      </c>
      <c r="J2352" t="str">
        <f t="shared" si="220"/>
        <v/>
      </c>
      <c r="K2352" s="28" t="str">
        <f t="shared" si="217"/>
        <v/>
      </c>
      <c r="L2352" s="46" t="str">
        <f t="shared" si="221"/>
        <v/>
      </c>
      <c r="M2352" t="str" cm="1">
        <f t="array" ref="M2352">IF(L2352="","",_xlfn.IFS(
  AND(L2352&gt;=TIME(9,0,0), L2352&lt;TIME(16,0,0)),"Morning",
  AND(L2352&gt;=TIME(16,0,0), L2352&lt;TIME(23,59,0)),"Evening",
  L2352&gt;=TIME(23,59,0),"Night",
  L2352&lt;TIME(9,0,0),"Night"
))</f>
        <v/>
      </c>
      <c r="O2352" t="str">
        <f t="shared" si="218"/>
        <v/>
      </c>
    </row>
    <row r="2353" spans="7:15" x14ac:dyDescent="0.25">
      <c r="G2353" t="str">
        <f t="shared" si="216"/>
        <v/>
      </c>
      <c r="H2353" s="13" t="str">
        <f t="shared" si="219"/>
        <v/>
      </c>
      <c r="I2353" t="str">
        <f>IFERROR(INDEX(Analysis!$D$116:$N$137, MATCH(B2353, Analysis!$C$116:$C$137, 0), MATCH(C2353, Analysis!$D$115:$N$115, 0)), "")</f>
        <v/>
      </c>
      <c r="J2353" t="str">
        <f t="shared" si="220"/>
        <v/>
      </c>
      <c r="K2353" s="28" t="str">
        <f t="shared" si="217"/>
        <v/>
      </c>
      <c r="L2353" s="46" t="str">
        <f t="shared" si="221"/>
        <v/>
      </c>
      <c r="M2353" t="str" cm="1">
        <f t="array" ref="M2353">IF(L2353="","",_xlfn.IFS(
  AND(L2353&gt;=TIME(9,0,0), L2353&lt;TIME(16,0,0)),"Morning",
  AND(L2353&gt;=TIME(16,0,0), L2353&lt;TIME(23,59,0)),"Evening",
  L2353&gt;=TIME(23,59,0),"Night",
  L2353&lt;TIME(9,0,0),"Night"
))</f>
        <v/>
      </c>
      <c r="O2353" t="str">
        <f t="shared" si="218"/>
        <v/>
      </c>
    </row>
    <row r="2354" spans="7:15" x14ac:dyDescent="0.25">
      <c r="G2354" t="str">
        <f t="shared" si="216"/>
        <v/>
      </c>
      <c r="H2354" s="13" t="str">
        <f t="shared" si="219"/>
        <v/>
      </c>
      <c r="I2354" t="str">
        <f>IFERROR(INDEX(Analysis!$D$116:$N$137, MATCH(B2354, Analysis!$C$116:$C$137, 0), MATCH(C2354, Analysis!$D$115:$N$115, 0)), "")</f>
        <v/>
      </c>
      <c r="J2354" t="str">
        <f t="shared" si="220"/>
        <v/>
      </c>
      <c r="K2354" s="28" t="str">
        <f t="shared" si="217"/>
        <v/>
      </c>
      <c r="L2354" s="46" t="str">
        <f t="shared" si="221"/>
        <v/>
      </c>
      <c r="M2354" t="str" cm="1">
        <f t="array" ref="M2354">IF(L2354="","",_xlfn.IFS(
  AND(L2354&gt;=TIME(9,0,0), L2354&lt;TIME(16,0,0)),"Morning",
  AND(L2354&gt;=TIME(16,0,0), L2354&lt;TIME(23,59,0)),"Evening",
  L2354&gt;=TIME(23,59,0),"Night",
  L2354&lt;TIME(9,0,0),"Night"
))</f>
        <v/>
      </c>
      <c r="O2354" t="str">
        <f t="shared" si="218"/>
        <v/>
      </c>
    </row>
    <row r="2355" spans="7:15" x14ac:dyDescent="0.25">
      <c r="G2355" t="str">
        <f t="shared" si="216"/>
        <v/>
      </c>
      <c r="H2355" s="13" t="str">
        <f t="shared" si="219"/>
        <v/>
      </c>
      <c r="I2355" t="str">
        <f>IFERROR(INDEX(Analysis!$D$116:$N$137, MATCH(B2355, Analysis!$C$116:$C$137, 0), MATCH(C2355, Analysis!$D$115:$N$115, 0)), "")</f>
        <v/>
      </c>
      <c r="J2355" t="str">
        <f t="shared" si="220"/>
        <v/>
      </c>
      <c r="K2355" s="28" t="str">
        <f t="shared" si="217"/>
        <v/>
      </c>
      <c r="L2355" s="46" t="str">
        <f t="shared" si="221"/>
        <v/>
      </c>
      <c r="M2355" t="str" cm="1">
        <f t="array" ref="M2355">IF(L2355="","",_xlfn.IFS(
  AND(L2355&gt;=TIME(9,0,0), L2355&lt;TIME(16,0,0)),"Morning",
  AND(L2355&gt;=TIME(16,0,0), L2355&lt;TIME(23,59,0)),"Evening",
  L2355&gt;=TIME(23,59,0),"Night",
  L2355&lt;TIME(9,0,0),"Night"
))</f>
        <v/>
      </c>
      <c r="O2355" t="str">
        <f t="shared" si="218"/>
        <v/>
      </c>
    </row>
    <row r="2356" spans="7:15" x14ac:dyDescent="0.25">
      <c r="G2356" t="str">
        <f t="shared" si="216"/>
        <v/>
      </c>
      <c r="H2356" s="13" t="str">
        <f t="shared" si="219"/>
        <v/>
      </c>
      <c r="I2356" t="str">
        <f>IFERROR(INDEX(Analysis!$D$116:$N$137, MATCH(B2356, Analysis!$C$116:$C$137, 0), MATCH(C2356, Analysis!$D$115:$N$115, 0)), "")</f>
        <v/>
      </c>
      <c r="J2356" t="str">
        <f t="shared" si="220"/>
        <v/>
      </c>
      <c r="K2356" s="28" t="str">
        <f t="shared" si="217"/>
        <v/>
      </c>
      <c r="L2356" s="46" t="str">
        <f t="shared" si="221"/>
        <v/>
      </c>
      <c r="M2356" t="str" cm="1">
        <f t="array" ref="M2356">IF(L2356="","",_xlfn.IFS(
  AND(L2356&gt;=TIME(9,0,0), L2356&lt;TIME(16,0,0)),"Morning",
  AND(L2356&gt;=TIME(16,0,0), L2356&lt;TIME(23,59,0)),"Evening",
  L2356&gt;=TIME(23,59,0),"Night",
  L2356&lt;TIME(9,0,0),"Night"
))</f>
        <v/>
      </c>
      <c r="O2356" t="str">
        <f t="shared" si="218"/>
        <v/>
      </c>
    </row>
    <row r="2357" spans="7:15" x14ac:dyDescent="0.25">
      <c r="G2357" t="str">
        <f t="shared" si="216"/>
        <v/>
      </c>
      <c r="H2357" s="13" t="str">
        <f t="shared" si="219"/>
        <v/>
      </c>
      <c r="I2357" t="str">
        <f>IFERROR(INDEX(Analysis!$D$116:$N$137, MATCH(B2357, Analysis!$C$116:$C$137, 0), MATCH(C2357, Analysis!$D$115:$N$115, 0)), "")</f>
        <v/>
      </c>
      <c r="J2357" t="str">
        <f t="shared" si="220"/>
        <v/>
      </c>
      <c r="K2357" s="28" t="str">
        <f t="shared" si="217"/>
        <v/>
      </c>
      <c r="L2357" s="46" t="str">
        <f t="shared" si="221"/>
        <v/>
      </c>
      <c r="M2357" t="str" cm="1">
        <f t="array" ref="M2357">IF(L2357="","",_xlfn.IFS(
  AND(L2357&gt;=TIME(9,0,0), L2357&lt;TIME(16,0,0)),"Morning",
  AND(L2357&gt;=TIME(16,0,0), L2357&lt;TIME(23,59,0)),"Evening",
  L2357&gt;=TIME(23,59,0),"Night",
  L2357&lt;TIME(9,0,0),"Night"
))</f>
        <v/>
      </c>
      <c r="O2357" t="str">
        <f t="shared" si="218"/>
        <v/>
      </c>
    </row>
    <row r="2358" spans="7:15" x14ac:dyDescent="0.25">
      <c r="G2358" t="str">
        <f t="shared" si="216"/>
        <v/>
      </c>
      <c r="H2358" s="13" t="str">
        <f t="shared" si="219"/>
        <v/>
      </c>
      <c r="I2358" t="str">
        <f>IFERROR(INDEX(Analysis!$D$116:$N$137, MATCH(B2358, Analysis!$C$116:$C$137, 0), MATCH(C2358, Analysis!$D$115:$N$115, 0)), "")</f>
        <v/>
      </c>
      <c r="J2358" t="str">
        <f t="shared" si="220"/>
        <v/>
      </c>
      <c r="K2358" s="28" t="str">
        <f t="shared" si="217"/>
        <v/>
      </c>
      <c r="L2358" s="46" t="str">
        <f t="shared" si="221"/>
        <v/>
      </c>
      <c r="M2358" t="str" cm="1">
        <f t="array" ref="M2358">IF(L2358="","",_xlfn.IFS(
  AND(L2358&gt;=TIME(9,0,0), L2358&lt;TIME(16,0,0)),"Morning",
  AND(L2358&gt;=TIME(16,0,0), L2358&lt;TIME(23,59,0)),"Evening",
  L2358&gt;=TIME(23,59,0),"Night",
  L2358&lt;TIME(9,0,0),"Night"
))</f>
        <v/>
      </c>
      <c r="O2358" t="str">
        <f t="shared" si="218"/>
        <v/>
      </c>
    </row>
    <row r="2359" spans="7:15" x14ac:dyDescent="0.25">
      <c r="G2359" t="str">
        <f t="shared" si="216"/>
        <v/>
      </c>
      <c r="H2359" s="13" t="str">
        <f t="shared" si="219"/>
        <v/>
      </c>
      <c r="I2359" t="str">
        <f>IFERROR(INDEX(Analysis!$D$116:$N$137, MATCH(B2359, Analysis!$C$116:$C$137, 0), MATCH(C2359, Analysis!$D$115:$N$115, 0)), "")</f>
        <v/>
      </c>
      <c r="J2359" t="str">
        <f t="shared" si="220"/>
        <v/>
      </c>
      <c r="K2359" s="28" t="str">
        <f t="shared" si="217"/>
        <v/>
      </c>
      <c r="L2359" s="46" t="str">
        <f t="shared" si="221"/>
        <v/>
      </c>
      <c r="M2359" t="str" cm="1">
        <f t="array" ref="M2359">IF(L2359="","",_xlfn.IFS(
  AND(L2359&gt;=TIME(9,0,0), L2359&lt;TIME(16,0,0)),"Morning",
  AND(L2359&gt;=TIME(16,0,0), L2359&lt;TIME(23,59,0)),"Evening",
  L2359&gt;=TIME(23,59,0),"Night",
  L2359&lt;TIME(9,0,0),"Night"
))</f>
        <v/>
      </c>
      <c r="O2359" t="str">
        <f t="shared" si="218"/>
        <v/>
      </c>
    </row>
    <row r="2360" spans="7:15" x14ac:dyDescent="0.25">
      <c r="G2360" t="str">
        <f t="shared" si="216"/>
        <v/>
      </c>
      <c r="H2360" s="13" t="str">
        <f t="shared" si="219"/>
        <v/>
      </c>
      <c r="I2360" t="str">
        <f>IFERROR(INDEX(Analysis!$D$116:$N$137, MATCH(B2360, Analysis!$C$116:$C$137, 0), MATCH(C2360, Analysis!$D$115:$N$115, 0)), "")</f>
        <v/>
      </c>
      <c r="J2360" t="str">
        <f t="shared" si="220"/>
        <v/>
      </c>
      <c r="K2360" s="28" t="str">
        <f t="shared" si="217"/>
        <v/>
      </c>
      <c r="L2360" s="46" t="str">
        <f t="shared" si="221"/>
        <v/>
      </c>
      <c r="M2360" t="str" cm="1">
        <f t="array" ref="M2360">IF(L2360="","",_xlfn.IFS(
  AND(L2360&gt;=TIME(9,0,0), L2360&lt;TIME(16,0,0)),"Morning",
  AND(L2360&gt;=TIME(16,0,0), L2360&lt;TIME(23,59,0)),"Evening",
  L2360&gt;=TIME(23,59,0),"Night",
  L2360&lt;TIME(9,0,0),"Night"
))</f>
        <v/>
      </c>
      <c r="O2360" t="str">
        <f t="shared" si="218"/>
        <v/>
      </c>
    </row>
    <row r="2361" spans="7:15" x14ac:dyDescent="0.25">
      <c r="G2361" t="str">
        <f t="shared" si="216"/>
        <v/>
      </c>
      <c r="H2361" s="13" t="str">
        <f t="shared" si="219"/>
        <v/>
      </c>
      <c r="I2361" t="str">
        <f>IFERROR(INDEX(Analysis!$D$116:$N$137, MATCH(B2361, Analysis!$C$116:$C$137, 0), MATCH(C2361, Analysis!$D$115:$N$115, 0)), "")</f>
        <v/>
      </c>
      <c r="J2361" t="str">
        <f t="shared" si="220"/>
        <v/>
      </c>
      <c r="K2361" s="28" t="str">
        <f t="shared" si="217"/>
        <v/>
      </c>
      <c r="L2361" s="46" t="str">
        <f t="shared" si="221"/>
        <v/>
      </c>
      <c r="M2361" t="str" cm="1">
        <f t="array" ref="M2361">IF(L2361="","",_xlfn.IFS(
  AND(L2361&gt;=TIME(9,0,0), L2361&lt;TIME(16,0,0)),"Morning",
  AND(L2361&gt;=TIME(16,0,0), L2361&lt;TIME(23,59,0)),"Evening",
  L2361&gt;=TIME(23,59,0),"Night",
  L2361&lt;TIME(9,0,0),"Night"
))</f>
        <v/>
      </c>
      <c r="O2361" t="str">
        <f t="shared" si="218"/>
        <v/>
      </c>
    </row>
    <row r="2362" spans="7:15" x14ac:dyDescent="0.25">
      <c r="G2362" t="str">
        <f t="shared" si="216"/>
        <v/>
      </c>
      <c r="H2362" s="13" t="str">
        <f t="shared" si="219"/>
        <v/>
      </c>
      <c r="I2362" t="str">
        <f>IFERROR(INDEX(Analysis!$D$116:$N$137, MATCH(B2362, Analysis!$C$116:$C$137, 0), MATCH(C2362, Analysis!$D$115:$N$115, 0)), "")</f>
        <v/>
      </c>
      <c r="J2362" t="str">
        <f t="shared" si="220"/>
        <v/>
      </c>
      <c r="K2362" s="28" t="str">
        <f t="shared" si="217"/>
        <v/>
      </c>
      <c r="L2362" s="46" t="str">
        <f t="shared" si="221"/>
        <v/>
      </c>
      <c r="M2362" t="str" cm="1">
        <f t="array" ref="M2362">IF(L2362="","",_xlfn.IFS(
  AND(L2362&gt;=TIME(9,0,0), L2362&lt;TIME(16,0,0)),"Morning",
  AND(L2362&gt;=TIME(16,0,0), L2362&lt;TIME(23,59,0)),"Evening",
  L2362&gt;=TIME(23,59,0),"Night",
  L2362&lt;TIME(9,0,0),"Night"
))</f>
        <v/>
      </c>
      <c r="O2362" t="str">
        <f t="shared" si="218"/>
        <v/>
      </c>
    </row>
    <row r="2363" spans="7:15" x14ac:dyDescent="0.25">
      <c r="G2363" t="str">
        <f t="shared" si="216"/>
        <v/>
      </c>
      <c r="H2363" s="13" t="str">
        <f t="shared" si="219"/>
        <v/>
      </c>
      <c r="I2363" t="str">
        <f>IFERROR(INDEX(Analysis!$D$116:$N$137, MATCH(B2363, Analysis!$C$116:$C$137, 0), MATCH(C2363, Analysis!$D$115:$N$115, 0)), "")</f>
        <v/>
      </c>
      <c r="J2363" t="str">
        <f t="shared" si="220"/>
        <v/>
      </c>
      <c r="K2363" s="28" t="str">
        <f t="shared" si="217"/>
        <v/>
      </c>
      <c r="L2363" s="46" t="str">
        <f t="shared" si="221"/>
        <v/>
      </c>
      <c r="M2363" t="str" cm="1">
        <f t="array" ref="M2363">IF(L2363="","",_xlfn.IFS(
  AND(L2363&gt;=TIME(9,0,0), L2363&lt;TIME(16,0,0)),"Morning",
  AND(L2363&gt;=TIME(16,0,0), L2363&lt;TIME(23,59,0)),"Evening",
  L2363&gt;=TIME(23,59,0),"Night",
  L2363&lt;TIME(9,0,0),"Night"
))</f>
        <v/>
      </c>
      <c r="O2363" t="str">
        <f t="shared" si="218"/>
        <v/>
      </c>
    </row>
    <row r="2364" spans="7:15" x14ac:dyDescent="0.25">
      <c r="G2364" t="str">
        <f t="shared" si="216"/>
        <v/>
      </c>
      <c r="H2364" s="13" t="str">
        <f t="shared" si="219"/>
        <v/>
      </c>
      <c r="I2364" t="str">
        <f>IFERROR(INDEX(Analysis!$D$116:$N$137, MATCH(B2364, Analysis!$C$116:$C$137, 0), MATCH(C2364, Analysis!$D$115:$N$115, 0)), "")</f>
        <v/>
      </c>
      <c r="J2364" t="str">
        <f t="shared" si="220"/>
        <v/>
      </c>
      <c r="K2364" s="28" t="str">
        <f t="shared" si="217"/>
        <v/>
      </c>
      <c r="L2364" s="46" t="str">
        <f t="shared" si="221"/>
        <v/>
      </c>
      <c r="M2364" t="str" cm="1">
        <f t="array" ref="M2364">IF(L2364="","",_xlfn.IFS(
  AND(L2364&gt;=TIME(9,0,0), L2364&lt;TIME(16,0,0)),"Morning",
  AND(L2364&gt;=TIME(16,0,0), L2364&lt;TIME(23,59,0)),"Evening",
  L2364&gt;=TIME(23,59,0),"Night",
  L2364&lt;TIME(9,0,0),"Night"
))</f>
        <v/>
      </c>
      <c r="O2364" t="str">
        <f t="shared" si="218"/>
        <v/>
      </c>
    </row>
    <row r="2365" spans="7:15" x14ac:dyDescent="0.25">
      <c r="G2365" t="str">
        <f t="shared" si="216"/>
        <v/>
      </c>
      <c r="H2365" s="13" t="str">
        <f t="shared" si="219"/>
        <v/>
      </c>
      <c r="I2365" t="str">
        <f>IFERROR(INDEX(Analysis!$D$116:$N$137, MATCH(B2365, Analysis!$C$116:$C$137, 0), MATCH(C2365, Analysis!$D$115:$N$115, 0)), "")</f>
        <v/>
      </c>
      <c r="J2365" t="str">
        <f t="shared" si="220"/>
        <v/>
      </c>
      <c r="K2365" s="28" t="str">
        <f t="shared" si="217"/>
        <v/>
      </c>
      <c r="L2365" s="46" t="str">
        <f t="shared" si="221"/>
        <v/>
      </c>
      <c r="M2365" t="str" cm="1">
        <f t="array" ref="M2365">IF(L2365="","",_xlfn.IFS(
  AND(L2365&gt;=TIME(9,0,0), L2365&lt;TIME(16,0,0)),"Morning",
  AND(L2365&gt;=TIME(16,0,0), L2365&lt;TIME(23,59,0)),"Evening",
  L2365&gt;=TIME(23,59,0),"Night",
  L2365&lt;TIME(9,0,0),"Night"
))</f>
        <v/>
      </c>
      <c r="O2365" t="str">
        <f t="shared" si="218"/>
        <v/>
      </c>
    </row>
    <row r="2366" spans="7:15" x14ac:dyDescent="0.25">
      <c r="G2366" t="str">
        <f t="shared" si="216"/>
        <v/>
      </c>
      <c r="H2366" s="13" t="str">
        <f t="shared" si="219"/>
        <v/>
      </c>
      <c r="I2366" t="str">
        <f>IFERROR(INDEX(Analysis!$D$116:$N$137, MATCH(B2366, Analysis!$C$116:$C$137, 0), MATCH(C2366, Analysis!$D$115:$N$115, 0)), "")</f>
        <v/>
      </c>
      <c r="J2366" t="str">
        <f t="shared" si="220"/>
        <v/>
      </c>
      <c r="K2366" s="28" t="str">
        <f t="shared" si="217"/>
        <v/>
      </c>
      <c r="L2366" s="46" t="str">
        <f t="shared" si="221"/>
        <v/>
      </c>
      <c r="M2366" t="str" cm="1">
        <f t="array" ref="M2366">IF(L2366="","",_xlfn.IFS(
  AND(L2366&gt;=TIME(9,0,0), L2366&lt;TIME(16,0,0)),"Morning",
  AND(L2366&gt;=TIME(16,0,0), L2366&lt;TIME(23,59,0)),"Evening",
  L2366&gt;=TIME(23,59,0),"Night",
  L2366&lt;TIME(9,0,0),"Night"
))</f>
        <v/>
      </c>
      <c r="O2366" t="str">
        <f t="shared" si="218"/>
        <v/>
      </c>
    </row>
    <row r="2367" spans="7:15" x14ac:dyDescent="0.25">
      <c r="G2367" t="str">
        <f t="shared" si="216"/>
        <v/>
      </c>
      <c r="H2367" s="13" t="str">
        <f t="shared" si="219"/>
        <v/>
      </c>
      <c r="I2367" t="str">
        <f>IFERROR(INDEX(Analysis!$D$116:$N$137, MATCH(B2367, Analysis!$C$116:$C$137, 0), MATCH(C2367, Analysis!$D$115:$N$115, 0)), "")</f>
        <v/>
      </c>
      <c r="J2367" t="str">
        <f t="shared" si="220"/>
        <v/>
      </c>
      <c r="K2367" s="28" t="str">
        <f t="shared" si="217"/>
        <v/>
      </c>
      <c r="L2367" s="46" t="str">
        <f t="shared" si="221"/>
        <v/>
      </c>
      <c r="M2367" t="str" cm="1">
        <f t="array" ref="M2367">IF(L2367="","",_xlfn.IFS(
  AND(L2367&gt;=TIME(9,0,0), L2367&lt;TIME(16,0,0)),"Morning",
  AND(L2367&gt;=TIME(16,0,0), L2367&lt;TIME(23,59,0)),"Evening",
  L2367&gt;=TIME(23,59,0),"Night",
  L2367&lt;TIME(9,0,0),"Night"
))</f>
        <v/>
      </c>
      <c r="O2367" t="str">
        <f t="shared" si="218"/>
        <v/>
      </c>
    </row>
    <row r="2368" spans="7:15" x14ac:dyDescent="0.25">
      <c r="G2368" t="str">
        <f t="shared" si="216"/>
        <v/>
      </c>
      <c r="H2368" s="13" t="str">
        <f t="shared" si="219"/>
        <v/>
      </c>
      <c r="I2368" t="str">
        <f>IFERROR(INDEX(Analysis!$D$116:$N$137, MATCH(B2368, Analysis!$C$116:$C$137, 0), MATCH(C2368, Analysis!$D$115:$N$115, 0)), "")</f>
        <v/>
      </c>
      <c r="J2368" t="str">
        <f t="shared" si="220"/>
        <v/>
      </c>
      <c r="K2368" s="28" t="str">
        <f t="shared" si="217"/>
        <v/>
      </c>
      <c r="L2368" s="46" t="str">
        <f t="shared" si="221"/>
        <v/>
      </c>
      <c r="M2368" t="str" cm="1">
        <f t="array" ref="M2368">IF(L2368="","",_xlfn.IFS(
  AND(L2368&gt;=TIME(9,0,0), L2368&lt;TIME(16,0,0)),"Morning",
  AND(L2368&gt;=TIME(16,0,0), L2368&lt;TIME(23,59,0)),"Evening",
  L2368&gt;=TIME(23,59,0),"Night",
  L2368&lt;TIME(9,0,0),"Night"
))</f>
        <v/>
      </c>
      <c r="O2368" t="str">
        <f t="shared" si="218"/>
        <v/>
      </c>
    </row>
    <row r="2369" spans="7:15" x14ac:dyDescent="0.25">
      <c r="G2369" t="str">
        <f t="shared" si="216"/>
        <v/>
      </c>
      <c r="H2369" s="13" t="str">
        <f t="shared" si="219"/>
        <v/>
      </c>
      <c r="I2369" t="str">
        <f>IFERROR(INDEX(Analysis!$D$116:$N$137, MATCH(B2369, Analysis!$C$116:$C$137, 0), MATCH(C2369, Analysis!$D$115:$N$115, 0)), "")</f>
        <v/>
      </c>
      <c r="J2369" t="str">
        <f t="shared" si="220"/>
        <v/>
      </c>
      <c r="K2369" s="28" t="str">
        <f t="shared" si="217"/>
        <v/>
      </c>
      <c r="L2369" s="46" t="str">
        <f t="shared" si="221"/>
        <v/>
      </c>
      <c r="M2369" t="str" cm="1">
        <f t="array" ref="M2369">IF(L2369="","",_xlfn.IFS(
  AND(L2369&gt;=TIME(9,0,0), L2369&lt;TIME(16,0,0)),"Morning",
  AND(L2369&gt;=TIME(16,0,0), L2369&lt;TIME(23,59,0)),"Evening",
  L2369&gt;=TIME(23,59,0),"Night",
  L2369&lt;TIME(9,0,0),"Night"
))</f>
        <v/>
      </c>
      <c r="O2369" t="str">
        <f t="shared" si="218"/>
        <v/>
      </c>
    </row>
    <row r="2370" spans="7:15" x14ac:dyDescent="0.25">
      <c r="G2370" t="str">
        <f t="shared" ref="G2370:G2433" si="222">IF(ISBLANK(A2370), "", IF(ISBLANK(F2370), 0, F2370))</f>
        <v/>
      </c>
      <c r="H2370" s="13" t="str">
        <f t="shared" si="219"/>
        <v/>
      </c>
      <c r="I2370" t="str">
        <f>IFERROR(INDEX(Analysis!$D$116:$N$137, MATCH(B2370, Analysis!$C$116:$C$137, 0), MATCH(C2370, Analysis!$D$115:$N$115, 0)), "")</f>
        <v/>
      </c>
      <c r="J2370" t="str">
        <f t="shared" si="220"/>
        <v/>
      </c>
      <c r="K2370" s="28" t="str">
        <f t="shared" ref="K2370:K2433" si="223">IF(ISBLANK(A2370),"",DATE(YEAR(A2370),MONTH(A2370),DAY(A2370)))</f>
        <v/>
      </c>
      <c r="L2370" s="46" t="str">
        <f t="shared" si="221"/>
        <v/>
      </c>
      <c r="M2370" t="str" cm="1">
        <f t="array" ref="M2370">IF(L2370="","",_xlfn.IFS(
  AND(L2370&gt;=TIME(9,0,0), L2370&lt;TIME(16,0,0)),"Morning",
  AND(L2370&gt;=TIME(16,0,0), L2370&lt;TIME(23,59,0)),"Evening",
  L2370&gt;=TIME(23,59,0),"Night",
  L2370&lt;TIME(9,0,0),"Night"
))</f>
        <v/>
      </c>
      <c r="O2370" t="str">
        <f t="shared" ref="O2370:O2433" si="224">IF(N2370="ON", _xlfn.IMAGE(E2370, 1), "")</f>
        <v/>
      </c>
    </row>
    <row r="2371" spans="7:15" x14ac:dyDescent="0.25">
      <c r="G2371" t="str">
        <f t="shared" si="222"/>
        <v/>
      </c>
      <c r="H2371" s="13" t="str">
        <f t="shared" ref="H2371:H2434" si="225">IF(ISBLANK(E2371),"",HYPERLINK(E2371,"Click here"))</f>
        <v/>
      </c>
      <c r="I2371" t="str">
        <f>IFERROR(INDEX(Analysis!$D$116:$N$137, MATCH(B2371, Analysis!$C$116:$C$137, 0), MATCH(C2371, Analysis!$D$115:$N$115, 0)), "")</f>
        <v/>
      </c>
      <c r="J2371" t="str">
        <f t="shared" ref="J2371:J2434" si="226">IF(ISBLANK(A2371),"",WEEKNUM(A2371))</f>
        <v/>
      </c>
      <c r="K2371" s="28" t="str">
        <f t="shared" si="223"/>
        <v/>
      </c>
      <c r="L2371" s="46" t="str">
        <f t="shared" ref="L2371:L2434" si="227">IF(A2371="", "", A2371 - INT(A2371))</f>
        <v/>
      </c>
      <c r="M2371" t="str" cm="1">
        <f t="array" ref="M2371">IF(L2371="","",_xlfn.IFS(
  AND(L2371&gt;=TIME(9,0,0), L2371&lt;TIME(16,0,0)),"Morning",
  AND(L2371&gt;=TIME(16,0,0), L2371&lt;TIME(23,59,0)),"Evening",
  L2371&gt;=TIME(23,59,0),"Night",
  L2371&lt;TIME(9,0,0),"Night"
))</f>
        <v/>
      </c>
      <c r="O2371" t="str">
        <f t="shared" si="224"/>
        <v/>
      </c>
    </row>
    <row r="2372" spans="7:15" x14ac:dyDescent="0.25">
      <c r="G2372" t="str">
        <f t="shared" si="222"/>
        <v/>
      </c>
      <c r="H2372" s="13" t="str">
        <f t="shared" si="225"/>
        <v/>
      </c>
      <c r="I2372" t="str">
        <f>IFERROR(INDEX(Analysis!$D$116:$N$137, MATCH(B2372, Analysis!$C$116:$C$137, 0), MATCH(C2372, Analysis!$D$115:$N$115, 0)), "")</f>
        <v/>
      </c>
      <c r="J2372" t="str">
        <f t="shared" si="226"/>
        <v/>
      </c>
      <c r="K2372" s="28" t="str">
        <f t="shared" si="223"/>
        <v/>
      </c>
      <c r="L2372" s="46" t="str">
        <f t="shared" si="227"/>
        <v/>
      </c>
      <c r="M2372" t="str" cm="1">
        <f t="array" ref="M2372">IF(L2372="","",_xlfn.IFS(
  AND(L2372&gt;=TIME(9,0,0), L2372&lt;TIME(16,0,0)),"Morning",
  AND(L2372&gt;=TIME(16,0,0), L2372&lt;TIME(23,59,0)),"Evening",
  L2372&gt;=TIME(23,59,0),"Night",
  L2372&lt;TIME(9,0,0),"Night"
))</f>
        <v/>
      </c>
      <c r="O2372" t="str">
        <f t="shared" si="224"/>
        <v/>
      </c>
    </row>
    <row r="2373" spans="7:15" x14ac:dyDescent="0.25">
      <c r="G2373" t="str">
        <f t="shared" si="222"/>
        <v/>
      </c>
      <c r="H2373" s="13" t="str">
        <f t="shared" si="225"/>
        <v/>
      </c>
      <c r="I2373" t="str">
        <f>IFERROR(INDEX(Analysis!$D$116:$N$137, MATCH(B2373, Analysis!$C$116:$C$137, 0), MATCH(C2373, Analysis!$D$115:$N$115, 0)), "")</f>
        <v/>
      </c>
      <c r="J2373" t="str">
        <f t="shared" si="226"/>
        <v/>
      </c>
      <c r="K2373" s="28" t="str">
        <f t="shared" si="223"/>
        <v/>
      </c>
      <c r="L2373" s="46" t="str">
        <f t="shared" si="227"/>
        <v/>
      </c>
      <c r="M2373" t="str" cm="1">
        <f t="array" ref="M2373">IF(L2373="","",_xlfn.IFS(
  AND(L2373&gt;=TIME(9,0,0), L2373&lt;TIME(16,0,0)),"Morning",
  AND(L2373&gt;=TIME(16,0,0), L2373&lt;TIME(23,59,0)),"Evening",
  L2373&gt;=TIME(23,59,0),"Night",
  L2373&lt;TIME(9,0,0),"Night"
))</f>
        <v/>
      </c>
      <c r="O2373" t="str">
        <f t="shared" si="224"/>
        <v/>
      </c>
    </row>
    <row r="2374" spans="7:15" x14ac:dyDescent="0.25">
      <c r="G2374" t="str">
        <f t="shared" si="222"/>
        <v/>
      </c>
      <c r="H2374" s="13" t="str">
        <f t="shared" si="225"/>
        <v/>
      </c>
      <c r="I2374" t="str">
        <f>IFERROR(INDEX(Analysis!$D$116:$N$137, MATCH(B2374, Analysis!$C$116:$C$137, 0), MATCH(C2374, Analysis!$D$115:$N$115, 0)), "")</f>
        <v/>
      </c>
      <c r="J2374" t="str">
        <f t="shared" si="226"/>
        <v/>
      </c>
      <c r="K2374" s="28" t="str">
        <f t="shared" si="223"/>
        <v/>
      </c>
      <c r="L2374" s="46" t="str">
        <f t="shared" si="227"/>
        <v/>
      </c>
      <c r="M2374" t="str" cm="1">
        <f t="array" ref="M2374">IF(L2374="","",_xlfn.IFS(
  AND(L2374&gt;=TIME(9,0,0), L2374&lt;TIME(16,0,0)),"Morning",
  AND(L2374&gt;=TIME(16,0,0), L2374&lt;TIME(23,59,0)),"Evening",
  L2374&gt;=TIME(23,59,0),"Night",
  L2374&lt;TIME(9,0,0),"Night"
))</f>
        <v/>
      </c>
      <c r="O2374" t="str">
        <f t="shared" si="224"/>
        <v/>
      </c>
    </row>
    <row r="2375" spans="7:15" x14ac:dyDescent="0.25">
      <c r="G2375" t="str">
        <f t="shared" si="222"/>
        <v/>
      </c>
      <c r="H2375" s="13" t="str">
        <f t="shared" si="225"/>
        <v/>
      </c>
      <c r="I2375" t="str">
        <f>IFERROR(INDEX(Analysis!$D$116:$N$137, MATCH(B2375, Analysis!$C$116:$C$137, 0), MATCH(C2375, Analysis!$D$115:$N$115, 0)), "")</f>
        <v/>
      </c>
      <c r="J2375" t="str">
        <f t="shared" si="226"/>
        <v/>
      </c>
      <c r="K2375" s="28" t="str">
        <f t="shared" si="223"/>
        <v/>
      </c>
      <c r="L2375" s="46" t="str">
        <f t="shared" si="227"/>
        <v/>
      </c>
      <c r="M2375" t="str" cm="1">
        <f t="array" ref="M2375">IF(L2375="","",_xlfn.IFS(
  AND(L2375&gt;=TIME(9,0,0), L2375&lt;TIME(16,0,0)),"Morning",
  AND(L2375&gt;=TIME(16,0,0), L2375&lt;TIME(23,59,0)),"Evening",
  L2375&gt;=TIME(23,59,0),"Night",
  L2375&lt;TIME(9,0,0),"Night"
))</f>
        <v/>
      </c>
      <c r="O2375" t="str">
        <f t="shared" si="224"/>
        <v/>
      </c>
    </row>
    <row r="2376" spans="7:15" x14ac:dyDescent="0.25">
      <c r="G2376" t="str">
        <f t="shared" si="222"/>
        <v/>
      </c>
      <c r="H2376" s="13" t="str">
        <f t="shared" si="225"/>
        <v/>
      </c>
      <c r="I2376" t="str">
        <f>IFERROR(INDEX(Analysis!$D$116:$N$137, MATCH(B2376, Analysis!$C$116:$C$137, 0), MATCH(C2376, Analysis!$D$115:$N$115, 0)), "")</f>
        <v/>
      </c>
      <c r="J2376" t="str">
        <f t="shared" si="226"/>
        <v/>
      </c>
      <c r="K2376" s="28" t="str">
        <f t="shared" si="223"/>
        <v/>
      </c>
      <c r="L2376" s="46" t="str">
        <f t="shared" si="227"/>
        <v/>
      </c>
      <c r="M2376" t="str" cm="1">
        <f t="array" ref="M2376">IF(L2376="","",_xlfn.IFS(
  AND(L2376&gt;=TIME(9,0,0), L2376&lt;TIME(16,0,0)),"Morning",
  AND(L2376&gt;=TIME(16,0,0), L2376&lt;TIME(23,59,0)),"Evening",
  L2376&gt;=TIME(23,59,0),"Night",
  L2376&lt;TIME(9,0,0),"Night"
))</f>
        <v/>
      </c>
      <c r="O2376" t="str">
        <f t="shared" si="224"/>
        <v/>
      </c>
    </row>
    <row r="2377" spans="7:15" x14ac:dyDescent="0.25">
      <c r="G2377" t="str">
        <f t="shared" si="222"/>
        <v/>
      </c>
      <c r="H2377" s="13" t="str">
        <f t="shared" si="225"/>
        <v/>
      </c>
      <c r="I2377" t="str">
        <f>IFERROR(INDEX(Analysis!$D$116:$N$137, MATCH(B2377, Analysis!$C$116:$C$137, 0), MATCH(C2377, Analysis!$D$115:$N$115, 0)), "")</f>
        <v/>
      </c>
      <c r="J2377" t="str">
        <f t="shared" si="226"/>
        <v/>
      </c>
      <c r="K2377" s="28" t="str">
        <f t="shared" si="223"/>
        <v/>
      </c>
      <c r="L2377" s="46" t="str">
        <f t="shared" si="227"/>
        <v/>
      </c>
      <c r="M2377" t="str" cm="1">
        <f t="array" ref="M2377">IF(L2377="","",_xlfn.IFS(
  AND(L2377&gt;=TIME(9,0,0), L2377&lt;TIME(16,0,0)),"Morning",
  AND(L2377&gt;=TIME(16,0,0), L2377&lt;TIME(23,59,0)),"Evening",
  L2377&gt;=TIME(23,59,0),"Night",
  L2377&lt;TIME(9,0,0),"Night"
))</f>
        <v/>
      </c>
      <c r="O2377" t="str">
        <f t="shared" si="224"/>
        <v/>
      </c>
    </row>
    <row r="2378" spans="7:15" x14ac:dyDescent="0.25">
      <c r="G2378" t="str">
        <f t="shared" si="222"/>
        <v/>
      </c>
      <c r="H2378" s="13" t="str">
        <f t="shared" si="225"/>
        <v/>
      </c>
      <c r="I2378" t="str">
        <f>IFERROR(INDEX(Analysis!$D$116:$N$137, MATCH(B2378, Analysis!$C$116:$C$137, 0), MATCH(C2378, Analysis!$D$115:$N$115, 0)), "")</f>
        <v/>
      </c>
      <c r="J2378" t="str">
        <f t="shared" si="226"/>
        <v/>
      </c>
      <c r="K2378" s="28" t="str">
        <f t="shared" si="223"/>
        <v/>
      </c>
      <c r="L2378" s="46" t="str">
        <f t="shared" si="227"/>
        <v/>
      </c>
      <c r="M2378" t="str" cm="1">
        <f t="array" ref="M2378">IF(L2378="","",_xlfn.IFS(
  AND(L2378&gt;=TIME(9,0,0), L2378&lt;TIME(16,0,0)),"Morning",
  AND(L2378&gt;=TIME(16,0,0), L2378&lt;TIME(23,59,0)),"Evening",
  L2378&gt;=TIME(23,59,0),"Night",
  L2378&lt;TIME(9,0,0),"Night"
))</f>
        <v/>
      </c>
      <c r="O2378" t="str">
        <f t="shared" si="224"/>
        <v/>
      </c>
    </row>
    <row r="2379" spans="7:15" x14ac:dyDescent="0.25">
      <c r="G2379" t="str">
        <f t="shared" si="222"/>
        <v/>
      </c>
      <c r="H2379" s="13" t="str">
        <f t="shared" si="225"/>
        <v/>
      </c>
      <c r="I2379" t="str">
        <f>IFERROR(INDEX(Analysis!$D$116:$N$137, MATCH(B2379, Analysis!$C$116:$C$137, 0), MATCH(C2379, Analysis!$D$115:$N$115, 0)), "")</f>
        <v/>
      </c>
      <c r="J2379" t="str">
        <f t="shared" si="226"/>
        <v/>
      </c>
      <c r="K2379" s="28" t="str">
        <f t="shared" si="223"/>
        <v/>
      </c>
      <c r="L2379" s="46" t="str">
        <f t="shared" si="227"/>
        <v/>
      </c>
      <c r="M2379" t="str" cm="1">
        <f t="array" ref="M2379">IF(L2379="","",_xlfn.IFS(
  AND(L2379&gt;=TIME(9,0,0), L2379&lt;TIME(16,0,0)),"Morning",
  AND(L2379&gt;=TIME(16,0,0), L2379&lt;TIME(23,59,0)),"Evening",
  L2379&gt;=TIME(23,59,0),"Night",
  L2379&lt;TIME(9,0,0),"Night"
))</f>
        <v/>
      </c>
      <c r="O2379" t="str">
        <f t="shared" si="224"/>
        <v/>
      </c>
    </row>
    <row r="2380" spans="7:15" x14ac:dyDescent="0.25">
      <c r="G2380" t="str">
        <f t="shared" si="222"/>
        <v/>
      </c>
      <c r="H2380" s="13" t="str">
        <f t="shared" si="225"/>
        <v/>
      </c>
      <c r="I2380" t="str">
        <f>IFERROR(INDEX(Analysis!$D$116:$N$137, MATCH(B2380, Analysis!$C$116:$C$137, 0), MATCH(C2380, Analysis!$D$115:$N$115, 0)), "")</f>
        <v/>
      </c>
      <c r="J2380" t="str">
        <f t="shared" si="226"/>
        <v/>
      </c>
      <c r="K2380" s="28" t="str">
        <f t="shared" si="223"/>
        <v/>
      </c>
      <c r="L2380" s="46" t="str">
        <f t="shared" si="227"/>
        <v/>
      </c>
      <c r="M2380" t="str" cm="1">
        <f t="array" ref="M2380">IF(L2380="","",_xlfn.IFS(
  AND(L2380&gt;=TIME(9,0,0), L2380&lt;TIME(16,0,0)),"Morning",
  AND(L2380&gt;=TIME(16,0,0), L2380&lt;TIME(23,59,0)),"Evening",
  L2380&gt;=TIME(23,59,0),"Night",
  L2380&lt;TIME(9,0,0),"Night"
))</f>
        <v/>
      </c>
      <c r="O2380" t="str">
        <f t="shared" si="224"/>
        <v/>
      </c>
    </row>
    <row r="2381" spans="7:15" x14ac:dyDescent="0.25">
      <c r="G2381" t="str">
        <f t="shared" si="222"/>
        <v/>
      </c>
      <c r="H2381" s="13" t="str">
        <f t="shared" si="225"/>
        <v/>
      </c>
      <c r="I2381" t="str">
        <f>IFERROR(INDEX(Analysis!$D$116:$N$137, MATCH(B2381, Analysis!$C$116:$C$137, 0), MATCH(C2381, Analysis!$D$115:$N$115, 0)), "")</f>
        <v/>
      </c>
      <c r="J2381" t="str">
        <f t="shared" si="226"/>
        <v/>
      </c>
      <c r="K2381" s="28" t="str">
        <f t="shared" si="223"/>
        <v/>
      </c>
      <c r="L2381" s="46" t="str">
        <f t="shared" si="227"/>
        <v/>
      </c>
      <c r="M2381" t="str" cm="1">
        <f t="array" ref="M2381">IF(L2381="","",_xlfn.IFS(
  AND(L2381&gt;=TIME(9,0,0), L2381&lt;TIME(16,0,0)),"Morning",
  AND(L2381&gt;=TIME(16,0,0), L2381&lt;TIME(23,59,0)),"Evening",
  L2381&gt;=TIME(23,59,0),"Night",
  L2381&lt;TIME(9,0,0),"Night"
))</f>
        <v/>
      </c>
      <c r="O2381" t="str">
        <f t="shared" si="224"/>
        <v/>
      </c>
    </row>
    <row r="2382" spans="7:15" x14ac:dyDescent="0.25">
      <c r="G2382" t="str">
        <f t="shared" si="222"/>
        <v/>
      </c>
      <c r="H2382" s="13" t="str">
        <f t="shared" si="225"/>
        <v/>
      </c>
      <c r="I2382" t="str">
        <f>IFERROR(INDEX(Analysis!$D$116:$N$137, MATCH(B2382, Analysis!$C$116:$C$137, 0), MATCH(C2382, Analysis!$D$115:$N$115, 0)), "")</f>
        <v/>
      </c>
      <c r="J2382" t="str">
        <f t="shared" si="226"/>
        <v/>
      </c>
      <c r="K2382" s="28" t="str">
        <f t="shared" si="223"/>
        <v/>
      </c>
      <c r="L2382" s="46" t="str">
        <f t="shared" si="227"/>
        <v/>
      </c>
      <c r="M2382" t="str" cm="1">
        <f t="array" ref="M2382">IF(L2382="","",_xlfn.IFS(
  AND(L2382&gt;=TIME(9,0,0), L2382&lt;TIME(16,0,0)),"Morning",
  AND(L2382&gt;=TIME(16,0,0), L2382&lt;TIME(23,59,0)),"Evening",
  L2382&gt;=TIME(23,59,0),"Night",
  L2382&lt;TIME(9,0,0),"Night"
))</f>
        <v/>
      </c>
      <c r="O2382" t="str">
        <f t="shared" si="224"/>
        <v/>
      </c>
    </row>
    <row r="2383" spans="7:15" x14ac:dyDescent="0.25">
      <c r="G2383" t="str">
        <f t="shared" si="222"/>
        <v/>
      </c>
      <c r="H2383" s="13" t="str">
        <f t="shared" si="225"/>
        <v/>
      </c>
      <c r="I2383" t="str">
        <f>IFERROR(INDEX(Analysis!$D$116:$N$137, MATCH(B2383, Analysis!$C$116:$C$137, 0), MATCH(C2383, Analysis!$D$115:$N$115, 0)), "")</f>
        <v/>
      </c>
      <c r="J2383" t="str">
        <f t="shared" si="226"/>
        <v/>
      </c>
      <c r="K2383" s="28" t="str">
        <f t="shared" si="223"/>
        <v/>
      </c>
      <c r="L2383" s="46" t="str">
        <f t="shared" si="227"/>
        <v/>
      </c>
      <c r="M2383" t="str" cm="1">
        <f t="array" ref="M2383">IF(L2383="","",_xlfn.IFS(
  AND(L2383&gt;=TIME(9,0,0), L2383&lt;TIME(16,0,0)),"Morning",
  AND(L2383&gt;=TIME(16,0,0), L2383&lt;TIME(23,59,0)),"Evening",
  L2383&gt;=TIME(23,59,0),"Night",
  L2383&lt;TIME(9,0,0),"Night"
))</f>
        <v/>
      </c>
      <c r="O2383" t="str">
        <f t="shared" si="224"/>
        <v/>
      </c>
    </row>
    <row r="2384" spans="7:15" x14ac:dyDescent="0.25">
      <c r="G2384" t="str">
        <f t="shared" si="222"/>
        <v/>
      </c>
      <c r="H2384" s="13" t="str">
        <f t="shared" si="225"/>
        <v/>
      </c>
      <c r="I2384" t="str">
        <f>IFERROR(INDEX(Analysis!$D$116:$N$137, MATCH(B2384, Analysis!$C$116:$C$137, 0), MATCH(C2384, Analysis!$D$115:$N$115, 0)), "")</f>
        <v/>
      </c>
      <c r="J2384" t="str">
        <f t="shared" si="226"/>
        <v/>
      </c>
      <c r="K2384" s="28" t="str">
        <f t="shared" si="223"/>
        <v/>
      </c>
      <c r="L2384" s="46" t="str">
        <f t="shared" si="227"/>
        <v/>
      </c>
      <c r="M2384" t="str" cm="1">
        <f t="array" ref="M2384">IF(L2384="","",_xlfn.IFS(
  AND(L2384&gt;=TIME(9,0,0), L2384&lt;TIME(16,0,0)),"Morning",
  AND(L2384&gt;=TIME(16,0,0), L2384&lt;TIME(23,59,0)),"Evening",
  L2384&gt;=TIME(23,59,0),"Night",
  L2384&lt;TIME(9,0,0),"Night"
))</f>
        <v/>
      </c>
      <c r="O2384" t="str">
        <f t="shared" si="224"/>
        <v/>
      </c>
    </row>
    <row r="2385" spans="7:15" x14ac:dyDescent="0.25">
      <c r="G2385" t="str">
        <f t="shared" si="222"/>
        <v/>
      </c>
      <c r="H2385" s="13" t="str">
        <f t="shared" si="225"/>
        <v/>
      </c>
      <c r="I2385" t="str">
        <f>IFERROR(INDEX(Analysis!$D$116:$N$137, MATCH(B2385, Analysis!$C$116:$C$137, 0), MATCH(C2385, Analysis!$D$115:$N$115, 0)), "")</f>
        <v/>
      </c>
      <c r="J2385" t="str">
        <f t="shared" si="226"/>
        <v/>
      </c>
      <c r="K2385" s="28" t="str">
        <f t="shared" si="223"/>
        <v/>
      </c>
      <c r="L2385" s="46" t="str">
        <f t="shared" si="227"/>
        <v/>
      </c>
      <c r="M2385" t="str" cm="1">
        <f t="array" ref="M2385">IF(L2385="","",_xlfn.IFS(
  AND(L2385&gt;=TIME(9,0,0), L2385&lt;TIME(16,0,0)),"Morning",
  AND(L2385&gt;=TIME(16,0,0), L2385&lt;TIME(23,59,0)),"Evening",
  L2385&gt;=TIME(23,59,0),"Night",
  L2385&lt;TIME(9,0,0),"Night"
))</f>
        <v/>
      </c>
      <c r="O2385" t="str">
        <f t="shared" si="224"/>
        <v/>
      </c>
    </row>
    <row r="2386" spans="7:15" x14ac:dyDescent="0.25">
      <c r="G2386" t="str">
        <f t="shared" si="222"/>
        <v/>
      </c>
      <c r="H2386" s="13" t="str">
        <f t="shared" si="225"/>
        <v/>
      </c>
      <c r="I2386" t="str">
        <f>IFERROR(INDEX(Analysis!$D$116:$N$137, MATCH(B2386, Analysis!$C$116:$C$137, 0), MATCH(C2386, Analysis!$D$115:$N$115, 0)), "")</f>
        <v/>
      </c>
      <c r="J2386" t="str">
        <f t="shared" si="226"/>
        <v/>
      </c>
      <c r="K2386" s="28" t="str">
        <f t="shared" si="223"/>
        <v/>
      </c>
      <c r="L2386" s="46" t="str">
        <f t="shared" si="227"/>
        <v/>
      </c>
      <c r="M2386" t="str" cm="1">
        <f t="array" ref="M2386">IF(L2386="","",_xlfn.IFS(
  AND(L2386&gt;=TIME(9,0,0), L2386&lt;TIME(16,0,0)),"Morning",
  AND(L2386&gt;=TIME(16,0,0), L2386&lt;TIME(23,59,0)),"Evening",
  L2386&gt;=TIME(23,59,0),"Night",
  L2386&lt;TIME(9,0,0),"Night"
))</f>
        <v/>
      </c>
      <c r="O2386" t="str">
        <f t="shared" si="224"/>
        <v/>
      </c>
    </row>
    <row r="2387" spans="7:15" x14ac:dyDescent="0.25">
      <c r="G2387" t="str">
        <f t="shared" si="222"/>
        <v/>
      </c>
      <c r="H2387" s="13" t="str">
        <f t="shared" si="225"/>
        <v/>
      </c>
      <c r="I2387" t="str">
        <f>IFERROR(INDEX(Analysis!$D$116:$N$137, MATCH(B2387, Analysis!$C$116:$C$137, 0), MATCH(C2387, Analysis!$D$115:$N$115, 0)), "")</f>
        <v/>
      </c>
      <c r="J2387" t="str">
        <f t="shared" si="226"/>
        <v/>
      </c>
      <c r="K2387" s="28" t="str">
        <f t="shared" si="223"/>
        <v/>
      </c>
      <c r="L2387" s="46" t="str">
        <f t="shared" si="227"/>
        <v/>
      </c>
      <c r="M2387" t="str" cm="1">
        <f t="array" ref="M2387">IF(L2387="","",_xlfn.IFS(
  AND(L2387&gt;=TIME(9,0,0), L2387&lt;TIME(16,0,0)),"Morning",
  AND(L2387&gt;=TIME(16,0,0), L2387&lt;TIME(23,59,0)),"Evening",
  L2387&gt;=TIME(23,59,0),"Night",
  L2387&lt;TIME(9,0,0),"Night"
))</f>
        <v/>
      </c>
      <c r="O2387" t="str">
        <f t="shared" si="224"/>
        <v/>
      </c>
    </row>
    <row r="2388" spans="7:15" x14ac:dyDescent="0.25">
      <c r="G2388" t="str">
        <f t="shared" si="222"/>
        <v/>
      </c>
      <c r="H2388" s="13" t="str">
        <f t="shared" si="225"/>
        <v/>
      </c>
      <c r="I2388" t="str">
        <f>IFERROR(INDEX(Analysis!$D$116:$N$137, MATCH(B2388, Analysis!$C$116:$C$137, 0), MATCH(C2388, Analysis!$D$115:$N$115, 0)), "")</f>
        <v/>
      </c>
      <c r="J2388" t="str">
        <f t="shared" si="226"/>
        <v/>
      </c>
      <c r="K2388" s="28" t="str">
        <f t="shared" si="223"/>
        <v/>
      </c>
      <c r="L2388" s="46" t="str">
        <f t="shared" si="227"/>
        <v/>
      </c>
      <c r="M2388" t="str" cm="1">
        <f t="array" ref="M2388">IF(L2388="","",_xlfn.IFS(
  AND(L2388&gt;=TIME(9,0,0), L2388&lt;TIME(16,0,0)),"Morning",
  AND(L2388&gt;=TIME(16,0,0), L2388&lt;TIME(23,59,0)),"Evening",
  L2388&gt;=TIME(23,59,0),"Night",
  L2388&lt;TIME(9,0,0),"Night"
))</f>
        <v/>
      </c>
      <c r="O2388" t="str">
        <f t="shared" si="224"/>
        <v/>
      </c>
    </row>
    <row r="2389" spans="7:15" x14ac:dyDescent="0.25">
      <c r="G2389" t="str">
        <f t="shared" si="222"/>
        <v/>
      </c>
      <c r="H2389" s="13" t="str">
        <f t="shared" si="225"/>
        <v/>
      </c>
      <c r="I2389" t="str">
        <f>IFERROR(INDEX(Analysis!$D$116:$N$137, MATCH(B2389, Analysis!$C$116:$C$137, 0), MATCH(C2389, Analysis!$D$115:$N$115, 0)), "")</f>
        <v/>
      </c>
      <c r="J2389" t="str">
        <f t="shared" si="226"/>
        <v/>
      </c>
      <c r="K2389" s="28" t="str">
        <f t="shared" si="223"/>
        <v/>
      </c>
      <c r="L2389" s="46" t="str">
        <f t="shared" si="227"/>
        <v/>
      </c>
      <c r="M2389" t="str" cm="1">
        <f t="array" ref="M2389">IF(L2389="","",_xlfn.IFS(
  AND(L2389&gt;=TIME(9,0,0), L2389&lt;TIME(16,0,0)),"Morning",
  AND(L2389&gt;=TIME(16,0,0), L2389&lt;TIME(23,59,0)),"Evening",
  L2389&gt;=TIME(23,59,0),"Night",
  L2389&lt;TIME(9,0,0),"Night"
))</f>
        <v/>
      </c>
      <c r="O2389" t="str">
        <f t="shared" si="224"/>
        <v/>
      </c>
    </row>
    <row r="2390" spans="7:15" x14ac:dyDescent="0.25">
      <c r="G2390" t="str">
        <f t="shared" si="222"/>
        <v/>
      </c>
      <c r="H2390" s="13" t="str">
        <f t="shared" si="225"/>
        <v/>
      </c>
      <c r="I2390" t="str">
        <f>IFERROR(INDEX(Analysis!$D$116:$N$137, MATCH(B2390, Analysis!$C$116:$C$137, 0), MATCH(C2390, Analysis!$D$115:$N$115, 0)), "")</f>
        <v/>
      </c>
      <c r="J2390" t="str">
        <f t="shared" si="226"/>
        <v/>
      </c>
      <c r="K2390" s="28" t="str">
        <f t="shared" si="223"/>
        <v/>
      </c>
      <c r="L2390" s="46" t="str">
        <f t="shared" si="227"/>
        <v/>
      </c>
      <c r="M2390" t="str" cm="1">
        <f t="array" ref="M2390">IF(L2390="","",_xlfn.IFS(
  AND(L2390&gt;=TIME(9,0,0), L2390&lt;TIME(16,0,0)),"Morning",
  AND(L2390&gt;=TIME(16,0,0), L2390&lt;TIME(23,59,0)),"Evening",
  L2390&gt;=TIME(23,59,0),"Night",
  L2390&lt;TIME(9,0,0),"Night"
))</f>
        <v/>
      </c>
      <c r="O2390" t="str">
        <f t="shared" si="224"/>
        <v/>
      </c>
    </row>
    <row r="2391" spans="7:15" x14ac:dyDescent="0.25">
      <c r="G2391" t="str">
        <f t="shared" si="222"/>
        <v/>
      </c>
      <c r="H2391" s="13" t="str">
        <f t="shared" si="225"/>
        <v/>
      </c>
      <c r="I2391" t="str">
        <f>IFERROR(INDEX(Analysis!$D$116:$N$137, MATCH(B2391, Analysis!$C$116:$C$137, 0), MATCH(C2391, Analysis!$D$115:$N$115, 0)), "")</f>
        <v/>
      </c>
      <c r="J2391" t="str">
        <f t="shared" si="226"/>
        <v/>
      </c>
      <c r="K2391" s="28" t="str">
        <f t="shared" si="223"/>
        <v/>
      </c>
      <c r="L2391" s="46" t="str">
        <f t="shared" si="227"/>
        <v/>
      </c>
      <c r="M2391" t="str" cm="1">
        <f t="array" ref="M2391">IF(L2391="","",_xlfn.IFS(
  AND(L2391&gt;=TIME(9,0,0), L2391&lt;TIME(16,0,0)),"Morning",
  AND(L2391&gt;=TIME(16,0,0), L2391&lt;TIME(23,59,0)),"Evening",
  L2391&gt;=TIME(23,59,0),"Night",
  L2391&lt;TIME(9,0,0),"Night"
))</f>
        <v/>
      </c>
      <c r="O2391" t="str">
        <f t="shared" si="224"/>
        <v/>
      </c>
    </row>
    <row r="2392" spans="7:15" x14ac:dyDescent="0.25">
      <c r="G2392" t="str">
        <f t="shared" si="222"/>
        <v/>
      </c>
      <c r="H2392" s="13" t="str">
        <f t="shared" si="225"/>
        <v/>
      </c>
      <c r="I2392" t="str">
        <f>IFERROR(INDEX(Analysis!$D$116:$N$137, MATCH(B2392, Analysis!$C$116:$C$137, 0), MATCH(C2392, Analysis!$D$115:$N$115, 0)), "")</f>
        <v/>
      </c>
      <c r="J2392" t="str">
        <f t="shared" si="226"/>
        <v/>
      </c>
      <c r="K2392" s="28" t="str">
        <f t="shared" si="223"/>
        <v/>
      </c>
      <c r="L2392" s="46" t="str">
        <f t="shared" si="227"/>
        <v/>
      </c>
      <c r="M2392" t="str" cm="1">
        <f t="array" ref="M2392">IF(L2392="","",_xlfn.IFS(
  AND(L2392&gt;=TIME(9,0,0), L2392&lt;TIME(16,0,0)),"Morning",
  AND(L2392&gt;=TIME(16,0,0), L2392&lt;TIME(23,59,0)),"Evening",
  L2392&gt;=TIME(23,59,0),"Night",
  L2392&lt;TIME(9,0,0),"Night"
))</f>
        <v/>
      </c>
      <c r="O2392" t="str">
        <f t="shared" si="224"/>
        <v/>
      </c>
    </row>
    <row r="2393" spans="7:15" x14ac:dyDescent="0.25">
      <c r="G2393" t="str">
        <f t="shared" si="222"/>
        <v/>
      </c>
      <c r="H2393" s="13" t="str">
        <f t="shared" si="225"/>
        <v/>
      </c>
      <c r="I2393" t="str">
        <f>IFERROR(INDEX(Analysis!$D$116:$N$137, MATCH(B2393, Analysis!$C$116:$C$137, 0), MATCH(C2393, Analysis!$D$115:$N$115, 0)), "")</f>
        <v/>
      </c>
      <c r="J2393" t="str">
        <f t="shared" si="226"/>
        <v/>
      </c>
      <c r="K2393" s="28" t="str">
        <f t="shared" si="223"/>
        <v/>
      </c>
      <c r="L2393" s="46" t="str">
        <f t="shared" si="227"/>
        <v/>
      </c>
      <c r="M2393" t="str" cm="1">
        <f t="array" ref="M2393">IF(L2393="","",_xlfn.IFS(
  AND(L2393&gt;=TIME(9,0,0), L2393&lt;TIME(16,0,0)),"Morning",
  AND(L2393&gt;=TIME(16,0,0), L2393&lt;TIME(23,59,0)),"Evening",
  L2393&gt;=TIME(23,59,0),"Night",
  L2393&lt;TIME(9,0,0),"Night"
))</f>
        <v/>
      </c>
      <c r="O2393" t="str">
        <f t="shared" si="224"/>
        <v/>
      </c>
    </row>
    <row r="2394" spans="7:15" x14ac:dyDescent="0.25">
      <c r="G2394" t="str">
        <f t="shared" si="222"/>
        <v/>
      </c>
      <c r="H2394" s="13" t="str">
        <f t="shared" si="225"/>
        <v/>
      </c>
      <c r="I2394" t="str">
        <f>IFERROR(INDEX(Analysis!$D$116:$N$137, MATCH(B2394, Analysis!$C$116:$C$137, 0), MATCH(C2394, Analysis!$D$115:$N$115, 0)), "")</f>
        <v/>
      </c>
      <c r="J2394" t="str">
        <f t="shared" si="226"/>
        <v/>
      </c>
      <c r="K2394" s="28" t="str">
        <f t="shared" si="223"/>
        <v/>
      </c>
      <c r="L2394" s="46" t="str">
        <f t="shared" si="227"/>
        <v/>
      </c>
      <c r="M2394" t="str" cm="1">
        <f t="array" ref="M2394">IF(L2394="","",_xlfn.IFS(
  AND(L2394&gt;=TIME(9,0,0), L2394&lt;TIME(16,0,0)),"Morning",
  AND(L2394&gt;=TIME(16,0,0), L2394&lt;TIME(23,59,0)),"Evening",
  L2394&gt;=TIME(23,59,0),"Night",
  L2394&lt;TIME(9,0,0),"Night"
))</f>
        <v/>
      </c>
      <c r="O2394" t="str">
        <f t="shared" si="224"/>
        <v/>
      </c>
    </row>
    <row r="2395" spans="7:15" x14ac:dyDescent="0.25">
      <c r="G2395" t="str">
        <f t="shared" si="222"/>
        <v/>
      </c>
      <c r="H2395" s="13" t="str">
        <f t="shared" si="225"/>
        <v/>
      </c>
      <c r="I2395" t="str">
        <f>IFERROR(INDEX(Analysis!$D$116:$N$137, MATCH(B2395, Analysis!$C$116:$C$137, 0), MATCH(C2395, Analysis!$D$115:$N$115, 0)), "")</f>
        <v/>
      </c>
      <c r="J2395" t="str">
        <f t="shared" si="226"/>
        <v/>
      </c>
      <c r="K2395" s="28" t="str">
        <f t="shared" si="223"/>
        <v/>
      </c>
      <c r="L2395" s="46" t="str">
        <f t="shared" si="227"/>
        <v/>
      </c>
      <c r="M2395" t="str" cm="1">
        <f t="array" ref="M2395">IF(L2395="","",_xlfn.IFS(
  AND(L2395&gt;=TIME(9,0,0), L2395&lt;TIME(16,0,0)),"Morning",
  AND(L2395&gt;=TIME(16,0,0), L2395&lt;TIME(23,59,0)),"Evening",
  L2395&gt;=TIME(23,59,0),"Night",
  L2395&lt;TIME(9,0,0),"Night"
))</f>
        <v/>
      </c>
      <c r="O2395" t="str">
        <f t="shared" si="224"/>
        <v/>
      </c>
    </row>
    <row r="2396" spans="7:15" x14ac:dyDescent="0.25">
      <c r="G2396" t="str">
        <f t="shared" si="222"/>
        <v/>
      </c>
      <c r="H2396" s="13" t="str">
        <f t="shared" si="225"/>
        <v/>
      </c>
      <c r="I2396" t="str">
        <f>IFERROR(INDEX(Analysis!$D$116:$N$137, MATCH(B2396, Analysis!$C$116:$C$137, 0), MATCH(C2396, Analysis!$D$115:$N$115, 0)), "")</f>
        <v/>
      </c>
      <c r="J2396" t="str">
        <f t="shared" si="226"/>
        <v/>
      </c>
      <c r="K2396" s="28" t="str">
        <f t="shared" si="223"/>
        <v/>
      </c>
      <c r="L2396" s="46" t="str">
        <f t="shared" si="227"/>
        <v/>
      </c>
      <c r="M2396" t="str" cm="1">
        <f t="array" ref="M2396">IF(L2396="","",_xlfn.IFS(
  AND(L2396&gt;=TIME(9,0,0), L2396&lt;TIME(16,0,0)),"Morning",
  AND(L2396&gt;=TIME(16,0,0), L2396&lt;TIME(23,59,0)),"Evening",
  L2396&gt;=TIME(23,59,0),"Night",
  L2396&lt;TIME(9,0,0),"Night"
))</f>
        <v/>
      </c>
      <c r="O2396" t="str">
        <f t="shared" si="224"/>
        <v/>
      </c>
    </row>
    <row r="2397" spans="7:15" x14ac:dyDescent="0.25">
      <c r="G2397" t="str">
        <f t="shared" si="222"/>
        <v/>
      </c>
      <c r="H2397" s="13" t="str">
        <f t="shared" si="225"/>
        <v/>
      </c>
      <c r="I2397" t="str">
        <f>IFERROR(INDEX(Analysis!$D$116:$N$137, MATCH(B2397, Analysis!$C$116:$C$137, 0), MATCH(C2397, Analysis!$D$115:$N$115, 0)), "")</f>
        <v/>
      </c>
      <c r="J2397" t="str">
        <f t="shared" si="226"/>
        <v/>
      </c>
      <c r="K2397" s="28" t="str">
        <f t="shared" si="223"/>
        <v/>
      </c>
      <c r="L2397" s="46" t="str">
        <f t="shared" si="227"/>
        <v/>
      </c>
      <c r="M2397" t="str" cm="1">
        <f t="array" ref="M2397">IF(L2397="","",_xlfn.IFS(
  AND(L2397&gt;=TIME(9,0,0), L2397&lt;TIME(16,0,0)),"Morning",
  AND(L2397&gt;=TIME(16,0,0), L2397&lt;TIME(23,59,0)),"Evening",
  L2397&gt;=TIME(23,59,0),"Night",
  L2397&lt;TIME(9,0,0),"Night"
))</f>
        <v/>
      </c>
      <c r="O2397" t="str">
        <f t="shared" si="224"/>
        <v/>
      </c>
    </row>
    <row r="2398" spans="7:15" x14ac:dyDescent="0.25">
      <c r="G2398" t="str">
        <f t="shared" si="222"/>
        <v/>
      </c>
      <c r="H2398" s="13" t="str">
        <f t="shared" si="225"/>
        <v/>
      </c>
      <c r="I2398" t="str">
        <f>IFERROR(INDEX(Analysis!$D$116:$N$137, MATCH(B2398, Analysis!$C$116:$C$137, 0), MATCH(C2398, Analysis!$D$115:$N$115, 0)), "")</f>
        <v/>
      </c>
      <c r="J2398" t="str">
        <f t="shared" si="226"/>
        <v/>
      </c>
      <c r="K2398" s="28" t="str">
        <f t="shared" si="223"/>
        <v/>
      </c>
      <c r="L2398" s="46" t="str">
        <f t="shared" si="227"/>
        <v/>
      </c>
      <c r="M2398" t="str" cm="1">
        <f t="array" ref="M2398">IF(L2398="","",_xlfn.IFS(
  AND(L2398&gt;=TIME(9,0,0), L2398&lt;TIME(16,0,0)),"Morning",
  AND(L2398&gt;=TIME(16,0,0), L2398&lt;TIME(23,59,0)),"Evening",
  L2398&gt;=TIME(23,59,0),"Night",
  L2398&lt;TIME(9,0,0),"Night"
))</f>
        <v/>
      </c>
      <c r="O2398" t="str">
        <f t="shared" si="224"/>
        <v/>
      </c>
    </row>
    <row r="2399" spans="7:15" x14ac:dyDescent="0.25">
      <c r="G2399" t="str">
        <f t="shared" si="222"/>
        <v/>
      </c>
      <c r="H2399" s="13" t="str">
        <f t="shared" si="225"/>
        <v/>
      </c>
      <c r="I2399" t="str">
        <f>IFERROR(INDEX(Analysis!$D$116:$N$137, MATCH(B2399, Analysis!$C$116:$C$137, 0), MATCH(C2399, Analysis!$D$115:$N$115, 0)), "")</f>
        <v/>
      </c>
      <c r="J2399" t="str">
        <f t="shared" si="226"/>
        <v/>
      </c>
      <c r="K2399" s="28" t="str">
        <f t="shared" si="223"/>
        <v/>
      </c>
      <c r="L2399" s="46" t="str">
        <f t="shared" si="227"/>
        <v/>
      </c>
      <c r="M2399" t="str" cm="1">
        <f t="array" ref="M2399">IF(L2399="","",_xlfn.IFS(
  AND(L2399&gt;=TIME(9,0,0), L2399&lt;TIME(16,0,0)),"Morning",
  AND(L2399&gt;=TIME(16,0,0), L2399&lt;TIME(23,59,0)),"Evening",
  L2399&gt;=TIME(23,59,0),"Night",
  L2399&lt;TIME(9,0,0),"Night"
))</f>
        <v/>
      </c>
      <c r="O2399" t="str">
        <f t="shared" si="224"/>
        <v/>
      </c>
    </row>
    <row r="2400" spans="7:15" x14ac:dyDescent="0.25">
      <c r="G2400" t="str">
        <f t="shared" si="222"/>
        <v/>
      </c>
      <c r="H2400" s="13" t="str">
        <f t="shared" si="225"/>
        <v/>
      </c>
      <c r="I2400" t="str">
        <f>IFERROR(INDEX(Analysis!$D$116:$N$137, MATCH(B2400, Analysis!$C$116:$C$137, 0), MATCH(C2400, Analysis!$D$115:$N$115, 0)), "")</f>
        <v/>
      </c>
      <c r="J2400" t="str">
        <f t="shared" si="226"/>
        <v/>
      </c>
      <c r="K2400" s="28" t="str">
        <f t="shared" si="223"/>
        <v/>
      </c>
      <c r="L2400" s="46" t="str">
        <f t="shared" si="227"/>
        <v/>
      </c>
      <c r="M2400" t="str" cm="1">
        <f t="array" ref="M2400">IF(L2400="","",_xlfn.IFS(
  AND(L2400&gt;=TIME(9,0,0), L2400&lt;TIME(16,0,0)),"Morning",
  AND(L2400&gt;=TIME(16,0,0), L2400&lt;TIME(23,59,0)),"Evening",
  L2400&gt;=TIME(23,59,0),"Night",
  L2400&lt;TIME(9,0,0),"Night"
))</f>
        <v/>
      </c>
      <c r="O2400" t="str">
        <f t="shared" si="224"/>
        <v/>
      </c>
    </row>
    <row r="2401" spans="7:15" x14ac:dyDescent="0.25">
      <c r="G2401" t="str">
        <f t="shared" si="222"/>
        <v/>
      </c>
      <c r="H2401" s="13" t="str">
        <f t="shared" si="225"/>
        <v/>
      </c>
      <c r="I2401" t="str">
        <f>IFERROR(INDEX(Analysis!$D$116:$N$137, MATCH(B2401, Analysis!$C$116:$C$137, 0), MATCH(C2401, Analysis!$D$115:$N$115, 0)), "")</f>
        <v/>
      </c>
      <c r="J2401" t="str">
        <f t="shared" si="226"/>
        <v/>
      </c>
      <c r="K2401" s="28" t="str">
        <f t="shared" si="223"/>
        <v/>
      </c>
      <c r="L2401" s="46" t="str">
        <f t="shared" si="227"/>
        <v/>
      </c>
      <c r="M2401" t="str" cm="1">
        <f t="array" ref="M2401">IF(L2401="","",_xlfn.IFS(
  AND(L2401&gt;=TIME(9,0,0), L2401&lt;TIME(16,0,0)),"Morning",
  AND(L2401&gt;=TIME(16,0,0), L2401&lt;TIME(23,59,0)),"Evening",
  L2401&gt;=TIME(23,59,0),"Night",
  L2401&lt;TIME(9,0,0),"Night"
))</f>
        <v/>
      </c>
      <c r="O2401" t="str">
        <f t="shared" si="224"/>
        <v/>
      </c>
    </row>
    <row r="2402" spans="7:15" x14ac:dyDescent="0.25">
      <c r="G2402" t="str">
        <f t="shared" si="222"/>
        <v/>
      </c>
      <c r="H2402" s="13" t="str">
        <f t="shared" si="225"/>
        <v/>
      </c>
      <c r="I2402" t="str">
        <f>IFERROR(INDEX(Analysis!$D$116:$N$137, MATCH(B2402, Analysis!$C$116:$C$137, 0), MATCH(C2402, Analysis!$D$115:$N$115, 0)), "")</f>
        <v/>
      </c>
      <c r="J2402" t="str">
        <f t="shared" si="226"/>
        <v/>
      </c>
      <c r="K2402" s="28" t="str">
        <f t="shared" si="223"/>
        <v/>
      </c>
      <c r="L2402" s="46" t="str">
        <f t="shared" si="227"/>
        <v/>
      </c>
      <c r="M2402" t="str" cm="1">
        <f t="array" ref="M2402">IF(L2402="","",_xlfn.IFS(
  AND(L2402&gt;=TIME(9,0,0), L2402&lt;TIME(16,0,0)),"Morning",
  AND(L2402&gt;=TIME(16,0,0), L2402&lt;TIME(23,59,0)),"Evening",
  L2402&gt;=TIME(23,59,0),"Night",
  L2402&lt;TIME(9,0,0),"Night"
))</f>
        <v/>
      </c>
      <c r="O2402" t="str">
        <f t="shared" si="224"/>
        <v/>
      </c>
    </row>
    <row r="2403" spans="7:15" x14ac:dyDescent="0.25">
      <c r="G2403" t="str">
        <f t="shared" si="222"/>
        <v/>
      </c>
      <c r="H2403" s="13" t="str">
        <f t="shared" si="225"/>
        <v/>
      </c>
      <c r="I2403" t="str">
        <f>IFERROR(INDEX(Analysis!$D$116:$N$137, MATCH(B2403, Analysis!$C$116:$C$137, 0), MATCH(C2403, Analysis!$D$115:$N$115, 0)), "")</f>
        <v/>
      </c>
      <c r="J2403" t="str">
        <f t="shared" si="226"/>
        <v/>
      </c>
      <c r="K2403" s="28" t="str">
        <f t="shared" si="223"/>
        <v/>
      </c>
      <c r="L2403" s="46" t="str">
        <f t="shared" si="227"/>
        <v/>
      </c>
      <c r="M2403" t="str" cm="1">
        <f t="array" ref="M2403">IF(L2403="","",_xlfn.IFS(
  AND(L2403&gt;=TIME(9,0,0), L2403&lt;TIME(16,0,0)),"Morning",
  AND(L2403&gt;=TIME(16,0,0), L2403&lt;TIME(23,59,0)),"Evening",
  L2403&gt;=TIME(23,59,0),"Night",
  L2403&lt;TIME(9,0,0),"Night"
))</f>
        <v/>
      </c>
      <c r="O2403" t="str">
        <f t="shared" si="224"/>
        <v/>
      </c>
    </row>
    <row r="2404" spans="7:15" x14ac:dyDescent="0.25">
      <c r="G2404" t="str">
        <f t="shared" si="222"/>
        <v/>
      </c>
      <c r="H2404" s="13" t="str">
        <f t="shared" si="225"/>
        <v/>
      </c>
      <c r="I2404" t="str">
        <f>IFERROR(INDEX(Analysis!$D$116:$N$137, MATCH(B2404, Analysis!$C$116:$C$137, 0), MATCH(C2404, Analysis!$D$115:$N$115, 0)), "")</f>
        <v/>
      </c>
      <c r="J2404" t="str">
        <f t="shared" si="226"/>
        <v/>
      </c>
      <c r="K2404" s="28" t="str">
        <f t="shared" si="223"/>
        <v/>
      </c>
      <c r="L2404" s="46" t="str">
        <f t="shared" si="227"/>
        <v/>
      </c>
      <c r="M2404" t="str" cm="1">
        <f t="array" ref="M2404">IF(L2404="","",_xlfn.IFS(
  AND(L2404&gt;=TIME(9,0,0), L2404&lt;TIME(16,0,0)),"Morning",
  AND(L2404&gt;=TIME(16,0,0), L2404&lt;TIME(23,59,0)),"Evening",
  L2404&gt;=TIME(23,59,0),"Night",
  L2404&lt;TIME(9,0,0),"Night"
))</f>
        <v/>
      </c>
      <c r="O2404" t="str">
        <f t="shared" si="224"/>
        <v/>
      </c>
    </row>
    <row r="2405" spans="7:15" x14ac:dyDescent="0.25">
      <c r="G2405" t="str">
        <f t="shared" si="222"/>
        <v/>
      </c>
      <c r="H2405" s="13" t="str">
        <f t="shared" si="225"/>
        <v/>
      </c>
      <c r="I2405" t="str">
        <f>IFERROR(INDEX(Analysis!$D$116:$N$137, MATCH(B2405, Analysis!$C$116:$C$137, 0), MATCH(C2405, Analysis!$D$115:$N$115, 0)), "")</f>
        <v/>
      </c>
      <c r="J2405" t="str">
        <f t="shared" si="226"/>
        <v/>
      </c>
      <c r="K2405" s="28" t="str">
        <f t="shared" si="223"/>
        <v/>
      </c>
      <c r="L2405" s="46" t="str">
        <f t="shared" si="227"/>
        <v/>
      </c>
      <c r="M2405" t="str" cm="1">
        <f t="array" ref="M2405">IF(L2405="","",_xlfn.IFS(
  AND(L2405&gt;=TIME(9,0,0), L2405&lt;TIME(16,0,0)),"Morning",
  AND(L2405&gt;=TIME(16,0,0), L2405&lt;TIME(23,59,0)),"Evening",
  L2405&gt;=TIME(23,59,0),"Night",
  L2405&lt;TIME(9,0,0),"Night"
))</f>
        <v/>
      </c>
      <c r="O2405" t="str">
        <f t="shared" si="224"/>
        <v/>
      </c>
    </row>
    <row r="2406" spans="7:15" x14ac:dyDescent="0.25">
      <c r="G2406" t="str">
        <f t="shared" si="222"/>
        <v/>
      </c>
      <c r="H2406" s="13" t="str">
        <f t="shared" si="225"/>
        <v/>
      </c>
      <c r="I2406" t="str">
        <f>IFERROR(INDEX(Analysis!$D$116:$N$137, MATCH(B2406, Analysis!$C$116:$C$137, 0), MATCH(C2406, Analysis!$D$115:$N$115, 0)), "")</f>
        <v/>
      </c>
      <c r="J2406" t="str">
        <f t="shared" si="226"/>
        <v/>
      </c>
      <c r="K2406" s="28" t="str">
        <f t="shared" si="223"/>
        <v/>
      </c>
      <c r="L2406" s="46" t="str">
        <f t="shared" si="227"/>
        <v/>
      </c>
      <c r="M2406" t="str" cm="1">
        <f t="array" ref="M2406">IF(L2406="","",_xlfn.IFS(
  AND(L2406&gt;=TIME(9,0,0), L2406&lt;TIME(16,0,0)),"Morning",
  AND(L2406&gt;=TIME(16,0,0), L2406&lt;TIME(23,59,0)),"Evening",
  L2406&gt;=TIME(23,59,0),"Night",
  L2406&lt;TIME(9,0,0),"Night"
))</f>
        <v/>
      </c>
      <c r="O2406" t="str">
        <f t="shared" si="224"/>
        <v/>
      </c>
    </row>
    <row r="2407" spans="7:15" x14ac:dyDescent="0.25">
      <c r="G2407" t="str">
        <f t="shared" si="222"/>
        <v/>
      </c>
      <c r="H2407" s="13" t="str">
        <f t="shared" si="225"/>
        <v/>
      </c>
      <c r="I2407" t="str">
        <f>IFERROR(INDEX(Analysis!$D$116:$N$137, MATCH(B2407, Analysis!$C$116:$C$137, 0), MATCH(C2407, Analysis!$D$115:$N$115, 0)), "")</f>
        <v/>
      </c>
      <c r="J2407" t="str">
        <f t="shared" si="226"/>
        <v/>
      </c>
      <c r="K2407" s="28" t="str">
        <f t="shared" si="223"/>
        <v/>
      </c>
      <c r="L2407" s="46" t="str">
        <f t="shared" si="227"/>
        <v/>
      </c>
      <c r="M2407" t="str" cm="1">
        <f t="array" ref="M2407">IF(L2407="","",_xlfn.IFS(
  AND(L2407&gt;=TIME(9,0,0), L2407&lt;TIME(16,0,0)),"Morning",
  AND(L2407&gt;=TIME(16,0,0), L2407&lt;TIME(23,59,0)),"Evening",
  L2407&gt;=TIME(23,59,0),"Night",
  L2407&lt;TIME(9,0,0),"Night"
))</f>
        <v/>
      </c>
      <c r="O2407" t="str">
        <f t="shared" si="224"/>
        <v/>
      </c>
    </row>
    <row r="2408" spans="7:15" x14ac:dyDescent="0.25">
      <c r="G2408" t="str">
        <f t="shared" si="222"/>
        <v/>
      </c>
      <c r="H2408" s="13" t="str">
        <f t="shared" si="225"/>
        <v/>
      </c>
      <c r="I2408" t="str">
        <f>IFERROR(INDEX(Analysis!$D$116:$N$137, MATCH(B2408, Analysis!$C$116:$C$137, 0), MATCH(C2408, Analysis!$D$115:$N$115, 0)), "")</f>
        <v/>
      </c>
      <c r="J2408" t="str">
        <f t="shared" si="226"/>
        <v/>
      </c>
      <c r="K2408" s="28" t="str">
        <f t="shared" si="223"/>
        <v/>
      </c>
      <c r="L2408" s="46" t="str">
        <f t="shared" si="227"/>
        <v/>
      </c>
      <c r="M2408" t="str" cm="1">
        <f t="array" ref="M2408">IF(L2408="","",_xlfn.IFS(
  AND(L2408&gt;=TIME(9,0,0), L2408&lt;TIME(16,0,0)),"Morning",
  AND(L2408&gt;=TIME(16,0,0), L2408&lt;TIME(23,59,0)),"Evening",
  L2408&gt;=TIME(23,59,0),"Night",
  L2408&lt;TIME(9,0,0),"Night"
))</f>
        <v/>
      </c>
      <c r="O2408" t="str">
        <f t="shared" si="224"/>
        <v/>
      </c>
    </row>
    <row r="2409" spans="7:15" x14ac:dyDescent="0.25">
      <c r="G2409" t="str">
        <f t="shared" si="222"/>
        <v/>
      </c>
      <c r="H2409" s="13" t="str">
        <f t="shared" si="225"/>
        <v/>
      </c>
      <c r="I2409" t="str">
        <f>IFERROR(INDEX(Analysis!$D$116:$N$137, MATCH(B2409, Analysis!$C$116:$C$137, 0), MATCH(C2409, Analysis!$D$115:$N$115, 0)), "")</f>
        <v/>
      </c>
      <c r="J2409" t="str">
        <f t="shared" si="226"/>
        <v/>
      </c>
      <c r="K2409" s="28" t="str">
        <f t="shared" si="223"/>
        <v/>
      </c>
      <c r="L2409" s="46" t="str">
        <f t="shared" si="227"/>
        <v/>
      </c>
      <c r="M2409" t="str" cm="1">
        <f t="array" ref="M2409">IF(L2409="","",_xlfn.IFS(
  AND(L2409&gt;=TIME(9,0,0), L2409&lt;TIME(16,0,0)),"Morning",
  AND(L2409&gt;=TIME(16,0,0), L2409&lt;TIME(23,59,0)),"Evening",
  L2409&gt;=TIME(23,59,0),"Night",
  L2409&lt;TIME(9,0,0),"Night"
))</f>
        <v/>
      </c>
      <c r="O2409" t="str">
        <f t="shared" si="224"/>
        <v/>
      </c>
    </row>
    <row r="2410" spans="7:15" x14ac:dyDescent="0.25">
      <c r="G2410" t="str">
        <f t="shared" si="222"/>
        <v/>
      </c>
      <c r="H2410" s="13" t="str">
        <f t="shared" si="225"/>
        <v/>
      </c>
      <c r="I2410" t="str">
        <f>IFERROR(INDEX(Analysis!$D$116:$N$137, MATCH(B2410, Analysis!$C$116:$C$137, 0), MATCH(C2410, Analysis!$D$115:$N$115, 0)), "")</f>
        <v/>
      </c>
      <c r="J2410" t="str">
        <f t="shared" si="226"/>
        <v/>
      </c>
      <c r="K2410" s="28" t="str">
        <f t="shared" si="223"/>
        <v/>
      </c>
      <c r="L2410" s="46" t="str">
        <f t="shared" si="227"/>
        <v/>
      </c>
      <c r="M2410" t="str" cm="1">
        <f t="array" ref="M2410">IF(L2410="","",_xlfn.IFS(
  AND(L2410&gt;=TIME(9,0,0), L2410&lt;TIME(16,0,0)),"Morning",
  AND(L2410&gt;=TIME(16,0,0), L2410&lt;TIME(23,59,0)),"Evening",
  L2410&gt;=TIME(23,59,0),"Night",
  L2410&lt;TIME(9,0,0),"Night"
))</f>
        <v/>
      </c>
      <c r="O2410" t="str">
        <f t="shared" si="224"/>
        <v/>
      </c>
    </row>
    <row r="2411" spans="7:15" x14ac:dyDescent="0.25">
      <c r="G2411" t="str">
        <f t="shared" si="222"/>
        <v/>
      </c>
      <c r="H2411" s="13" t="str">
        <f t="shared" si="225"/>
        <v/>
      </c>
      <c r="I2411" t="str">
        <f>IFERROR(INDEX(Analysis!$D$116:$N$137, MATCH(B2411, Analysis!$C$116:$C$137, 0), MATCH(C2411, Analysis!$D$115:$N$115, 0)), "")</f>
        <v/>
      </c>
      <c r="J2411" t="str">
        <f t="shared" si="226"/>
        <v/>
      </c>
      <c r="K2411" s="28" t="str">
        <f t="shared" si="223"/>
        <v/>
      </c>
      <c r="L2411" s="46" t="str">
        <f t="shared" si="227"/>
        <v/>
      </c>
      <c r="M2411" t="str" cm="1">
        <f t="array" ref="M2411">IF(L2411="","",_xlfn.IFS(
  AND(L2411&gt;=TIME(9,0,0), L2411&lt;TIME(16,0,0)),"Morning",
  AND(L2411&gt;=TIME(16,0,0), L2411&lt;TIME(23,59,0)),"Evening",
  L2411&gt;=TIME(23,59,0),"Night",
  L2411&lt;TIME(9,0,0),"Night"
))</f>
        <v/>
      </c>
      <c r="O2411" t="str">
        <f t="shared" si="224"/>
        <v/>
      </c>
    </row>
    <row r="2412" spans="7:15" x14ac:dyDescent="0.25">
      <c r="G2412" t="str">
        <f t="shared" si="222"/>
        <v/>
      </c>
      <c r="H2412" s="13" t="str">
        <f t="shared" si="225"/>
        <v/>
      </c>
      <c r="I2412" t="str">
        <f>IFERROR(INDEX(Analysis!$D$116:$N$137, MATCH(B2412, Analysis!$C$116:$C$137, 0), MATCH(C2412, Analysis!$D$115:$N$115, 0)), "")</f>
        <v/>
      </c>
      <c r="J2412" t="str">
        <f t="shared" si="226"/>
        <v/>
      </c>
      <c r="K2412" s="28" t="str">
        <f t="shared" si="223"/>
        <v/>
      </c>
      <c r="L2412" s="46" t="str">
        <f t="shared" si="227"/>
        <v/>
      </c>
      <c r="M2412" t="str" cm="1">
        <f t="array" ref="M2412">IF(L2412="","",_xlfn.IFS(
  AND(L2412&gt;=TIME(9,0,0), L2412&lt;TIME(16,0,0)),"Morning",
  AND(L2412&gt;=TIME(16,0,0), L2412&lt;TIME(23,59,0)),"Evening",
  L2412&gt;=TIME(23,59,0),"Night",
  L2412&lt;TIME(9,0,0),"Night"
))</f>
        <v/>
      </c>
      <c r="O2412" t="str">
        <f t="shared" si="224"/>
        <v/>
      </c>
    </row>
    <row r="2413" spans="7:15" x14ac:dyDescent="0.25">
      <c r="G2413" t="str">
        <f t="shared" si="222"/>
        <v/>
      </c>
      <c r="H2413" s="13" t="str">
        <f t="shared" si="225"/>
        <v/>
      </c>
      <c r="I2413" t="str">
        <f>IFERROR(INDEX(Analysis!$D$116:$N$137, MATCH(B2413, Analysis!$C$116:$C$137, 0), MATCH(C2413, Analysis!$D$115:$N$115, 0)), "")</f>
        <v/>
      </c>
      <c r="J2413" t="str">
        <f t="shared" si="226"/>
        <v/>
      </c>
      <c r="K2413" s="28" t="str">
        <f t="shared" si="223"/>
        <v/>
      </c>
      <c r="L2413" s="46" t="str">
        <f t="shared" si="227"/>
        <v/>
      </c>
      <c r="M2413" t="str" cm="1">
        <f t="array" ref="M2413">IF(L2413="","",_xlfn.IFS(
  AND(L2413&gt;=TIME(9,0,0), L2413&lt;TIME(16,0,0)),"Morning",
  AND(L2413&gt;=TIME(16,0,0), L2413&lt;TIME(23,59,0)),"Evening",
  L2413&gt;=TIME(23,59,0),"Night",
  L2413&lt;TIME(9,0,0),"Night"
))</f>
        <v/>
      </c>
      <c r="O2413" t="str">
        <f t="shared" si="224"/>
        <v/>
      </c>
    </row>
    <row r="2414" spans="7:15" x14ac:dyDescent="0.25">
      <c r="G2414" t="str">
        <f t="shared" si="222"/>
        <v/>
      </c>
      <c r="H2414" s="13" t="str">
        <f t="shared" si="225"/>
        <v/>
      </c>
      <c r="I2414" t="str">
        <f>IFERROR(INDEX(Analysis!$D$116:$N$137, MATCH(B2414, Analysis!$C$116:$C$137, 0), MATCH(C2414, Analysis!$D$115:$N$115, 0)), "")</f>
        <v/>
      </c>
      <c r="J2414" t="str">
        <f t="shared" si="226"/>
        <v/>
      </c>
      <c r="K2414" s="28" t="str">
        <f t="shared" si="223"/>
        <v/>
      </c>
      <c r="L2414" s="46" t="str">
        <f t="shared" si="227"/>
        <v/>
      </c>
      <c r="M2414" t="str" cm="1">
        <f t="array" ref="M2414">IF(L2414="","",_xlfn.IFS(
  AND(L2414&gt;=TIME(9,0,0), L2414&lt;TIME(16,0,0)),"Morning",
  AND(L2414&gt;=TIME(16,0,0), L2414&lt;TIME(23,59,0)),"Evening",
  L2414&gt;=TIME(23,59,0),"Night",
  L2414&lt;TIME(9,0,0),"Night"
))</f>
        <v/>
      </c>
      <c r="O2414" t="str">
        <f t="shared" si="224"/>
        <v/>
      </c>
    </row>
    <row r="2415" spans="7:15" x14ac:dyDescent="0.25">
      <c r="G2415" t="str">
        <f t="shared" si="222"/>
        <v/>
      </c>
      <c r="H2415" s="13" t="str">
        <f t="shared" si="225"/>
        <v/>
      </c>
      <c r="I2415" t="str">
        <f>IFERROR(INDEX(Analysis!$D$116:$N$137, MATCH(B2415, Analysis!$C$116:$C$137, 0), MATCH(C2415, Analysis!$D$115:$N$115, 0)), "")</f>
        <v/>
      </c>
      <c r="J2415" t="str">
        <f t="shared" si="226"/>
        <v/>
      </c>
      <c r="K2415" s="28" t="str">
        <f t="shared" si="223"/>
        <v/>
      </c>
      <c r="L2415" s="46" t="str">
        <f t="shared" si="227"/>
        <v/>
      </c>
      <c r="M2415" t="str" cm="1">
        <f t="array" ref="M2415">IF(L2415="","",_xlfn.IFS(
  AND(L2415&gt;=TIME(9,0,0), L2415&lt;TIME(16,0,0)),"Morning",
  AND(L2415&gt;=TIME(16,0,0), L2415&lt;TIME(23,59,0)),"Evening",
  L2415&gt;=TIME(23,59,0),"Night",
  L2415&lt;TIME(9,0,0),"Night"
))</f>
        <v/>
      </c>
      <c r="O2415" t="str">
        <f t="shared" si="224"/>
        <v/>
      </c>
    </row>
    <row r="2416" spans="7:15" x14ac:dyDescent="0.25">
      <c r="G2416" t="str">
        <f t="shared" si="222"/>
        <v/>
      </c>
      <c r="H2416" s="13" t="str">
        <f t="shared" si="225"/>
        <v/>
      </c>
      <c r="I2416" t="str">
        <f>IFERROR(INDEX(Analysis!$D$116:$N$137, MATCH(B2416, Analysis!$C$116:$C$137, 0), MATCH(C2416, Analysis!$D$115:$N$115, 0)), "")</f>
        <v/>
      </c>
      <c r="J2416" t="str">
        <f t="shared" si="226"/>
        <v/>
      </c>
      <c r="K2416" s="28" t="str">
        <f t="shared" si="223"/>
        <v/>
      </c>
      <c r="L2416" s="46" t="str">
        <f t="shared" si="227"/>
        <v/>
      </c>
      <c r="M2416" t="str" cm="1">
        <f t="array" ref="M2416">IF(L2416="","",_xlfn.IFS(
  AND(L2416&gt;=TIME(9,0,0), L2416&lt;TIME(16,0,0)),"Morning",
  AND(L2416&gt;=TIME(16,0,0), L2416&lt;TIME(23,59,0)),"Evening",
  L2416&gt;=TIME(23,59,0),"Night",
  L2416&lt;TIME(9,0,0),"Night"
))</f>
        <v/>
      </c>
      <c r="O2416" t="str">
        <f t="shared" si="224"/>
        <v/>
      </c>
    </row>
    <row r="2417" spans="7:15" x14ac:dyDescent="0.25">
      <c r="G2417" t="str">
        <f t="shared" si="222"/>
        <v/>
      </c>
      <c r="H2417" s="13" t="str">
        <f t="shared" si="225"/>
        <v/>
      </c>
      <c r="I2417" t="str">
        <f>IFERROR(INDEX(Analysis!$D$116:$N$137, MATCH(B2417, Analysis!$C$116:$C$137, 0), MATCH(C2417, Analysis!$D$115:$N$115, 0)), "")</f>
        <v/>
      </c>
      <c r="J2417" t="str">
        <f t="shared" si="226"/>
        <v/>
      </c>
      <c r="K2417" s="28" t="str">
        <f t="shared" si="223"/>
        <v/>
      </c>
      <c r="L2417" s="46" t="str">
        <f t="shared" si="227"/>
        <v/>
      </c>
      <c r="M2417" t="str" cm="1">
        <f t="array" ref="M2417">IF(L2417="","",_xlfn.IFS(
  AND(L2417&gt;=TIME(9,0,0), L2417&lt;TIME(16,0,0)),"Morning",
  AND(L2417&gt;=TIME(16,0,0), L2417&lt;TIME(23,59,0)),"Evening",
  L2417&gt;=TIME(23,59,0),"Night",
  L2417&lt;TIME(9,0,0),"Night"
))</f>
        <v/>
      </c>
      <c r="O2417" t="str">
        <f t="shared" si="224"/>
        <v/>
      </c>
    </row>
    <row r="2418" spans="7:15" x14ac:dyDescent="0.25">
      <c r="G2418" t="str">
        <f t="shared" si="222"/>
        <v/>
      </c>
      <c r="H2418" s="13" t="str">
        <f t="shared" si="225"/>
        <v/>
      </c>
      <c r="I2418" t="str">
        <f>IFERROR(INDEX(Analysis!$D$116:$N$137, MATCH(B2418, Analysis!$C$116:$C$137, 0), MATCH(C2418, Analysis!$D$115:$N$115, 0)), "")</f>
        <v/>
      </c>
      <c r="J2418" t="str">
        <f t="shared" si="226"/>
        <v/>
      </c>
      <c r="K2418" s="28" t="str">
        <f t="shared" si="223"/>
        <v/>
      </c>
      <c r="L2418" s="46" t="str">
        <f t="shared" si="227"/>
        <v/>
      </c>
      <c r="M2418" t="str" cm="1">
        <f t="array" ref="M2418">IF(L2418="","",_xlfn.IFS(
  AND(L2418&gt;=TIME(9,0,0), L2418&lt;TIME(16,0,0)),"Morning",
  AND(L2418&gt;=TIME(16,0,0), L2418&lt;TIME(23,59,0)),"Evening",
  L2418&gt;=TIME(23,59,0),"Night",
  L2418&lt;TIME(9,0,0),"Night"
))</f>
        <v/>
      </c>
      <c r="O2418" t="str">
        <f t="shared" si="224"/>
        <v/>
      </c>
    </row>
    <row r="2419" spans="7:15" x14ac:dyDescent="0.25">
      <c r="G2419" t="str">
        <f t="shared" si="222"/>
        <v/>
      </c>
      <c r="H2419" s="13" t="str">
        <f t="shared" si="225"/>
        <v/>
      </c>
      <c r="I2419" t="str">
        <f>IFERROR(INDEX(Analysis!$D$116:$N$137, MATCH(B2419, Analysis!$C$116:$C$137, 0), MATCH(C2419, Analysis!$D$115:$N$115, 0)), "")</f>
        <v/>
      </c>
      <c r="J2419" t="str">
        <f t="shared" si="226"/>
        <v/>
      </c>
      <c r="K2419" s="28" t="str">
        <f t="shared" si="223"/>
        <v/>
      </c>
      <c r="L2419" s="46" t="str">
        <f t="shared" si="227"/>
        <v/>
      </c>
      <c r="M2419" t="str" cm="1">
        <f t="array" ref="M2419">IF(L2419="","",_xlfn.IFS(
  AND(L2419&gt;=TIME(9,0,0), L2419&lt;TIME(16,0,0)),"Morning",
  AND(L2419&gt;=TIME(16,0,0), L2419&lt;TIME(23,59,0)),"Evening",
  L2419&gt;=TIME(23,59,0),"Night",
  L2419&lt;TIME(9,0,0),"Night"
))</f>
        <v/>
      </c>
      <c r="O2419" t="str">
        <f t="shared" si="224"/>
        <v/>
      </c>
    </row>
    <row r="2420" spans="7:15" x14ac:dyDescent="0.25">
      <c r="G2420" t="str">
        <f t="shared" si="222"/>
        <v/>
      </c>
      <c r="H2420" s="13" t="str">
        <f t="shared" si="225"/>
        <v/>
      </c>
      <c r="I2420" t="str">
        <f>IFERROR(INDEX(Analysis!$D$116:$N$137, MATCH(B2420, Analysis!$C$116:$C$137, 0), MATCH(C2420, Analysis!$D$115:$N$115, 0)), "")</f>
        <v/>
      </c>
      <c r="J2420" t="str">
        <f t="shared" si="226"/>
        <v/>
      </c>
      <c r="K2420" s="28" t="str">
        <f t="shared" si="223"/>
        <v/>
      </c>
      <c r="L2420" s="46" t="str">
        <f t="shared" si="227"/>
        <v/>
      </c>
      <c r="M2420" t="str" cm="1">
        <f t="array" ref="M2420">IF(L2420="","",_xlfn.IFS(
  AND(L2420&gt;=TIME(9,0,0), L2420&lt;TIME(16,0,0)),"Morning",
  AND(L2420&gt;=TIME(16,0,0), L2420&lt;TIME(23,59,0)),"Evening",
  L2420&gt;=TIME(23,59,0),"Night",
  L2420&lt;TIME(9,0,0),"Night"
))</f>
        <v/>
      </c>
      <c r="O2420" t="str">
        <f t="shared" si="224"/>
        <v/>
      </c>
    </row>
    <row r="2421" spans="7:15" x14ac:dyDescent="0.25">
      <c r="G2421" t="str">
        <f t="shared" si="222"/>
        <v/>
      </c>
      <c r="H2421" s="13" t="str">
        <f t="shared" si="225"/>
        <v/>
      </c>
      <c r="I2421" t="str">
        <f>IFERROR(INDEX(Analysis!$D$116:$N$137, MATCH(B2421, Analysis!$C$116:$C$137, 0), MATCH(C2421, Analysis!$D$115:$N$115, 0)), "")</f>
        <v/>
      </c>
      <c r="J2421" t="str">
        <f t="shared" si="226"/>
        <v/>
      </c>
      <c r="K2421" s="28" t="str">
        <f t="shared" si="223"/>
        <v/>
      </c>
      <c r="L2421" s="46" t="str">
        <f t="shared" si="227"/>
        <v/>
      </c>
      <c r="M2421" t="str" cm="1">
        <f t="array" ref="M2421">IF(L2421="","",_xlfn.IFS(
  AND(L2421&gt;=TIME(9,0,0), L2421&lt;TIME(16,0,0)),"Morning",
  AND(L2421&gt;=TIME(16,0,0), L2421&lt;TIME(23,59,0)),"Evening",
  L2421&gt;=TIME(23,59,0),"Night",
  L2421&lt;TIME(9,0,0),"Night"
))</f>
        <v/>
      </c>
      <c r="O2421" t="str">
        <f t="shared" si="224"/>
        <v/>
      </c>
    </row>
    <row r="2422" spans="7:15" x14ac:dyDescent="0.25">
      <c r="G2422" t="str">
        <f t="shared" si="222"/>
        <v/>
      </c>
      <c r="H2422" s="13" t="str">
        <f t="shared" si="225"/>
        <v/>
      </c>
      <c r="I2422" t="str">
        <f>IFERROR(INDEX(Analysis!$D$116:$N$137, MATCH(B2422, Analysis!$C$116:$C$137, 0), MATCH(C2422, Analysis!$D$115:$N$115, 0)), "")</f>
        <v/>
      </c>
      <c r="J2422" t="str">
        <f t="shared" si="226"/>
        <v/>
      </c>
      <c r="K2422" s="28" t="str">
        <f t="shared" si="223"/>
        <v/>
      </c>
      <c r="L2422" s="46" t="str">
        <f t="shared" si="227"/>
        <v/>
      </c>
      <c r="M2422" t="str" cm="1">
        <f t="array" ref="M2422">IF(L2422="","",_xlfn.IFS(
  AND(L2422&gt;=TIME(9,0,0), L2422&lt;TIME(16,0,0)),"Morning",
  AND(L2422&gt;=TIME(16,0,0), L2422&lt;TIME(23,59,0)),"Evening",
  L2422&gt;=TIME(23,59,0),"Night",
  L2422&lt;TIME(9,0,0),"Night"
))</f>
        <v/>
      </c>
      <c r="O2422" t="str">
        <f t="shared" si="224"/>
        <v/>
      </c>
    </row>
    <row r="2423" spans="7:15" x14ac:dyDescent="0.25">
      <c r="G2423" t="str">
        <f t="shared" si="222"/>
        <v/>
      </c>
      <c r="H2423" s="13" t="str">
        <f t="shared" si="225"/>
        <v/>
      </c>
      <c r="I2423" t="str">
        <f>IFERROR(INDEX(Analysis!$D$116:$N$137, MATCH(B2423, Analysis!$C$116:$C$137, 0), MATCH(C2423, Analysis!$D$115:$N$115, 0)), "")</f>
        <v/>
      </c>
      <c r="J2423" t="str">
        <f t="shared" si="226"/>
        <v/>
      </c>
      <c r="K2423" s="28" t="str">
        <f t="shared" si="223"/>
        <v/>
      </c>
      <c r="L2423" s="46" t="str">
        <f t="shared" si="227"/>
        <v/>
      </c>
      <c r="M2423" t="str" cm="1">
        <f t="array" ref="M2423">IF(L2423="","",_xlfn.IFS(
  AND(L2423&gt;=TIME(9,0,0), L2423&lt;TIME(16,0,0)),"Morning",
  AND(L2423&gt;=TIME(16,0,0), L2423&lt;TIME(23,59,0)),"Evening",
  L2423&gt;=TIME(23,59,0),"Night",
  L2423&lt;TIME(9,0,0),"Night"
))</f>
        <v/>
      </c>
      <c r="O2423" t="str">
        <f t="shared" si="224"/>
        <v/>
      </c>
    </row>
    <row r="2424" spans="7:15" x14ac:dyDescent="0.25">
      <c r="G2424" t="str">
        <f t="shared" si="222"/>
        <v/>
      </c>
      <c r="H2424" s="13" t="str">
        <f t="shared" si="225"/>
        <v/>
      </c>
      <c r="I2424" t="str">
        <f>IFERROR(INDEX(Analysis!$D$116:$N$137, MATCH(B2424, Analysis!$C$116:$C$137, 0), MATCH(C2424, Analysis!$D$115:$N$115, 0)), "")</f>
        <v/>
      </c>
      <c r="J2424" t="str">
        <f t="shared" si="226"/>
        <v/>
      </c>
      <c r="K2424" s="28" t="str">
        <f t="shared" si="223"/>
        <v/>
      </c>
      <c r="L2424" s="46" t="str">
        <f t="shared" si="227"/>
        <v/>
      </c>
      <c r="M2424" t="str" cm="1">
        <f t="array" ref="M2424">IF(L2424="","",_xlfn.IFS(
  AND(L2424&gt;=TIME(9,0,0), L2424&lt;TIME(16,0,0)),"Morning",
  AND(L2424&gt;=TIME(16,0,0), L2424&lt;TIME(23,59,0)),"Evening",
  L2424&gt;=TIME(23,59,0),"Night",
  L2424&lt;TIME(9,0,0),"Night"
))</f>
        <v/>
      </c>
      <c r="O2424" t="str">
        <f t="shared" si="224"/>
        <v/>
      </c>
    </row>
    <row r="2425" spans="7:15" x14ac:dyDescent="0.25">
      <c r="G2425" t="str">
        <f t="shared" si="222"/>
        <v/>
      </c>
      <c r="H2425" s="13" t="str">
        <f t="shared" si="225"/>
        <v/>
      </c>
      <c r="I2425" t="str">
        <f>IFERROR(INDEX(Analysis!$D$116:$N$137, MATCH(B2425, Analysis!$C$116:$C$137, 0), MATCH(C2425, Analysis!$D$115:$N$115, 0)), "")</f>
        <v/>
      </c>
      <c r="J2425" t="str">
        <f t="shared" si="226"/>
        <v/>
      </c>
      <c r="K2425" s="28" t="str">
        <f t="shared" si="223"/>
        <v/>
      </c>
      <c r="L2425" s="46" t="str">
        <f t="shared" si="227"/>
        <v/>
      </c>
      <c r="M2425" t="str" cm="1">
        <f t="array" ref="M2425">IF(L2425="","",_xlfn.IFS(
  AND(L2425&gt;=TIME(9,0,0), L2425&lt;TIME(16,0,0)),"Morning",
  AND(L2425&gt;=TIME(16,0,0), L2425&lt;TIME(23,59,0)),"Evening",
  L2425&gt;=TIME(23,59,0),"Night",
  L2425&lt;TIME(9,0,0),"Night"
))</f>
        <v/>
      </c>
      <c r="O2425" t="str">
        <f t="shared" si="224"/>
        <v/>
      </c>
    </row>
    <row r="2426" spans="7:15" x14ac:dyDescent="0.25">
      <c r="G2426" t="str">
        <f t="shared" si="222"/>
        <v/>
      </c>
      <c r="H2426" s="13" t="str">
        <f t="shared" si="225"/>
        <v/>
      </c>
      <c r="I2426" t="str">
        <f>IFERROR(INDEX(Analysis!$D$116:$N$137, MATCH(B2426, Analysis!$C$116:$C$137, 0), MATCH(C2426, Analysis!$D$115:$N$115, 0)), "")</f>
        <v/>
      </c>
      <c r="J2426" t="str">
        <f t="shared" si="226"/>
        <v/>
      </c>
      <c r="K2426" s="28" t="str">
        <f t="shared" si="223"/>
        <v/>
      </c>
      <c r="L2426" s="46" t="str">
        <f t="shared" si="227"/>
        <v/>
      </c>
      <c r="M2426" t="str" cm="1">
        <f t="array" ref="M2426">IF(L2426="","",_xlfn.IFS(
  AND(L2426&gt;=TIME(9,0,0), L2426&lt;TIME(16,0,0)),"Morning",
  AND(L2426&gt;=TIME(16,0,0), L2426&lt;TIME(23,59,0)),"Evening",
  L2426&gt;=TIME(23,59,0),"Night",
  L2426&lt;TIME(9,0,0),"Night"
))</f>
        <v/>
      </c>
      <c r="O2426" t="str">
        <f t="shared" si="224"/>
        <v/>
      </c>
    </row>
    <row r="2427" spans="7:15" x14ac:dyDescent="0.25">
      <c r="G2427" t="str">
        <f t="shared" si="222"/>
        <v/>
      </c>
      <c r="H2427" s="13" t="str">
        <f t="shared" si="225"/>
        <v/>
      </c>
      <c r="I2427" t="str">
        <f>IFERROR(INDEX(Analysis!$D$116:$N$137, MATCH(B2427, Analysis!$C$116:$C$137, 0), MATCH(C2427, Analysis!$D$115:$N$115, 0)), "")</f>
        <v/>
      </c>
      <c r="J2427" t="str">
        <f t="shared" si="226"/>
        <v/>
      </c>
      <c r="K2427" s="28" t="str">
        <f t="shared" si="223"/>
        <v/>
      </c>
      <c r="L2427" s="46" t="str">
        <f t="shared" si="227"/>
        <v/>
      </c>
      <c r="M2427" t="str" cm="1">
        <f t="array" ref="M2427">IF(L2427="","",_xlfn.IFS(
  AND(L2427&gt;=TIME(9,0,0), L2427&lt;TIME(16,0,0)),"Morning",
  AND(L2427&gt;=TIME(16,0,0), L2427&lt;TIME(23,59,0)),"Evening",
  L2427&gt;=TIME(23,59,0),"Night",
  L2427&lt;TIME(9,0,0),"Night"
))</f>
        <v/>
      </c>
      <c r="O2427" t="str">
        <f t="shared" si="224"/>
        <v/>
      </c>
    </row>
    <row r="2428" spans="7:15" x14ac:dyDescent="0.25">
      <c r="G2428" t="str">
        <f t="shared" si="222"/>
        <v/>
      </c>
      <c r="H2428" s="13" t="str">
        <f t="shared" si="225"/>
        <v/>
      </c>
      <c r="I2428" t="str">
        <f>IFERROR(INDEX(Analysis!$D$116:$N$137, MATCH(B2428, Analysis!$C$116:$C$137, 0), MATCH(C2428, Analysis!$D$115:$N$115, 0)), "")</f>
        <v/>
      </c>
      <c r="J2428" t="str">
        <f t="shared" si="226"/>
        <v/>
      </c>
      <c r="K2428" s="28" t="str">
        <f t="shared" si="223"/>
        <v/>
      </c>
      <c r="L2428" s="46" t="str">
        <f t="shared" si="227"/>
        <v/>
      </c>
      <c r="M2428" t="str" cm="1">
        <f t="array" ref="M2428">IF(L2428="","",_xlfn.IFS(
  AND(L2428&gt;=TIME(9,0,0), L2428&lt;TIME(16,0,0)),"Morning",
  AND(L2428&gt;=TIME(16,0,0), L2428&lt;TIME(23,59,0)),"Evening",
  L2428&gt;=TIME(23,59,0),"Night",
  L2428&lt;TIME(9,0,0),"Night"
))</f>
        <v/>
      </c>
      <c r="O2428" t="str">
        <f t="shared" si="224"/>
        <v/>
      </c>
    </row>
    <row r="2429" spans="7:15" x14ac:dyDescent="0.25">
      <c r="G2429" t="str">
        <f t="shared" si="222"/>
        <v/>
      </c>
      <c r="H2429" s="13" t="str">
        <f t="shared" si="225"/>
        <v/>
      </c>
      <c r="I2429" t="str">
        <f>IFERROR(INDEX(Analysis!$D$116:$N$137, MATCH(B2429, Analysis!$C$116:$C$137, 0), MATCH(C2429, Analysis!$D$115:$N$115, 0)), "")</f>
        <v/>
      </c>
      <c r="J2429" t="str">
        <f t="shared" si="226"/>
        <v/>
      </c>
      <c r="K2429" s="28" t="str">
        <f t="shared" si="223"/>
        <v/>
      </c>
      <c r="L2429" s="46" t="str">
        <f t="shared" si="227"/>
        <v/>
      </c>
      <c r="M2429" t="str" cm="1">
        <f t="array" ref="M2429">IF(L2429="","",_xlfn.IFS(
  AND(L2429&gt;=TIME(9,0,0), L2429&lt;TIME(16,0,0)),"Morning",
  AND(L2429&gt;=TIME(16,0,0), L2429&lt;TIME(23,59,0)),"Evening",
  L2429&gt;=TIME(23,59,0),"Night",
  L2429&lt;TIME(9,0,0),"Night"
))</f>
        <v/>
      </c>
      <c r="O2429" t="str">
        <f t="shared" si="224"/>
        <v/>
      </c>
    </row>
    <row r="2430" spans="7:15" x14ac:dyDescent="0.25">
      <c r="G2430" t="str">
        <f t="shared" si="222"/>
        <v/>
      </c>
      <c r="H2430" s="13" t="str">
        <f t="shared" si="225"/>
        <v/>
      </c>
      <c r="I2430" t="str">
        <f>IFERROR(INDEX(Analysis!$D$116:$N$137, MATCH(B2430, Analysis!$C$116:$C$137, 0), MATCH(C2430, Analysis!$D$115:$N$115, 0)), "")</f>
        <v/>
      </c>
      <c r="J2430" t="str">
        <f t="shared" si="226"/>
        <v/>
      </c>
      <c r="K2430" s="28" t="str">
        <f t="shared" si="223"/>
        <v/>
      </c>
      <c r="L2430" s="46" t="str">
        <f t="shared" si="227"/>
        <v/>
      </c>
      <c r="M2430" t="str" cm="1">
        <f t="array" ref="M2430">IF(L2430="","",_xlfn.IFS(
  AND(L2430&gt;=TIME(9,0,0), L2430&lt;TIME(16,0,0)),"Morning",
  AND(L2430&gt;=TIME(16,0,0), L2430&lt;TIME(23,59,0)),"Evening",
  L2430&gt;=TIME(23,59,0),"Night",
  L2430&lt;TIME(9,0,0),"Night"
))</f>
        <v/>
      </c>
      <c r="O2430" t="str">
        <f t="shared" si="224"/>
        <v/>
      </c>
    </row>
    <row r="2431" spans="7:15" x14ac:dyDescent="0.25">
      <c r="G2431" t="str">
        <f t="shared" si="222"/>
        <v/>
      </c>
      <c r="H2431" s="13" t="str">
        <f t="shared" si="225"/>
        <v/>
      </c>
      <c r="I2431" t="str">
        <f>IFERROR(INDEX(Analysis!$D$116:$N$137, MATCH(B2431, Analysis!$C$116:$C$137, 0), MATCH(C2431, Analysis!$D$115:$N$115, 0)), "")</f>
        <v/>
      </c>
      <c r="J2431" t="str">
        <f t="shared" si="226"/>
        <v/>
      </c>
      <c r="K2431" s="28" t="str">
        <f t="shared" si="223"/>
        <v/>
      </c>
      <c r="L2431" s="46" t="str">
        <f t="shared" si="227"/>
        <v/>
      </c>
      <c r="M2431" t="str" cm="1">
        <f t="array" ref="M2431">IF(L2431="","",_xlfn.IFS(
  AND(L2431&gt;=TIME(9,0,0), L2431&lt;TIME(16,0,0)),"Morning",
  AND(L2431&gt;=TIME(16,0,0), L2431&lt;TIME(23,59,0)),"Evening",
  L2431&gt;=TIME(23,59,0),"Night",
  L2431&lt;TIME(9,0,0),"Night"
))</f>
        <v/>
      </c>
      <c r="O2431" t="str">
        <f t="shared" si="224"/>
        <v/>
      </c>
    </row>
    <row r="2432" spans="7:15" x14ac:dyDescent="0.25">
      <c r="G2432" t="str">
        <f t="shared" si="222"/>
        <v/>
      </c>
      <c r="H2432" s="13" t="str">
        <f t="shared" si="225"/>
        <v/>
      </c>
      <c r="I2432" t="str">
        <f>IFERROR(INDEX(Analysis!$D$116:$N$137, MATCH(B2432, Analysis!$C$116:$C$137, 0), MATCH(C2432, Analysis!$D$115:$N$115, 0)), "")</f>
        <v/>
      </c>
      <c r="J2432" t="str">
        <f t="shared" si="226"/>
        <v/>
      </c>
      <c r="K2432" s="28" t="str">
        <f t="shared" si="223"/>
        <v/>
      </c>
      <c r="L2432" s="46" t="str">
        <f t="shared" si="227"/>
        <v/>
      </c>
      <c r="M2432" t="str" cm="1">
        <f t="array" ref="M2432">IF(L2432="","",_xlfn.IFS(
  AND(L2432&gt;=TIME(9,0,0), L2432&lt;TIME(16,0,0)),"Morning",
  AND(L2432&gt;=TIME(16,0,0), L2432&lt;TIME(23,59,0)),"Evening",
  L2432&gt;=TIME(23,59,0),"Night",
  L2432&lt;TIME(9,0,0),"Night"
))</f>
        <v/>
      </c>
      <c r="O2432" t="str">
        <f t="shared" si="224"/>
        <v/>
      </c>
    </row>
    <row r="2433" spans="7:15" x14ac:dyDescent="0.25">
      <c r="G2433" t="str">
        <f t="shared" si="222"/>
        <v/>
      </c>
      <c r="H2433" s="13" t="str">
        <f t="shared" si="225"/>
        <v/>
      </c>
      <c r="I2433" t="str">
        <f>IFERROR(INDEX(Analysis!$D$116:$N$137, MATCH(B2433, Analysis!$C$116:$C$137, 0), MATCH(C2433, Analysis!$D$115:$N$115, 0)), "")</f>
        <v/>
      </c>
      <c r="J2433" t="str">
        <f t="shared" si="226"/>
        <v/>
      </c>
      <c r="K2433" s="28" t="str">
        <f t="shared" si="223"/>
        <v/>
      </c>
      <c r="L2433" s="46" t="str">
        <f t="shared" si="227"/>
        <v/>
      </c>
      <c r="M2433" t="str" cm="1">
        <f t="array" ref="M2433">IF(L2433="","",_xlfn.IFS(
  AND(L2433&gt;=TIME(9,0,0), L2433&lt;TIME(16,0,0)),"Morning",
  AND(L2433&gt;=TIME(16,0,0), L2433&lt;TIME(23,59,0)),"Evening",
  L2433&gt;=TIME(23,59,0),"Night",
  L2433&lt;TIME(9,0,0),"Night"
))</f>
        <v/>
      </c>
      <c r="O2433" t="str">
        <f t="shared" si="224"/>
        <v/>
      </c>
    </row>
    <row r="2434" spans="7:15" x14ac:dyDescent="0.25">
      <c r="G2434" t="str">
        <f t="shared" ref="G2434:G2497" si="228">IF(ISBLANK(A2434), "", IF(ISBLANK(F2434), 0, F2434))</f>
        <v/>
      </c>
      <c r="H2434" s="13" t="str">
        <f t="shared" si="225"/>
        <v/>
      </c>
      <c r="I2434" t="str">
        <f>IFERROR(INDEX(Analysis!$D$116:$N$137, MATCH(B2434, Analysis!$C$116:$C$137, 0), MATCH(C2434, Analysis!$D$115:$N$115, 0)), "")</f>
        <v/>
      </c>
      <c r="J2434" t="str">
        <f t="shared" si="226"/>
        <v/>
      </c>
      <c r="K2434" s="28" t="str">
        <f t="shared" ref="K2434:K2497" si="229">IF(ISBLANK(A2434),"",DATE(YEAR(A2434),MONTH(A2434),DAY(A2434)))</f>
        <v/>
      </c>
      <c r="L2434" s="46" t="str">
        <f t="shared" si="227"/>
        <v/>
      </c>
      <c r="M2434" t="str" cm="1">
        <f t="array" ref="M2434">IF(L2434="","",_xlfn.IFS(
  AND(L2434&gt;=TIME(9,0,0), L2434&lt;TIME(16,0,0)),"Morning",
  AND(L2434&gt;=TIME(16,0,0), L2434&lt;TIME(23,59,0)),"Evening",
  L2434&gt;=TIME(23,59,0),"Night",
  L2434&lt;TIME(9,0,0),"Night"
))</f>
        <v/>
      </c>
      <c r="O2434" t="str">
        <f t="shared" ref="O2434:O2497" si="230">IF(N2434="ON", _xlfn.IMAGE(E2434, 1), "")</f>
        <v/>
      </c>
    </row>
    <row r="2435" spans="7:15" x14ac:dyDescent="0.25">
      <c r="G2435" t="str">
        <f t="shared" si="228"/>
        <v/>
      </c>
      <c r="H2435" s="13" t="str">
        <f t="shared" ref="H2435:H2498" si="231">IF(ISBLANK(E2435),"",HYPERLINK(E2435,"Click here"))</f>
        <v/>
      </c>
      <c r="I2435" t="str">
        <f>IFERROR(INDEX(Analysis!$D$116:$N$137, MATCH(B2435, Analysis!$C$116:$C$137, 0), MATCH(C2435, Analysis!$D$115:$N$115, 0)), "")</f>
        <v/>
      </c>
      <c r="J2435" t="str">
        <f t="shared" ref="J2435:J2498" si="232">IF(ISBLANK(A2435),"",WEEKNUM(A2435))</f>
        <v/>
      </c>
      <c r="K2435" s="28" t="str">
        <f t="shared" si="229"/>
        <v/>
      </c>
      <c r="L2435" s="46" t="str">
        <f t="shared" ref="L2435:L2498" si="233">IF(A2435="", "", A2435 - INT(A2435))</f>
        <v/>
      </c>
      <c r="M2435" t="str" cm="1">
        <f t="array" ref="M2435">IF(L2435="","",_xlfn.IFS(
  AND(L2435&gt;=TIME(9,0,0), L2435&lt;TIME(16,0,0)),"Morning",
  AND(L2435&gt;=TIME(16,0,0), L2435&lt;TIME(23,59,0)),"Evening",
  L2435&gt;=TIME(23,59,0),"Night",
  L2435&lt;TIME(9,0,0),"Night"
))</f>
        <v/>
      </c>
      <c r="O2435" t="str">
        <f t="shared" si="230"/>
        <v/>
      </c>
    </row>
    <row r="2436" spans="7:15" x14ac:dyDescent="0.25">
      <c r="G2436" t="str">
        <f t="shared" si="228"/>
        <v/>
      </c>
      <c r="H2436" s="13" t="str">
        <f t="shared" si="231"/>
        <v/>
      </c>
      <c r="I2436" t="str">
        <f>IFERROR(INDEX(Analysis!$D$116:$N$137, MATCH(B2436, Analysis!$C$116:$C$137, 0), MATCH(C2436, Analysis!$D$115:$N$115, 0)), "")</f>
        <v/>
      </c>
      <c r="J2436" t="str">
        <f t="shared" si="232"/>
        <v/>
      </c>
      <c r="K2436" s="28" t="str">
        <f t="shared" si="229"/>
        <v/>
      </c>
      <c r="L2436" s="46" t="str">
        <f t="shared" si="233"/>
        <v/>
      </c>
      <c r="M2436" t="str" cm="1">
        <f t="array" ref="M2436">IF(L2436="","",_xlfn.IFS(
  AND(L2436&gt;=TIME(9,0,0), L2436&lt;TIME(16,0,0)),"Morning",
  AND(L2436&gt;=TIME(16,0,0), L2436&lt;TIME(23,59,0)),"Evening",
  L2436&gt;=TIME(23,59,0),"Night",
  L2436&lt;TIME(9,0,0),"Night"
))</f>
        <v/>
      </c>
      <c r="O2436" t="str">
        <f t="shared" si="230"/>
        <v/>
      </c>
    </row>
    <row r="2437" spans="7:15" x14ac:dyDescent="0.25">
      <c r="G2437" t="str">
        <f t="shared" si="228"/>
        <v/>
      </c>
      <c r="H2437" s="13" t="str">
        <f t="shared" si="231"/>
        <v/>
      </c>
      <c r="I2437" t="str">
        <f>IFERROR(INDEX(Analysis!$D$116:$N$137, MATCH(B2437, Analysis!$C$116:$C$137, 0), MATCH(C2437, Analysis!$D$115:$N$115, 0)), "")</f>
        <v/>
      </c>
      <c r="J2437" t="str">
        <f t="shared" si="232"/>
        <v/>
      </c>
      <c r="K2437" s="28" t="str">
        <f t="shared" si="229"/>
        <v/>
      </c>
      <c r="L2437" s="46" t="str">
        <f t="shared" si="233"/>
        <v/>
      </c>
      <c r="M2437" t="str" cm="1">
        <f t="array" ref="M2437">IF(L2437="","",_xlfn.IFS(
  AND(L2437&gt;=TIME(9,0,0), L2437&lt;TIME(16,0,0)),"Morning",
  AND(L2437&gt;=TIME(16,0,0), L2437&lt;TIME(23,59,0)),"Evening",
  L2437&gt;=TIME(23,59,0),"Night",
  L2437&lt;TIME(9,0,0),"Night"
))</f>
        <v/>
      </c>
      <c r="O2437" t="str">
        <f t="shared" si="230"/>
        <v/>
      </c>
    </row>
    <row r="2438" spans="7:15" x14ac:dyDescent="0.25">
      <c r="G2438" t="str">
        <f t="shared" si="228"/>
        <v/>
      </c>
      <c r="H2438" s="13" t="str">
        <f t="shared" si="231"/>
        <v/>
      </c>
      <c r="I2438" t="str">
        <f>IFERROR(INDEX(Analysis!$D$116:$N$137, MATCH(B2438, Analysis!$C$116:$C$137, 0), MATCH(C2438, Analysis!$D$115:$N$115, 0)), "")</f>
        <v/>
      </c>
      <c r="J2438" t="str">
        <f t="shared" si="232"/>
        <v/>
      </c>
      <c r="K2438" s="28" t="str">
        <f t="shared" si="229"/>
        <v/>
      </c>
      <c r="L2438" s="46" t="str">
        <f t="shared" si="233"/>
        <v/>
      </c>
      <c r="M2438" t="str" cm="1">
        <f t="array" ref="M2438">IF(L2438="","",_xlfn.IFS(
  AND(L2438&gt;=TIME(9,0,0), L2438&lt;TIME(16,0,0)),"Morning",
  AND(L2438&gt;=TIME(16,0,0), L2438&lt;TIME(23,59,0)),"Evening",
  L2438&gt;=TIME(23,59,0),"Night",
  L2438&lt;TIME(9,0,0),"Night"
))</f>
        <v/>
      </c>
      <c r="O2438" t="str">
        <f t="shared" si="230"/>
        <v/>
      </c>
    </row>
    <row r="2439" spans="7:15" x14ac:dyDescent="0.25">
      <c r="G2439" t="str">
        <f t="shared" si="228"/>
        <v/>
      </c>
      <c r="H2439" s="13" t="str">
        <f t="shared" si="231"/>
        <v/>
      </c>
      <c r="I2439" t="str">
        <f>IFERROR(INDEX(Analysis!$D$116:$N$137, MATCH(B2439, Analysis!$C$116:$C$137, 0), MATCH(C2439, Analysis!$D$115:$N$115, 0)), "")</f>
        <v/>
      </c>
      <c r="J2439" t="str">
        <f t="shared" si="232"/>
        <v/>
      </c>
      <c r="K2439" s="28" t="str">
        <f t="shared" si="229"/>
        <v/>
      </c>
      <c r="L2439" s="46" t="str">
        <f t="shared" si="233"/>
        <v/>
      </c>
      <c r="M2439" t="str" cm="1">
        <f t="array" ref="M2439">IF(L2439="","",_xlfn.IFS(
  AND(L2439&gt;=TIME(9,0,0), L2439&lt;TIME(16,0,0)),"Morning",
  AND(L2439&gt;=TIME(16,0,0), L2439&lt;TIME(23,59,0)),"Evening",
  L2439&gt;=TIME(23,59,0),"Night",
  L2439&lt;TIME(9,0,0),"Night"
))</f>
        <v/>
      </c>
      <c r="O2439" t="str">
        <f t="shared" si="230"/>
        <v/>
      </c>
    </row>
    <row r="2440" spans="7:15" x14ac:dyDescent="0.25">
      <c r="G2440" t="str">
        <f t="shared" si="228"/>
        <v/>
      </c>
      <c r="H2440" s="13" t="str">
        <f t="shared" si="231"/>
        <v/>
      </c>
      <c r="I2440" t="str">
        <f>IFERROR(INDEX(Analysis!$D$116:$N$137, MATCH(B2440, Analysis!$C$116:$C$137, 0), MATCH(C2440, Analysis!$D$115:$N$115, 0)), "")</f>
        <v/>
      </c>
      <c r="J2440" t="str">
        <f t="shared" si="232"/>
        <v/>
      </c>
      <c r="K2440" s="28" t="str">
        <f t="shared" si="229"/>
        <v/>
      </c>
      <c r="L2440" s="46" t="str">
        <f t="shared" si="233"/>
        <v/>
      </c>
      <c r="M2440" t="str" cm="1">
        <f t="array" ref="M2440">IF(L2440="","",_xlfn.IFS(
  AND(L2440&gt;=TIME(9,0,0), L2440&lt;TIME(16,0,0)),"Morning",
  AND(L2440&gt;=TIME(16,0,0), L2440&lt;TIME(23,59,0)),"Evening",
  L2440&gt;=TIME(23,59,0),"Night",
  L2440&lt;TIME(9,0,0),"Night"
))</f>
        <v/>
      </c>
      <c r="O2440" t="str">
        <f t="shared" si="230"/>
        <v/>
      </c>
    </row>
    <row r="2441" spans="7:15" x14ac:dyDescent="0.25">
      <c r="G2441" t="str">
        <f t="shared" si="228"/>
        <v/>
      </c>
      <c r="H2441" s="13" t="str">
        <f t="shared" si="231"/>
        <v/>
      </c>
      <c r="I2441" t="str">
        <f>IFERROR(INDEX(Analysis!$D$116:$N$137, MATCH(B2441, Analysis!$C$116:$C$137, 0), MATCH(C2441, Analysis!$D$115:$N$115, 0)), "")</f>
        <v/>
      </c>
      <c r="J2441" t="str">
        <f t="shared" si="232"/>
        <v/>
      </c>
      <c r="K2441" s="28" t="str">
        <f t="shared" si="229"/>
        <v/>
      </c>
      <c r="L2441" s="46" t="str">
        <f t="shared" si="233"/>
        <v/>
      </c>
      <c r="M2441" t="str" cm="1">
        <f t="array" ref="M2441">IF(L2441="","",_xlfn.IFS(
  AND(L2441&gt;=TIME(9,0,0), L2441&lt;TIME(16,0,0)),"Morning",
  AND(L2441&gt;=TIME(16,0,0), L2441&lt;TIME(23,59,0)),"Evening",
  L2441&gt;=TIME(23,59,0),"Night",
  L2441&lt;TIME(9,0,0),"Night"
))</f>
        <v/>
      </c>
      <c r="O2441" t="str">
        <f t="shared" si="230"/>
        <v/>
      </c>
    </row>
    <row r="2442" spans="7:15" x14ac:dyDescent="0.25">
      <c r="G2442" t="str">
        <f t="shared" si="228"/>
        <v/>
      </c>
      <c r="H2442" s="13" t="str">
        <f t="shared" si="231"/>
        <v/>
      </c>
      <c r="I2442" t="str">
        <f>IFERROR(INDEX(Analysis!$D$116:$N$137, MATCH(B2442, Analysis!$C$116:$C$137, 0), MATCH(C2442, Analysis!$D$115:$N$115, 0)), "")</f>
        <v/>
      </c>
      <c r="J2442" t="str">
        <f t="shared" si="232"/>
        <v/>
      </c>
      <c r="K2442" s="28" t="str">
        <f t="shared" si="229"/>
        <v/>
      </c>
      <c r="L2442" s="46" t="str">
        <f t="shared" si="233"/>
        <v/>
      </c>
      <c r="M2442" t="str" cm="1">
        <f t="array" ref="M2442">IF(L2442="","",_xlfn.IFS(
  AND(L2442&gt;=TIME(9,0,0), L2442&lt;TIME(16,0,0)),"Morning",
  AND(L2442&gt;=TIME(16,0,0), L2442&lt;TIME(23,59,0)),"Evening",
  L2442&gt;=TIME(23,59,0),"Night",
  L2442&lt;TIME(9,0,0),"Night"
))</f>
        <v/>
      </c>
      <c r="O2442" t="str">
        <f t="shared" si="230"/>
        <v/>
      </c>
    </row>
    <row r="2443" spans="7:15" x14ac:dyDescent="0.25">
      <c r="G2443" t="str">
        <f t="shared" si="228"/>
        <v/>
      </c>
      <c r="H2443" s="13" t="str">
        <f t="shared" si="231"/>
        <v/>
      </c>
      <c r="I2443" t="str">
        <f>IFERROR(INDEX(Analysis!$D$116:$N$137, MATCH(B2443, Analysis!$C$116:$C$137, 0), MATCH(C2443, Analysis!$D$115:$N$115, 0)), "")</f>
        <v/>
      </c>
      <c r="J2443" t="str">
        <f t="shared" si="232"/>
        <v/>
      </c>
      <c r="K2443" s="28" t="str">
        <f t="shared" si="229"/>
        <v/>
      </c>
      <c r="L2443" s="46" t="str">
        <f t="shared" si="233"/>
        <v/>
      </c>
      <c r="M2443" t="str" cm="1">
        <f t="array" ref="M2443">IF(L2443="","",_xlfn.IFS(
  AND(L2443&gt;=TIME(9,0,0), L2443&lt;TIME(16,0,0)),"Morning",
  AND(L2443&gt;=TIME(16,0,0), L2443&lt;TIME(23,59,0)),"Evening",
  L2443&gt;=TIME(23,59,0),"Night",
  L2443&lt;TIME(9,0,0),"Night"
))</f>
        <v/>
      </c>
      <c r="O2443" t="str">
        <f t="shared" si="230"/>
        <v/>
      </c>
    </row>
    <row r="2444" spans="7:15" x14ac:dyDescent="0.25">
      <c r="G2444" t="str">
        <f t="shared" si="228"/>
        <v/>
      </c>
      <c r="H2444" s="13" t="str">
        <f t="shared" si="231"/>
        <v/>
      </c>
      <c r="I2444" t="str">
        <f>IFERROR(INDEX(Analysis!$D$116:$N$137, MATCH(B2444, Analysis!$C$116:$C$137, 0), MATCH(C2444, Analysis!$D$115:$N$115, 0)), "")</f>
        <v/>
      </c>
      <c r="J2444" t="str">
        <f t="shared" si="232"/>
        <v/>
      </c>
      <c r="K2444" s="28" t="str">
        <f t="shared" si="229"/>
        <v/>
      </c>
      <c r="L2444" s="46" t="str">
        <f t="shared" si="233"/>
        <v/>
      </c>
      <c r="M2444" t="str" cm="1">
        <f t="array" ref="M2444">IF(L2444="","",_xlfn.IFS(
  AND(L2444&gt;=TIME(9,0,0), L2444&lt;TIME(16,0,0)),"Morning",
  AND(L2444&gt;=TIME(16,0,0), L2444&lt;TIME(23,59,0)),"Evening",
  L2444&gt;=TIME(23,59,0),"Night",
  L2444&lt;TIME(9,0,0),"Night"
))</f>
        <v/>
      </c>
      <c r="O2444" t="str">
        <f t="shared" si="230"/>
        <v/>
      </c>
    </row>
    <row r="2445" spans="7:15" x14ac:dyDescent="0.25">
      <c r="G2445" t="str">
        <f t="shared" si="228"/>
        <v/>
      </c>
      <c r="H2445" s="13" t="str">
        <f t="shared" si="231"/>
        <v/>
      </c>
      <c r="I2445" t="str">
        <f>IFERROR(INDEX(Analysis!$D$116:$N$137, MATCH(B2445, Analysis!$C$116:$C$137, 0), MATCH(C2445, Analysis!$D$115:$N$115, 0)), "")</f>
        <v/>
      </c>
      <c r="J2445" t="str">
        <f t="shared" si="232"/>
        <v/>
      </c>
      <c r="K2445" s="28" t="str">
        <f t="shared" si="229"/>
        <v/>
      </c>
      <c r="L2445" s="46" t="str">
        <f t="shared" si="233"/>
        <v/>
      </c>
      <c r="M2445" t="str" cm="1">
        <f t="array" ref="M2445">IF(L2445="","",_xlfn.IFS(
  AND(L2445&gt;=TIME(9,0,0), L2445&lt;TIME(16,0,0)),"Morning",
  AND(L2445&gt;=TIME(16,0,0), L2445&lt;TIME(23,59,0)),"Evening",
  L2445&gt;=TIME(23,59,0),"Night",
  L2445&lt;TIME(9,0,0),"Night"
))</f>
        <v/>
      </c>
      <c r="O2445" t="str">
        <f t="shared" si="230"/>
        <v/>
      </c>
    </row>
    <row r="2446" spans="7:15" x14ac:dyDescent="0.25">
      <c r="G2446" t="str">
        <f t="shared" si="228"/>
        <v/>
      </c>
      <c r="H2446" s="13" t="str">
        <f t="shared" si="231"/>
        <v/>
      </c>
      <c r="I2446" t="str">
        <f>IFERROR(INDEX(Analysis!$D$116:$N$137, MATCH(B2446, Analysis!$C$116:$C$137, 0), MATCH(C2446, Analysis!$D$115:$N$115, 0)), "")</f>
        <v/>
      </c>
      <c r="J2446" t="str">
        <f t="shared" si="232"/>
        <v/>
      </c>
      <c r="K2446" s="28" t="str">
        <f t="shared" si="229"/>
        <v/>
      </c>
      <c r="L2446" s="46" t="str">
        <f t="shared" si="233"/>
        <v/>
      </c>
      <c r="M2446" t="str" cm="1">
        <f t="array" ref="M2446">IF(L2446="","",_xlfn.IFS(
  AND(L2446&gt;=TIME(9,0,0), L2446&lt;TIME(16,0,0)),"Morning",
  AND(L2446&gt;=TIME(16,0,0), L2446&lt;TIME(23,59,0)),"Evening",
  L2446&gt;=TIME(23,59,0),"Night",
  L2446&lt;TIME(9,0,0),"Night"
))</f>
        <v/>
      </c>
      <c r="O2446" t="str">
        <f t="shared" si="230"/>
        <v/>
      </c>
    </row>
    <row r="2447" spans="7:15" x14ac:dyDescent="0.25">
      <c r="G2447" t="str">
        <f t="shared" si="228"/>
        <v/>
      </c>
      <c r="H2447" s="13" t="str">
        <f t="shared" si="231"/>
        <v/>
      </c>
      <c r="I2447" t="str">
        <f>IFERROR(INDEX(Analysis!$D$116:$N$137, MATCH(B2447, Analysis!$C$116:$C$137, 0), MATCH(C2447, Analysis!$D$115:$N$115, 0)), "")</f>
        <v/>
      </c>
      <c r="J2447" t="str">
        <f t="shared" si="232"/>
        <v/>
      </c>
      <c r="K2447" s="28" t="str">
        <f t="shared" si="229"/>
        <v/>
      </c>
      <c r="L2447" s="46" t="str">
        <f t="shared" si="233"/>
        <v/>
      </c>
      <c r="M2447" t="str" cm="1">
        <f t="array" ref="M2447">IF(L2447="","",_xlfn.IFS(
  AND(L2447&gt;=TIME(9,0,0), L2447&lt;TIME(16,0,0)),"Morning",
  AND(L2447&gt;=TIME(16,0,0), L2447&lt;TIME(23,59,0)),"Evening",
  L2447&gt;=TIME(23,59,0),"Night",
  L2447&lt;TIME(9,0,0),"Night"
))</f>
        <v/>
      </c>
      <c r="O2447" t="str">
        <f t="shared" si="230"/>
        <v/>
      </c>
    </row>
    <row r="2448" spans="7:15" x14ac:dyDescent="0.25">
      <c r="G2448" t="str">
        <f t="shared" si="228"/>
        <v/>
      </c>
      <c r="H2448" s="13" t="str">
        <f t="shared" si="231"/>
        <v/>
      </c>
      <c r="I2448" t="str">
        <f>IFERROR(INDEX(Analysis!$D$116:$N$137, MATCH(B2448, Analysis!$C$116:$C$137, 0), MATCH(C2448, Analysis!$D$115:$N$115, 0)), "")</f>
        <v/>
      </c>
      <c r="J2448" t="str">
        <f t="shared" si="232"/>
        <v/>
      </c>
      <c r="K2448" s="28" t="str">
        <f t="shared" si="229"/>
        <v/>
      </c>
      <c r="L2448" s="46" t="str">
        <f t="shared" si="233"/>
        <v/>
      </c>
      <c r="M2448" t="str" cm="1">
        <f t="array" ref="M2448">IF(L2448="","",_xlfn.IFS(
  AND(L2448&gt;=TIME(9,0,0), L2448&lt;TIME(16,0,0)),"Morning",
  AND(L2448&gt;=TIME(16,0,0), L2448&lt;TIME(23,59,0)),"Evening",
  L2448&gt;=TIME(23,59,0),"Night",
  L2448&lt;TIME(9,0,0),"Night"
))</f>
        <v/>
      </c>
      <c r="O2448" t="str">
        <f t="shared" si="230"/>
        <v/>
      </c>
    </row>
    <row r="2449" spans="7:15" x14ac:dyDescent="0.25">
      <c r="G2449" t="str">
        <f t="shared" si="228"/>
        <v/>
      </c>
      <c r="H2449" s="13" t="str">
        <f t="shared" si="231"/>
        <v/>
      </c>
      <c r="I2449" t="str">
        <f>IFERROR(INDEX(Analysis!$D$116:$N$137, MATCH(B2449, Analysis!$C$116:$C$137, 0), MATCH(C2449, Analysis!$D$115:$N$115, 0)), "")</f>
        <v/>
      </c>
      <c r="J2449" t="str">
        <f t="shared" si="232"/>
        <v/>
      </c>
      <c r="K2449" s="28" t="str">
        <f t="shared" si="229"/>
        <v/>
      </c>
      <c r="L2449" s="46" t="str">
        <f t="shared" si="233"/>
        <v/>
      </c>
      <c r="M2449" t="str" cm="1">
        <f t="array" ref="M2449">IF(L2449="","",_xlfn.IFS(
  AND(L2449&gt;=TIME(9,0,0), L2449&lt;TIME(16,0,0)),"Morning",
  AND(L2449&gt;=TIME(16,0,0), L2449&lt;TIME(23,59,0)),"Evening",
  L2449&gt;=TIME(23,59,0),"Night",
  L2449&lt;TIME(9,0,0),"Night"
))</f>
        <v/>
      </c>
      <c r="O2449" t="str">
        <f t="shared" si="230"/>
        <v/>
      </c>
    </row>
    <row r="2450" spans="7:15" x14ac:dyDescent="0.25">
      <c r="G2450" t="str">
        <f t="shared" si="228"/>
        <v/>
      </c>
      <c r="H2450" s="13" t="str">
        <f t="shared" si="231"/>
        <v/>
      </c>
      <c r="I2450" t="str">
        <f>IFERROR(INDEX(Analysis!$D$116:$N$137, MATCH(B2450, Analysis!$C$116:$C$137, 0), MATCH(C2450, Analysis!$D$115:$N$115, 0)), "")</f>
        <v/>
      </c>
      <c r="J2450" t="str">
        <f t="shared" si="232"/>
        <v/>
      </c>
      <c r="K2450" s="28" t="str">
        <f t="shared" si="229"/>
        <v/>
      </c>
      <c r="L2450" s="46" t="str">
        <f t="shared" si="233"/>
        <v/>
      </c>
      <c r="M2450" t="str" cm="1">
        <f t="array" ref="M2450">IF(L2450="","",_xlfn.IFS(
  AND(L2450&gt;=TIME(9,0,0), L2450&lt;TIME(16,0,0)),"Morning",
  AND(L2450&gt;=TIME(16,0,0), L2450&lt;TIME(23,59,0)),"Evening",
  L2450&gt;=TIME(23,59,0),"Night",
  L2450&lt;TIME(9,0,0),"Night"
))</f>
        <v/>
      </c>
      <c r="O2450" t="str">
        <f t="shared" si="230"/>
        <v/>
      </c>
    </row>
    <row r="2451" spans="7:15" x14ac:dyDescent="0.25">
      <c r="G2451" t="str">
        <f t="shared" si="228"/>
        <v/>
      </c>
      <c r="H2451" s="13" t="str">
        <f t="shared" si="231"/>
        <v/>
      </c>
      <c r="I2451" t="str">
        <f>IFERROR(INDEX(Analysis!$D$116:$N$137, MATCH(B2451, Analysis!$C$116:$C$137, 0), MATCH(C2451, Analysis!$D$115:$N$115, 0)), "")</f>
        <v/>
      </c>
      <c r="J2451" t="str">
        <f t="shared" si="232"/>
        <v/>
      </c>
      <c r="K2451" s="28" t="str">
        <f t="shared" si="229"/>
        <v/>
      </c>
      <c r="L2451" s="46" t="str">
        <f t="shared" si="233"/>
        <v/>
      </c>
      <c r="M2451" t="str" cm="1">
        <f t="array" ref="M2451">IF(L2451="","",_xlfn.IFS(
  AND(L2451&gt;=TIME(9,0,0), L2451&lt;TIME(16,0,0)),"Morning",
  AND(L2451&gt;=TIME(16,0,0), L2451&lt;TIME(23,59,0)),"Evening",
  L2451&gt;=TIME(23,59,0),"Night",
  L2451&lt;TIME(9,0,0),"Night"
))</f>
        <v/>
      </c>
      <c r="O2451" t="str">
        <f t="shared" si="230"/>
        <v/>
      </c>
    </row>
    <row r="2452" spans="7:15" x14ac:dyDescent="0.25">
      <c r="G2452" t="str">
        <f t="shared" si="228"/>
        <v/>
      </c>
      <c r="H2452" s="13" t="str">
        <f t="shared" si="231"/>
        <v/>
      </c>
      <c r="I2452" t="str">
        <f>IFERROR(INDEX(Analysis!$D$116:$N$137, MATCH(B2452, Analysis!$C$116:$C$137, 0), MATCH(C2452, Analysis!$D$115:$N$115, 0)), "")</f>
        <v/>
      </c>
      <c r="J2452" t="str">
        <f t="shared" si="232"/>
        <v/>
      </c>
      <c r="K2452" s="28" t="str">
        <f t="shared" si="229"/>
        <v/>
      </c>
      <c r="L2452" s="46" t="str">
        <f t="shared" si="233"/>
        <v/>
      </c>
      <c r="M2452" t="str" cm="1">
        <f t="array" ref="M2452">IF(L2452="","",_xlfn.IFS(
  AND(L2452&gt;=TIME(9,0,0), L2452&lt;TIME(16,0,0)),"Morning",
  AND(L2452&gt;=TIME(16,0,0), L2452&lt;TIME(23,59,0)),"Evening",
  L2452&gt;=TIME(23,59,0),"Night",
  L2452&lt;TIME(9,0,0),"Night"
))</f>
        <v/>
      </c>
      <c r="O2452" t="str">
        <f t="shared" si="230"/>
        <v/>
      </c>
    </row>
    <row r="2453" spans="7:15" x14ac:dyDescent="0.25">
      <c r="G2453" t="str">
        <f t="shared" si="228"/>
        <v/>
      </c>
      <c r="H2453" s="13" t="str">
        <f t="shared" si="231"/>
        <v/>
      </c>
      <c r="I2453" t="str">
        <f>IFERROR(INDEX(Analysis!$D$116:$N$137, MATCH(B2453, Analysis!$C$116:$C$137, 0), MATCH(C2453, Analysis!$D$115:$N$115, 0)), "")</f>
        <v/>
      </c>
      <c r="J2453" t="str">
        <f t="shared" si="232"/>
        <v/>
      </c>
      <c r="K2453" s="28" t="str">
        <f t="shared" si="229"/>
        <v/>
      </c>
      <c r="L2453" s="46" t="str">
        <f t="shared" si="233"/>
        <v/>
      </c>
      <c r="M2453" t="str" cm="1">
        <f t="array" ref="M2453">IF(L2453="","",_xlfn.IFS(
  AND(L2453&gt;=TIME(9,0,0), L2453&lt;TIME(16,0,0)),"Morning",
  AND(L2453&gt;=TIME(16,0,0), L2453&lt;TIME(23,59,0)),"Evening",
  L2453&gt;=TIME(23,59,0),"Night",
  L2453&lt;TIME(9,0,0),"Night"
))</f>
        <v/>
      </c>
      <c r="O2453" t="str">
        <f t="shared" si="230"/>
        <v/>
      </c>
    </row>
    <row r="2454" spans="7:15" x14ac:dyDescent="0.25">
      <c r="G2454" t="str">
        <f t="shared" si="228"/>
        <v/>
      </c>
      <c r="H2454" s="13" t="str">
        <f t="shared" si="231"/>
        <v/>
      </c>
      <c r="I2454" t="str">
        <f>IFERROR(INDEX(Analysis!$D$116:$N$137, MATCH(B2454, Analysis!$C$116:$C$137, 0), MATCH(C2454, Analysis!$D$115:$N$115, 0)), "")</f>
        <v/>
      </c>
      <c r="J2454" t="str">
        <f t="shared" si="232"/>
        <v/>
      </c>
      <c r="K2454" s="28" t="str">
        <f t="shared" si="229"/>
        <v/>
      </c>
      <c r="L2454" s="46" t="str">
        <f t="shared" si="233"/>
        <v/>
      </c>
      <c r="M2454" t="str" cm="1">
        <f t="array" ref="M2454">IF(L2454="","",_xlfn.IFS(
  AND(L2454&gt;=TIME(9,0,0), L2454&lt;TIME(16,0,0)),"Morning",
  AND(L2454&gt;=TIME(16,0,0), L2454&lt;TIME(23,59,0)),"Evening",
  L2454&gt;=TIME(23,59,0),"Night",
  L2454&lt;TIME(9,0,0),"Night"
))</f>
        <v/>
      </c>
      <c r="O2454" t="str">
        <f t="shared" si="230"/>
        <v/>
      </c>
    </row>
    <row r="2455" spans="7:15" x14ac:dyDescent="0.25">
      <c r="G2455" t="str">
        <f t="shared" si="228"/>
        <v/>
      </c>
      <c r="H2455" s="13" t="str">
        <f t="shared" si="231"/>
        <v/>
      </c>
      <c r="I2455" t="str">
        <f>IFERROR(INDEX(Analysis!$D$116:$N$137, MATCH(B2455, Analysis!$C$116:$C$137, 0), MATCH(C2455, Analysis!$D$115:$N$115, 0)), "")</f>
        <v/>
      </c>
      <c r="J2455" t="str">
        <f t="shared" si="232"/>
        <v/>
      </c>
      <c r="K2455" s="28" t="str">
        <f t="shared" si="229"/>
        <v/>
      </c>
      <c r="L2455" s="46" t="str">
        <f t="shared" si="233"/>
        <v/>
      </c>
      <c r="M2455" t="str" cm="1">
        <f t="array" ref="M2455">IF(L2455="","",_xlfn.IFS(
  AND(L2455&gt;=TIME(9,0,0), L2455&lt;TIME(16,0,0)),"Morning",
  AND(L2455&gt;=TIME(16,0,0), L2455&lt;TIME(23,59,0)),"Evening",
  L2455&gt;=TIME(23,59,0),"Night",
  L2455&lt;TIME(9,0,0),"Night"
))</f>
        <v/>
      </c>
      <c r="O2455" t="str">
        <f t="shared" si="230"/>
        <v/>
      </c>
    </row>
    <row r="2456" spans="7:15" x14ac:dyDescent="0.25">
      <c r="G2456" t="str">
        <f t="shared" si="228"/>
        <v/>
      </c>
      <c r="H2456" s="13" t="str">
        <f t="shared" si="231"/>
        <v/>
      </c>
      <c r="I2456" t="str">
        <f>IFERROR(INDEX(Analysis!$D$116:$N$137, MATCH(B2456, Analysis!$C$116:$C$137, 0), MATCH(C2456, Analysis!$D$115:$N$115, 0)), "")</f>
        <v/>
      </c>
      <c r="J2456" t="str">
        <f t="shared" si="232"/>
        <v/>
      </c>
      <c r="K2456" s="28" t="str">
        <f t="shared" si="229"/>
        <v/>
      </c>
      <c r="L2456" s="46" t="str">
        <f t="shared" si="233"/>
        <v/>
      </c>
      <c r="M2456" t="str" cm="1">
        <f t="array" ref="M2456">IF(L2456="","",_xlfn.IFS(
  AND(L2456&gt;=TIME(9,0,0), L2456&lt;TIME(16,0,0)),"Morning",
  AND(L2456&gt;=TIME(16,0,0), L2456&lt;TIME(23,59,0)),"Evening",
  L2456&gt;=TIME(23,59,0),"Night",
  L2456&lt;TIME(9,0,0),"Night"
))</f>
        <v/>
      </c>
      <c r="O2456" t="str">
        <f t="shared" si="230"/>
        <v/>
      </c>
    </row>
    <row r="2457" spans="7:15" x14ac:dyDescent="0.25">
      <c r="G2457" t="str">
        <f t="shared" si="228"/>
        <v/>
      </c>
      <c r="H2457" s="13" t="str">
        <f t="shared" si="231"/>
        <v/>
      </c>
      <c r="I2457" t="str">
        <f>IFERROR(INDEX(Analysis!$D$116:$N$137, MATCH(B2457, Analysis!$C$116:$C$137, 0), MATCH(C2457, Analysis!$D$115:$N$115, 0)), "")</f>
        <v/>
      </c>
      <c r="J2457" t="str">
        <f t="shared" si="232"/>
        <v/>
      </c>
      <c r="K2457" s="28" t="str">
        <f t="shared" si="229"/>
        <v/>
      </c>
      <c r="L2457" s="46" t="str">
        <f t="shared" si="233"/>
        <v/>
      </c>
      <c r="M2457" t="str" cm="1">
        <f t="array" ref="M2457">IF(L2457="","",_xlfn.IFS(
  AND(L2457&gt;=TIME(9,0,0), L2457&lt;TIME(16,0,0)),"Morning",
  AND(L2457&gt;=TIME(16,0,0), L2457&lt;TIME(23,59,0)),"Evening",
  L2457&gt;=TIME(23,59,0),"Night",
  L2457&lt;TIME(9,0,0),"Night"
))</f>
        <v/>
      </c>
      <c r="O2457" t="str">
        <f t="shared" si="230"/>
        <v/>
      </c>
    </row>
    <row r="2458" spans="7:15" x14ac:dyDescent="0.25">
      <c r="G2458" t="str">
        <f t="shared" si="228"/>
        <v/>
      </c>
      <c r="H2458" s="13" t="str">
        <f t="shared" si="231"/>
        <v/>
      </c>
      <c r="I2458" t="str">
        <f>IFERROR(INDEX(Analysis!$D$116:$N$137, MATCH(B2458, Analysis!$C$116:$C$137, 0), MATCH(C2458, Analysis!$D$115:$N$115, 0)), "")</f>
        <v/>
      </c>
      <c r="J2458" t="str">
        <f t="shared" si="232"/>
        <v/>
      </c>
      <c r="K2458" s="28" t="str">
        <f t="shared" si="229"/>
        <v/>
      </c>
      <c r="L2458" s="46" t="str">
        <f t="shared" si="233"/>
        <v/>
      </c>
      <c r="M2458" t="str" cm="1">
        <f t="array" ref="M2458">IF(L2458="","",_xlfn.IFS(
  AND(L2458&gt;=TIME(9,0,0), L2458&lt;TIME(16,0,0)),"Morning",
  AND(L2458&gt;=TIME(16,0,0), L2458&lt;TIME(23,59,0)),"Evening",
  L2458&gt;=TIME(23,59,0),"Night",
  L2458&lt;TIME(9,0,0),"Night"
))</f>
        <v/>
      </c>
      <c r="O2458" t="str">
        <f t="shared" si="230"/>
        <v/>
      </c>
    </row>
    <row r="2459" spans="7:15" x14ac:dyDescent="0.25">
      <c r="G2459" t="str">
        <f t="shared" si="228"/>
        <v/>
      </c>
      <c r="H2459" s="13" t="str">
        <f t="shared" si="231"/>
        <v/>
      </c>
      <c r="I2459" t="str">
        <f>IFERROR(INDEX(Analysis!$D$116:$N$137, MATCH(B2459, Analysis!$C$116:$C$137, 0), MATCH(C2459, Analysis!$D$115:$N$115, 0)), "")</f>
        <v/>
      </c>
      <c r="J2459" t="str">
        <f t="shared" si="232"/>
        <v/>
      </c>
      <c r="K2459" s="28" t="str">
        <f t="shared" si="229"/>
        <v/>
      </c>
      <c r="L2459" s="46" t="str">
        <f t="shared" si="233"/>
        <v/>
      </c>
      <c r="M2459" t="str" cm="1">
        <f t="array" ref="M2459">IF(L2459="","",_xlfn.IFS(
  AND(L2459&gt;=TIME(9,0,0), L2459&lt;TIME(16,0,0)),"Morning",
  AND(L2459&gt;=TIME(16,0,0), L2459&lt;TIME(23,59,0)),"Evening",
  L2459&gt;=TIME(23,59,0),"Night",
  L2459&lt;TIME(9,0,0),"Night"
))</f>
        <v/>
      </c>
      <c r="O2459" t="str">
        <f t="shared" si="230"/>
        <v/>
      </c>
    </row>
    <row r="2460" spans="7:15" x14ac:dyDescent="0.25">
      <c r="G2460" t="str">
        <f t="shared" si="228"/>
        <v/>
      </c>
      <c r="H2460" s="13" t="str">
        <f t="shared" si="231"/>
        <v/>
      </c>
      <c r="I2460" t="str">
        <f>IFERROR(INDEX(Analysis!$D$116:$N$137, MATCH(B2460, Analysis!$C$116:$C$137, 0), MATCH(C2460, Analysis!$D$115:$N$115, 0)), "")</f>
        <v/>
      </c>
      <c r="J2460" t="str">
        <f t="shared" si="232"/>
        <v/>
      </c>
      <c r="K2460" s="28" t="str">
        <f t="shared" si="229"/>
        <v/>
      </c>
      <c r="L2460" s="46" t="str">
        <f t="shared" si="233"/>
        <v/>
      </c>
      <c r="M2460" t="str" cm="1">
        <f t="array" ref="M2460">IF(L2460="","",_xlfn.IFS(
  AND(L2460&gt;=TIME(9,0,0), L2460&lt;TIME(16,0,0)),"Morning",
  AND(L2460&gt;=TIME(16,0,0), L2460&lt;TIME(23,59,0)),"Evening",
  L2460&gt;=TIME(23,59,0),"Night",
  L2460&lt;TIME(9,0,0),"Night"
))</f>
        <v/>
      </c>
      <c r="O2460" t="str">
        <f t="shared" si="230"/>
        <v/>
      </c>
    </row>
    <row r="2461" spans="7:15" x14ac:dyDescent="0.25">
      <c r="G2461" t="str">
        <f t="shared" si="228"/>
        <v/>
      </c>
      <c r="H2461" s="13" t="str">
        <f t="shared" si="231"/>
        <v/>
      </c>
      <c r="I2461" t="str">
        <f>IFERROR(INDEX(Analysis!$D$116:$N$137, MATCH(B2461, Analysis!$C$116:$C$137, 0), MATCH(C2461, Analysis!$D$115:$N$115, 0)), "")</f>
        <v/>
      </c>
      <c r="J2461" t="str">
        <f t="shared" si="232"/>
        <v/>
      </c>
      <c r="K2461" s="28" t="str">
        <f t="shared" si="229"/>
        <v/>
      </c>
      <c r="L2461" s="46" t="str">
        <f t="shared" si="233"/>
        <v/>
      </c>
      <c r="M2461" t="str" cm="1">
        <f t="array" ref="M2461">IF(L2461="","",_xlfn.IFS(
  AND(L2461&gt;=TIME(9,0,0), L2461&lt;TIME(16,0,0)),"Morning",
  AND(L2461&gt;=TIME(16,0,0), L2461&lt;TIME(23,59,0)),"Evening",
  L2461&gt;=TIME(23,59,0),"Night",
  L2461&lt;TIME(9,0,0),"Night"
))</f>
        <v/>
      </c>
      <c r="O2461" t="str">
        <f t="shared" si="230"/>
        <v/>
      </c>
    </row>
    <row r="2462" spans="7:15" x14ac:dyDescent="0.25">
      <c r="G2462" t="str">
        <f t="shared" si="228"/>
        <v/>
      </c>
      <c r="H2462" s="13" t="str">
        <f t="shared" si="231"/>
        <v/>
      </c>
      <c r="I2462" t="str">
        <f>IFERROR(INDEX(Analysis!$D$116:$N$137, MATCH(B2462, Analysis!$C$116:$C$137, 0), MATCH(C2462, Analysis!$D$115:$N$115, 0)), "")</f>
        <v/>
      </c>
      <c r="J2462" t="str">
        <f t="shared" si="232"/>
        <v/>
      </c>
      <c r="K2462" s="28" t="str">
        <f t="shared" si="229"/>
        <v/>
      </c>
      <c r="L2462" s="46" t="str">
        <f t="shared" si="233"/>
        <v/>
      </c>
      <c r="M2462" t="str" cm="1">
        <f t="array" ref="M2462">IF(L2462="","",_xlfn.IFS(
  AND(L2462&gt;=TIME(9,0,0), L2462&lt;TIME(16,0,0)),"Morning",
  AND(L2462&gt;=TIME(16,0,0), L2462&lt;TIME(23,59,0)),"Evening",
  L2462&gt;=TIME(23,59,0),"Night",
  L2462&lt;TIME(9,0,0),"Night"
))</f>
        <v/>
      </c>
      <c r="O2462" t="str">
        <f t="shared" si="230"/>
        <v/>
      </c>
    </row>
    <row r="2463" spans="7:15" x14ac:dyDescent="0.25">
      <c r="G2463" t="str">
        <f t="shared" si="228"/>
        <v/>
      </c>
      <c r="H2463" s="13" t="str">
        <f t="shared" si="231"/>
        <v/>
      </c>
      <c r="I2463" t="str">
        <f>IFERROR(INDEX(Analysis!$D$116:$N$137, MATCH(B2463, Analysis!$C$116:$C$137, 0), MATCH(C2463, Analysis!$D$115:$N$115, 0)), "")</f>
        <v/>
      </c>
      <c r="J2463" t="str">
        <f t="shared" si="232"/>
        <v/>
      </c>
      <c r="K2463" s="28" t="str">
        <f t="shared" si="229"/>
        <v/>
      </c>
      <c r="L2463" s="46" t="str">
        <f t="shared" si="233"/>
        <v/>
      </c>
      <c r="M2463" t="str" cm="1">
        <f t="array" ref="M2463">IF(L2463="","",_xlfn.IFS(
  AND(L2463&gt;=TIME(9,0,0), L2463&lt;TIME(16,0,0)),"Morning",
  AND(L2463&gt;=TIME(16,0,0), L2463&lt;TIME(23,59,0)),"Evening",
  L2463&gt;=TIME(23,59,0),"Night",
  L2463&lt;TIME(9,0,0),"Night"
))</f>
        <v/>
      </c>
      <c r="O2463" t="str">
        <f t="shared" si="230"/>
        <v/>
      </c>
    </row>
    <row r="2464" spans="7:15" x14ac:dyDescent="0.25">
      <c r="G2464" t="str">
        <f t="shared" si="228"/>
        <v/>
      </c>
      <c r="H2464" s="13" t="str">
        <f t="shared" si="231"/>
        <v/>
      </c>
      <c r="I2464" t="str">
        <f>IFERROR(INDEX(Analysis!$D$116:$N$137, MATCH(B2464, Analysis!$C$116:$C$137, 0), MATCH(C2464, Analysis!$D$115:$N$115, 0)), "")</f>
        <v/>
      </c>
      <c r="J2464" t="str">
        <f t="shared" si="232"/>
        <v/>
      </c>
      <c r="K2464" s="28" t="str">
        <f t="shared" si="229"/>
        <v/>
      </c>
      <c r="L2464" s="46" t="str">
        <f t="shared" si="233"/>
        <v/>
      </c>
      <c r="M2464" t="str" cm="1">
        <f t="array" ref="M2464">IF(L2464="","",_xlfn.IFS(
  AND(L2464&gt;=TIME(9,0,0), L2464&lt;TIME(16,0,0)),"Morning",
  AND(L2464&gt;=TIME(16,0,0), L2464&lt;TIME(23,59,0)),"Evening",
  L2464&gt;=TIME(23,59,0),"Night",
  L2464&lt;TIME(9,0,0),"Night"
))</f>
        <v/>
      </c>
      <c r="O2464" t="str">
        <f t="shared" si="230"/>
        <v/>
      </c>
    </row>
    <row r="2465" spans="7:15" x14ac:dyDescent="0.25">
      <c r="G2465" t="str">
        <f t="shared" si="228"/>
        <v/>
      </c>
      <c r="H2465" s="13" t="str">
        <f t="shared" si="231"/>
        <v/>
      </c>
      <c r="I2465" t="str">
        <f>IFERROR(INDEX(Analysis!$D$116:$N$137, MATCH(B2465, Analysis!$C$116:$C$137, 0), MATCH(C2465, Analysis!$D$115:$N$115, 0)), "")</f>
        <v/>
      </c>
      <c r="J2465" t="str">
        <f t="shared" si="232"/>
        <v/>
      </c>
      <c r="K2465" s="28" t="str">
        <f t="shared" si="229"/>
        <v/>
      </c>
      <c r="L2465" s="46" t="str">
        <f t="shared" si="233"/>
        <v/>
      </c>
      <c r="M2465" t="str" cm="1">
        <f t="array" ref="M2465">IF(L2465="","",_xlfn.IFS(
  AND(L2465&gt;=TIME(9,0,0), L2465&lt;TIME(16,0,0)),"Morning",
  AND(L2465&gt;=TIME(16,0,0), L2465&lt;TIME(23,59,0)),"Evening",
  L2465&gt;=TIME(23,59,0),"Night",
  L2465&lt;TIME(9,0,0),"Night"
))</f>
        <v/>
      </c>
      <c r="O2465" t="str">
        <f t="shared" si="230"/>
        <v/>
      </c>
    </row>
    <row r="2466" spans="7:15" x14ac:dyDescent="0.25">
      <c r="G2466" t="str">
        <f t="shared" si="228"/>
        <v/>
      </c>
      <c r="H2466" s="13" t="str">
        <f t="shared" si="231"/>
        <v/>
      </c>
      <c r="I2466" t="str">
        <f>IFERROR(INDEX(Analysis!$D$116:$N$137, MATCH(B2466, Analysis!$C$116:$C$137, 0), MATCH(C2466, Analysis!$D$115:$N$115, 0)), "")</f>
        <v/>
      </c>
      <c r="J2466" t="str">
        <f t="shared" si="232"/>
        <v/>
      </c>
      <c r="K2466" s="28" t="str">
        <f t="shared" si="229"/>
        <v/>
      </c>
      <c r="L2466" s="46" t="str">
        <f t="shared" si="233"/>
        <v/>
      </c>
      <c r="M2466" t="str" cm="1">
        <f t="array" ref="M2466">IF(L2466="","",_xlfn.IFS(
  AND(L2466&gt;=TIME(9,0,0), L2466&lt;TIME(16,0,0)),"Morning",
  AND(L2466&gt;=TIME(16,0,0), L2466&lt;TIME(23,59,0)),"Evening",
  L2466&gt;=TIME(23,59,0),"Night",
  L2466&lt;TIME(9,0,0),"Night"
))</f>
        <v/>
      </c>
      <c r="O2466" t="str">
        <f t="shared" si="230"/>
        <v/>
      </c>
    </row>
    <row r="2467" spans="7:15" x14ac:dyDescent="0.25">
      <c r="G2467" t="str">
        <f t="shared" si="228"/>
        <v/>
      </c>
      <c r="H2467" s="13" t="str">
        <f t="shared" si="231"/>
        <v/>
      </c>
      <c r="I2467" t="str">
        <f>IFERROR(INDEX(Analysis!$D$116:$N$137, MATCH(B2467, Analysis!$C$116:$C$137, 0), MATCH(C2467, Analysis!$D$115:$N$115, 0)), "")</f>
        <v/>
      </c>
      <c r="J2467" t="str">
        <f t="shared" si="232"/>
        <v/>
      </c>
      <c r="K2467" s="28" t="str">
        <f t="shared" si="229"/>
        <v/>
      </c>
      <c r="L2467" s="46" t="str">
        <f t="shared" si="233"/>
        <v/>
      </c>
      <c r="M2467" t="str" cm="1">
        <f t="array" ref="M2467">IF(L2467="","",_xlfn.IFS(
  AND(L2467&gt;=TIME(9,0,0), L2467&lt;TIME(16,0,0)),"Morning",
  AND(L2467&gt;=TIME(16,0,0), L2467&lt;TIME(23,59,0)),"Evening",
  L2467&gt;=TIME(23,59,0),"Night",
  L2467&lt;TIME(9,0,0),"Night"
))</f>
        <v/>
      </c>
      <c r="O2467" t="str">
        <f t="shared" si="230"/>
        <v/>
      </c>
    </row>
    <row r="2468" spans="7:15" x14ac:dyDescent="0.25">
      <c r="G2468" t="str">
        <f t="shared" si="228"/>
        <v/>
      </c>
      <c r="H2468" s="13" t="str">
        <f t="shared" si="231"/>
        <v/>
      </c>
      <c r="I2468" t="str">
        <f>IFERROR(INDEX(Analysis!$D$116:$N$137, MATCH(B2468, Analysis!$C$116:$C$137, 0), MATCH(C2468, Analysis!$D$115:$N$115, 0)), "")</f>
        <v/>
      </c>
      <c r="J2468" t="str">
        <f t="shared" si="232"/>
        <v/>
      </c>
      <c r="K2468" s="28" t="str">
        <f t="shared" si="229"/>
        <v/>
      </c>
      <c r="L2468" s="46" t="str">
        <f t="shared" si="233"/>
        <v/>
      </c>
      <c r="M2468" t="str" cm="1">
        <f t="array" ref="M2468">IF(L2468="","",_xlfn.IFS(
  AND(L2468&gt;=TIME(9,0,0), L2468&lt;TIME(16,0,0)),"Morning",
  AND(L2468&gt;=TIME(16,0,0), L2468&lt;TIME(23,59,0)),"Evening",
  L2468&gt;=TIME(23,59,0),"Night",
  L2468&lt;TIME(9,0,0),"Night"
))</f>
        <v/>
      </c>
      <c r="O2468" t="str">
        <f t="shared" si="230"/>
        <v/>
      </c>
    </row>
    <row r="2469" spans="7:15" x14ac:dyDescent="0.25">
      <c r="G2469" t="str">
        <f t="shared" si="228"/>
        <v/>
      </c>
      <c r="H2469" s="13" t="str">
        <f t="shared" si="231"/>
        <v/>
      </c>
      <c r="I2469" t="str">
        <f>IFERROR(INDEX(Analysis!$D$116:$N$137, MATCH(B2469, Analysis!$C$116:$C$137, 0), MATCH(C2469, Analysis!$D$115:$N$115, 0)), "")</f>
        <v/>
      </c>
      <c r="J2469" t="str">
        <f t="shared" si="232"/>
        <v/>
      </c>
      <c r="K2469" s="28" t="str">
        <f t="shared" si="229"/>
        <v/>
      </c>
      <c r="L2469" s="46" t="str">
        <f t="shared" si="233"/>
        <v/>
      </c>
      <c r="M2469" t="str" cm="1">
        <f t="array" ref="M2469">IF(L2469="","",_xlfn.IFS(
  AND(L2469&gt;=TIME(9,0,0), L2469&lt;TIME(16,0,0)),"Morning",
  AND(L2469&gt;=TIME(16,0,0), L2469&lt;TIME(23,59,0)),"Evening",
  L2469&gt;=TIME(23,59,0),"Night",
  L2469&lt;TIME(9,0,0),"Night"
))</f>
        <v/>
      </c>
      <c r="O2469" t="str">
        <f t="shared" si="230"/>
        <v/>
      </c>
    </row>
    <row r="2470" spans="7:15" x14ac:dyDescent="0.25">
      <c r="G2470" t="str">
        <f t="shared" si="228"/>
        <v/>
      </c>
      <c r="H2470" s="13" t="str">
        <f t="shared" si="231"/>
        <v/>
      </c>
      <c r="I2470" t="str">
        <f>IFERROR(INDEX(Analysis!$D$116:$N$137, MATCH(B2470, Analysis!$C$116:$C$137, 0), MATCH(C2470, Analysis!$D$115:$N$115, 0)), "")</f>
        <v/>
      </c>
      <c r="J2470" t="str">
        <f t="shared" si="232"/>
        <v/>
      </c>
      <c r="K2470" s="28" t="str">
        <f t="shared" si="229"/>
        <v/>
      </c>
      <c r="L2470" s="46" t="str">
        <f t="shared" si="233"/>
        <v/>
      </c>
      <c r="M2470" t="str" cm="1">
        <f t="array" ref="M2470">IF(L2470="","",_xlfn.IFS(
  AND(L2470&gt;=TIME(9,0,0), L2470&lt;TIME(16,0,0)),"Morning",
  AND(L2470&gt;=TIME(16,0,0), L2470&lt;TIME(23,59,0)),"Evening",
  L2470&gt;=TIME(23,59,0),"Night",
  L2470&lt;TIME(9,0,0),"Night"
))</f>
        <v/>
      </c>
      <c r="O2470" t="str">
        <f t="shared" si="230"/>
        <v/>
      </c>
    </row>
    <row r="2471" spans="7:15" x14ac:dyDescent="0.25">
      <c r="G2471" t="str">
        <f t="shared" si="228"/>
        <v/>
      </c>
      <c r="H2471" s="13" t="str">
        <f t="shared" si="231"/>
        <v/>
      </c>
      <c r="I2471" t="str">
        <f>IFERROR(INDEX(Analysis!$D$116:$N$137, MATCH(B2471, Analysis!$C$116:$C$137, 0), MATCH(C2471, Analysis!$D$115:$N$115, 0)), "")</f>
        <v/>
      </c>
      <c r="J2471" t="str">
        <f t="shared" si="232"/>
        <v/>
      </c>
      <c r="K2471" s="28" t="str">
        <f t="shared" si="229"/>
        <v/>
      </c>
      <c r="L2471" s="46" t="str">
        <f t="shared" si="233"/>
        <v/>
      </c>
      <c r="M2471" t="str" cm="1">
        <f t="array" ref="M2471">IF(L2471="","",_xlfn.IFS(
  AND(L2471&gt;=TIME(9,0,0), L2471&lt;TIME(16,0,0)),"Morning",
  AND(L2471&gt;=TIME(16,0,0), L2471&lt;TIME(23,59,0)),"Evening",
  L2471&gt;=TIME(23,59,0),"Night",
  L2471&lt;TIME(9,0,0),"Night"
))</f>
        <v/>
      </c>
      <c r="O2471" t="str">
        <f t="shared" si="230"/>
        <v/>
      </c>
    </row>
    <row r="2472" spans="7:15" x14ac:dyDescent="0.25">
      <c r="G2472" t="str">
        <f t="shared" si="228"/>
        <v/>
      </c>
      <c r="H2472" s="13" t="str">
        <f t="shared" si="231"/>
        <v/>
      </c>
      <c r="I2472" t="str">
        <f>IFERROR(INDEX(Analysis!$D$116:$N$137, MATCH(B2472, Analysis!$C$116:$C$137, 0), MATCH(C2472, Analysis!$D$115:$N$115, 0)), "")</f>
        <v/>
      </c>
      <c r="J2472" t="str">
        <f t="shared" si="232"/>
        <v/>
      </c>
      <c r="K2472" s="28" t="str">
        <f t="shared" si="229"/>
        <v/>
      </c>
      <c r="L2472" s="46" t="str">
        <f t="shared" si="233"/>
        <v/>
      </c>
      <c r="M2472" t="str" cm="1">
        <f t="array" ref="M2472">IF(L2472="","",_xlfn.IFS(
  AND(L2472&gt;=TIME(9,0,0), L2472&lt;TIME(16,0,0)),"Morning",
  AND(L2472&gt;=TIME(16,0,0), L2472&lt;TIME(23,59,0)),"Evening",
  L2472&gt;=TIME(23,59,0),"Night",
  L2472&lt;TIME(9,0,0),"Night"
))</f>
        <v/>
      </c>
      <c r="O2472" t="str">
        <f t="shared" si="230"/>
        <v/>
      </c>
    </row>
    <row r="2473" spans="7:15" x14ac:dyDescent="0.25">
      <c r="G2473" t="str">
        <f t="shared" si="228"/>
        <v/>
      </c>
      <c r="H2473" s="13" t="str">
        <f t="shared" si="231"/>
        <v/>
      </c>
      <c r="I2473" t="str">
        <f>IFERROR(INDEX(Analysis!$D$116:$N$137, MATCH(B2473, Analysis!$C$116:$C$137, 0), MATCH(C2473, Analysis!$D$115:$N$115, 0)), "")</f>
        <v/>
      </c>
      <c r="J2473" t="str">
        <f t="shared" si="232"/>
        <v/>
      </c>
      <c r="K2473" s="28" t="str">
        <f t="shared" si="229"/>
        <v/>
      </c>
      <c r="L2473" s="46" t="str">
        <f t="shared" si="233"/>
        <v/>
      </c>
      <c r="M2473" t="str" cm="1">
        <f t="array" ref="M2473">IF(L2473="","",_xlfn.IFS(
  AND(L2473&gt;=TIME(9,0,0), L2473&lt;TIME(16,0,0)),"Morning",
  AND(L2473&gt;=TIME(16,0,0), L2473&lt;TIME(23,59,0)),"Evening",
  L2473&gt;=TIME(23,59,0),"Night",
  L2473&lt;TIME(9,0,0),"Night"
))</f>
        <v/>
      </c>
      <c r="O2473" t="str">
        <f t="shared" si="230"/>
        <v/>
      </c>
    </row>
    <row r="2474" spans="7:15" x14ac:dyDescent="0.25">
      <c r="G2474" t="str">
        <f t="shared" si="228"/>
        <v/>
      </c>
      <c r="H2474" s="13" t="str">
        <f t="shared" si="231"/>
        <v/>
      </c>
      <c r="I2474" t="str">
        <f>IFERROR(INDEX(Analysis!$D$116:$N$137, MATCH(B2474, Analysis!$C$116:$C$137, 0), MATCH(C2474, Analysis!$D$115:$N$115, 0)), "")</f>
        <v/>
      </c>
      <c r="J2474" t="str">
        <f t="shared" si="232"/>
        <v/>
      </c>
      <c r="K2474" s="28" t="str">
        <f t="shared" si="229"/>
        <v/>
      </c>
      <c r="L2474" s="46" t="str">
        <f t="shared" si="233"/>
        <v/>
      </c>
      <c r="M2474" t="str" cm="1">
        <f t="array" ref="M2474">IF(L2474="","",_xlfn.IFS(
  AND(L2474&gt;=TIME(9,0,0), L2474&lt;TIME(16,0,0)),"Morning",
  AND(L2474&gt;=TIME(16,0,0), L2474&lt;TIME(23,59,0)),"Evening",
  L2474&gt;=TIME(23,59,0),"Night",
  L2474&lt;TIME(9,0,0),"Night"
))</f>
        <v/>
      </c>
      <c r="O2474" t="str">
        <f t="shared" si="230"/>
        <v/>
      </c>
    </row>
    <row r="2475" spans="7:15" x14ac:dyDescent="0.25">
      <c r="G2475" t="str">
        <f t="shared" si="228"/>
        <v/>
      </c>
      <c r="H2475" s="13" t="str">
        <f t="shared" si="231"/>
        <v/>
      </c>
      <c r="I2475" t="str">
        <f>IFERROR(INDEX(Analysis!$D$116:$N$137, MATCH(B2475, Analysis!$C$116:$C$137, 0), MATCH(C2475, Analysis!$D$115:$N$115, 0)), "")</f>
        <v/>
      </c>
      <c r="J2475" t="str">
        <f t="shared" si="232"/>
        <v/>
      </c>
      <c r="K2475" s="28" t="str">
        <f t="shared" si="229"/>
        <v/>
      </c>
      <c r="L2475" s="46" t="str">
        <f t="shared" si="233"/>
        <v/>
      </c>
      <c r="M2475" t="str" cm="1">
        <f t="array" ref="M2475">IF(L2475="","",_xlfn.IFS(
  AND(L2475&gt;=TIME(9,0,0), L2475&lt;TIME(16,0,0)),"Morning",
  AND(L2475&gt;=TIME(16,0,0), L2475&lt;TIME(23,59,0)),"Evening",
  L2475&gt;=TIME(23,59,0),"Night",
  L2475&lt;TIME(9,0,0),"Night"
))</f>
        <v/>
      </c>
      <c r="O2475" t="str">
        <f t="shared" si="230"/>
        <v/>
      </c>
    </row>
    <row r="2476" spans="7:15" x14ac:dyDescent="0.25">
      <c r="G2476" t="str">
        <f t="shared" si="228"/>
        <v/>
      </c>
      <c r="H2476" s="13" t="str">
        <f t="shared" si="231"/>
        <v/>
      </c>
      <c r="I2476" t="str">
        <f>IFERROR(INDEX(Analysis!$D$116:$N$137, MATCH(B2476, Analysis!$C$116:$C$137, 0), MATCH(C2476, Analysis!$D$115:$N$115, 0)), "")</f>
        <v/>
      </c>
      <c r="J2476" t="str">
        <f t="shared" si="232"/>
        <v/>
      </c>
      <c r="K2476" s="28" t="str">
        <f t="shared" si="229"/>
        <v/>
      </c>
      <c r="L2476" s="46" t="str">
        <f t="shared" si="233"/>
        <v/>
      </c>
      <c r="M2476" t="str" cm="1">
        <f t="array" ref="M2476">IF(L2476="","",_xlfn.IFS(
  AND(L2476&gt;=TIME(9,0,0), L2476&lt;TIME(16,0,0)),"Morning",
  AND(L2476&gt;=TIME(16,0,0), L2476&lt;TIME(23,59,0)),"Evening",
  L2476&gt;=TIME(23,59,0),"Night",
  L2476&lt;TIME(9,0,0),"Night"
))</f>
        <v/>
      </c>
      <c r="O2476" t="str">
        <f t="shared" si="230"/>
        <v/>
      </c>
    </row>
    <row r="2477" spans="7:15" x14ac:dyDescent="0.25">
      <c r="G2477" t="str">
        <f t="shared" si="228"/>
        <v/>
      </c>
      <c r="H2477" s="13" t="str">
        <f t="shared" si="231"/>
        <v/>
      </c>
      <c r="I2477" t="str">
        <f>IFERROR(INDEX(Analysis!$D$116:$N$137, MATCH(B2477, Analysis!$C$116:$C$137, 0), MATCH(C2477, Analysis!$D$115:$N$115, 0)), "")</f>
        <v/>
      </c>
      <c r="J2477" t="str">
        <f t="shared" si="232"/>
        <v/>
      </c>
      <c r="K2477" s="28" t="str">
        <f t="shared" si="229"/>
        <v/>
      </c>
      <c r="L2477" s="46" t="str">
        <f t="shared" si="233"/>
        <v/>
      </c>
      <c r="M2477" t="str" cm="1">
        <f t="array" ref="M2477">IF(L2477="","",_xlfn.IFS(
  AND(L2477&gt;=TIME(9,0,0), L2477&lt;TIME(16,0,0)),"Morning",
  AND(L2477&gt;=TIME(16,0,0), L2477&lt;TIME(23,59,0)),"Evening",
  L2477&gt;=TIME(23,59,0),"Night",
  L2477&lt;TIME(9,0,0),"Night"
))</f>
        <v/>
      </c>
      <c r="O2477" t="str">
        <f t="shared" si="230"/>
        <v/>
      </c>
    </row>
    <row r="2478" spans="7:15" x14ac:dyDescent="0.25">
      <c r="G2478" t="str">
        <f t="shared" si="228"/>
        <v/>
      </c>
      <c r="H2478" s="13" t="str">
        <f t="shared" si="231"/>
        <v/>
      </c>
      <c r="I2478" t="str">
        <f>IFERROR(INDEX(Analysis!$D$116:$N$137, MATCH(B2478, Analysis!$C$116:$C$137, 0), MATCH(C2478, Analysis!$D$115:$N$115, 0)), "")</f>
        <v/>
      </c>
      <c r="J2478" t="str">
        <f t="shared" si="232"/>
        <v/>
      </c>
      <c r="K2478" s="28" t="str">
        <f t="shared" si="229"/>
        <v/>
      </c>
      <c r="L2478" s="46" t="str">
        <f t="shared" si="233"/>
        <v/>
      </c>
      <c r="M2478" t="str" cm="1">
        <f t="array" ref="M2478">IF(L2478="","",_xlfn.IFS(
  AND(L2478&gt;=TIME(9,0,0), L2478&lt;TIME(16,0,0)),"Morning",
  AND(L2478&gt;=TIME(16,0,0), L2478&lt;TIME(23,59,0)),"Evening",
  L2478&gt;=TIME(23,59,0),"Night",
  L2478&lt;TIME(9,0,0),"Night"
))</f>
        <v/>
      </c>
      <c r="O2478" t="str">
        <f t="shared" si="230"/>
        <v/>
      </c>
    </row>
    <row r="2479" spans="7:15" x14ac:dyDescent="0.25">
      <c r="G2479" t="str">
        <f t="shared" si="228"/>
        <v/>
      </c>
      <c r="H2479" s="13" t="str">
        <f t="shared" si="231"/>
        <v/>
      </c>
      <c r="I2479" t="str">
        <f>IFERROR(INDEX(Analysis!$D$116:$N$137, MATCH(B2479, Analysis!$C$116:$C$137, 0), MATCH(C2479, Analysis!$D$115:$N$115, 0)), "")</f>
        <v/>
      </c>
      <c r="J2479" t="str">
        <f t="shared" si="232"/>
        <v/>
      </c>
      <c r="K2479" s="28" t="str">
        <f t="shared" si="229"/>
        <v/>
      </c>
      <c r="L2479" s="46" t="str">
        <f t="shared" si="233"/>
        <v/>
      </c>
      <c r="M2479" t="str" cm="1">
        <f t="array" ref="M2479">IF(L2479="","",_xlfn.IFS(
  AND(L2479&gt;=TIME(9,0,0), L2479&lt;TIME(16,0,0)),"Morning",
  AND(L2479&gt;=TIME(16,0,0), L2479&lt;TIME(23,59,0)),"Evening",
  L2479&gt;=TIME(23,59,0),"Night",
  L2479&lt;TIME(9,0,0),"Night"
))</f>
        <v/>
      </c>
      <c r="O2479" t="str">
        <f t="shared" si="230"/>
        <v/>
      </c>
    </row>
    <row r="2480" spans="7:15" x14ac:dyDescent="0.25">
      <c r="G2480" t="str">
        <f t="shared" si="228"/>
        <v/>
      </c>
      <c r="H2480" s="13" t="str">
        <f t="shared" si="231"/>
        <v/>
      </c>
      <c r="I2480" t="str">
        <f>IFERROR(INDEX(Analysis!$D$116:$N$137, MATCH(B2480, Analysis!$C$116:$C$137, 0), MATCH(C2480, Analysis!$D$115:$N$115, 0)), "")</f>
        <v/>
      </c>
      <c r="J2480" t="str">
        <f t="shared" si="232"/>
        <v/>
      </c>
      <c r="K2480" s="28" t="str">
        <f t="shared" si="229"/>
        <v/>
      </c>
      <c r="L2480" s="46" t="str">
        <f t="shared" si="233"/>
        <v/>
      </c>
      <c r="M2480" t="str" cm="1">
        <f t="array" ref="M2480">IF(L2480="","",_xlfn.IFS(
  AND(L2480&gt;=TIME(9,0,0), L2480&lt;TIME(16,0,0)),"Morning",
  AND(L2480&gt;=TIME(16,0,0), L2480&lt;TIME(23,59,0)),"Evening",
  L2480&gt;=TIME(23,59,0),"Night",
  L2480&lt;TIME(9,0,0),"Night"
))</f>
        <v/>
      </c>
      <c r="O2480" t="str">
        <f t="shared" si="230"/>
        <v/>
      </c>
    </row>
    <row r="2481" spans="7:15" x14ac:dyDescent="0.25">
      <c r="G2481" t="str">
        <f t="shared" si="228"/>
        <v/>
      </c>
      <c r="H2481" s="13" t="str">
        <f t="shared" si="231"/>
        <v/>
      </c>
      <c r="I2481" t="str">
        <f>IFERROR(INDEX(Analysis!$D$116:$N$137, MATCH(B2481, Analysis!$C$116:$C$137, 0), MATCH(C2481, Analysis!$D$115:$N$115, 0)), "")</f>
        <v/>
      </c>
      <c r="J2481" t="str">
        <f t="shared" si="232"/>
        <v/>
      </c>
      <c r="K2481" s="28" t="str">
        <f t="shared" si="229"/>
        <v/>
      </c>
      <c r="L2481" s="46" t="str">
        <f t="shared" si="233"/>
        <v/>
      </c>
      <c r="M2481" t="str" cm="1">
        <f t="array" ref="M2481">IF(L2481="","",_xlfn.IFS(
  AND(L2481&gt;=TIME(9,0,0), L2481&lt;TIME(16,0,0)),"Morning",
  AND(L2481&gt;=TIME(16,0,0), L2481&lt;TIME(23,59,0)),"Evening",
  L2481&gt;=TIME(23,59,0),"Night",
  L2481&lt;TIME(9,0,0),"Night"
))</f>
        <v/>
      </c>
      <c r="O2481" t="str">
        <f t="shared" si="230"/>
        <v/>
      </c>
    </row>
    <row r="2482" spans="7:15" x14ac:dyDescent="0.25">
      <c r="G2482" t="str">
        <f t="shared" si="228"/>
        <v/>
      </c>
      <c r="H2482" s="13" t="str">
        <f t="shared" si="231"/>
        <v/>
      </c>
      <c r="I2482" t="str">
        <f>IFERROR(INDEX(Analysis!$D$116:$N$137, MATCH(B2482, Analysis!$C$116:$C$137, 0), MATCH(C2482, Analysis!$D$115:$N$115, 0)), "")</f>
        <v/>
      </c>
      <c r="J2482" t="str">
        <f t="shared" si="232"/>
        <v/>
      </c>
      <c r="K2482" s="28" t="str">
        <f t="shared" si="229"/>
        <v/>
      </c>
      <c r="L2482" s="46" t="str">
        <f t="shared" si="233"/>
        <v/>
      </c>
      <c r="M2482" t="str" cm="1">
        <f t="array" ref="M2482">IF(L2482="","",_xlfn.IFS(
  AND(L2482&gt;=TIME(9,0,0), L2482&lt;TIME(16,0,0)),"Morning",
  AND(L2482&gt;=TIME(16,0,0), L2482&lt;TIME(23,59,0)),"Evening",
  L2482&gt;=TIME(23,59,0),"Night",
  L2482&lt;TIME(9,0,0),"Night"
))</f>
        <v/>
      </c>
      <c r="O2482" t="str">
        <f t="shared" si="230"/>
        <v/>
      </c>
    </row>
    <row r="2483" spans="7:15" x14ac:dyDescent="0.25">
      <c r="G2483" t="str">
        <f t="shared" si="228"/>
        <v/>
      </c>
      <c r="H2483" s="13" t="str">
        <f t="shared" si="231"/>
        <v/>
      </c>
      <c r="I2483" t="str">
        <f>IFERROR(INDEX(Analysis!$D$116:$N$137, MATCH(B2483, Analysis!$C$116:$C$137, 0), MATCH(C2483, Analysis!$D$115:$N$115, 0)), "")</f>
        <v/>
      </c>
      <c r="J2483" t="str">
        <f t="shared" si="232"/>
        <v/>
      </c>
      <c r="K2483" s="28" t="str">
        <f t="shared" si="229"/>
        <v/>
      </c>
      <c r="L2483" s="46" t="str">
        <f t="shared" si="233"/>
        <v/>
      </c>
      <c r="M2483" t="str" cm="1">
        <f t="array" ref="M2483">IF(L2483="","",_xlfn.IFS(
  AND(L2483&gt;=TIME(9,0,0), L2483&lt;TIME(16,0,0)),"Morning",
  AND(L2483&gt;=TIME(16,0,0), L2483&lt;TIME(23,59,0)),"Evening",
  L2483&gt;=TIME(23,59,0),"Night",
  L2483&lt;TIME(9,0,0),"Night"
))</f>
        <v/>
      </c>
      <c r="O2483" t="str">
        <f t="shared" si="230"/>
        <v/>
      </c>
    </row>
    <row r="2484" spans="7:15" x14ac:dyDescent="0.25">
      <c r="G2484" t="str">
        <f t="shared" si="228"/>
        <v/>
      </c>
      <c r="H2484" s="13" t="str">
        <f t="shared" si="231"/>
        <v/>
      </c>
      <c r="I2484" t="str">
        <f>IFERROR(INDEX(Analysis!$D$116:$N$137, MATCH(B2484, Analysis!$C$116:$C$137, 0), MATCH(C2484, Analysis!$D$115:$N$115, 0)), "")</f>
        <v/>
      </c>
      <c r="J2484" t="str">
        <f t="shared" si="232"/>
        <v/>
      </c>
      <c r="K2484" s="28" t="str">
        <f t="shared" si="229"/>
        <v/>
      </c>
      <c r="L2484" s="46" t="str">
        <f t="shared" si="233"/>
        <v/>
      </c>
      <c r="M2484" t="str" cm="1">
        <f t="array" ref="M2484">IF(L2484="","",_xlfn.IFS(
  AND(L2484&gt;=TIME(9,0,0), L2484&lt;TIME(16,0,0)),"Morning",
  AND(L2484&gt;=TIME(16,0,0), L2484&lt;TIME(23,59,0)),"Evening",
  L2484&gt;=TIME(23,59,0),"Night",
  L2484&lt;TIME(9,0,0),"Night"
))</f>
        <v/>
      </c>
      <c r="O2484" t="str">
        <f t="shared" si="230"/>
        <v/>
      </c>
    </row>
    <row r="2485" spans="7:15" x14ac:dyDescent="0.25">
      <c r="G2485" t="str">
        <f t="shared" si="228"/>
        <v/>
      </c>
      <c r="H2485" s="13" t="str">
        <f t="shared" si="231"/>
        <v/>
      </c>
      <c r="I2485" t="str">
        <f>IFERROR(INDEX(Analysis!$D$116:$N$137, MATCH(B2485, Analysis!$C$116:$C$137, 0), MATCH(C2485, Analysis!$D$115:$N$115, 0)), "")</f>
        <v/>
      </c>
      <c r="J2485" t="str">
        <f t="shared" si="232"/>
        <v/>
      </c>
      <c r="K2485" s="28" t="str">
        <f t="shared" si="229"/>
        <v/>
      </c>
      <c r="L2485" s="46" t="str">
        <f t="shared" si="233"/>
        <v/>
      </c>
      <c r="M2485" t="str" cm="1">
        <f t="array" ref="M2485">IF(L2485="","",_xlfn.IFS(
  AND(L2485&gt;=TIME(9,0,0), L2485&lt;TIME(16,0,0)),"Morning",
  AND(L2485&gt;=TIME(16,0,0), L2485&lt;TIME(23,59,0)),"Evening",
  L2485&gt;=TIME(23,59,0),"Night",
  L2485&lt;TIME(9,0,0),"Night"
))</f>
        <v/>
      </c>
      <c r="O2485" t="str">
        <f t="shared" si="230"/>
        <v/>
      </c>
    </row>
    <row r="2486" spans="7:15" x14ac:dyDescent="0.25">
      <c r="G2486" t="str">
        <f t="shared" si="228"/>
        <v/>
      </c>
      <c r="H2486" s="13" t="str">
        <f t="shared" si="231"/>
        <v/>
      </c>
      <c r="I2486" t="str">
        <f>IFERROR(INDEX(Analysis!$D$116:$N$137, MATCH(B2486, Analysis!$C$116:$C$137, 0), MATCH(C2486, Analysis!$D$115:$N$115, 0)), "")</f>
        <v/>
      </c>
      <c r="J2486" t="str">
        <f t="shared" si="232"/>
        <v/>
      </c>
      <c r="K2486" s="28" t="str">
        <f t="shared" si="229"/>
        <v/>
      </c>
      <c r="L2486" s="46" t="str">
        <f t="shared" si="233"/>
        <v/>
      </c>
      <c r="M2486" t="str" cm="1">
        <f t="array" ref="M2486">IF(L2486="","",_xlfn.IFS(
  AND(L2486&gt;=TIME(9,0,0), L2486&lt;TIME(16,0,0)),"Morning",
  AND(L2486&gt;=TIME(16,0,0), L2486&lt;TIME(23,59,0)),"Evening",
  L2486&gt;=TIME(23,59,0),"Night",
  L2486&lt;TIME(9,0,0),"Night"
))</f>
        <v/>
      </c>
      <c r="O2486" t="str">
        <f t="shared" si="230"/>
        <v/>
      </c>
    </row>
    <row r="2487" spans="7:15" x14ac:dyDescent="0.25">
      <c r="G2487" t="str">
        <f t="shared" si="228"/>
        <v/>
      </c>
      <c r="H2487" s="13" t="str">
        <f t="shared" si="231"/>
        <v/>
      </c>
      <c r="I2487" t="str">
        <f>IFERROR(INDEX(Analysis!$D$116:$N$137, MATCH(B2487, Analysis!$C$116:$C$137, 0), MATCH(C2487, Analysis!$D$115:$N$115, 0)), "")</f>
        <v/>
      </c>
      <c r="J2487" t="str">
        <f t="shared" si="232"/>
        <v/>
      </c>
      <c r="K2487" s="28" t="str">
        <f t="shared" si="229"/>
        <v/>
      </c>
      <c r="L2487" s="46" t="str">
        <f t="shared" si="233"/>
        <v/>
      </c>
      <c r="M2487" t="str" cm="1">
        <f t="array" ref="M2487">IF(L2487="","",_xlfn.IFS(
  AND(L2487&gt;=TIME(9,0,0), L2487&lt;TIME(16,0,0)),"Morning",
  AND(L2487&gt;=TIME(16,0,0), L2487&lt;TIME(23,59,0)),"Evening",
  L2487&gt;=TIME(23,59,0),"Night",
  L2487&lt;TIME(9,0,0),"Night"
))</f>
        <v/>
      </c>
      <c r="O2487" t="str">
        <f t="shared" si="230"/>
        <v/>
      </c>
    </row>
    <row r="2488" spans="7:15" x14ac:dyDescent="0.25">
      <c r="G2488" t="str">
        <f t="shared" si="228"/>
        <v/>
      </c>
      <c r="H2488" s="13" t="str">
        <f t="shared" si="231"/>
        <v/>
      </c>
      <c r="I2488" t="str">
        <f>IFERROR(INDEX(Analysis!$D$116:$N$137, MATCH(B2488, Analysis!$C$116:$C$137, 0), MATCH(C2488, Analysis!$D$115:$N$115, 0)), "")</f>
        <v/>
      </c>
      <c r="J2488" t="str">
        <f t="shared" si="232"/>
        <v/>
      </c>
      <c r="K2488" s="28" t="str">
        <f t="shared" si="229"/>
        <v/>
      </c>
      <c r="L2488" s="46" t="str">
        <f t="shared" si="233"/>
        <v/>
      </c>
      <c r="M2488" t="str" cm="1">
        <f t="array" ref="M2488">IF(L2488="","",_xlfn.IFS(
  AND(L2488&gt;=TIME(9,0,0), L2488&lt;TIME(16,0,0)),"Morning",
  AND(L2488&gt;=TIME(16,0,0), L2488&lt;TIME(23,59,0)),"Evening",
  L2488&gt;=TIME(23,59,0),"Night",
  L2488&lt;TIME(9,0,0),"Night"
))</f>
        <v/>
      </c>
      <c r="O2488" t="str">
        <f t="shared" si="230"/>
        <v/>
      </c>
    </row>
    <row r="2489" spans="7:15" x14ac:dyDescent="0.25">
      <c r="G2489" t="str">
        <f t="shared" si="228"/>
        <v/>
      </c>
      <c r="H2489" s="13" t="str">
        <f t="shared" si="231"/>
        <v/>
      </c>
      <c r="I2489" t="str">
        <f>IFERROR(INDEX(Analysis!$D$116:$N$137, MATCH(B2489, Analysis!$C$116:$C$137, 0), MATCH(C2489, Analysis!$D$115:$N$115, 0)), "")</f>
        <v/>
      </c>
      <c r="J2489" t="str">
        <f t="shared" si="232"/>
        <v/>
      </c>
      <c r="K2489" s="28" t="str">
        <f t="shared" si="229"/>
        <v/>
      </c>
      <c r="L2489" s="46" t="str">
        <f t="shared" si="233"/>
        <v/>
      </c>
      <c r="M2489" t="str" cm="1">
        <f t="array" ref="M2489">IF(L2489="","",_xlfn.IFS(
  AND(L2489&gt;=TIME(9,0,0), L2489&lt;TIME(16,0,0)),"Morning",
  AND(L2489&gt;=TIME(16,0,0), L2489&lt;TIME(23,59,0)),"Evening",
  L2489&gt;=TIME(23,59,0),"Night",
  L2489&lt;TIME(9,0,0),"Night"
))</f>
        <v/>
      </c>
      <c r="O2489" t="str">
        <f t="shared" si="230"/>
        <v/>
      </c>
    </row>
    <row r="2490" spans="7:15" x14ac:dyDescent="0.25">
      <c r="G2490" t="str">
        <f t="shared" si="228"/>
        <v/>
      </c>
      <c r="H2490" s="13" t="str">
        <f t="shared" si="231"/>
        <v/>
      </c>
      <c r="I2490" t="str">
        <f>IFERROR(INDEX(Analysis!$D$116:$N$137, MATCH(B2490, Analysis!$C$116:$C$137, 0), MATCH(C2490, Analysis!$D$115:$N$115, 0)), "")</f>
        <v/>
      </c>
      <c r="J2490" t="str">
        <f t="shared" si="232"/>
        <v/>
      </c>
      <c r="K2490" s="28" t="str">
        <f t="shared" si="229"/>
        <v/>
      </c>
      <c r="L2490" s="46" t="str">
        <f t="shared" si="233"/>
        <v/>
      </c>
      <c r="M2490" t="str" cm="1">
        <f t="array" ref="M2490">IF(L2490="","",_xlfn.IFS(
  AND(L2490&gt;=TIME(9,0,0), L2490&lt;TIME(16,0,0)),"Morning",
  AND(L2490&gt;=TIME(16,0,0), L2490&lt;TIME(23,59,0)),"Evening",
  L2490&gt;=TIME(23,59,0),"Night",
  L2490&lt;TIME(9,0,0),"Night"
))</f>
        <v/>
      </c>
      <c r="O2490" t="str">
        <f t="shared" si="230"/>
        <v/>
      </c>
    </row>
    <row r="2491" spans="7:15" x14ac:dyDescent="0.25">
      <c r="G2491" t="str">
        <f t="shared" si="228"/>
        <v/>
      </c>
      <c r="H2491" s="13" t="str">
        <f t="shared" si="231"/>
        <v/>
      </c>
      <c r="I2491" t="str">
        <f>IFERROR(INDEX(Analysis!$D$116:$N$137, MATCH(B2491, Analysis!$C$116:$C$137, 0), MATCH(C2491, Analysis!$D$115:$N$115, 0)), "")</f>
        <v/>
      </c>
      <c r="J2491" t="str">
        <f t="shared" si="232"/>
        <v/>
      </c>
      <c r="K2491" s="28" t="str">
        <f t="shared" si="229"/>
        <v/>
      </c>
      <c r="L2491" s="46" t="str">
        <f t="shared" si="233"/>
        <v/>
      </c>
      <c r="M2491" t="str" cm="1">
        <f t="array" ref="M2491">IF(L2491="","",_xlfn.IFS(
  AND(L2491&gt;=TIME(9,0,0), L2491&lt;TIME(16,0,0)),"Morning",
  AND(L2491&gt;=TIME(16,0,0), L2491&lt;TIME(23,59,0)),"Evening",
  L2491&gt;=TIME(23,59,0),"Night",
  L2491&lt;TIME(9,0,0),"Night"
))</f>
        <v/>
      </c>
      <c r="O2491" t="str">
        <f t="shared" si="230"/>
        <v/>
      </c>
    </row>
    <row r="2492" spans="7:15" x14ac:dyDescent="0.25">
      <c r="G2492" t="str">
        <f t="shared" si="228"/>
        <v/>
      </c>
      <c r="H2492" s="13" t="str">
        <f t="shared" si="231"/>
        <v/>
      </c>
      <c r="I2492" t="str">
        <f>IFERROR(INDEX(Analysis!$D$116:$N$137, MATCH(B2492, Analysis!$C$116:$C$137, 0), MATCH(C2492, Analysis!$D$115:$N$115, 0)), "")</f>
        <v/>
      </c>
      <c r="J2492" t="str">
        <f t="shared" si="232"/>
        <v/>
      </c>
      <c r="K2492" s="28" t="str">
        <f t="shared" si="229"/>
        <v/>
      </c>
      <c r="L2492" s="46" t="str">
        <f t="shared" si="233"/>
        <v/>
      </c>
      <c r="M2492" t="str" cm="1">
        <f t="array" ref="M2492">IF(L2492="","",_xlfn.IFS(
  AND(L2492&gt;=TIME(9,0,0), L2492&lt;TIME(16,0,0)),"Morning",
  AND(L2492&gt;=TIME(16,0,0), L2492&lt;TIME(23,59,0)),"Evening",
  L2492&gt;=TIME(23,59,0),"Night",
  L2492&lt;TIME(9,0,0),"Night"
))</f>
        <v/>
      </c>
      <c r="O2492" t="str">
        <f t="shared" si="230"/>
        <v/>
      </c>
    </row>
    <row r="2493" spans="7:15" x14ac:dyDescent="0.25">
      <c r="G2493" t="str">
        <f t="shared" si="228"/>
        <v/>
      </c>
      <c r="H2493" s="13" t="str">
        <f t="shared" si="231"/>
        <v/>
      </c>
      <c r="I2493" t="str">
        <f>IFERROR(INDEX(Analysis!$D$116:$N$137, MATCH(B2493, Analysis!$C$116:$C$137, 0), MATCH(C2493, Analysis!$D$115:$N$115, 0)), "")</f>
        <v/>
      </c>
      <c r="J2493" t="str">
        <f t="shared" si="232"/>
        <v/>
      </c>
      <c r="K2493" s="28" t="str">
        <f t="shared" si="229"/>
        <v/>
      </c>
      <c r="L2493" s="46" t="str">
        <f t="shared" si="233"/>
        <v/>
      </c>
      <c r="M2493" t="str" cm="1">
        <f t="array" ref="M2493">IF(L2493="","",_xlfn.IFS(
  AND(L2493&gt;=TIME(9,0,0), L2493&lt;TIME(16,0,0)),"Morning",
  AND(L2493&gt;=TIME(16,0,0), L2493&lt;TIME(23,59,0)),"Evening",
  L2493&gt;=TIME(23,59,0),"Night",
  L2493&lt;TIME(9,0,0),"Night"
))</f>
        <v/>
      </c>
      <c r="O2493" t="str">
        <f t="shared" si="230"/>
        <v/>
      </c>
    </row>
    <row r="2494" spans="7:15" x14ac:dyDescent="0.25">
      <c r="G2494" t="str">
        <f t="shared" si="228"/>
        <v/>
      </c>
      <c r="H2494" s="13" t="str">
        <f t="shared" si="231"/>
        <v/>
      </c>
      <c r="I2494" t="str">
        <f>IFERROR(INDEX(Analysis!$D$116:$N$137, MATCH(B2494, Analysis!$C$116:$C$137, 0), MATCH(C2494, Analysis!$D$115:$N$115, 0)), "")</f>
        <v/>
      </c>
      <c r="J2494" t="str">
        <f t="shared" si="232"/>
        <v/>
      </c>
      <c r="K2494" s="28" t="str">
        <f t="shared" si="229"/>
        <v/>
      </c>
      <c r="L2494" s="46" t="str">
        <f t="shared" si="233"/>
        <v/>
      </c>
      <c r="M2494" t="str" cm="1">
        <f t="array" ref="M2494">IF(L2494="","",_xlfn.IFS(
  AND(L2494&gt;=TIME(9,0,0), L2494&lt;TIME(16,0,0)),"Morning",
  AND(L2494&gt;=TIME(16,0,0), L2494&lt;TIME(23,59,0)),"Evening",
  L2494&gt;=TIME(23,59,0),"Night",
  L2494&lt;TIME(9,0,0),"Night"
))</f>
        <v/>
      </c>
      <c r="O2494" t="str">
        <f t="shared" si="230"/>
        <v/>
      </c>
    </row>
    <row r="2495" spans="7:15" x14ac:dyDescent="0.25">
      <c r="G2495" t="str">
        <f t="shared" si="228"/>
        <v/>
      </c>
      <c r="H2495" s="13" t="str">
        <f t="shared" si="231"/>
        <v/>
      </c>
      <c r="I2495" t="str">
        <f>IFERROR(INDEX(Analysis!$D$116:$N$137, MATCH(B2495, Analysis!$C$116:$C$137, 0), MATCH(C2495, Analysis!$D$115:$N$115, 0)), "")</f>
        <v/>
      </c>
      <c r="J2495" t="str">
        <f t="shared" si="232"/>
        <v/>
      </c>
      <c r="K2495" s="28" t="str">
        <f t="shared" si="229"/>
        <v/>
      </c>
      <c r="L2495" s="46" t="str">
        <f t="shared" si="233"/>
        <v/>
      </c>
      <c r="M2495" t="str" cm="1">
        <f t="array" ref="M2495">IF(L2495="","",_xlfn.IFS(
  AND(L2495&gt;=TIME(9,0,0), L2495&lt;TIME(16,0,0)),"Morning",
  AND(L2495&gt;=TIME(16,0,0), L2495&lt;TIME(23,59,0)),"Evening",
  L2495&gt;=TIME(23,59,0),"Night",
  L2495&lt;TIME(9,0,0),"Night"
))</f>
        <v/>
      </c>
      <c r="O2495" t="str">
        <f t="shared" si="230"/>
        <v/>
      </c>
    </row>
    <row r="2496" spans="7:15" x14ac:dyDescent="0.25">
      <c r="G2496" t="str">
        <f t="shared" si="228"/>
        <v/>
      </c>
      <c r="H2496" s="13" t="str">
        <f t="shared" si="231"/>
        <v/>
      </c>
      <c r="I2496" t="str">
        <f>IFERROR(INDEX(Analysis!$D$116:$N$137, MATCH(B2496, Analysis!$C$116:$C$137, 0), MATCH(C2496, Analysis!$D$115:$N$115, 0)), "")</f>
        <v/>
      </c>
      <c r="J2496" t="str">
        <f t="shared" si="232"/>
        <v/>
      </c>
      <c r="K2496" s="28" t="str">
        <f t="shared" si="229"/>
        <v/>
      </c>
      <c r="L2496" s="46" t="str">
        <f t="shared" si="233"/>
        <v/>
      </c>
      <c r="M2496" t="str" cm="1">
        <f t="array" ref="M2496">IF(L2496="","",_xlfn.IFS(
  AND(L2496&gt;=TIME(9,0,0), L2496&lt;TIME(16,0,0)),"Morning",
  AND(L2496&gt;=TIME(16,0,0), L2496&lt;TIME(23,59,0)),"Evening",
  L2496&gt;=TIME(23,59,0),"Night",
  L2496&lt;TIME(9,0,0),"Night"
))</f>
        <v/>
      </c>
      <c r="O2496" t="str">
        <f t="shared" si="230"/>
        <v/>
      </c>
    </row>
    <row r="2497" spans="7:15" x14ac:dyDescent="0.25">
      <c r="G2497" t="str">
        <f t="shared" si="228"/>
        <v/>
      </c>
      <c r="H2497" s="13" t="str">
        <f t="shared" si="231"/>
        <v/>
      </c>
      <c r="I2497" t="str">
        <f>IFERROR(INDEX(Analysis!$D$116:$N$137, MATCH(B2497, Analysis!$C$116:$C$137, 0), MATCH(C2497, Analysis!$D$115:$N$115, 0)), "")</f>
        <v/>
      </c>
      <c r="J2497" t="str">
        <f t="shared" si="232"/>
        <v/>
      </c>
      <c r="K2497" s="28" t="str">
        <f t="shared" si="229"/>
        <v/>
      </c>
      <c r="L2497" s="46" t="str">
        <f t="shared" si="233"/>
        <v/>
      </c>
      <c r="M2497" t="str" cm="1">
        <f t="array" ref="M2497">IF(L2497="","",_xlfn.IFS(
  AND(L2497&gt;=TIME(9,0,0), L2497&lt;TIME(16,0,0)),"Morning",
  AND(L2497&gt;=TIME(16,0,0), L2497&lt;TIME(23,59,0)),"Evening",
  L2497&gt;=TIME(23,59,0),"Night",
  L2497&lt;TIME(9,0,0),"Night"
))</f>
        <v/>
      </c>
      <c r="O2497" t="str">
        <f t="shared" si="230"/>
        <v/>
      </c>
    </row>
    <row r="2498" spans="7:15" x14ac:dyDescent="0.25">
      <c r="G2498" t="str">
        <f t="shared" ref="G2498:G2561" si="234">IF(ISBLANK(A2498), "", IF(ISBLANK(F2498), 0, F2498))</f>
        <v/>
      </c>
      <c r="H2498" s="13" t="str">
        <f t="shared" si="231"/>
        <v/>
      </c>
      <c r="I2498" t="str">
        <f>IFERROR(INDEX(Analysis!$D$116:$N$137, MATCH(B2498, Analysis!$C$116:$C$137, 0), MATCH(C2498, Analysis!$D$115:$N$115, 0)), "")</f>
        <v/>
      </c>
      <c r="J2498" t="str">
        <f t="shared" si="232"/>
        <v/>
      </c>
      <c r="K2498" s="28" t="str">
        <f t="shared" ref="K2498:K2561" si="235">IF(ISBLANK(A2498),"",DATE(YEAR(A2498),MONTH(A2498),DAY(A2498)))</f>
        <v/>
      </c>
      <c r="L2498" s="46" t="str">
        <f t="shared" si="233"/>
        <v/>
      </c>
      <c r="M2498" t="str" cm="1">
        <f t="array" ref="M2498">IF(L2498="","",_xlfn.IFS(
  AND(L2498&gt;=TIME(9,0,0), L2498&lt;TIME(16,0,0)),"Morning",
  AND(L2498&gt;=TIME(16,0,0), L2498&lt;TIME(23,59,0)),"Evening",
  L2498&gt;=TIME(23,59,0),"Night",
  L2498&lt;TIME(9,0,0),"Night"
))</f>
        <v/>
      </c>
      <c r="O2498" t="str">
        <f t="shared" ref="O2498:O2561" si="236">IF(N2498="ON", _xlfn.IMAGE(E2498, 1), "")</f>
        <v/>
      </c>
    </row>
    <row r="2499" spans="7:15" x14ac:dyDescent="0.25">
      <c r="G2499" t="str">
        <f t="shared" si="234"/>
        <v/>
      </c>
      <c r="H2499" s="13" t="str">
        <f t="shared" ref="H2499:H2562" si="237">IF(ISBLANK(E2499),"",HYPERLINK(E2499,"Click here"))</f>
        <v/>
      </c>
      <c r="I2499" t="str">
        <f>IFERROR(INDEX(Analysis!$D$116:$N$137, MATCH(B2499, Analysis!$C$116:$C$137, 0), MATCH(C2499, Analysis!$D$115:$N$115, 0)), "")</f>
        <v/>
      </c>
      <c r="J2499" t="str">
        <f t="shared" ref="J2499:J2562" si="238">IF(ISBLANK(A2499),"",WEEKNUM(A2499))</f>
        <v/>
      </c>
      <c r="K2499" s="28" t="str">
        <f t="shared" si="235"/>
        <v/>
      </c>
      <c r="L2499" s="46" t="str">
        <f t="shared" ref="L2499:L2562" si="239">IF(A2499="", "", A2499 - INT(A2499))</f>
        <v/>
      </c>
      <c r="M2499" t="str" cm="1">
        <f t="array" ref="M2499">IF(L2499="","",_xlfn.IFS(
  AND(L2499&gt;=TIME(9,0,0), L2499&lt;TIME(16,0,0)),"Morning",
  AND(L2499&gt;=TIME(16,0,0), L2499&lt;TIME(23,59,0)),"Evening",
  L2499&gt;=TIME(23,59,0),"Night",
  L2499&lt;TIME(9,0,0),"Night"
))</f>
        <v/>
      </c>
      <c r="O2499" t="str">
        <f t="shared" si="236"/>
        <v/>
      </c>
    </row>
    <row r="2500" spans="7:15" x14ac:dyDescent="0.25">
      <c r="G2500" t="str">
        <f t="shared" si="234"/>
        <v/>
      </c>
      <c r="H2500" s="13" t="str">
        <f t="shared" si="237"/>
        <v/>
      </c>
      <c r="I2500" t="str">
        <f>IFERROR(INDEX(Analysis!$D$116:$N$137, MATCH(B2500, Analysis!$C$116:$C$137, 0), MATCH(C2500, Analysis!$D$115:$N$115, 0)), "")</f>
        <v/>
      </c>
      <c r="J2500" t="str">
        <f t="shared" si="238"/>
        <v/>
      </c>
      <c r="K2500" s="28" t="str">
        <f t="shared" si="235"/>
        <v/>
      </c>
      <c r="L2500" s="46" t="str">
        <f t="shared" si="239"/>
        <v/>
      </c>
      <c r="M2500" t="str" cm="1">
        <f t="array" ref="M2500">IF(L2500="","",_xlfn.IFS(
  AND(L2500&gt;=TIME(9,0,0), L2500&lt;TIME(16,0,0)),"Morning",
  AND(L2500&gt;=TIME(16,0,0), L2500&lt;TIME(23,59,0)),"Evening",
  L2500&gt;=TIME(23,59,0),"Night",
  L2500&lt;TIME(9,0,0),"Night"
))</f>
        <v/>
      </c>
      <c r="O2500" t="str">
        <f t="shared" si="236"/>
        <v/>
      </c>
    </row>
    <row r="2501" spans="7:15" x14ac:dyDescent="0.25">
      <c r="G2501" t="str">
        <f t="shared" si="234"/>
        <v/>
      </c>
      <c r="H2501" s="13" t="str">
        <f t="shared" si="237"/>
        <v/>
      </c>
      <c r="I2501" t="str">
        <f>IFERROR(INDEX(Analysis!$D$116:$N$137, MATCH(B2501, Analysis!$C$116:$C$137, 0), MATCH(C2501, Analysis!$D$115:$N$115, 0)), "")</f>
        <v/>
      </c>
      <c r="J2501" t="str">
        <f t="shared" si="238"/>
        <v/>
      </c>
      <c r="K2501" s="28" t="str">
        <f t="shared" si="235"/>
        <v/>
      </c>
      <c r="L2501" s="46" t="str">
        <f t="shared" si="239"/>
        <v/>
      </c>
      <c r="M2501" t="str" cm="1">
        <f t="array" ref="M2501">IF(L2501="","",_xlfn.IFS(
  AND(L2501&gt;=TIME(9,0,0), L2501&lt;TIME(16,0,0)),"Morning",
  AND(L2501&gt;=TIME(16,0,0), L2501&lt;TIME(23,59,0)),"Evening",
  L2501&gt;=TIME(23,59,0),"Night",
  L2501&lt;TIME(9,0,0),"Night"
))</f>
        <v/>
      </c>
      <c r="O2501" t="str">
        <f t="shared" si="236"/>
        <v/>
      </c>
    </row>
    <row r="2502" spans="7:15" x14ac:dyDescent="0.25">
      <c r="G2502" t="str">
        <f t="shared" si="234"/>
        <v/>
      </c>
      <c r="H2502" s="13" t="str">
        <f t="shared" si="237"/>
        <v/>
      </c>
      <c r="I2502" t="str">
        <f>IFERROR(INDEX(Analysis!$D$116:$N$137, MATCH(B2502, Analysis!$C$116:$C$137, 0), MATCH(C2502, Analysis!$D$115:$N$115, 0)), "")</f>
        <v/>
      </c>
      <c r="J2502" t="str">
        <f t="shared" si="238"/>
        <v/>
      </c>
      <c r="K2502" s="28" t="str">
        <f t="shared" si="235"/>
        <v/>
      </c>
      <c r="L2502" s="46" t="str">
        <f t="shared" si="239"/>
        <v/>
      </c>
      <c r="M2502" t="str" cm="1">
        <f t="array" ref="M2502">IF(L2502="","",_xlfn.IFS(
  AND(L2502&gt;=TIME(9,0,0), L2502&lt;TIME(16,0,0)),"Morning",
  AND(L2502&gt;=TIME(16,0,0), L2502&lt;TIME(23,59,0)),"Evening",
  L2502&gt;=TIME(23,59,0),"Night",
  L2502&lt;TIME(9,0,0),"Night"
))</f>
        <v/>
      </c>
      <c r="O2502" t="str">
        <f t="shared" si="236"/>
        <v/>
      </c>
    </row>
    <row r="2503" spans="7:15" x14ac:dyDescent="0.25">
      <c r="G2503" t="str">
        <f t="shared" si="234"/>
        <v/>
      </c>
      <c r="H2503" s="13" t="str">
        <f t="shared" si="237"/>
        <v/>
      </c>
      <c r="I2503" t="str">
        <f>IFERROR(INDEX(Analysis!$D$116:$N$137, MATCH(B2503, Analysis!$C$116:$C$137, 0), MATCH(C2503, Analysis!$D$115:$N$115, 0)), "")</f>
        <v/>
      </c>
      <c r="J2503" t="str">
        <f t="shared" si="238"/>
        <v/>
      </c>
      <c r="K2503" s="28" t="str">
        <f t="shared" si="235"/>
        <v/>
      </c>
      <c r="L2503" s="46" t="str">
        <f t="shared" si="239"/>
        <v/>
      </c>
      <c r="M2503" t="str" cm="1">
        <f t="array" ref="M2503">IF(L2503="","",_xlfn.IFS(
  AND(L2503&gt;=TIME(9,0,0), L2503&lt;TIME(16,0,0)),"Morning",
  AND(L2503&gt;=TIME(16,0,0), L2503&lt;TIME(23,59,0)),"Evening",
  L2503&gt;=TIME(23,59,0),"Night",
  L2503&lt;TIME(9,0,0),"Night"
))</f>
        <v/>
      </c>
      <c r="O2503" t="str">
        <f t="shared" si="236"/>
        <v/>
      </c>
    </row>
    <row r="2504" spans="7:15" x14ac:dyDescent="0.25">
      <c r="G2504" t="str">
        <f t="shared" si="234"/>
        <v/>
      </c>
      <c r="H2504" s="13" t="str">
        <f t="shared" si="237"/>
        <v/>
      </c>
      <c r="I2504" t="str">
        <f>IFERROR(INDEX(Analysis!$D$116:$N$137, MATCH(B2504, Analysis!$C$116:$C$137, 0), MATCH(C2504, Analysis!$D$115:$N$115, 0)), "")</f>
        <v/>
      </c>
      <c r="J2504" t="str">
        <f t="shared" si="238"/>
        <v/>
      </c>
      <c r="K2504" s="28" t="str">
        <f t="shared" si="235"/>
        <v/>
      </c>
      <c r="L2504" s="46" t="str">
        <f t="shared" si="239"/>
        <v/>
      </c>
      <c r="M2504" t="str" cm="1">
        <f t="array" ref="M2504">IF(L2504="","",_xlfn.IFS(
  AND(L2504&gt;=TIME(9,0,0), L2504&lt;TIME(16,0,0)),"Morning",
  AND(L2504&gt;=TIME(16,0,0), L2504&lt;TIME(23,59,0)),"Evening",
  L2504&gt;=TIME(23,59,0),"Night",
  L2504&lt;TIME(9,0,0),"Night"
))</f>
        <v/>
      </c>
      <c r="O2504" t="str">
        <f t="shared" si="236"/>
        <v/>
      </c>
    </row>
    <row r="2505" spans="7:15" x14ac:dyDescent="0.25">
      <c r="G2505" t="str">
        <f t="shared" si="234"/>
        <v/>
      </c>
      <c r="H2505" s="13" t="str">
        <f t="shared" si="237"/>
        <v/>
      </c>
      <c r="I2505" t="str">
        <f>IFERROR(INDEX(Analysis!$D$116:$N$137, MATCH(B2505, Analysis!$C$116:$C$137, 0), MATCH(C2505, Analysis!$D$115:$N$115, 0)), "")</f>
        <v/>
      </c>
      <c r="J2505" t="str">
        <f t="shared" si="238"/>
        <v/>
      </c>
      <c r="K2505" s="28" t="str">
        <f t="shared" si="235"/>
        <v/>
      </c>
      <c r="L2505" s="46" t="str">
        <f t="shared" si="239"/>
        <v/>
      </c>
      <c r="M2505" t="str" cm="1">
        <f t="array" ref="M2505">IF(L2505="","",_xlfn.IFS(
  AND(L2505&gt;=TIME(9,0,0), L2505&lt;TIME(16,0,0)),"Morning",
  AND(L2505&gt;=TIME(16,0,0), L2505&lt;TIME(23,59,0)),"Evening",
  L2505&gt;=TIME(23,59,0),"Night",
  L2505&lt;TIME(9,0,0),"Night"
))</f>
        <v/>
      </c>
      <c r="O2505" t="str">
        <f t="shared" si="236"/>
        <v/>
      </c>
    </row>
    <row r="2506" spans="7:15" x14ac:dyDescent="0.25">
      <c r="G2506" t="str">
        <f t="shared" si="234"/>
        <v/>
      </c>
      <c r="H2506" s="13" t="str">
        <f t="shared" si="237"/>
        <v/>
      </c>
      <c r="I2506" t="str">
        <f>IFERROR(INDEX(Analysis!$D$116:$N$137, MATCH(B2506, Analysis!$C$116:$C$137, 0), MATCH(C2506, Analysis!$D$115:$N$115, 0)), "")</f>
        <v/>
      </c>
      <c r="J2506" t="str">
        <f t="shared" si="238"/>
        <v/>
      </c>
      <c r="K2506" s="28" t="str">
        <f t="shared" si="235"/>
        <v/>
      </c>
      <c r="L2506" s="46" t="str">
        <f t="shared" si="239"/>
        <v/>
      </c>
      <c r="M2506" t="str" cm="1">
        <f t="array" ref="M2506">IF(L2506="","",_xlfn.IFS(
  AND(L2506&gt;=TIME(9,0,0), L2506&lt;TIME(16,0,0)),"Morning",
  AND(L2506&gt;=TIME(16,0,0), L2506&lt;TIME(23,59,0)),"Evening",
  L2506&gt;=TIME(23,59,0),"Night",
  L2506&lt;TIME(9,0,0),"Night"
))</f>
        <v/>
      </c>
      <c r="O2506" t="str">
        <f t="shared" si="236"/>
        <v/>
      </c>
    </row>
    <row r="2507" spans="7:15" x14ac:dyDescent="0.25">
      <c r="G2507" t="str">
        <f t="shared" si="234"/>
        <v/>
      </c>
      <c r="H2507" s="13" t="str">
        <f t="shared" si="237"/>
        <v/>
      </c>
      <c r="I2507" t="str">
        <f>IFERROR(INDEX(Analysis!$D$116:$N$137, MATCH(B2507, Analysis!$C$116:$C$137, 0), MATCH(C2507, Analysis!$D$115:$N$115, 0)), "")</f>
        <v/>
      </c>
      <c r="J2507" t="str">
        <f t="shared" si="238"/>
        <v/>
      </c>
      <c r="K2507" s="28" t="str">
        <f t="shared" si="235"/>
        <v/>
      </c>
      <c r="L2507" s="46" t="str">
        <f t="shared" si="239"/>
        <v/>
      </c>
      <c r="M2507" t="str" cm="1">
        <f t="array" ref="M2507">IF(L2507="","",_xlfn.IFS(
  AND(L2507&gt;=TIME(9,0,0), L2507&lt;TIME(16,0,0)),"Morning",
  AND(L2507&gt;=TIME(16,0,0), L2507&lt;TIME(23,59,0)),"Evening",
  L2507&gt;=TIME(23,59,0),"Night",
  L2507&lt;TIME(9,0,0),"Night"
))</f>
        <v/>
      </c>
      <c r="O2507" t="str">
        <f t="shared" si="236"/>
        <v/>
      </c>
    </row>
    <row r="2508" spans="7:15" x14ac:dyDescent="0.25">
      <c r="G2508" t="str">
        <f t="shared" si="234"/>
        <v/>
      </c>
      <c r="H2508" s="13" t="str">
        <f t="shared" si="237"/>
        <v/>
      </c>
      <c r="I2508" t="str">
        <f>IFERROR(INDEX(Analysis!$D$116:$N$137, MATCH(B2508, Analysis!$C$116:$C$137, 0), MATCH(C2508, Analysis!$D$115:$N$115, 0)), "")</f>
        <v/>
      </c>
      <c r="J2508" t="str">
        <f t="shared" si="238"/>
        <v/>
      </c>
      <c r="K2508" s="28" t="str">
        <f t="shared" si="235"/>
        <v/>
      </c>
      <c r="L2508" s="46" t="str">
        <f t="shared" si="239"/>
        <v/>
      </c>
      <c r="M2508" t="str" cm="1">
        <f t="array" ref="M2508">IF(L2508="","",_xlfn.IFS(
  AND(L2508&gt;=TIME(9,0,0), L2508&lt;TIME(16,0,0)),"Morning",
  AND(L2508&gt;=TIME(16,0,0), L2508&lt;TIME(23,59,0)),"Evening",
  L2508&gt;=TIME(23,59,0),"Night",
  L2508&lt;TIME(9,0,0),"Night"
))</f>
        <v/>
      </c>
      <c r="O2508" t="str">
        <f t="shared" si="236"/>
        <v/>
      </c>
    </row>
    <row r="2509" spans="7:15" x14ac:dyDescent="0.25">
      <c r="G2509" t="str">
        <f t="shared" si="234"/>
        <v/>
      </c>
      <c r="H2509" s="13" t="str">
        <f t="shared" si="237"/>
        <v/>
      </c>
      <c r="I2509" t="str">
        <f>IFERROR(INDEX(Analysis!$D$116:$N$137, MATCH(B2509, Analysis!$C$116:$C$137, 0), MATCH(C2509, Analysis!$D$115:$N$115, 0)), "")</f>
        <v/>
      </c>
      <c r="J2509" t="str">
        <f t="shared" si="238"/>
        <v/>
      </c>
      <c r="K2509" s="28" t="str">
        <f t="shared" si="235"/>
        <v/>
      </c>
      <c r="L2509" s="46" t="str">
        <f t="shared" si="239"/>
        <v/>
      </c>
      <c r="M2509" t="str" cm="1">
        <f t="array" ref="M2509">IF(L2509="","",_xlfn.IFS(
  AND(L2509&gt;=TIME(9,0,0), L2509&lt;TIME(16,0,0)),"Morning",
  AND(L2509&gt;=TIME(16,0,0), L2509&lt;TIME(23,59,0)),"Evening",
  L2509&gt;=TIME(23,59,0),"Night",
  L2509&lt;TIME(9,0,0),"Night"
))</f>
        <v/>
      </c>
      <c r="O2509" t="str">
        <f t="shared" si="236"/>
        <v/>
      </c>
    </row>
    <row r="2510" spans="7:15" x14ac:dyDescent="0.25">
      <c r="G2510" t="str">
        <f t="shared" si="234"/>
        <v/>
      </c>
      <c r="H2510" s="13" t="str">
        <f t="shared" si="237"/>
        <v/>
      </c>
      <c r="I2510" t="str">
        <f>IFERROR(INDEX(Analysis!$D$116:$N$137, MATCH(B2510, Analysis!$C$116:$C$137, 0), MATCH(C2510, Analysis!$D$115:$N$115, 0)), "")</f>
        <v/>
      </c>
      <c r="J2510" t="str">
        <f t="shared" si="238"/>
        <v/>
      </c>
      <c r="K2510" s="28" t="str">
        <f t="shared" si="235"/>
        <v/>
      </c>
      <c r="L2510" s="46" t="str">
        <f t="shared" si="239"/>
        <v/>
      </c>
      <c r="M2510" t="str" cm="1">
        <f t="array" ref="M2510">IF(L2510="","",_xlfn.IFS(
  AND(L2510&gt;=TIME(9,0,0), L2510&lt;TIME(16,0,0)),"Morning",
  AND(L2510&gt;=TIME(16,0,0), L2510&lt;TIME(23,59,0)),"Evening",
  L2510&gt;=TIME(23,59,0),"Night",
  L2510&lt;TIME(9,0,0),"Night"
))</f>
        <v/>
      </c>
      <c r="O2510" t="str">
        <f t="shared" si="236"/>
        <v/>
      </c>
    </row>
    <row r="2511" spans="7:15" x14ac:dyDescent="0.25">
      <c r="G2511" t="str">
        <f t="shared" si="234"/>
        <v/>
      </c>
      <c r="H2511" s="13" t="str">
        <f t="shared" si="237"/>
        <v/>
      </c>
      <c r="I2511" t="str">
        <f>IFERROR(INDEX(Analysis!$D$116:$N$137, MATCH(B2511, Analysis!$C$116:$C$137, 0), MATCH(C2511, Analysis!$D$115:$N$115, 0)), "")</f>
        <v/>
      </c>
      <c r="J2511" t="str">
        <f t="shared" si="238"/>
        <v/>
      </c>
      <c r="K2511" s="28" t="str">
        <f t="shared" si="235"/>
        <v/>
      </c>
      <c r="L2511" s="46" t="str">
        <f t="shared" si="239"/>
        <v/>
      </c>
      <c r="M2511" t="str" cm="1">
        <f t="array" ref="M2511">IF(L2511="","",_xlfn.IFS(
  AND(L2511&gt;=TIME(9,0,0), L2511&lt;TIME(16,0,0)),"Morning",
  AND(L2511&gt;=TIME(16,0,0), L2511&lt;TIME(23,59,0)),"Evening",
  L2511&gt;=TIME(23,59,0),"Night",
  L2511&lt;TIME(9,0,0),"Night"
))</f>
        <v/>
      </c>
      <c r="O2511" t="str">
        <f t="shared" si="236"/>
        <v/>
      </c>
    </row>
    <row r="2512" spans="7:15" x14ac:dyDescent="0.25">
      <c r="G2512" t="str">
        <f t="shared" si="234"/>
        <v/>
      </c>
      <c r="H2512" s="13" t="str">
        <f t="shared" si="237"/>
        <v/>
      </c>
      <c r="I2512" t="str">
        <f>IFERROR(INDEX(Analysis!$D$116:$N$137, MATCH(B2512, Analysis!$C$116:$C$137, 0), MATCH(C2512, Analysis!$D$115:$N$115, 0)), "")</f>
        <v/>
      </c>
      <c r="J2512" t="str">
        <f t="shared" si="238"/>
        <v/>
      </c>
      <c r="K2512" s="28" t="str">
        <f t="shared" si="235"/>
        <v/>
      </c>
      <c r="L2512" s="46" t="str">
        <f t="shared" si="239"/>
        <v/>
      </c>
      <c r="M2512" t="str" cm="1">
        <f t="array" ref="M2512">IF(L2512="","",_xlfn.IFS(
  AND(L2512&gt;=TIME(9,0,0), L2512&lt;TIME(16,0,0)),"Morning",
  AND(L2512&gt;=TIME(16,0,0), L2512&lt;TIME(23,59,0)),"Evening",
  L2512&gt;=TIME(23,59,0),"Night",
  L2512&lt;TIME(9,0,0),"Night"
))</f>
        <v/>
      </c>
      <c r="O2512" t="str">
        <f t="shared" si="236"/>
        <v/>
      </c>
    </row>
    <row r="2513" spans="7:15" x14ac:dyDescent="0.25">
      <c r="G2513" t="str">
        <f t="shared" si="234"/>
        <v/>
      </c>
      <c r="H2513" s="13" t="str">
        <f t="shared" si="237"/>
        <v/>
      </c>
      <c r="I2513" t="str">
        <f>IFERROR(INDEX(Analysis!$D$116:$N$137, MATCH(B2513, Analysis!$C$116:$C$137, 0), MATCH(C2513, Analysis!$D$115:$N$115, 0)), "")</f>
        <v/>
      </c>
      <c r="J2513" t="str">
        <f t="shared" si="238"/>
        <v/>
      </c>
      <c r="K2513" s="28" t="str">
        <f t="shared" si="235"/>
        <v/>
      </c>
      <c r="L2513" s="46" t="str">
        <f t="shared" si="239"/>
        <v/>
      </c>
      <c r="M2513" t="str" cm="1">
        <f t="array" ref="M2513">IF(L2513="","",_xlfn.IFS(
  AND(L2513&gt;=TIME(9,0,0), L2513&lt;TIME(16,0,0)),"Morning",
  AND(L2513&gt;=TIME(16,0,0), L2513&lt;TIME(23,59,0)),"Evening",
  L2513&gt;=TIME(23,59,0),"Night",
  L2513&lt;TIME(9,0,0),"Night"
))</f>
        <v/>
      </c>
      <c r="O2513" t="str">
        <f t="shared" si="236"/>
        <v/>
      </c>
    </row>
    <row r="2514" spans="7:15" x14ac:dyDescent="0.25">
      <c r="G2514" t="str">
        <f t="shared" si="234"/>
        <v/>
      </c>
      <c r="H2514" s="13" t="str">
        <f t="shared" si="237"/>
        <v/>
      </c>
      <c r="I2514" t="str">
        <f>IFERROR(INDEX(Analysis!$D$116:$N$137, MATCH(B2514, Analysis!$C$116:$C$137, 0), MATCH(C2514, Analysis!$D$115:$N$115, 0)), "")</f>
        <v/>
      </c>
      <c r="J2514" t="str">
        <f t="shared" si="238"/>
        <v/>
      </c>
      <c r="K2514" s="28" t="str">
        <f t="shared" si="235"/>
        <v/>
      </c>
      <c r="L2514" s="46" t="str">
        <f t="shared" si="239"/>
        <v/>
      </c>
      <c r="M2514" t="str" cm="1">
        <f t="array" ref="M2514">IF(L2514="","",_xlfn.IFS(
  AND(L2514&gt;=TIME(9,0,0), L2514&lt;TIME(16,0,0)),"Morning",
  AND(L2514&gt;=TIME(16,0,0), L2514&lt;TIME(23,59,0)),"Evening",
  L2514&gt;=TIME(23,59,0),"Night",
  L2514&lt;TIME(9,0,0),"Night"
))</f>
        <v/>
      </c>
      <c r="O2514" t="str">
        <f t="shared" si="236"/>
        <v/>
      </c>
    </row>
    <row r="2515" spans="7:15" x14ac:dyDescent="0.25">
      <c r="G2515" t="str">
        <f t="shared" si="234"/>
        <v/>
      </c>
      <c r="H2515" s="13" t="str">
        <f t="shared" si="237"/>
        <v/>
      </c>
      <c r="I2515" t="str">
        <f>IFERROR(INDEX(Analysis!$D$116:$N$137, MATCH(B2515, Analysis!$C$116:$C$137, 0), MATCH(C2515, Analysis!$D$115:$N$115, 0)), "")</f>
        <v/>
      </c>
      <c r="J2515" t="str">
        <f t="shared" si="238"/>
        <v/>
      </c>
      <c r="K2515" s="28" t="str">
        <f t="shared" si="235"/>
        <v/>
      </c>
      <c r="L2515" s="46" t="str">
        <f t="shared" si="239"/>
        <v/>
      </c>
      <c r="M2515" t="str" cm="1">
        <f t="array" ref="M2515">IF(L2515="","",_xlfn.IFS(
  AND(L2515&gt;=TIME(9,0,0), L2515&lt;TIME(16,0,0)),"Morning",
  AND(L2515&gt;=TIME(16,0,0), L2515&lt;TIME(23,59,0)),"Evening",
  L2515&gt;=TIME(23,59,0),"Night",
  L2515&lt;TIME(9,0,0),"Night"
))</f>
        <v/>
      </c>
      <c r="O2515" t="str">
        <f t="shared" si="236"/>
        <v/>
      </c>
    </row>
    <row r="2516" spans="7:15" x14ac:dyDescent="0.25">
      <c r="G2516" t="str">
        <f t="shared" si="234"/>
        <v/>
      </c>
      <c r="H2516" s="13" t="str">
        <f t="shared" si="237"/>
        <v/>
      </c>
      <c r="I2516" t="str">
        <f>IFERROR(INDEX(Analysis!$D$116:$N$137, MATCH(B2516, Analysis!$C$116:$C$137, 0), MATCH(C2516, Analysis!$D$115:$N$115, 0)), "")</f>
        <v/>
      </c>
      <c r="J2516" t="str">
        <f t="shared" si="238"/>
        <v/>
      </c>
      <c r="K2516" s="28" t="str">
        <f t="shared" si="235"/>
        <v/>
      </c>
      <c r="L2516" s="46" t="str">
        <f t="shared" si="239"/>
        <v/>
      </c>
      <c r="M2516" t="str" cm="1">
        <f t="array" ref="M2516">IF(L2516="","",_xlfn.IFS(
  AND(L2516&gt;=TIME(9,0,0), L2516&lt;TIME(16,0,0)),"Morning",
  AND(L2516&gt;=TIME(16,0,0), L2516&lt;TIME(23,59,0)),"Evening",
  L2516&gt;=TIME(23,59,0),"Night",
  L2516&lt;TIME(9,0,0),"Night"
))</f>
        <v/>
      </c>
      <c r="O2516" t="str">
        <f t="shared" si="236"/>
        <v/>
      </c>
    </row>
    <row r="2517" spans="7:15" x14ac:dyDescent="0.25">
      <c r="G2517" t="str">
        <f t="shared" si="234"/>
        <v/>
      </c>
      <c r="H2517" s="13" t="str">
        <f t="shared" si="237"/>
        <v/>
      </c>
      <c r="I2517" t="str">
        <f>IFERROR(INDEX(Analysis!$D$116:$N$137, MATCH(B2517, Analysis!$C$116:$C$137, 0), MATCH(C2517, Analysis!$D$115:$N$115, 0)), "")</f>
        <v/>
      </c>
      <c r="J2517" t="str">
        <f t="shared" si="238"/>
        <v/>
      </c>
      <c r="K2517" s="28" t="str">
        <f t="shared" si="235"/>
        <v/>
      </c>
      <c r="L2517" s="46" t="str">
        <f t="shared" si="239"/>
        <v/>
      </c>
      <c r="M2517" t="str" cm="1">
        <f t="array" ref="M2517">IF(L2517="","",_xlfn.IFS(
  AND(L2517&gt;=TIME(9,0,0), L2517&lt;TIME(16,0,0)),"Morning",
  AND(L2517&gt;=TIME(16,0,0), L2517&lt;TIME(23,59,0)),"Evening",
  L2517&gt;=TIME(23,59,0),"Night",
  L2517&lt;TIME(9,0,0),"Night"
))</f>
        <v/>
      </c>
      <c r="O2517" t="str">
        <f t="shared" si="236"/>
        <v/>
      </c>
    </row>
    <row r="2518" spans="7:15" x14ac:dyDescent="0.25">
      <c r="G2518" t="str">
        <f t="shared" si="234"/>
        <v/>
      </c>
      <c r="H2518" s="13" t="str">
        <f t="shared" si="237"/>
        <v/>
      </c>
      <c r="I2518" t="str">
        <f>IFERROR(INDEX(Analysis!$D$116:$N$137, MATCH(B2518, Analysis!$C$116:$C$137, 0), MATCH(C2518, Analysis!$D$115:$N$115, 0)), "")</f>
        <v/>
      </c>
      <c r="J2518" t="str">
        <f t="shared" si="238"/>
        <v/>
      </c>
      <c r="K2518" s="28" t="str">
        <f t="shared" si="235"/>
        <v/>
      </c>
      <c r="L2518" s="46" t="str">
        <f t="shared" si="239"/>
        <v/>
      </c>
      <c r="M2518" t="str" cm="1">
        <f t="array" ref="M2518">IF(L2518="","",_xlfn.IFS(
  AND(L2518&gt;=TIME(9,0,0), L2518&lt;TIME(16,0,0)),"Morning",
  AND(L2518&gt;=TIME(16,0,0), L2518&lt;TIME(23,59,0)),"Evening",
  L2518&gt;=TIME(23,59,0),"Night",
  L2518&lt;TIME(9,0,0),"Night"
))</f>
        <v/>
      </c>
      <c r="O2518" t="str">
        <f t="shared" si="236"/>
        <v/>
      </c>
    </row>
    <row r="2519" spans="7:15" x14ac:dyDescent="0.25">
      <c r="G2519" t="str">
        <f t="shared" si="234"/>
        <v/>
      </c>
      <c r="H2519" s="13" t="str">
        <f t="shared" si="237"/>
        <v/>
      </c>
      <c r="I2519" t="str">
        <f>IFERROR(INDEX(Analysis!$D$116:$N$137, MATCH(B2519, Analysis!$C$116:$C$137, 0), MATCH(C2519, Analysis!$D$115:$N$115, 0)), "")</f>
        <v/>
      </c>
      <c r="J2519" t="str">
        <f t="shared" si="238"/>
        <v/>
      </c>
      <c r="K2519" s="28" t="str">
        <f t="shared" si="235"/>
        <v/>
      </c>
      <c r="L2519" s="46" t="str">
        <f t="shared" si="239"/>
        <v/>
      </c>
      <c r="M2519" t="str" cm="1">
        <f t="array" ref="M2519">IF(L2519="","",_xlfn.IFS(
  AND(L2519&gt;=TIME(9,0,0), L2519&lt;TIME(16,0,0)),"Morning",
  AND(L2519&gt;=TIME(16,0,0), L2519&lt;TIME(23,59,0)),"Evening",
  L2519&gt;=TIME(23,59,0),"Night",
  L2519&lt;TIME(9,0,0),"Night"
))</f>
        <v/>
      </c>
      <c r="O2519" t="str">
        <f t="shared" si="236"/>
        <v/>
      </c>
    </row>
    <row r="2520" spans="7:15" x14ac:dyDescent="0.25">
      <c r="G2520" t="str">
        <f t="shared" si="234"/>
        <v/>
      </c>
      <c r="H2520" s="13" t="str">
        <f t="shared" si="237"/>
        <v/>
      </c>
      <c r="I2520" t="str">
        <f>IFERROR(INDEX(Analysis!$D$116:$N$137, MATCH(B2520, Analysis!$C$116:$C$137, 0), MATCH(C2520, Analysis!$D$115:$N$115, 0)), "")</f>
        <v/>
      </c>
      <c r="J2520" t="str">
        <f t="shared" si="238"/>
        <v/>
      </c>
      <c r="K2520" s="28" t="str">
        <f t="shared" si="235"/>
        <v/>
      </c>
      <c r="L2520" s="46" t="str">
        <f t="shared" si="239"/>
        <v/>
      </c>
      <c r="M2520" t="str" cm="1">
        <f t="array" ref="M2520">IF(L2520="","",_xlfn.IFS(
  AND(L2520&gt;=TIME(9,0,0), L2520&lt;TIME(16,0,0)),"Morning",
  AND(L2520&gt;=TIME(16,0,0), L2520&lt;TIME(23,59,0)),"Evening",
  L2520&gt;=TIME(23,59,0),"Night",
  L2520&lt;TIME(9,0,0),"Night"
))</f>
        <v/>
      </c>
      <c r="O2520" t="str">
        <f t="shared" si="236"/>
        <v/>
      </c>
    </row>
    <row r="2521" spans="7:15" x14ac:dyDescent="0.25">
      <c r="G2521" t="str">
        <f t="shared" si="234"/>
        <v/>
      </c>
      <c r="H2521" s="13" t="str">
        <f t="shared" si="237"/>
        <v/>
      </c>
      <c r="I2521" t="str">
        <f>IFERROR(INDEX(Analysis!$D$116:$N$137, MATCH(B2521, Analysis!$C$116:$C$137, 0), MATCH(C2521, Analysis!$D$115:$N$115, 0)), "")</f>
        <v/>
      </c>
      <c r="J2521" t="str">
        <f t="shared" si="238"/>
        <v/>
      </c>
      <c r="K2521" s="28" t="str">
        <f t="shared" si="235"/>
        <v/>
      </c>
      <c r="L2521" s="46" t="str">
        <f t="shared" si="239"/>
        <v/>
      </c>
      <c r="M2521" t="str" cm="1">
        <f t="array" ref="M2521">IF(L2521="","",_xlfn.IFS(
  AND(L2521&gt;=TIME(9,0,0), L2521&lt;TIME(16,0,0)),"Morning",
  AND(L2521&gt;=TIME(16,0,0), L2521&lt;TIME(23,59,0)),"Evening",
  L2521&gt;=TIME(23,59,0),"Night",
  L2521&lt;TIME(9,0,0),"Night"
))</f>
        <v/>
      </c>
      <c r="O2521" t="str">
        <f t="shared" si="236"/>
        <v/>
      </c>
    </row>
    <row r="2522" spans="7:15" x14ac:dyDescent="0.25">
      <c r="G2522" t="str">
        <f t="shared" si="234"/>
        <v/>
      </c>
      <c r="H2522" s="13" t="str">
        <f t="shared" si="237"/>
        <v/>
      </c>
      <c r="I2522" t="str">
        <f>IFERROR(INDEX(Analysis!$D$116:$N$137, MATCH(B2522, Analysis!$C$116:$C$137, 0), MATCH(C2522, Analysis!$D$115:$N$115, 0)), "")</f>
        <v/>
      </c>
      <c r="J2522" t="str">
        <f t="shared" si="238"/>
        <v/>
      </c>
      <c r="K2522" s="28" t="str">
        <f t="shared" si="235"/>
        <v/>
      </c>
      <c r="L2522" s="46" t="str">
        <f t="shared" si="239"/>
        <v/>
      </c>
      <c r="M2522" t="str" cm="1">
        <f t="array" ref="M2522">IF(L2522="","",_xlfn.IFS(
  AND(L2522&gt;=TIME(9,0,0), L2522&lt;TIME(16,0,0)),"Morning",
  AND(L2522&gt;=TIME(16,0,0), L2522&lt;TIME(23,59,0)),"Evening",
  L2522&gt;=TIME(23,59,0),"Night",
  L2522&lt;TIME(9,0,0),"Night"
))</f>
        <v/>
      </c>
      <c r="O2522" t="str">
        <f t="shared" si="236"/>
        <v/>
      </c>
    </row>
    <row r="2523" spans="7:15" x14ac:dyDescent="0.25">
      <c r="G2523" t="str">
        <f t="shared" si="234"/>
        <v/>
      </c>
      <c r="H2523" s="13" t="str">
        <f t="shared" si="237"/>
        <v/>
      </c>
      <c r="I2523" t="str">
        <f>IFERROR(INDEX(Analysis!$D$116:$N$137, MATCH(B2523, Analysis!$C$116:$C$137, 0), MATCH(C2523, Analysis!$D$115:$N$115, 0)), "")</f>
        <v/>
      </c>
      <c r="J2523" t="str">
        <f t="shared" si="238"/>
        <v/>
      </c>
      <c r="K2523" s="28" t="str">
        <f t="shared" si="235"/>
        <v/>
      </c>
      <c r="L2523" s="46" t="str">
        <f t="shared" si="239"/>
        <v/>
      </c>
      <c r="M2523" t="str" cm="1">
        <f t="array" ref="M2523">IF(L2523="","",_xlfn.IFS(
  AND(L2523&gt;=TIME(9,0,0), L2523&lt;TIME(16,0,0)),"Morning",
  AND(L2523&gt;=TIME(16,0,0), L2523&lt;TIME(23,59,0)),"Evening",
  L2523&gt;=TIME(23,59,0),"Night",
  L2523&lt;TIME(9,0,0),"Night"
))</f>
        <v/>
      </c>
      <c r="O2523" t="str">
        <f t="shared" si="236"/>
        <v/>
      </c>
    </row>
    <row r="2524" spans="7:15" x14ac:dyDescent="0.25">
      <c r="G2524" t="str">
        <f t="shared" si="234"/>
        <v/>
      </c>
      <c r="H2524" s="13" t="str">
        <f t="shared" si="237"/>
        <v/>
      </c>
      <c r="I2524" t="str">
        <f>IFERROR(INDEX(Analysis!$D$116:$N$137, MATCH(B2524, Analysis!$C$116:$C$137, 0), MATCH(C2524, Analysis!$D$115:$N$115, 0)), "")</f>
        <v/>
      </c>
      <c r="J2524" t="str">
        <f t="shared" si="238"/>
        <v/>
      </c>
      <c r="K2524" s="28" t="str">
        <f t="shared" si="235"/>
        <v/>
      </c>
      <c r="L2524" s="46" t="str">
        <f t="shared" si="239"/>
        <v/>
      </c>
      <c r="M2524" t="str" cm="1">
        <f t="array" ref="M2524">IF(L2524="","",_xlfn.IFS(
  AND(L2524&gt;=TIME(9,0,0), L2524&lt;TIME(16,0,0)),"Morning",
  AND(L2524&gt;=TIME(16,0,0), L2524&lt;TIME(23,59,0)),"Evening",
  L2524&gt;=TIME(23,59,0),"Night",
  L2524&lt;TIME(9,0,0),"Night"
))</f>
        <v/>
      </c>
      <c r="O2524" t="str">
        <f t="shared" si="236"/>
        <v/>
      </c>
    </row>
    <row r="2525" spans="7:15" x14ac:dyDescent="0.25">
      <c r="G2525" t="str">
        <f t="shared" si="234"/>
        <v/>
      </c>
      <c r="H2525" s="13" t="str">
        <f t="shared" si="237"/>
        <v/>
      </c>
      <c r="I2525" t="str">
        <f>IFERROR(INDEX(Analysis!$D$116:$N$137, MATCH(B2525, Analysis!$C$116:$C$137, 0), MATCH(C2525, Analysis!$D$115:$N$115, 0)), "")</f>
        <v/>
      </c>
      <c r="J2525" t="str">
        <f t="shared" si="238"/>
        <v/>
      </c>
      <c r="K2525" s="28" t="str">
        <f t="shared" si="235"/>
        <v/>
      </c>
      <c r="L2525" s="46" t="str">
        <f t="shared" si="239"/>
        <v/>
      </c>
      <c r="M2525" t="str" cm="1">
        <f t="array" ref="M2525">IF(L2525="","",_xlfn.IFS(
  AND(L2525&gt;=TIME(9,0,0), L2525&lt;TIME(16,0,0)),"Morning",
  AND(L2525&gt;=TIME(16,0,0), L2525&lt;TIME(23,59,0)),"Evening",
  L2525&gt;=TIME(23,59,0),"Night",
  L2525&lt;TIME(9,0,0),"Night"
))</f>
        <v/>
      </c>
      <c r="O2525" t="str">
        <f t="shared" si="236"/>
        <v/>
      </c>
    </row>
    <row r="2526" spans="7:15" x14ac:dyDescent="0.25">
      <c r="G2526" t="str">
        <f t="shared" si="234"/>
        <v/>
      </c>
      <c r="H2526" s="13" t="str">
        <f t="shared" si="237"/>
        <v/>
      </c>
      <c r="I2526" t="str">
        <f>IFERROR(INDEX(Analysis!$D$116:$N$137, MATCH(B2526, Analysis!$C$116:$C$137, 0), MATCH(C2526, Analysis!$D$115:$N$115, 0)), "")</f>
        <v/>
      </c>
      <c r="J2526" t="str">
        <f t="shared" si="238"/>
        <v/>
      </c>
      <c r="K2526" s="28" t="str">
        <f t="shared" si="235"/>
        <v/>
      </c>
      <c r="L2526" s="46" t="str">
        <f t="shared" si="239"/>
        <v/>
      </c>
      <c r="M2526" t="str" cm="1">
        <f t="array" ref="M2526">IF(L2526="","",_xlfn.IFS(
  AND(L2526&gt;=TIME(9,0,0), L2526&lt;TIME(16,0,0)),"Morning",
  AND(L2526&gt;=TIME(16,0,0), L2526&lt;TIME(23,59,0)),"Evening",
  L2526&gt;=TIME(23,59,0),"Night",
  L2526&lt;TIME(9,0,0),"Night"
))</f>
        <v/>
      </c>
      <c r="O2526" t="str">
        <f t="shared" si="236"/>
        <v/>
      </c>
    </row>
    <row r="2527" spans="7:15" x14ac:dyDescent="0.25">
      <c r="G2527" t="str">
        <f t="shared" si="234"/>
        <v/>
      </c>
      <c r="H2527" s="13" t="str">
        <f t="shared" si="237"/>
        <v/>
      </c>
      <c r="I2527" t="str">
        <f>IFERROR(INDEX(Analysis!$D$116:$N$137, MATCH(B2527, Analysis!$C$116:$C$137, 0), MATCH(C2527, Analysis!$D$115:$N$115, 0)), "")</f>
        <v/>
      </c>
      <c r="J2527" t="str">
        <f t="shared" si="238"/>
        <v/>
      </c>
      <c r="K2527" s="28" t="str">
        <f t="shared" si="235"/>
        <v/>
      </c>
      <c r="L2527" s="46" t="str">
        <f t="shared" si="239"/>
        <v/>
      </c>
      <c r="M2527" t="str" cm="1">
        <f t="array" ref="M2527">IF(L2527="","",_xlfn.IFS(
  AND(L2527&gt;=TIME(9,0,0), L2527&lt;TIME(16,0,0)),"Morning",
  AND(L2527&gt;=TIME(16,0,0), L2527&lt;TIME(23,59,0)),"Evening",
  L2527&gt;=TIME(23,59,0),"Night",
  L2527&lt;TIME(9,0,0),"Night"
))</f>
        <v/>
      </c>
      <c r="O2527" t="str">
        <f t="shared" si="236"/>
        <v/>
      </c>
    </row>
    <row r="2528" spans="7:15" x14ac:dyDescent="0.25">
      <c r="G2528" t="str">
        <f t="shared" si="234"/>
        <v/>
      </c>
      <c r="H2528" s="13" t="str">
        <f t="shared" si="237"/>
        <v/>
      </c>
      <c r="I2528" t="str">
        <f>IFERROR(INDEX(Analysis!$D$116:$N$137, MATCH(B2528, Analysis!$C$116:$C$137, 0), MATCH(C2528, Analysis!$D$115:$N$115, 0)), "")</f>
        <v/>
      </c>
      <c r="J2528" t="str">
        <f t="shared" si="238"/>
        <v/>
      </c>
      <c r="K2528" s="28" t="str">
        <f t="shared" si="235"/>
        <v/>
      </c>
      <c r="L2528" s="46" t="str">
        <f t="shared" si="239"/>
        <v/>
      </c>
      <c r="M2528" t="str" cm="1">
        <f t="array" ref="M2528">IF(L2528="","",_xlfn.IFS(
  AND(L2528&gt;=TIME(9,0,0), L2528&lt;TIME(16,0,0)),"Morning",
  AND(L2528&gt;=TIME(16,0,0), L2528&lt;TIME(23,59,0)),"Evening",
  L2528&gt;=TIME(23,59,0),"Night",
  L2528&lt;TIME(9,0,0),"Night"
))</f>
        <v/>
      </c>
      <c r="O2528" t="str">
        <f t="shared" si="236"/>
        <v/>
      </c>
    </row>
    <row r="2529" spans="7:15" x14ac:dyDescent="0.25">
      <c r="G2529" t="str">
        <f t="shared" si="234"/>
        <v/>
      </c>
      <c r="H2529" s="13" t="str">
        <f t="shared" si="237"/>
        <v/>
      </c>
      <c r="I2529" t="str">
        <f>IFERROR(INDEX(Analysis!$D$116:$N$137, MATCH(B2529, Analysis!$C$116:$C$137, 0), MATCH(C2529, Analysis!$D$115:$N$115, 0)), "")</f>
        <v/>
      </c>
      <c r="J2529" t="str">
        <f t="shared" si="238"/>
        <v/>
      </c>
      <c r="K2529" s="28" t="str">
        <f t="shared" si="235"/>
        <v/>
      </c>
      <c r="L2529" s="46" t="str">
        <f t="shared" si="239"/>
        <v/>
      </c>
      <c r="M2529" t="str" cm="1">
        <f t="array" ref="M2529">IF(L2529="","",_xlfn.IFS(
  AND(L2529&gt;=TIME(9,0,0), L2529&lt;TIME(16,0,0)),"Morning",
  AND(L2529&gt;=TIME(16,0,0), L2529&lt;TIME(23,59,0)),"Evening",
  L2529&gt;=TIME(23,59,0),"Night",
  L2529&lt;TIME(9,0,0),"Night"
))</f>
        <v/>
      </c>
      <c r="O2529" t="str">
        <f t="shared" si="236"/>
        <v/>
      </c>
    </row>
    <row r="2530" spans="7:15" x14ac:dyDescent="0.25">
      <c r="G2530" t="str">
        <f t="shared" si="234"/>
        <v/>
      </c>
      <c r="H2530" s="13" t="str">
        <f t="shared" si="237"/>
        <v/>
      </c>
      <c r="I2530" t="str">
        <f>IFERROR(INDEX(Analysis!$D$116:$N$137, MATCH(B2530, Analysis!$C$116:$C$137, 0), MATCH(C2530, Analysis!$D$115:$N$115, 0)), "")</f>
        <v/>
      </c>
      <c r="J2530" t="str">
        <f t="shared" si="238"/>
        <v/>
      </c>
      <c r="K2530" s="28" t="str">
        <f t="shared" si="235"/>
        <v/>
      </c>
      <c r="L2530" s="46" t="str">
        <f t="shared" si="239"/>
        <v/>
      </c>
      <c r="M2530" t="str" cm="1">
        <f t="array" ref="M2530">IF(L2530="","",_xlfn.IFS(
  AND(L2530&gt;=TIME(9,0,0), L2530&lt;TIME(16,0,0)),"Morning",
  AND(L2530&gt;=TIME(16,0,0), L2530&lt;TIME(23,59,0)),"Evening",
  L2530&gt;=TIME(23,59,0),"Night",
  L2530&lt;TIME(9,0,0),"Night"
))</f>
        <v/>
      </c>
      <c r="O2530" t="str">
        <f t="shared" si="236"/>
        <v/>
      </c>
    </row>
    <row r="2531" spans="7:15" x14ac:dyDescent="0.25">
      <c r="G2531" t="str">
        <f t="shared" si="234"/>
        <v/>
      </c>
      <c r="H2531" s="13" t="str">
        <f t="shared" si="237"/>
        <v/>
      </c>
      <c r="I2531" t="str">
        <f>IFERROR(INDEX(Analysis!$D$116:$N$137, MATCH(B2531, Analysis!$C$116:$C$137, 0), MATCH(C2531, Analysis!$D$115:$N$115, 0)), "")</f>
        <v/>
      </c>
      <c r="J2531" t="str">
        <f t="shared" si="238"/>
        <v/>
      </c>
      <c r="K2531" s="28" t="str">
        <f t="shared" si="235"/>
        <v/>
      </c>
      <c r="L2531" s="46" t="str">
        <f t="shared" si="239"/>
        <v/>
      </c>
      <c r="M2531" t="str" cm="1">
        <f t="array" ref="M2531">IF(L2531="","",_xlfn.IFS(
  AND(L2531&gt;=TIME(9,0,0), L2531&lt;TIME(16,0,0)),"Morning",
  AND(L2531&gt;=TIME(16,0,0), L2531&lt;TIME(23,59,0)),"Evening",
  L2531&gt;=TIME(23,59,0),"Night",
  L2531&lt;TIME(9,0,0),"Night"
))</f>
        <v/>
      </c>
      <c r="O2531" t="str">
        <f t="shared" si="236"/>
        <v/>
      </c>
    </row>
    <row r="2532" spans="7:15" x14ac:dyDescent="0.25">
      <c r="G2532" t="str">
        <f t="shared" si="234"/>
        <v/>
      </c>
      <c r="H2532" s="13" t="str">
        <f t="shared" si="237"/>
        <v/>
      </c>
      <c r="I2532" t="str">
        <f>IFERROR(INDEX(Analysis!$D$116:$N$137, MATCH(B2532, Analysis!$C$116:$C$137, 0), MATCH(C2532, Analysis!$D$115:$N$115, 0)), "")</f>
        <v/>
      </c>
      <c r="J2532" t="str">
        <f t="shared" si="238"/>
        <v/>
      </c>
      <c r="K2532" s="28" t="str">
        <f t="shared" si="235"/>
        <v/>
      </c>
      <c r="L2532" s="46" t="str">
        <f t="shared" si="239"/>
        <v/>
      </c>
      <c r="M2532" t="str" cm="1">
        <f t="array" ref="M2532">IF(L2532="","",_xlfn.IFS(
  AND(L2532&gt;=TIME(9,0,0), L2532&lt;TIME(16,0,0)),"Morning",
  AND(L2532&gt;=TIME(16,0,0), L2532&lt;TIME(23,59,0)),"Evening",
  L2532&gt;=TIME(23,59,0),"Night",
  L2532&lt;TIME(9,0,0),"Night"
))</f>
        <v/>
      </c>
      <c r="O2532" t="str">
        <f t="shared" si="236"/>
        <v/>
      </c>
    </row>
    <row r="2533" spans="7:15" x14ac:dyDescent="0.25">
      <c r="G2533" t="str">
        <f t="shared" si="234"/>
        <v/>
      </c>
      <c r="H2533" s="13" t="str">
        <f t="shared" si="237"/>
        <v/>
      </c>
      <c r="I2533" t="str">
        <f>IFERROR(INDEX(Analysis!$D$116:$N$137, MATCH(B2533, Analysis!$C$116:$C$137, 0), MATCH(C2533, Analysis!$D$115:$N$115, 0)), "")</f>
        <v/>
      </c>
      <c r="J2533" t="str">
        <f t="shared" si="238"/>
        <v/>
      </c>
      <c r="K2533" s="28" t="str">
        <f t="shared" si="235"/>
        <v/>
      </c>
      <c r="L2533" s="46" t="str">
        <f t="shared" si="239"/>
        <v/>
      </c>
      <c r="M2533" t="str" cm="1">
        <f t="array" ref="M2533">IF(L2533="","",_xlfn.IFS(
  AND(L2533&gt;=TIME(9,0,0), L2533&lt;TIME(16,0,0)),"Morning",
  AND(L2533&gt;=TIME(16,0,0), L2533&lt;TIME(23,59,0)),"Evening",
  L2533&gt;=TIME(23,59,0),"Night",
  L2533&lt;TIME(9,0,0),"Night"
))</f>
        <v/>
      </c>
      <c r="O2533" t="str">
        <f t="shared" si="236"/>
        <v/>
      </c>
    </row>
    <row r="2534" spans="7:15" x14ac:dyDescent="0.25">
      <c r="G2534" t="str">
        <f t="shared" si="234"/>
        <v/>
      </c>
      <c r="H2534" s="13" t="str">
        <f t="shared" si="237"/>
        <v/>
      </c>
      <c r="I2534" t="str">
        <f>IFERROR(INDEX(Analysis!$D$116:$N$137, MATCH(B2534, Analysis!$C$116:$C$137, 0), MATCH(C2534, Analysis!$D$115:$N$115, 0)), "")</f>
        <v/>
      </c>
      <c r="J2534" t="str">
        <f t="shared" si="238"/>
        <v/>
      </c>
      <c r="K2534" s="28" t="str">
        <f t="shared" si="235"/>
        <v/>
      </c>
      <c r="L2534" s="46" t="str">
        <f t="shared" si="239"/>
        <v/>
      </c>
      <c r="M2534" t="str" cm="1">
        <f t="array" ref="M2534">IF(L2534="","",_xlfn.IFS(
  AND(L2534&gt;=TIME(9,0,0), L2534&lt;TIME(16,0,0)),"Morning",
  AND(L2534&gt;=TIME(16,0,0), L2534&lt;TIME(23,59,0)),"Evening",
  L2534&gt;=TIME(23,59,0),"Night",
  L2534&lt;TIME(9,0,0),"Night"
))</f>
        <v/>
      </c>
      <c r="O2534" t="str">
        <f t="shared" si="236"/>
        <v/>
      </c>
    </row>
    <row r="2535" spans="7:15" x14ac:dyDescent="0.25">
      <c r="G2535" t="str">
        <f t="shared" si="234"/>
        <v/>
      </c>
      <c r="H2535" s="13" t="str">
        <f t="shared" si="237"/>
        <v/>
      </c>
      <c r="I2535" t="str">
        <f>IFERROR(INDEX(Analysis!$D$116:$N$137, MATCH(B2535, Analysis!$C$116:$C$137, 0), MATCH(C2535, Analysis!$D$115:$N$115, 0)), "")</f>
        <v/>
      </c>
      <c r="J2535" t="str">
        <f t="shared" si="238"/>
        <v/>
      </c>
      <c r="K2535" s="28" t="str">
        <f t="shared" si="235"/>
        <v/>
      </c>
      <c r="L2535" s="46" t="str">
        <f t="shared" si="239"/>
        <v/>
      </c>
      <c r="M2535" t="str" cm="1">
        <f t="array" ref="M2535">IF(L2535="","",_xlfn.IFS(
  AND(L2535&gt;=TIME(9,0,0), L2535&lt;TIME(16,0,0)),"Morning",
  AND(L2535&gt;=TIME(16,0,0), L2535&lt;TIME(23,59,0)),"Evening",
  L2535&gt;=TIME(23,59,0),"Night",
  L2535&lt;TIME(9,0,0),"Night"
))</f>
        <v/>
      </c>
      <c r="O2535" t="str">
        <f t="shared" si="236"/>
        <v/>
      </c>
    </row>
    <row r="2536" spans="7:15" x14ac:dyDescent="0.25">
      <c r="G2536" t="str">
        <f t="shared" si="234"/>
        <v/>
      </c>
      <c r="H2536" s="13" t="str">
        <f t="shared" si="237"/>
        <v/>
      </c>
      <c r="I2536" t="str">
        <f>IFERROR(INDEX(Analysis!$D$116:$N$137, MATCH(B2536, Analysis!$C$116:$C$137, 0), MATCH(C2536, Analysis!$D$115:$N$115, 0)), "")</f>
        <v/>
      </c>
      <c r="J2536" t="str">
        <f t="shared" si="238"/>
        <v/>
      </c>
      <c r="K2536" s="28" t="str">
        <f t="shared" si="235"/>
        <v/>
      </c>
      <c r="L2536" s="46" t="str">
        <f t="shared" si="239"/>
        <v/>
      </c>
      <c r="M2536" t="str" cm="1">
        <f t="array" ref="M2536">IF(L2536="","",_xlfn.IFS(
  AND(L2536&gt;=TIME(9,0,0), L2536&lt;TIME(16,0,0)),"Morning",
  AND(L2536&gt;=TIME(16,0,0), L2536&lt;TIME(23,59,0)),"Evening",
  L2536&gt;=TIME(23,59,0),"Night",
  L2536&lt;TIME(9,0,0),"Night"
))</f>
        <v/>
      </c>
      <c r="O2536" t="str">
        <f t="shared" si="236"/>
        <v/>
      </c>
    </row>
    <row r="2537" spans="7:15" x14ac:dyDescent="0.25">
      <c r="G2537" t="str">
        <f t="shared" si="234"/>
        <v/>
      </c>
      <c r="H2537" s="13" t="str">
        <f t="shared" si="237"/>
        <v/>
      </c>
      <c r="I2537" t="str">
        <f>IFERROR(INDEX(Analysis!$D$116:$N$137, MATCH(B2537, Analysis!$C$116:$C$137, 0), MATCH(C2537, Analysis!$D$115:$N$115, 0)), "")</f>
        <v/>
      </c>
      <c r="J2537" t="str">
        <f t="shared" si="238"/>
        <v/>
      </c>
      <c r="K2537" s="28" t="str">
        <f t="shared" si="235"/>
        <v/>
      </c>
      <c r="L2537" s="46" t="str">
        <f t="shared" si="239"/>
        <v/>
      </c>
      <c r="M2537" t="str" cm="1">
        <f t="array" ref="M2537">IF(L2537="","",_xlfn.IFS(
  AND(L2537&gt;=TIME(9,0,0), L2537&lt;TIME(16,0,0)),"Morning",
  AND(L2537&gt;=TIME(16,0,0), L2537&lt;TIME(23,59,0)),"Evening",
  L2537&gt;=TIME(23,59,0),"Night",
  L2537&lt;TIME(9,0,0),"Night"
))</f>
        <v/>
      </c>
      <c r="O2537" t="str">
        <f t="shared" si="236"/>
        <v/>
      </c>
    </row>
    <row r="2538" spans="7:15" x14ac:dyDescent="0.25">
      <c r="G2538" t="str">
        <f t="shared" si="234"/>
        <v/>
      </c>
      <c r="H2538" s="13" t="str">
        <f t="shared" si="237"/>
        <v/>
      </c>
      <c r="I2538" t="str">
        <f>IFERROR(INDEX(Analysis!$D$116:$N$137, MATCH(B2538, Analysis!$C$116:$C$137, 0), MATCH(C2538, Analysis!$D$115:$N$115, 0)), "")</f>
        <v/>
      </c>
      <c r="J2538" t="str">
        <f t="shared" si="238"/>
        <v/>
      </c>
      <c r="K2538" s="28" t="str">
        <f t="shared" si="235"/>
        <v/>
      </c>
      <c r="L2538" s="46" t="str">
        <f t="shared" si="239"/>
        <v/>
      </c>
      <c r="M2538" t="str" cm="1">
        <f t="array" ref="M2538">IF(L2538="","",_xlfn.IFS(
  AND(L2538&gt;=TIME(9,0,0), L2538&lt;TIME(16,0,0)),"Morning",
  AND(L2538&gt;=TIME(16,0,0), L2538&lt;TIME(23,59,0)),"Evening",
  L2538&gt;=TIME(23,59,0),"Night",
  L2538&lt;TIME(9,0,0),"Night"
))</f>
        <v/>
      </c>
      <c r="O2538" t="str">
        <f t="shared" si="236"/>
        <v/>
      </c>
    </row>
    <row r="2539" spans="7:15" x14ac:dyDescent="0.25">
      <c r="G2539" t="str">
        <f t="shared" si="234"/>
        <v/>
      </c>
      <c r="H2539" s="13" t="str">
        <f t="shared" si="237"/>
        <v/>
      </c>
      <c r="I2539" t="str">
        <f>IFERROR(INDEX(Analysis!$D$116:$N$137, MATCH(B2539, Analysis!$C$116:$C$137, 0), MATCH(C2539, Analysis!$D$115:$N$115, 0)), "")</f>
        <v/>
      </c>
      <c r="J2539" t="str">
        <f t="shared" si="238"/>
        <v/>
      </c>
      <c r="K2539" s="28" t="str">
        <f t="shared" si="235"/>
        <v/>
      </c>
      <c r="L2539" s="46" t="str">
        <f t="shared" si="239"/>
        <v/>
      </c>
      <c r="M2539" t="str" cm="1">
        <f t="array" ref="M2539">IF(L2539="","",_xlfn.IFS(
  AND(L2539&gt;=TIME(9,0,0), L2539&lt;TIME(16,0,0)),"Morning",
  AND(L2539&gt;=TIME(16,0,0), L2539&lt;TIME(23,59,0)),"Evening",
  L2539&gt;=TIME(23,59,0),"Night",
  L2539&lt;TIME(9,0,0),"Night"
))</f>
        <v/>
      </c>
      <c r="O2539" t="str">
        <f t="shared" si="236"/>
        <v/>
      </c>
    </row>
    <row r="2540" spans="7:15" x14ac:dyDescent="0.25">
      <c r="G2540" t="str">
        <f t="shared" si="234"/>
        <v/>
      </c>
      <c r="H2540" s="13" t="str">
        <f t="shared" si="237"/>
        <v/>
      </c>
      <c r="I2540" t="str">
        <f>IFERROR(INDEX(Analysis!$D$116:$N$137, MATCH(B2540, Analysis!$C$116:$C$137, 0), MATCH(C2540, Analysis!$D$115:$N$115, 0)), "")</f>
        <v/>
      </c>
      <c r="J2540" t="str">
        <f t="shared" si="238"/>
        <v/>
      </c>
      <c r="K2540" s="28" t="str">
        <f t="shared" si="235"/>
        <v/>
      </c>
      <c r="L2540" s="46" t="str">
        <f t="shared" si="239"/>
        <v/>
      </c>
      <c r="M2540" t="str" cm="1">
        <f t="array" ref="M2540">IF(L2540="","",_xlfn.IFS(
  AND(L2540&gt;=TIME(9,0,0), L2540&lt;TIME(16,0,0)),"Morning",
  AND(L2540&gt;=TIME(16,0,0), L2540&lt;TIME(23,59,0)),"Evening",
  L2540&gt;=TIME(23,59,0),"Night",
  L2540&lt;TIME(9,0,0),"Night"
))</f>
        <v/>
      </c>
      <c r="O2540" t="str">
        <f t="shared" si="236"/>
        <v/>
      </c>
    </row>
    <row r="2541" spans="7:15" x14ac:dyDescent="0.25">
      <c r="G2541" t="str">
        <f t="shared" si="234"/>
        <v/>
      </c>
      <c r="H2541" s="13" t="str">
        <f t="shared" si="237"/>
        <v/>
      </c>
      <c r="I2541" t="str">
        <f>IFERROR(INDEX(Analysis!$D$116:$N$137, MATCH(B2541, Analysis!$C$116:$C$137, 0), MATCH(C2541, Analysis!$D$115:$N$115, 0)), "")</f>
        <v/>
      </c>
      <c r="J2541" t="str">
        <f t="shared" si="238"/>
        <v/>
      </c>
      <c r="K2541" s="28" t="str">
        <f t="shared" si="235"/>
        <v/>
      </c>
      <c r="L2541" s="46" t="str">
        <f t="shared" si="239"/>
        <v/>
      </c>
      <c r="M2541" t="str" cm="1">
        <f t="array" ref="M2541">IF(L2541="","",_xlfn.IFS(
  AND(L2541&gt;=TIME(9,0,0), L2541&lt;TIME(16,0,0)),"Morning",
  AND(L2541&gt;=TIME(16,0,0), L2541&lt;TIME(23,59,0)),"Evening",
  L2541&gt;=TIME(23,59,0),"Night",
  L2541&lt;TIME(9,0,0),"Night"
))</f>
        <v/>
      </c>
      <c r="O2541" t="str">
        <f t="shared" si="236"/>
        <v/>
      </c>
    </row>
    <row r="2542" spans="7:15" x14ac:dyDescent="0.25">
      <c r="G2542" t="str">
        <f t="shared" si="234"/>
        <v/>
      </c>
      <c r="H2542" s="13" t="str">
        <f t="shared" si="237"/>
        <v/>
      </c>
      <c r="I2542" t="str">
        <f>IFERROR(INDEX(Analysis!$D$116:$N$137, MATCH(B2542, Analysis!$C$116:$C$137, 0), MATCH(C2542, Analysis!$D$115:$N$115, 0)), "")</f>
        <v/>
      </c>
      <c r="J2542" t="str">
        <f t="shared" si="238"/>
        <v/>
      </c>
      <c r="K2542" s="28" t="str">
        <f t="shared" si="235"/>
        <v/>
      </c>
      <c r="L2542" s="46" t="str">
        <f t="shared" si="239"/>
        <v/>
      </c>
      <c r="M2542" t="str" cm="1">
        <f t="array" ref="M2542">IF(L2542="","",_xlfn.IFS(
  AND(L2542&gt;=TIME(9,0,0), L2542&lt;TIME(16,0,0)),"Morning",
  AND(L2542&gt;=TIME(16,0,0), L2542&lt;TIME(23,59,0)),"Evening",
  L2542&gt;=TIME(23,59,0),"Night",
  L2542&lt;TIME(9,0,0),"Night"
))</f>
        <v/>
      </c>
      <c r="O2542" t="str">
        <f t="shared" si="236"/>
        <v/>
      </c>
    </row>
    <row r="2543" spans="7:15" x14ac:dyDescent="0.25">
      <c r="G2543" t="str">
        <f t="shared" si="234"/>
        <v/>
      </c>
      <c r="H2543" s="13" t="str">
        <f t="shared" si="237"/>
        <v/>
      </c>
      <c r="I2543" t="str">
        <f>IFERROR(INDEX(Analysis!$D$116:$N$137, MATCH(B2543, Analysis!$C$116:$C$137, 0), MATCH(C2543, Analysis!$D$115:$N$115, 0)), "")</f>
        <v/>
      </c>
      <c r="J2543" t="str">
        <f t="shared" si="238"/>
        <v/>
      </c>
      <c r="K2543" s="28" t="str">
        <f t="shared" si="235"/>
        <v/>
      </c>
      <c r="L2543" s="46" t="str">
        <f t="shared" si="239"/>
        <v/>
      </c>
      <c r="M2543" t="str" cm="1">
        <f t="array" ref="M2543">IF(L2543="","",_xlfn.IFS(
  AND(L2543&gt;=TIME(9,0,0), L2543&lt;TIME(16,0,0)),"Morning",
  AND(L2543&gt;=TIME(16,0,0), L2543&lt;TIME(23,59,0)),"Evening",
  L2543&gt;=TIME(23,59,0),"Night",
  L2543&lt;TIME(9,0,0),"Night"
))</f>
        <v/>
      </c>
      <c r="O2543" t="str">
        <f t="shared" si="236"/>
        <v/>
      </c>
    </row>
    <row r="2544" spans="7:15" x14ac:dyDescent="0.25">
      <c r="G2544" t="str">
        <f t="shared" si="234"/>
        <v/>
      </c>
      <c r="H2544" s="13" t="str">
        <f t="shared" si="237"/>
        <v/>
      </c>
      <c r="I2544" t="str">
        <f>IFERROR(INDEX(Analysis!$D$116:$N$137, MATCH(B2544, Analysis!$C$116:$C$137, 0), MATCH(C2544, Analysis!$D$115:$N$115, 0)), "")</f>
        <v/>
      </c>
      <c r="J2544" t="str">
        <f t="shared" si="238"/>
        <v/>
      </c>
      <c r="K2544" s="28" t="str">
        <f t="shared" si="235"/>
        <v/>
      </c>
      <c r="L2544" s="46" t="str">
        <f t="shared" si="239"/>
        <v/>
      </c>
      <c r="M2544" t="str" cm="1">
        <f t="array" ref="M2544">IF(L2544="","",_xlfn.IFS(
  AND(L2544&gt;=TIME(9,0,0), L2544&lt;TIME(16,0,0)),"Morning",
  AND(L2544&gt;=TIME(16,0,0), L2544&lt;TIME(23,59,0)),"Evening",
  L2544&gt;=TIME(23,59,0),"Night",
  L2544&lt;TIME(9,0,0),"Night"
))</f>
        <v/>
      </c>
      <c r="O2544" t="str">
        <f t="shared" si="236"/>
        <v/>
      </c>
    </row>
    <row r="2545" spans="7:15" x14ac:dyDescent="0.25">
      <c r="G2545" t="str">
        <f t="shared" si="234"/>
        <v/>
      </c>
      <c r="H2545" s="13" t="str">
        <f t="shared" si="237"/>
        <v/>
      </c>
      <c r="I2545" t="str">
        <f>IFERROR(INDEX(Analysis!$D$116:$N$137, MATCH(B2545, Analysis!$C$116:$C$137, 0), MATCH(C2545, Analysis!$D$115:$N$115, 0)), "")</f>
        <v/>
      </c>
      <c r="J2545" t="str">
        <f t="shared" si="238"/>
        <v/>
      </c>
      <c r="K2545" s="28" t="str">
        <f t="shared" si="235"/>
        <v/>
      </c>
      <c r="L2545" s="46" t="str">
        <f t="shared" si="239"/>
        <v/>
      </c>
      <c r="M2545" t="str" cm="1">
        <f t="array" ref="M2545">IF(L2545="","",_xlfn.IFS(
  AND(L2545&gt;=TIME(9,0,0), L2545&lt;TIME(16,0,0)),"Morning",
  AND(L2545&gt;=TIME(16,0,0), L2545&lt;TIME(23,59,0)),"Evening",
  L2545&gt;=TIME(23,59,0),"Night",
  L2545&lt;TIME(9,0,0),"Night"
))</f>
        <v/>
      </c>
      <c r="O2545" t="str">
        <f t="shared" si="236"/>
        <v/>
      </c>
    </row>
    <row r="2546" spans="7:15" x14ac:dyDescent="0.25">
      <c r="G2546" t="str">
        <f t="shared" si="234"/>
        <v/>
      </c>
      <c r="H2546" s="13" t="str">
        <f t="shared" si="237"/>
        <v/>
      </c>
      <c r="I2546" t="str">
        <f>IFERROR(INDEX(Analysis!$D$116:$N$137, MATCH(B2546, Analysis!$C$116:$C$137, 0), MATCH(C2546, Analysis!$D$115:$N$115, 0)), "")</f>
        <v/>
      </c>
      <c r="J2546" t="str">
        <f t="shared" si="238"/>
        <v/>
      </c>
      <c r="K2546" s="28" t="str">
        <f t="shared" si="235"/>
        <v/>
      </c>
      <c r="L2546" s="46" t="str">
        <f t="shared" si="239"/>
        <v/>
      </c>
      <c r="M2546" t="str" cm="1">
        <f t="array" ref="M2546">IF(L2546="","",_xlfn.IFS(
  AND(L2546&gt;=TIME(9,0,0), L2546&lt;TIME(16,0,0)),"Morning",
  AND(L2546&gt;=TIME(16,0,0), L2546&lt;TIME(23,59,0)),"Evening",
  L2546&gt;=TIME(23,59,0),"Night",
  L2546&lt;TIME(9,0,0),"Night"
))</f>
        <v/>
      </c>
      <c r="O2546" t="str">
        <f t="shared" si="236"/>
        <v/>
      </c>
    </row>
    <row r="2547" spans="7:15" x14ac:dyDescent="0.25">
      <c r="G2547" t="str">
        <f t="shared" si="234"/>
        <v/>
      </c>
      <c r="H2547" s="13" t="str">
        <f t="shared" si="237"/>
        <v/>
      </c>
      <c r="I2547" t="str">
        <f>IFERROR(INDEX(Analysis!$D$116:$N$137, MATCH(B2547, Analysis!$C$116:$C$137, 0), MATCH(C2547, Analysis!$D$115:$N$115, 0)), "")</f>
        <v/>
      </c>
      <c r="J2547" t="str">
        <f t="shared" si="238"/>
        <v/>
      </c>
      <c r="K2547" s="28" t="str">
        <f t="shared" si="235"/>
        <v/>
      </c>
      <c r="L2547" s="46" t="str">
        <f t="shared" si="239"/>
        <v/>
      </c>
      <c r="M2547" t="str" cm="1">
        <f t="array" ref="M2547">IF(L2547="","",_xlfn.IFS(
  AND(L2547&gt;=TIME(9,0,0), L2547&lt;TIME(16,0,0)),"Morning",
  AND(L2547&gt;=TIME(16,0,0), L2547&lt;TIME(23,59,0)),"Evening",
  L2547&gt;=TIME(23,59,0),"Night",
  L2547&lt;TIME(9,0,0),"Night"
))</f>
        <v/>
      </c>
      <c r="O2547" t="str">
        <f t="shared" si="236"/>
        <v/>
      </c>
    </row>
    <row r="2548" spans="7:15" x14ac:dyDescent="0.25">
      <c r="G2548" t="str">
        <f t="shared" si="234"/>
        <v/>
      </c>
      <c r="H2548" s="13" t="str">
        <f t="shared" si="237"/>
        <v/>
      </c>
      <c r="I2548" t="str">
        <f>IFERROR(INDEX(Analysis!$D$116:$N$137, MATCH(B2548, Analysis!$C$116:$C$137, 0), MATCH(C2548, Analysis!$D$115:$N$115, 0)), "")</f>
        <v/>
      </c>
      <c r="J2548" t="str">
        <f t="shared" si="238"/>
        <v/>
      </c>
      <c r="K2548" s="28" t="str">
        <f t="shared" si="235"/>
        <v/>
      </c>
      <c r="L2548" s="46" t="str">
        <f t="shared" si="239"/>
        <v/>
      </c>
      <c r="M2548" t="str" cm="1">
        <f t="array" ref="M2548">IF(L2548="","",_xlfn.IFS(
  AND(L2548&gt;=TIME(9,0,0), L2548&lt;TIME(16,0,0)),"Morning",
  AND(L2548&gt;=TIME(16,0,0), L2548&lt;TIME(23,59,0)),"Evening",
  L2548&gt;=TIME(23,59,0),"Night",
  L2548&lt;TIME(9,0,0),"Night"
))</f>
        <v/>
      </c>
      <c r="O2548" t="str">
        <f t="shared" si="236"/>
        <v/>
      </c>
    </row>
    <row r="2549" spans="7:15" x14ac:dyDescent="0.25">
      <c r="G2549" t="str">
        <f t="shared" si="234"/>
        <v/>
      </c>
      <c r="H2549" s="13" t="str">
        <f t="shared" si="237"/>
        <v/>
      </c>
      <c r="I2549" t="str">
        <f>IFERROR(INDEX(Analysis!$D$116:$N$137, MATCH(B2549, Analysis!$C$116:$C$137, 0), MATCH(C2549, Analysis!$D$115:$N$115, 0)), "")</f>
        <v/>
      </c>
      <c r="J2549" t="str">
        <f t="shared" si="238"/>
        <v/>
      </c>
      <c r="K2549" s="28" t="str">
        <f t="shared" si="235"/>
        <v/>
      </c>
      <c r="L2549" s="46" t="str">
        <f t="shared" si="239"/>
        <v/>
      </c>
      <c r="M2549" t="str" cm="1">
        <f t="array" ref="M2549">IF(L2549="","",_xlfn.IFS(
  AND(L2549&gt;=TIME(9,0,0), L2549&lt;TIME(16,0,0)),"Morning",
  AND(L2549&gt;=TIME(16,0,0), L2549&lt;TIME(23,59,0)),"Evening",
  L2549&gt;=TIME(23,59,0),"Night",
  L2549&lt;TIME(9,0,0),"Night"
))</f>
        <v/>
      </c>
      <c r="O2549" t="str">
        <f t="shared" si="236"/>
        <v/>
      </c>
    </row>
    <row r="2550" spans="7:15" x14ac:dyDescent="0.25">
      <c r="G2550" t="str">
        <f t="shared" si="234"/>
        <v/>
      </c>
      <c r="H2550" s="13" t="str">
        <f t="shared" si="237"/>
        <v/>
      </c>
      <c r="I2550" t="str">
        <f>IFERROR(INDEX(Analysis!$D$116:$N$137, MATCH(B2550, Analysis!$C$116:$C$137, 0), MATCH(C2550, Analysis!$D$115:$N$115, 0)), "")</f>
        <v/>
      </c>
      <c r="J2550" t="str">
        <f t="shared" si="238"/>
        <v/>
      </c>
      <c r="K2550" s="28" t="str">
        <f t="shared" si="235"/>
        <v/>
      </c>
      <c r="L2550" s="46" t="str">
        <f t="shared" si="239"/>
        <v/>
      </c>
      <c r="M2550" t="str" cm="1">
        <f t="array" ref="M2550">IF(L2550="","",_xlfn.IFS(
  AND(L2550&gt;=TIME(9,0,0), L2550&lt;TIME(16,0,0)),"Morning",
  AND(L2550&gt;=TIME(16,0,0), L2550&lt;TIME(23,59,0)),"Evening",
  L2550&gt;=TIME(23,59,0),"Night",
  L2550&lt;TIME(9,0,0),"Night"
))</f>
        <v/>
      </c>
      <c r="O2550" t="str">
        <f t="shared" si="236"/>
        <v/>
      </c>
    </row>
    <row r="2551" spans="7:15" x14ac:dyDescent="0.25">
      <c r="G2551" t="str">
        <f t="shared" si="234"/>
        <v/>
      </c>
      <c r="H2551" s="13" t="str">
        <f t="shared" si="237"/>
        <v/>
      </c>
      <c r="I2551" t="str">
        <f>IFERROR(INDEX(Analysis!$D$116:$N$137, MATCH(B2551, Analysis!$C$116:$C$137, 0), MATCH(C2551, Analysis!$D$115:$N$115, 0)), "")</f>
        <v/>
      </c>
      <c r="J2551" t="str">
        <f t="shared" si="238"/>
        <v/>
      </c>
      <c r="K2551" s="28" t="str">
        <f t="shared" si="235"/>
        <v/>
      </c>
      <c r="L2551" s="46" t="str">
        <f t="shared" si="239"/>
        <v/>
      </c>
      <c r="M2551" t="str" cm="1">
        <f t="array" ref="M2551">IF(L2551="","",_xlfn.IFS(
  AND(L2551&gt;=TIME(9,0,0), L2551&lt;TIME(16,0,0)),"Morning",
  AND(L2551&gt;=TIME(16,0,0), L2551&lt;TIME(23,59,0)),"Evening",
  L2551&gt;=TIME(23,59,0),"Night",
  L2551&lt;TIME(9,0,0),"Night"
))</f>
        <v/>
      </c>
      <c r="O2551" t="str">
        <f t="shared" si="236"/>
        <v/>
      </c>
    </row>
    <row r="2552" spans="7:15" x14ac:dyDescent="0.25">
      <c r="G2552" t="str">
        <f t="shared" si="234"/>
        <v/>
      </c>
      <c r="H2552" s="13" t="str">
        <f t="shared" si="237"/>
        <v/>
      </c>
      <c r="I2552" t="str">
        <f>IFERROR(INDEX(Analysis!$D$116:$N$137, MATCH(B2552, Analysis!$C$116:$C$137, 0), MATCH(C2552, Analysis!$D$115:$N$115, 0)), "")</f>
        <v/>
      </c>
      <c r="J2552" t="str">
        <f t="shared" si="238"/>
        <v/>
      </c>
      <c r="K2552" s="28" t="str">
        <f t="shared" si="235"/>
        <v/>
      </c>
      <c r="L2552" s="46" t="str">
        <f t="shared" si="239"/>
        <v/>
      </c>
      <c r="M2552" t="str" cm="1">
        <f t="array" ref="M2552">IF(L2552="","",_xlfn.IFS(
  AND(L2552&gt;=TIME(9,0,0), L2552&lt;TIME(16,0,0)),"Morning",
  AND(L2552&gt;=TIME(16,0,0), L2552&lt;TIME(23,59,0)),"Evening",
  L2552&gt;=TIME(23,59,0),"Night",
  L2552&lt;TIME(9,0,0),"Night"
))</f>
        <v/>
      </c>
      <c r="O2552" t="str">
        <f t="shared" si="236"/>
        <v/>
      </c>
    </row>
    <row r="2553" spans="7:15" x14ac:dyDescent="0.25">
      <c r="G2553" t="str">
        <f t="shared" si="234"/>
        <v/>
      </c>
      <c r="H2553" s="13" t="str">
        <f t="shared" si="237"/>
        <v/>
      </c>
      <c r="I2553" t="str">
        <f>IFERROR(INDEX(Analysis!$D$116:$N$137, MATCH(B2553, Analysis!$C$116:$C$137, 0), MATCH(C2553, Analysis!$D$115:$N$115, 0)), "")</f>
        <v/>
      </c>
      <c r="J2553" t="str">
        <f t="shared" si="238"/>
        <v/>
      </c>
      <c r="K2553" s="28" t="str">
        <f t="shared" si="235"/>
        <v/>
      </c>
      <c r="L2553" s="46" t="str">
        <f t="shared" si="239"/>
        <v/>
      </c>
      <c r="M2553" t="str" cm="1">
        <f t="array" ref="M2553">IF(L2553="","",_xlfn.IFS(
  AND(L2553&gt;=TIME(9,0,0), L2553&lt;TIME(16,0,0)),"Morning",
  AND(L2553&gt;=TIME(16,0,0), L2553&lt;TIME(23,59,0)),"Evening",
  L2553&gt;=TIME(23,59,0),"Night",
  L2553&lt;TIME(9,0,0),"Night"
))</f>
        <v/>
      </c>
      <c r="O2553" t="str">
        <f t="shared" si="236"/>
        <v/>
      </c>
    </row>
    <row r="2554" spans="7:15" x14ac:dyDescent="0.25">
      <c r="G2554" t="str">
        <f t="shared" si="234"/>
        <v/>
      </c>
      <c r="H2554" s="13" t="str">
        <f t="shared" si="237"/>
        <v/>
      </c>
      <c r="I2554" t="str">
        <f>IFERROR(INDEX(Analysis!$D$116:$N$137, MATCH(B2554, Analysis!$C$116:$C$137, 0), MATCH(C2554, Analysis!$D$115:$N$115, 0)), "")</f>
        <v/>
      </c>
      <c r="J2554" t="str">
        <f t="shared" si="238"/>
        <v/>
      </c>
      <c r="K2554" s="28" t="str">
        <f t="shared" si="235"/>
        <v/>
      </c>
      <c r="L2554" s="46" t="str">
        <f t="shared" si="239"/>
        <v/>
      </c>
      <c r="M2554" t="str" cm="1">
        <f t="array" ref="M2554">IF(L2554="","",_xlfn.IFS(
  AND(L2554&gt;=TIME(9,0,0), L2554&lt;TIME(16,0,0)),"Morning",
  AND(L2554&gt;=TIME(16,0,0), L2554&lt;TIME(23,59,0)),"Evening",
  L2554&gt;=TIME(23,59,0),"Night",
  L2554&lt;TIME(9,0,0),"Night"
))</f>
        <v/>
      </c>
      <c r="O2554" t="str">
        <f t="shared" si="236"/>
        <v/>
      </c>
    </row>
    <row r="2555" spans="7:15" x14ac:dyDescent="0.25">
      <c r="G2555" t="str">
        <f t="shared" si="234"/>
        <v/>
      </c>
      <c r="H2555" s="13" t="str">
        <f t="shared" si="237"/>
        <v/>
      </c>
      <c r="I2555" t="str">
        <f>IFERROR(INDEX(Analysis!$D$116:$N$137, MATCH(B2555, Analysis!$C$116:$C$137, 0), MATCH(C2555, Analysis!$D$115:$N$115, 0)), "")</f>
        <v/>
      </c>
      <c r="J2555" t="str">
        <f t="shared" si="238"/>
        <v/>
      </c>
      <c r="K2555" s="28" t="str">
        <f t="shared" si="235"/>
        <v/>
      </c>
      <c r="L2555" s="46" t="str">
        <f t="shared" si="239"/>
        <v/>
      </c>
      <c r="M2555" t="str" cm="1">
        <f t="array" ref="M2555">IF(L2555="","",_xlfn.IFS(
  AND(L2555&gt;=TIME(9,0,0), L2555&lt;TIME(16,0,0)),"Morning",
  AND(L2555&gt;=TIME(16,0,0), L2555&lt;TIME(23,59,0)),"Evening",
  L2555&gt;=TIME(23,59,0),"Night",
  L2555&lt;TIME(9,0,0),"Night"
))</f>
        <v/>
      </c>
      <c r="O2555" t="str">
        <f t="shared" si="236"/>
        <v/>
      </c>
    </row>
    <row r="2556" spans="7:15" x14ac:dyDescent="0.25">
      <c r="G2556" t="str">
        <f t="shared" si="234"/>
        <v/>
      </c>
      <c r="H2556" s="13" t="str">
        <f t="shared" si="237"/>
        <v/>
      </c>
      <c r="I2556" t="str">
        <f>IFERROR(INDEX(Analysis!$D$116:$N$137, MATCH(B2556, Analysis!$C$116:$C$137, 0), MATCH(C2556, Analysis!$D$115:$N$115, 0)), "")</f>
        <v/>
      </c>
      <c r="J2556" t="str">
        <f t="shared" si="238"/>
        <v/>
      </c>
      <c r="K2556" s="28" t="str">
        <f t="shared" si="235"/>
        <v/>
      </c>
      <c r="L2556" s="46" t="str">
        <f t="shared" si="239"/>
        <v/>
      </c>
      <c r="M2556" t="str" cm="1">
        <f t="array" ref="M2556">IF(L2556="","",_xlfn.IFS(
  AND(L2556&gt;=TIME(9,0,0), L2556&lt;TIME(16,0,0)),"Morning",
  AND(L2556&gt;=TIME(16,0,0), L2556&lt;TIME(23,59,0)),"Evening",
  L2556&gt;=TIME(23,59,0),"Night",
  L2556&lt;TIME(9,0,0),"Night"
))</f>
        <v/>
      </c>
      <c r="O2556" t="str">
        <f t="shared" si="236"/>
        <v/>
      </c>
    </row>
    <row r="2557" spans="7:15" x14ac:dyDescent="0.25">
      <c r="G2557" t="str">
        <f t="shared" si="234"/>
        <v/>
      </c>
      <c r="H2557" s="13" t="str">
        <f t="shared" si="237"/>
        <v/>
      </c>
      <c r="I2557" t="str">
        <f>IFERROR(INDEX(Analysis!$D$116:$N$137, MATCH(B2557, Analysis!$C$116:$C$137, 0), MATCH(C2557, Analysis!$D$115:$N$115, 0)), "")</f>
        <v/>
      </c>
      <c r="J2557" t="str">
        <f t="shared" si="238"/>
        <v/>
      </c>
      <c r="K2557" s="28" t="str">
        <f t="shared" si="235"/>
        <v/>
      </c>
      <c r="L2557" s="46" t="str">
        <f t="shared" si="239"/>
        <v/>
      </c>
      <c r="M2557" t="str" cm="1">
        <f t="array" ref="M2557">IF(L2557="","",_xlfn.IFS(
  AND(L2557&gt;=TIME(9,0,0), L2557&lt;TIME(16,0,0)),"Morning",
  AND(L2557&gt;=TIME(16,0,0), L2557&lt;TIME(23,59,0)),"Evening",
  L2557&gt;=TIME(23,59,0),"Night",
  L2557&lt;TIME(9,0,0),"Night"
))</f>
        <v/>
      </c>
      <c r="O2557" t="str">
        <f t="shared" si="236"/>
        <v/>
      </c>
    </row>
    <row r="2558" spans="7:15" x14ac:dyDescent="0.25">
      <c r="G2558" t="str">
        <f t="shared" si="234"/>
        <v/>
      </c>
      <c r="H2558" s="13" t="str">
        <f t="shared" si="237"/>
        <v/>
      </c>
      <c r="I2558" t="str">
        <f>IFERROR(INDEX(Analysis!$D$116:$N$137, MATCH(B2558, Analysis!$C$116:$C$137, 0), MATCH(C2558, Analysis!$D$115:$N$115, 0)), "")</f>
        <v/>
      </c>
      <c r="J2558" t="str">
        <f t="shared" si="238"/>
        <v/>
      </c>
      <c r="K2558" s="28" t="str">
        <f t="shared" si="235"/>
        <v/>
      </c>
      <c r="L2558" s="46" t="str">
        <f t="shared" si="239"/>
        <v/>
      </c>
      <c r="M2558" t="str" cm="1">
        <f t="array" ref="M2558">IF(L2558="","",_xlfn.IFS(
  AND(L2558&gt;=TIME(9,0,0), L2558&lt;TIME(16,0,0)),"Morning",
  AND(L2558&gt;=TIME(16,0,0), L2558&lt;TIME(23,59,0)),"Evening",
  L2558&gt;=TIME(23,59,0),"Night",
  L2558&lt;TIME(9,0,0),"Night"
))</f>
        <v/>
      </c>
      <c r="O2558" t="str">
        <f t="shared" si="236"/>
        <v/>
      </c>
    </row>
    <row r="2559" spans="7:15" x14ac:dyDescent="0.25">
      <c r="G2559" t="str">
        <f t="shared" si="234"/>
        <v/>
      </c>
      <c r="H2559" s="13" t="str">
        <f t="shared" si="237"/>
        <v/>
      </c>
      <c r="I2559" t="str">
        <f>IFERROR(INDEX(Analysis!$D$116:$N$137, MATCH(B2559, Analysis!$C$116:$C$137, 0), MATCH(C2559, Analysis!$D$115:$N$115, 0)), "")</f>
        <v/>
      </c>
      <c r="J2559" t="str">
        <f t="shared" si="238"/>
        <v/>
      </c>
      <c r="K2559" s="28" t="str">
        <f t="shared" si="235"/>
        <v/>
      </c>
      <c r="L2559" s="46" t="str">
        <f t="shared" si="239"/>
        <v/>
      </c>
      <c r="M2559" t="str" cm="1">
        <f t="array" ref="M2559">IF(L2559="","",_xlfn.IFS(
  AND(L2559&gt;=TIME(9,0,0), L2559&lt;TIME(16,0,0)),"Morning",
  AND(L2559&gt;=TIME(16,0,0), L2559&lt;TIME(23,59,0)),"Evening",
  L2559&gt;=TIME(23,59,0),"Night",
  L2559&lt;TIME(9,0,0),"Night"
))</f>
        <v/>
      </c>
      <c r="O2559" t="str">
        <f t="shared" si="236"/>
        <v/>
      </c>
    </row>
    <row r="2560" spans="7:15" x14ac:dyDescent="0.25">
      <c r="G2560" t="str">
        <f t="shared" si="234"/>
        <v/>
      </c>
      <c r="H2560" s="13" t="str">
        <f t="shared" si="237"/>
        <v/>
      </c>
      <c r="I2560" t="str">
        <f>IFERROR(INDEX(Analysis!$D$116:$N$137, MATCH(B2560, Analysis!$C$116:$C$137, 0), MATCH(C2560, Analysis!$D$115:$N$115, 0)), "")</f>
        <v/>
      </c>
      <c r="J2560" t="str">
        <f t="shared" si="238"/>
        <v/>
      </c>
      <c r="K2560" s="28" t="str">
        <f t="shared" si="235"/>
        <v/>
      </c>
      <c r="L2560" s="46" t="str">
        <f t="shared" si="239"/>
        <v/>
      </c>
      <c r="M2560" t="str" cm="1">
        <f t="array" ref="M2560">IF(L2560="","",_xlfn.IFS(
  AND(L2560&gt;=TIME(9,0,0), L2560&lt;TIME(16,0,0)),"Morning",
  AND(L2560&gt;=TIME(16,0,0), L2560&lt;TIME(23,59,0)),"Evening",
  L2560&gt;=TIME(23,59,0),"Night",
  L2560&lt;TIME(9,0,0),"Night"
))</f>
        <v/>
      </c>
      <c r="O2560" t="str">
        <f t="shared" si="236"/>
        <v/>
      </c>
    </row>
    <row r="2561" spans="7:15" x14ac:dyDescent="0.25">
      <c r="G2561" t="str">
        <f t="shared" si="234"/>
        <v/>
      </c>
      <c r="H2561" s="13" t="str">
        <f t="shared" si="237"/>
        <v/>
      </c>
      <c r="I2561" t="str">
        <f>IFERROR(INDEX(Analysis!$D$116:$N$137, MATCH(B2561, Analysis!$C$116:$C$137, 0), MATCH(C2561, Analysis!$D$115:$N$115, 0)), "")</f>
        <v/>
      </c>
      <c r="J2561" t="str">
        <f t="shared" si="238"/>
        <v/>
      </c>
      <c r="K2561" s="28" t="str">
        <f t="shared" si="235"/>
        <v/>
      </c>
      <c r="L2561" s="46" t="str">
        <f t="shared" si="239"/>
        <v/>
      </c>
      <c r="M2561" t="str" cm="1">
        <f t="array" ref="M2561">IF(L2561="","",_xlfn.IFS(
  AND(L2561&gt;=TIME(9,0,0), L2561&lt;TIME(16,0,0)),"Morning",
  AND(L2561&gt;=TIME(16,0,0), L2561&lt;TIME(23,59,0)),"Evening",
  L2561&gt;=TIME(23,59,0),"Night",
  L2561&lt;TIME(9,0,0),"Night"
))</f>
        <v/>
      </c>
      <c r="O2561" t="str">
        <f t="shared" si="236"/>
        <v/>
      </c>
    </row>
    <row r="2562" spans="7:15" x14ac:dyDescent="0.25">
      <c r="G2562" t="str">
        <f t="shared" ref="G2562:G2625" si="240">IF(ISBLANK(A2562), "", IF(ISBLANK(F2562), 0, F2562))</f>
        <v/>
      </c>
      <c r="H2562" s="13" t="str">
        <f t="shared" si="237"/>
        <v/>
      </c>
      <c r="I2562" t="str">
        <f>IFERROR(INDEX(Analysis!$D$116:$N$137, MATCH(B2562, Analysis!$C$116:$C$137, 0), MATCH(C2562, Analysis!$D$115:$N$115, 0)), "")</f>
        <v/>
      </c>
      <c r="J2562" t="str">
        <f t="shared" si="238"/>
        <v/>
      </c>
      <c r="K2562" s="28" t="str">
        <f t="shared" ref="K2562:K2625" si="241">IF(ISBLANK(A2562),"",DATE(YEAR(A2562),MONTH(A2562),DAY(A2562)))</f>
        <v/>
      </c>
      <c r="L2562" s="46" t="str">
        <f t="shared" si="239"/>
        <v/>
      </c>
      <c r="M2562" t="str" cm="1">
        <f t="array" ref="M2562">IF(L2562="","",_xlfn.IFS(
  AND(L2562&gt;=TIME(9,0,0), L2562&lt;TIME(16,0,0)),"Morning",
  AND(L2562&gt;=TIME(16,0,0), L2562&lt;TIME(23,59,0)),"Evening",
  L2562&gt;=TIME(23,59,0),"Night",
  L2562&lt;TIME(9,0,0),"Night"
))</f>
        <v/>
      </c>
      <c r="O2562" t="str">
        <f t="shared" ref="O2562:O2625" si="242">IF(N2562="ON", _xlfn.IMAGE(E2562, 1), "")</f>
        <v/>
      </c>
    </row>
    <row r="2563" spans="7:15" x14ac:dyDescent="0.25">
      <c r="G2563" t="str">
        <f t="shared" si="240"/>
        <v/>
      </c>
      <c r="H2563" s="13" t="str">
        <f t="shared" ref="H2563:H2626" si="243">IF(ISBLANK(E2563),"",HYPERLINK(E2563,"Click here"))</f>
        <v/>
      </c>
      <c r="I2563" t="str">
        <f>IFERROR(INDEX(Analysis!$D$116:$N$137, MATCH(B2563, Analysis!$C$116:$C$137, 0), MATCH(C2563, Analysis!$D$115:$N$115, 0)), "")</f>
        <v/>
      </c>
      <c r="J2563" t="str">
        <f t="shared" ref="J2563:J2626" si="244">IF(ISBLANK(A2563),"",WEEKNUM(A2563))</f>
        <v/>
      </c>
      <c r="K2563" s="28" t="str">
        <f t="shared" si="241"/>
        <v/>
      </c>
      <c r="L2563" s="46" t="str">
        <f t="shared" ref="L2563:L2626" si="245">IF(A2563="", "", A2563 - INT(A2563))</f>
        <v/>
      </c>
      <c r="M2563" t="str" cm="1">
        <f t="array" ref="M2563">IF(L2563="","",_xlfn.IFS(
  AND(L2563&gt;=TIME(9,0,0), L2563&lt;TIME(16,0,0)),"Morning",
  AND(L2563&gt;=TIME(16,0,0), L2563&lt;TIME(23,59,0)),"Evening",
  L2563&gt;=TIME(23,59,0),"Night",
  L2563&lt;TIME(9,0,0),"Night"
))</f>
        <v/>
      </c>
      <c r="O2563" t="str">
        <f t="shared" si="242"/>
        <v/>
      </c>
    </row>
    <row r="2564" spans="7:15" x14ac:dyDescent="0.25">
      <c r="G2564" t="str">
        <f t="shared" si="240"/>
        <v/>
      </c>
      <c r="H2564" s="13" t="str">
        <f t="shared" si="243"/>
        <v/>
      </c>
      <c r="I2564" t="str">
        <f>IFERROR(INDEX(Analysis!$D$116:$N$137, MATCH(B2564, Analysis!$C$116:$C$137, 0), MATCH(C2564, Analysis!$D$115:$N$115, 0)), "")</f>
        <v/>
      </c>
      <c r="J2564" t="str">
        <f t="shared" si="244"/>
        <v/>
      </c>
      <c r="K2564" s="28" t="str">
        <f t="shared" si="241"/>
        <v/>
      </c>
      <c r="L2564" s="46" t="str">
        <f t="shared" si="245"/>
        <v/>
      </c>
      <c r="M2564" t="str" cm="1">
        <f t="array" ref="M2564">IF(L2564="","",_xlfn.IFS(
  AND(L2564&gt;=TIME(9,0,0), L2564&lt;TIME(16,0,0)),"Morning",
  AND(L2564&gt;=TIME(16,0,0), L2564&lt;TIME(23,59,0)),"Evening",
  L2564&gt;=TIME(23,59,0),"Night",
  L2564&lt;TIME(9,0,0),"Night"
))</f>
        <v/>
      </c>
      <c r="O2564" t="str">
        <f t="shared" si="242"/>
        <v/>
      </c>
    </row>
    <row r="2565" spans="7:15" x14ac:dyDescent="0.25">
      <c r="G2565" t="str">
        <f t="shared" si="240"/>
        <v/>
      </c>
      <c r="H2565" s="13" t="str">
        <f t="shared" si="243"/>
        <v/>
      </c>
      <c r="I2565" t="str">
        <f>IFERROR(INDEX(Analysis!$D$116:$N$137, MATCH(B2565, Analysis!$C$116:$C$137, 0), MATCH(C2565, Analysis!$D$115:$N$115, 0)), "")</f>
        <v/>
      </c>
      <c r="J2565" t="str">
        <f t="shared" si="244"/>
        <v/>
      </c>
      <c r="K2565" s="28" t="str">
        <f t="shared" si="241"/>
        <v/>
      </c>
      <c r="L2565" s="46" t="str">
        <f t="shared" si="245"/>
        <v/>
      </c>
      <c r="M2565" t="str" cm="1">
        <f t="array" ref="M2565">IF(L2565="","",_xlfn.IFS(
  AND(L2565&gt;=TIME(9,0,0), L2565&lt;TIME(16,0,0)),"Morning",
  AND(L2565&gt;=TIME(16,0,0), L2565&lt;TIME(23,59,0)),"Evening",
  L2565&gt;=TIME(23,59,0),"Night",
  L2565&lt;TIME(9,0,0),"Night"
))</f>
        <v/>
      </c>
      <c r="O2565" t="str">
        <f t="shared" si="242"/>
        <v/>
      </c>
    </row>
    <row r="2566" spans="7:15" x14ac:dyDescent="0.25">
      <c r="G2566" t="str">
        <f t="shared" si="240"/>
        <v/>
      </c>
      <c r="H2566" s="13" t="str">
        <f t="shared" si="243"/>
        <v/>
      </c>
      <c r="I2566" t="str">
        <f>IFERROR(INDEX(Analysis!$D$116:$N$137, MATCH(B2566, Analysis!$C$116:$C$137, 0), MATCH(C2566, Analysis!$D$115:$N$115, 0)), "")</f>
        <v/>
      </c>
      <c r="J2566" t="str">
        <f t="shared" si="244"/>
        <v/>
      </c>
      <c r="K2566" s="28" t="str">
        <f t="shared" si="241"/>
        <v/>
      </c>
      <c r="L2566" s="46" t="str">
        <f t="shared" si="245"/>
        <v/>
      </c>
      <c r="M2566" t="str" cm="1">
        <f t="array" ref="M2566">IF(L2566="","",_xlfn.IFS(
  AND(L2566&gt;=TIME(9,0,0), L2566&lt;TIME(16,0,0)),"Morning",
  AND(L2566&gt;=TIME(16,0,0), L2566&lt;TIME(23,59,0)),"Evening",
  L2566&gt;=TIME(23,59,0),"Night",
  L2566&lt;TIME(9,0,0),"Night"
))</f>
        <v/>
      </c>
      <c r="O2566" t="str">
        <f t="shared" si="242"/>
        <v/>
      </c>
    </row>
    <row r="2567" spans="7:15" x14ac:dyDescent="0.25">
      <c r="G2567" t="str">
        <f t="shared" si="240"/>
        <v/>
      </c>
      <c r="H2567" s="13" t="str">
        <f t="shared" si="243"/>
        <v/>
      </c>
      <c r="I2567" t="str">
        <f>IFERROR(INDEX(Analysis!$D$116:$N$137, MATCH(B2567, Analysis!$C$116:$C$137, 0), MATCH(C2567, Analysis!$D$115:$N$115, 0)), "")</f>
        <v/>
      </c>
      <c r="J2567" t="str">
        <f t="shared" si="244"/>
        <v/>
      </c>
      <c r="K2567" s="28" t="str">
        <f t="shared" si="241"/>
        <v/>
      </c>
      <c r="L2567" s="46" t="str">
        <f t="shared" si="245"/>
        <v/>
      </c>
      <c r="M2567" t="str" cm="1">
        <f t="array" ref="M2567">IF(L2567="","",_xlfn.IFS(
  AND(L2567&gt;=TIME(9,0,0), L2567&lt;TIME(16,0,0)),"Morning",
  AND(L2567&gt;=TIME(16,0,0), L2567&lt;TIME(23,59,0)),"Evening",
  L2567&gt;=TIME(23,59,0),"Night",
  L2567&lt;TIME(9,0,0),"Night"
))</f>
        <v/>
      </c>
      <c r="O2567" t="str">
        <f t="shared" si="242"/>
        <v/>
      </c>
    </row>
    <row r="2568" spans="7:15" x14ac:dyDescent="0.25">
      <c r="G2568" t="str">
        <f t="shared" si="240"/>
        <v/>
      </c>
      <c r="H2568" s="13" t="str">
        <f t="shared" si="243"/>
        <v/>
      </c>
      <c r="I2568" t="str">
        <f>IFERROR(INDEX(Analysis!$D$116:$N$137, MATCH(B2568, Analysis!$C$116:$C$137, 0), MATCH(C2568, Analysis!$D$115:$N$115, 0)), "")</f>
        <v/>
      </c>
      <c r="J2568" t="str">
        <f t="shared" si="244"/>
        <v/>
      </c>
      <c r="K2568" s="28" t="str">
        <f t="shared" si="241"/>
        <v/>
      </c>
      <c r="L2568" s="46" t="str">
        <f t="shared" si="245"/>
        <v/>
      </c>
      <c r="M2568" t="str" cm="1">
        <f t="array" ref="M2568">IF(L2568="","",_xlfn.IFS(
  AND(L2568&gt;=TIME(9,0,0), L2568&lt;TIME(16,0,0)),"Morning",
  AND(L2568&gt;=TIME(16,0,0), L2568&lt;TIME(23,59,0)),"Evening",
  L2568&gt;=TIME(23,59,0),"Night",
  L2568&lt;TIME(9,0,0),"Night"
))</f>
        <v/>
      </c>
      <c r="O2568" t="str">
        <f t="shared" si="242"/>
        <v/>
      </c>
    </row>
    <row r="2569" spans="7:15" x14ac:dyDescent="0.25">
      <c r="G2569" t="str">
        <f t="shared" si="240"/>
        <v/>
      </c>
      <c r="H2569" s="13" t="str">
        <f t="shared" si="243"/>
        <v/>
      </c>
      <c r="I2569" t="str">
        <f>IFERROR(INDEX(Analysis!$D$116:$N$137, MATCH(B2569, Analysis!$C$116:$C$137, 0), MATCH(C2569, Analysis!$D$115:$N$115, 0)), "")</f>
        <v/>
      </c>
      <c r="J2569" t="str">
        <f t="shared" si="244"/>
        <v/>
      </c>
      <c r="K2569" s="28" t="str">
        <f t="shared" si="241"/>
        <v/>
      </c>
      <c r="L2569" s="46" t="str">
        <f t="shared" si="245"/>
        <v/>
      </c>
      <c r="M2569" t="str" cm="1">
        <f t="array" ref="M2569">IF(L2569="","",_xlfn.IFS(
  AND(L2569&gt;=TIME(9,0,0), L2569&lt;TIME(16,0,0)),"Morning",
  AND(L2569&gt;=TIME(16,0,0), L2569&lt;TIME(23,59,0)),"Evening",
  L2569&gt;=TIME(23,59,0),"Night",
  L2569&lt;TIME(9,0,0),"Night"
))</f>
        <v/>
      </c>
      <c r="O2569" t="str">
        <f t="shared" si="242"/>
        <v/>
      </c>
    </row>
    <row r="2570" spans="7:15" x14ac:dyDescent="0.25">
      <c r="G2570" t="str">
        <f t="shared" si="240"/>
        <v/>
      </c>
      <c r="H2570" s="13" t="str">
        <f t="shared" si="243"/>
        <v/>
      </c>
      <c r="I2570" t="str">
        <f>IFERROR(INDEX(Analysis!$D$116:$N$137, MATCH(B2570, Analysis!$C$116:$C$137, 0), MATCH(C2570, Analysis!$D$115:$N$115, 0)), "")</f>
        <v/>
      </c>
      <c r="J2570" t="str">
        <f t="shared" si="244"/>
        <v/>
      </c>
      <c r="K2570" s="28" t="str">
        <f t="shared" si="241"/>
        <v/>
      </c>
      <c r="L2570" s="46" t="str">
        <f t="shared" si="245"/>
        <v/>
      </c>
      <c r="M2570" t="str" cm="1">
        <f t="array" ref="M2570">IF(L2570="","",_xlfn.IFS(
  AND(L2570&gt;=TIME(9,0,0), L2570&lt;TIME(16,0,0)),"Morning",
  AND(L2570&gt;=TIME(16,0,0), L2570&lt;TIME(23,59,0)),"Evening",
  L2570&gt;=TIME(23,59,0),"Night",
  L2570&lt;TIME(9,0,0),"Night"
))</f>
        <v/>
      </c>
      <c r="O2570" t="str">
        <f t="shared" si="242"/>
        <v/>
      </c>
    </row>
    <row r="2571" spans="7:15" x14ac:dyDescent="0.25">
      <c r="G2571" t="str">
        <f t="shared" si="240"/>
        <v/>
      </c>
      <c r="H2571" s="13" t="str">
        <f t="shared" si="243"/>
        <v/>
      </c>
      <c r="I2571" t="str">
        <f>IFERROR(INDEX(Analysis!$D$116:$N$137, MATCH(B2571, Analysis!$C$116:$C$137, 0), MATCH(C2571, Analysis!$D$115:$N$115, 0)), "")</f>
        <v/>
      </c>
      <c r="J2571" t="str">
        <f t="shared" si="244"/>
        <v/>
      </c>
      <c r="K2571" s="28" t="str">
        <f t="shared" si="241"/>
        <v/>
      </c>
      <c r="L2571" s="46" t="str">
        <f t="shared" si="245"/>
        <v/>
      </c>
      <c r="M2571" t="str" cm="1">
        <f t="array" ref="M2571">IF(L2571="","",_xlfn.IFS(
  AND(L2571&gt;=TIME(9,0,0), L2571&lt;TIME(16,0,0)),"Morning",
  AND(L2571&gt;=TIME(16,0,0), L2571&lt;TIME(23,59,0)),"Evening",
  L2571&gt;=TIME(23,59,0),"Night",
  L2571&lt;TIME(9,0,0),"Night"
))</f>
        <v/>
      </c>
      <c r="O2571" t="str">
        <f t="shared" si="242"/>
        <v/>
      </c>
    </row>
    <row r="2572" spans="7:15" x14ac:dyDescent="0.25">
      <c r="G2572" t="str">
        <f t="shared" si="240"/>
        <v/>
      </c>
      <c r="H2572" s="13" t="str">
        <f t="shared" si="243"/>
        <v/>
      </c>
      <c r="I2572" t="str">
        <f>IFERROR(INDEX(Analysis!$D$116:$N$137, MATCH(B2572, Analysis!$C$116:$C$137, 0), MATCH(C2572, Analysis!$D$115:$N$115, 0)), "")</f>
        <v/>
      </c>
      <c r="J2572" t="str">
        <f t="shared" si="244"/>
        <v/>
      </c>
      <c r="K2572" s="28" t="str">
        <f t="shared" si="241"/>
        <v/>
      </c>
      <c r="L2572" s="46" t="str">
        <f t="shared" si="245"/>
        <v/>
      </c>
      <c r="M2572" t="str" cm="1">
        <f t="array" ref="M2572">IF(L2572="","",_xlfn.IFS(
  AND(L2572&gt;=TIME(9,0,0), L2572&lt;TIME(16,0,0)),"Morning",
  AND(L2572&gt;=TIME(16,0,0), L2572&lt;TIME(23,59,0)),"Evening",
  L2572&gt;=TIME(23,59,0),"Night",
  L2572&lt;TIME(9,0,0),"Night"
))</f>
        <v/>
      </c>
      <c r="O2572" t="str">
        <f t="shared" si="242"/>
        <v/>
      </c>
    </row>
    <row r="2573" spans="7:15" x14ac:dyDescent="0.25">
      <c r="G2573" t="str">
        <f t="shared" si="240"/>
        <v/>
      </c>
      <c r="H2573" s="13" t="str">
        <f t="shared" si="243"/>
        <v/>
      </c>
      <c r="I2573" t="str">
        <f>IFERROR(INDEX(Analysis!$D$116:$N$137, MATCH(B2573, Analysis!$C$116:$C$137, 0), MATCH(C2573, Analysis!$D$115:$N$115, 0)), "")</f>
        <v/>
      </c>
      <c r="J2573" t="str">
        <f t="shared" si="244"/>
        <v/>
      </c>
      <c r="K2573" s="28" t="str">
        <f t="shared" si="241"/>
        <v/>
      </c>
      <c r="L2573" s="46" t="str">
        <f t="shared" si="245"/>
        <v/>
      </c>
      <c r="M2573" t="str" cm="1">
        <f t="array" ref="M2573">IF(L2573="","",_xlfn.IFS(
  AND(L2573&gt;=TIME(9,0,0), L2573&lt;TIME(16,0,0)),"Morning",
  AND(L2573&gt;=TIME(16,0,0), L2573&lt;TIME(23,59,0)),"Evening",
  L2573&gt;=TIME(23,59,0),"Night",
  L2573&lt;TIME(9,0,0),"Night"
))</f>
        <v/>
      </c>
      <c r="O2573" t="str">
        <f t="shared" si="242"/>
        <v/>
      </c>
    </row>
    <row r="2574" spans="7:15" x14ac:dyDescent="0.25">
      <c r="G2574" t="str">
        <f t="shared" si="240"/>
        <v/>
      </c>
      <c r="H2574" s="13" t="str">
        <f t="shared" si="243"/>
        <v/>
      </c>
      <c r="I2574" t="str">
        <f>IFERROR(INDEX(Analysis!$D$116:$N$137, MATCH(B2574, Analysis!$C$116:$C$137, 0), MATCH(C2574, Analysis!$D$115:$N$115, 0)), "")</f>
        <v/>
      </c>
      <c r="J2574" t="str">
        <f t="shared" si="244"/>
        <v/>
      </c>
      <c r="K2574" s="28" t="str">
        <f t="shared" si="241"/>
        <v/>
      </c>
      <c r="L2574" s="46" t="str">
        <f t="shared" si="245"/>
        <v/>
      </c>
      <c r="M2574" t="str" cm="1">
        <f t="array" ref="M2574">IF(L2574="","",_xlfn.IFS(
  AND(L2574&gt;=TIME(9,0,0), L2574&lt;TIME(16,0,0)),"Morning",
  AND(L2574&gt;=TIME(16,0,0), L2574&lt;TIME(23,59,0)),"Evening",
  L2574&gt;=TIME(23,59,0),"Night",
  L2574&lt;TIME(9,0,0),"Night"
))</f>
        <v/>
      </c>
      <c r="O2574" t="str">
        <f t="shared" si="242"/>
        <v/>
      </c>
    </row>
    <row r="2575" spans="7:15" x14ac:dyDescent="0.25">
      <c r="G2575" t="str">
        <f t="shared" si="240"/>
        <v/>
      </c>
      <c r="H2575" s="13" t="str">
        <f t="shared" si="243"/>
        <v/>
      </c>
      <c r="I2575" t="str">
        <f>IFERROR(INDEX(Analysis!$D$116:$N$137, MATCH(B2575, Analysis!$C$116:$C$137, 0), MATCH(C2575, Analysis!$D$115:$N$115, 0)), "")</f>
        <v/>
      </c>
      <c r="J2575" t="str">
        <f t="shared" si="244"/>
        <v/>
      </c>
      <c r="K2575" s="28" t="str">
        <f t="shared" si="241"/>
        <v/>
      </c>
      <c r="L2575" s="46" t="str">
        <f t="shared" si="245"/>
        <v/>
      </c>
      <c r="M2575" t="str" cm="1">
        <f t="array" ref="M2575">IF(L2575="","",_xlfn.IFS(
  AND(L2575&gt;=TIME(9,0,0), L2575&lt;TIME(16,0,0)),"Morning",
  AND(L2575&gt;=TIME(16,0,0), L2575&lt;TIME(23,59,0)),"Evening",
  L2575&gt;=TIME(23,59,0),"Night",
  L2575&lt;TIME(9,0,0),"Night"
))</f>
        <v/>
      </c>
      <c r="O2575" t="str">
        <f t="shared" si="242"/>
        <v/>
      </c>
    </row>
    <row r="2576" spans="7:15" x14ac:dyDescent="0.25">
      <c r="G2576" t="str">
        <f t="shared" si="240"/>
        <v/>
      </c>
      <c r="H2576" s="13" t="str">
        <f t="shared" si="243"/>
        <v/>
      </c>
      <c r="I2576" t="str">
        <f>IFERROR(INDEX(Analysis!$D$116:$N$137, MATCH(B2576, Analysis!$C$116:$C$137, 0), MATCH(C2576, Analysis!$D$115:$N$115, 0)), "")</f>
        <v/>
      </c>
      <c r="J2576" t="str">
        <f t="shared" si="244"/>
        <v/>
      </c>
      <c r="K2576" s="28" t="str">
        <f t="shared" si="241"/>
        <v/>
      </c>
      <c r="L2576" s="46" t="str">
        <f t="shared" si="245"/>
        <v/>
      </c>
      <c r="M2576" t="str" cm="1">
        <f t="array" ref="M2576">IF(L2576="","",_xlfn.IFS(
  AND(L2576&gt;=TIME(9,0,0), L2576&lt;TIME(16,0,0)),"Morning",
  AND(L2576&gt;=TIME(16,0,0), L2576&lt;TIME(23,59,0)),"Evening",
  L2576&gt;=TIME(23,59,0),"Night",
  L2576&lt;TIME(9,0,0),"Night"
))</f>
        <v/>
      </c>
      <c r="O2576" t="str">
        <f t="shared" si="242"/>
        <v/>
      </c>
    </row>
    <row r="2577" spans="7:15" x14ac:dyDescent="0.25">
      <c r="G2577" t="str">
        <f t="shared" si="240"/>
        <v/>
      </c>
      <c r="H2577" s="13" t="str">
        <f t="shared" si="243"/>
        <v/>
      </c>
      <c r="I2577" t="str">
        <f>IFERROR(INDEX(Analysis!$D$116:$N$137, MATCH(B2577, Analysis!$C$116:$C$137, 0), MATCH(C2577, Analysis!$D$115:$N$115, 0)), "")</f>
        <v/>
      </c>
      <c r="J2577" t="str">
        <f t="shared" si="244"/>
        <v/>
      </c>
      <c r="K2577" s="28" t="str">
        <f t="shared" si="241"/>
        <v/>
      </c>
      <c r="L2577" s="46" t="str">
        <f t="shared" si="245"/>
        <v/>
      </c>
      <c r="M2577" t="str" cm="1">
        <f t="array" ref="M2577">IF(L2577="","",_xlfn.IFS(
  AND(L2577&gt;=TIME(9,0,0), L2577&lt;TIME(16,0,0)),"Morning",
  AND(L2577&gt;=TIME(16,0,0), L2577&lt;TIME(23,59,0)),"Evening",
  L2577&gt;=TIME(23,59,0),"Night",
  L2577&lt;TIME(9,0,0),"Night"
))</f>
        <v/>
      </c>
      <c r="O2577" t="str">
        <f t="shared" si="242"/>
        <v/>
      </c>
    </row>
    <row r="2578" spans="7:15" x14ac:dyDescent="0.25">
      <c r="G2578" t="str">
        <f t="shared" si="240"/>
        <v/>
      </c>
      <c r="H2578" s="13" t="str">
        <f t="shared" si="243"/>
        <v/>
      </c>
      <c r="I2578" t="str">
        <f>IFERROR(INDEX(Analysis!$D$116:$N$137, MATCH(B2578, Analysis!$C$116:$C$137, 0), MATCH(C2578, Analysis!$D$115:$N$115, 0)), "")</f>
        <v/>
      </c>
      <c r="J2578" t="str">
        <f t="shared" si="244"/>
        <v/>
      </c>
      <c r="K2578" s="28" t="str">
        <f t="shared" si="241"/>
        <v/>
      </c>
      <c r="L2578" s="46" t="str">
        <f t="shared" si="245"/>
        <v/>
      </c>
      <c r="M2578" t="str" cm="1">
        <f t="array" ref="M2578">IF(L2578="","",_xlfn.IFS(
  AND(L2578&gt;=TIME(9,0,0), L2578&lt;TIME(16,0,0)),"Morning",
  AND(L2578&gt;=TIME(16,0,0), L2578&lt;TIME(23,59,0)),"Evening",
  L2578&gt;=TIME(23,59,0),"Night",
  L2578&lt;TIME(9,0,0),"Night"
))</f>
        <v/>
      </c>
      <c r="O2578" t="str">
        <f t="shared" si="242"/>
        <v/>
      </c>
    </row>
    <row r="2579" spans="7:15" x14ac:dyDescent="0.25">
      <c r="G2579" t="str">
        <f t="shared" si="240"/>
        <v/>
      </c>
      <c r="H2579" s="13" t="str">
        <f t="shared" si="243"/>
        <v/>
      </c>
      <c r="I2579" t="str">
        <f>IFERROR(INDEX(Analysis!$D$116:$N$137, MATCH(B2579, Analysis!$C$116:$C$137, 0), MATCH(C2579, Analysis!$D$115:$N$115, 0)), "")</f>
        <v/>
      </c>
      <c r="J2579" t="str">
        <f t="shared" si="244"/>
        <v/>
      </c>
      <c r="K2579" s="28" t="str">
        <f t="shared" si="241"/>
        <v/>
      </c>
      <c r="L2579" s="46" t="str">
        <f t="shared" si="245"/>
        <v/>
      </c>
      <c r="M2579" t="str" cm="1">
        <f t="array" ref="M2579">IF(L2579="","",_xlfn.IFS(
  AND(L2579&gt;=TIME(9,0,0), L2579&lt;TIME(16,0,0)),"Morning",
  AND(L2579&gt;=TIME(16,0,0), L2579&lt;TIME(23,59,0)),"Evening",
  L2579&gt;=TIME(23,59,0),"Night",
  L2579&lt;TIME(9,0,0),"Night"
))</f>
        <v/>
      </c>
      <c r="O2579" t="str">
        <f t="shared" si="242"/>
        <v/>
      </c>
    </row>
    <row r="2580" spans="7:15" x14ac:dyDescent="0.25">
      <c r="G2580" t="str">
        <f t="shared" si="240"/>
        <v/>
      </c>
      <c r="H2580" s="13" t="str">
        <f t="shared" si="243"/>
        <v/>
      </c>
      <c r="I2580" t="str">
        <f>IFERROR(INDEX(Analysis!$D$116:$N$137, MATCH(B2580, Analysis!$C$116:$C$137, 0), MATCH(C2580, Analysis!$D$115:$N$115, 0)), "")</f>
        <v/>
      </c>
      <c r="J2580" t="str">
        <f t="shared" si="244"/>
        <v/>
      </c>
      <c r="K2580" s="28" t="str">
        <f t="shared" si="241"/>
        <v/>
      </c>
      <c r="L2580" s="46" t="str">
        <f t="shared" si="245"/>
        <v/>
      </c>
      <c r="M2580" t="str" cm="1">
        <f t="array" ref="M2580">IF(L2580="","",_xlfn.IFS(
  AND(L2580&gt;=TIME(9,0,0), L2580&lt;TIME(16,0,0)),"Morning",
  AND(L2580&gt;=TIME(16,0,0), L2580&lt;TIME(23,59,0)),"Evening",
  L2580&gt;=TIME(23,59,0),"Night",
  L2580&lt;TIME(9,0,0),"Night"
))</f>
        <v/>
      </c>
      <c r="O2580" t="str">
        <f t="shared" si="242"/>
        <v/>
      </c>
    </row>
    <row r="2581" spans="7:15" x14ac:dyDescent="0.25">
      <c r="G2581" t="str">
        <f t="shared" si="240"/>
        <v/>
      </c>
      <c r="H2581" s="13" t="str">
        <f t="shared" si="243"/>
        <v/>
      </c>
      <c r="I2581" t="str">
        <f>IFERROR(INDEX(Analysis!$D$116:$N$137, MATCH(B2581, Analysis!$C$116:$C$137, 0), MATCH(C2581, Analysis!$D$115:$N$115, 0)), "")</f>
        <v/>
      </c>
      <c r="J2581" t="str">
        <f t="shared" si="244"/>
        <v/>
      </c>
      <c r="K2581" s="28" t="str">
        <f t="shared" si="241"/>
        <v/>
      </c>
      <c r="L2581" s="46" t="str">
        <f t="shared" si="245"/>
        <v/>
      </c>
      <c r="M2581" t="str" cm="1">
        <f t="array" ref="M2581">IF(L2581="","",_xlfn.IFS(
  AND(L2581&gt;=TIME(9,0,0), L2581&lt;TIME(16,0,0)),"Morning",
  AND(L2581&gt;=TIME(16,0,0), L2581&lt;TIME(23,59,0)),"Evening",
  L2581&gt;=TIME(23,59,0),"Night",
  L2581&lt;TIME(9,0,0),"Night"
))</f>
        <v/>
      </c>
      <c r="O2581" t="str">
        <f t="shared" si="242"/>
        <v/>
      </c>
    </row>
    <row r="2582" spans="7:15" x14ac:dyDescent="0.25">
      <c r="G2582" t="str">
        <f t="shared" si="240"/>
        <v/>
      </c>
      <c r="H2582" s="13" t="str">
        <f t="shared" si="243"/>
        <v/>
      </c>
      <c r="I2582" t="str">
        <f>IFERROR(INDEX(Analysis!$D$116:$N$137, MATCH(B2582, Analysis!$C$116:$C$137, 0), MATCH(C2582, Analysis!$D$115:$N$115, 0)), "")</f>
        <v/>
      </c>
      <c r="J2582" t="str">
        <f t="shared" si="244"/>
        <v/>
      </c>
      <c r="K2582" s="28" t="str">
        <f t="shared" si="241"/>
        <v/>
      </c>
      <c r="L2582" s="46" t="str">
        <f t="shared" si="245"/>
        <v/>
      </c>
      <c r="M2582" t="str" cm="1">
        <f t="array" ref="M2582">IF(L2582="","",_xlfn.IFS(
  AND(L2582&gt;=TIME(9,0,0), L2582&lt;TIME(16,0,0)),"Morning",
  AND(L2582&gt;=TIME(16,0,0), L2582&lt;TIME(23,59,0)),"Evening",
  L2582&gt;=TIME(23,59,0),"Night",
  L2582&lt;TIME(9,0,0),"Night"
))</f>
        <v/>
      </c>
      <c r="O2582" t="str">
        <f t="shared" si="242"/>
        <v/>
      </c>
    </row>
    <row r="2583" spans="7:15" x14ac:dyDescent="0.25">
      <c r="G2583" t="str">
        <f t="shared" si="240"/>
        <v/>
      </c>
      <c r="H2583" s="13" t="str">
        <f t="shared" si="243"/>
        <v/>
      </c>
      <c r="I2583" t="str">
        <f>IFERROR(INDEX(Analysis!$D$116:$N$137, MATCH(B2583, Analysis!$C$116:$C$137, 0), MATCH(C2583, Analysis!$D$115:$N$115, 0)), "")</f>
        <v/>
      </c>
      <c r="J2583" t="str">
        <f t="shared" si="244"/>
        <v/>
      </c>
      <c r="K2583" s="28" t="str">
        <f t="shared" si="241"/>
        <v/>
      </c>
      <c r="L2583" s="46" t="str">
        <f t="shared" si="245"/>
        <v/>
      </c>
      <c r="M2583" t="str" cm="1">
        <f t="array" ref="M2583">IF(L2583="","",_xlfn.IFS(
  AND(L2583&gt;=TIME(9,0,0), L2583&lt;TIME(16,0,0)),"Morning",
  AND(L2583&gt;=TIME(16,0,0), L2583&lt;TIME(23,59,0)),"Evening",
  L2583&gt;=TIME(23,59,0),"Night",
  L2583&lt;TIME(9,0,0),"Night"
))</f>
        <v/>
      </c>
      <c r="O2583" t="str">
        <f t="shared" si="242"/>
        <v/>
      </c>
    </row>
    <row r="2584" spans="7:15" x14ac:dyDescent="0.25">
      <c r="G2584" t="str">
        <f t="shared" si="240"/>
        <v/>
      </c>
      <c r="H2584" s="13" t="str">
        <f t="shared" si="243"/>
        <v/>
      </c>
      <c r="I2584" t="str">
        <f>IFERROR(INDEX(Analysis!$D$116:$N$137, MATCH(B2584, Analysis!$C$116:$C$137, 0), MATCH(C2584, Analysis!$D$115:$N$115, 0)), "")</f>
        <v/>
      </c>
      <c r="J2584" t="str">
        <f t="shared" si="244"/>
        <v/>
      </c>
      <c r="K2584" s="28" t="str">
        <f t="shared" si="241"/>
        <v/>
      </c>
      <c r="L2584" s="46" t="str">
        <f t="shared" si="245"/>
        <v/>
      </c>
      <c r="M2584" t="str" cm="1">
        <f t="array" ref="M2584">IF(L2584="","",_xlfn.IFS(
  AND(L2584&gt;=TIME(9,0,0), L2584&lt;TIME(16,0,0)),"Morning",
  AND(L2584&gt;=TIME(16,0,0), L2584&lt;TIME(23,59,0)),"Evening",
  L2584&gt;=TIME(23,59,0),"Night",
  L2584&lt;TIME(9,0,0),"Night"
))</f>
        <v/>
      </c>
      <c r="O2584" t="str">
        <f t="shared" si="242"/>
        <v/>
      </c>
    </row>
    <row r="2585" spans="7:15" x14ac:dyDescent="0.25">
      <c r="G2585" t="str">
        <f t="shared" si="240"/>
        <v/>
      </c>
      <c r="H2585" s="13" t="str">
        <f t="shared" si="243"/>
        <v/>
      </c>
      <c r="I2585" t="str">
        <f>IFERROR(INDEX(Analysis!$D$116:$N$137, MATCH(B2585, Analysis!$C$116:$C$137, 0), MATCH(C2585, Analysis!$D$115:$N$115, 0)), "")</f>
        <v/>
      </c>
      <c r="J2585" t="str">
        <f t="shared" si="244"/>
        <v/>
      </c>
      <c r="K2585" s="28" t="str">
        <f t="shared" si="241"/>
        <v/>
      </c>
      <c r="L2585" s="46" t="str">
        <f t="shared" si="245"/>
        <v/>
      </c>
      <c r="M2585" t="str" cm="1">
        <f t="array" ref="M2585">IF(L2585="","",_xlfn.IFS(
  AND(L2585&gt;=TIME(9,0,0), L2585&lt;TIME(16,0,0)),"Morning",
  AND(L2585&gt;=TIME(16,0,0), L2585&lt;TIME(23,59,0)),"Evening",
  L2585&gt;=TIME(23,59,0),"Night",
  L2585&lt;TIME(9,0,0),"Night"
))</f>
        <v/>
      </c>
      <c r="O2585" t="str">
        <f t="shared" si="242"/>
        <v/>
      </c>
    </row>
    <row r="2586" spans="7:15" x14ac:dyDescent="0.25">
      <c r="G2586" t="str">
        <f t="shared" si="240"/>
        <v/>
      </c>
      <c r="H2586" s="13" t="str">
        <f t="shared" si="243"/>
        <v/>
      </c>
      <c r="I2586" t="str">
        <f>IFERROR(INDEX(Analysis!$D$116:$N$137, MATCH(B2586, Analysis!$C$116:$C$137, 0), MATCH(C2586, Analysis!$D$115:$N$115, 0)), "")</f>
        <v/>
      </c>
      <c r="J2586" t="str">
        <f t="shared" si="244"/>
        <v/>
      </c>
      <c r="K2586" s="28" t="str">
        <f t="shared" si="241"/>
        <v/>
      </c>
      <c r="L2586" s="46" t="str">
        <f t="shared" si="245"/>
        <v/>
      </c>
      <c r="M2586" t="str" cm="1">
        <f t="array" ref="M2586">IF(L2586="","",_xlfn.IFS(
  AND(L2586&gt;=TIME(9,0,0), L2586&lt;TIME(16,0,0)),"Morning",
  AND(L2586&gt;=TIME(16,0,0), L2586&lt;TIME(23,59,0)),"Evening",
  L2586&gt;=TIME(23,59,0),"Night",
  L2586&lt;TIME(9,0,0),"Night"
))</f>
        <v/>
      </c>
      <c r="O2586" t="str">
        <f t="shared" si="242"/>
        <v/>
      </c>
    </row>
    <row r="2587" spans="7:15" x14ac:dyDescent="0.25">
      <c r="G2587" t="str">
        <f t="shared" si="240"/>
        <v/>
      </c>
      <c r="H2587" s="13" t="str">
        <f t="shared" si="243"/>
        <v/>
      </c>
      <c r="I2587" t="str">
        <f>IFERROR(INDEX(Analysis!$D$116:$N$137, MATCH(B2587, Analysis!$C$116:$C$137, 0), MATCH(C2587, Analysis!$D$115:$N$115, 0)), "")</f>
        <v/>
      </c>
      <c r="J2587" t="str">
        <f t="shared" si="244"/>
        <v/>
      </c>
      <c r="K2587" s="28" t="str">
        <f t="shared" si="241"/>
        <v/>
      </c>
      <c r="L2587" s="46" t="str">
        <f t="shared" si="245"/>
        <v/>
      </c>
      <c r="M2587" t="str" cm="1">
        <f t="array" ref="M2587">IF(L2587="","",_xlfn.IFS(
  AND(L2587&gt;=TIME(9,0,0), L2587&lt;TIME(16,0,0)),"Morning",
  AND(L2587&gt;=TIME(16,0,0), L2587&lt;TIME(23,59,0)),"Evening",
  L2587&gt;=TIME(23,59,0),"Night",
  L2587&lt;TIME(9,0,0),"Night"
))</f>
        <v/>
      </c>
      <c r="O2587" t="str">
        <f t="shared" si="242"/>
        <v/>
      </c>
    </row>
    <row r="2588" spans="7:15" x14ac:dyDescent="0.25">
      <c r="G2588" t="str">
        <f t="shared" si="240"/>
        <v/>
      </c>
      <c r="H2588" s="13" t="str">
        <f t="shared" si="243"/>
        <v/>
      </c>
      <c r="I2588" t="str">
        <f>IFERROR(INDEX(Analysis!$D$116:$N$137, MATCH(B2588, Analysis!$C$116:$C$137, 0), MATCH(C2588, Analysis!$D$115:$N$115, 0)), "")</f>
        <v/>
      </c>
      <c r="J2588" t="str">
        <f t="shared" si="244"/>
        <v/>
      </c>
      <c r="K2588" s="28" t="str">
        <f t="shared" si="241"/>
        <v/>
      </c>
      <c r="L2588" s="46" t="str">
        <f t="shared" si="245"/>
        <v/>
      </c>
      <c r="M2588" t="str" cm="1">
        <f t="array" ref="M2588">IF(L2588="","",_xlfn.IFS(
  AND(L2588&gt;=TIME(9,0,0), L2588&lt;TIME(16,0,0)),"Morning",
  AND(L2588&gt;=TIME(16,0,0), L2588&lt;TIME(23,59,0)),"Evening",
  L2588&gt;=TIME(23,59,0),"Night",
  L2588&lt;TIME(9,0,0),"Night"
))</f>
        <v/>
      </c>
      <c r="O2588" t="str">
        <f t="shared" si="242"/>
        <v/>
      </c>
    </row>
    <row r="2589" spans="7:15" x14ac:dyDescent="0.25">
      <c r="G2589" t="str">
        <f t="shared" si="240"/>
        <v/>
      </c>
      <c r="H2589" s="13" t="str">
        <f t="shared" si="243"/>
        <v/>
      </c>
      <c r="I2589" t="str">
        <f>IFERROR(INDEX(Analysis!$D$116:$N$137, MATCH(B2589, Analysis!$C$116:$C$137, 0), MATCH(C2589, Analysis!$D$115:$N$115, 0)), "")</f>
        <v/>
      </c>
      <c r="J2589" t="str">
        <f t="shared" si="244"/>
        <v/>
      </c>
      <c r="K2589" s="28" t="str">
        <f t="shared" si="241"/>
        <v/>
      </c>
      <c r="L2589" s="46" t="str">
        <f t="shared" si="245"/>
        <v/>
      </c>
      <c r="M2589" t="str" cm="1">
        <f t="array" ref="M2589">IF(L2589="","",_xlfn.IFS(
  AND(L2589&gt;=TIME(9,0,0), L2589&lt;TIME(16,0,0)),"Morning",
  AND(L2589&gt;=TIME(16,0,0), L2589&lt;TIME(23,59,0)),"Evening",
  L2589&gt;=TIME(23,59,0),"Night",
  L2589&lt;TIME(9,0,0),"Night"
))</f>
        <v/>
      </c>
      <c r="O2589" t="str">
        <f t="shared" si="242"/>
        <v/>
      </c>
    </row>
    <row r="2590" spans="7:15" x14ac:dyDescent="0.25">
      <c r="G2590" t="str">
        <f t="shared" si="240"/>
        <v/>
      </c>
      <c r="H2590" s="13" t="str">
        <f t="shared" si="243"/>
        <v/>
      </c>
      <c r="I2590" t="str">
        <f>IFERROR(INDEX(Analysis!$D$116:$N$137, MATCH(B2590, Analysis!$C$116:$C$137, 0), MATCH(C2590, Analysis!$D$115:$N$115, 0)), "")</f>
        <v/>
      </c>
      <c r="J2590" t="str">
        <f t="shared" si="244"/>
        <v/>
      </c>
      <c r="K2590" s="28" t="str">
        <f t="shared" si="241"/>
        <v/>
      </c>
      <c r="L2590" s="46" t="str">
        <f t="shared" si="245"/>
        <v/>
      </c>
      <c r="M2590" t="str" cm="1">
        <f t="array" ref="M2590">IF(L2590="","",_xlfn.IFS(
  AND(L2590&gt;=TIME(9,0,0), L2590&lt;TIME(16,0,0)),"Morning",
  AND(L2590&gt;=TIME(16,0,0), L2590&lt;TIME(23,59,0)),"Evening",
  L2590&gt;=TIME(23,59,0),"Night",
  L2590&lt;TIME(9,0,0),"Night"
))</f>
        <v/>
      </c>
      <c r="O2590" t="str">
        <f t="shared" si="242"/>
        <v/>
      </c>
    </row>
    <row r="2591" spans="7:15" x14ac:dyDescent="0.25">
      <c r="G2591" t="str">
        <f t="shared" si="240"/>
        <v/>
      </c>
      <c r="H2591" s="13" t="str">
        <f t="shared" si="243"/>
        <v/>
      </c>
      <c r="I2591" t="str">
        <f>IFERROR(INDEX(Analysis!$D$116:$N$137, MATCH(B2591, Analysis!$C$116:$C$137, 0), MATCH(C2591, Analysis!$D$115:$N$115, 0)), "")</f>
        <v/>
      </c>
      <c r="J2591" t="str">
        <f t="shared" si="244"/>
        <v/>
      </c>
      <c r="K2591" s="28" t="str">
        <f t="shared" si="241"/>
        <v/>
      </c>
      <c r="L2591" s="46" t="str">
        <f t="shared" si="245"/>
        <v/>
      </c>
      <c r="M2591" t="str" cm="1">
        <f t="array" ref="M2591">IF(L2591="","",_xlfn.IFS(
  AND(L2591&gt;=TIME(9,0,0), L2591&lt;TIME(16,0,0)),"Morning",
  AND(L2591&gt;=TIME(16,0,0), L2591&lt;TIME(23,59,0)),"Evening",
  L2591&gt;=TIME(23,59,0),"Night",
  L2591&lt;TIME(9,0,0),"Night"
))</f>
        <v/>
      </c>
      <c r="O2591" t="str">
        <f t="shared" si="242"/>
        <v/>
      </c>
    </row>
    <row r="2592" spans="7:15" x14ac:dyDescent="0.25">
      <c r="G2592" t="str">
        <f t="shared" si="240"/>
        <v/>
      </c>
      <c r="H2592" s="13" t="str">
        <f t="shared" si="243"/>
        <v/>
      </c>
      <c r="I2592" t="str">
        <f>IFERROR(INDEX(Analysis!$D$116:$N$137, MATCH(B2592, Analysis!$C$116:$C$137, 0), MATCH(C2592, Analysis!$D$115:$N$115, 0)), "")</f>
        <v/>
      </c>
      <c r="J2592" t="str">
        <f t="shared" si="244"/>
        <v/>
      </c>
      <c r="K2592" s="28" t="str">
        <f t="shared" si="241"/>
        <v/>
      </c>
      <c r="L2592" s="46" t="str">
        <f t="shared" si="245"/>
        <v/>
      </c>
      <c r="M2592" t="str" cm="1">
        <f t="array" ref="M2592">IF(L2592="","",_xlfn.IFS(
  AND(L2592&gt;=TIME(9,0,0), L2592&lt;TIME(16,0,0)),"Morning",
  AND(L2592&gt;=TIME(16,0,0), L2592&lt;TIME(23,59,0)),"Evening",
  L2592&gt;=TIME(23,59,0),"Night",
  L2592&lt;TIME(9,0,0),"Night"
))</f>
        <v/>
      </c>
      <c r="O2592" t="str">
        <f t="shared" si="242"/>
        <v/>
      </c>
    </row>
    <row r="2593" spans="7:15" x14ac:dyDescent="0.25">
      <c r="G2593" t="str">
        <f t="shared" si="240"/>
        <v/>
      </c>
      <c r="H2593" s="13" t="str">
        <f t="shared" si="243"/>
        <v/>
      </c>
      <c r="I2593" t="str">
        <f>IFERROR(INDEX(Analysis!$D$116:$N$137, MATCH(B2593, Analysis!$C$116:$C$137, 0), MATCH(C2593, Analysis!$D$115:$N$115, 0)), "")</f>
        <v/>
      </c>
      <c r="J2593" t="str">
        <f t="shared" si="244"/>
        <v/>
      </c>
      <c r="K2593" s="28" t="str">
        <f t="shared" si="241"/>
        <v/>
      </c>
      <c r="L2593" s="46" t="str">
        <f t="shared" si="245"/>
        <v/>
      </c>
      <c r="M2593" t="str" cm="1">
        <f t="array" ref="M2593">IF(L2593="","",_xlfn.IFS(
  AND(L2593&gt;=TIME(9,0,0), L2593&lt;TIME(16,0,0)),"Morning",
  AND(L2593&gt;=TIME(16,0,0), L2593&lt;TIME(23,59,0)),"Evening",
  L2593&gt;=TIME(23,59,0),"Night",
  L2593&lt;TIME(9,0,0),"Night"
))</f>
        <v/>
      </c>
      <c r="O2593" t="str">
        <f t="shared" si="242"/>
        <v/>
      </c>
    </row>
    <row r="2594" spans="7:15" x14ac:dyDescent="0.25">
      <c r="G2594" t="str">
        <f t="shared" si="240"/>
        <v/>
      </c>
      <c r="H2594" s="13" t="str">
        <f t="shared" si="243"/>
        <v/>
      </c>
      <c r="I2594" t="str">
        <f>IFERROR(INDEX(Analysis!$D$116:$N$137, MATCH(B2594, Analysis!$C$116:$C$137, 0), MATCH(C2594, Analysis!$D$115:$N$115, 0)), "")</f>
        <v/>
      </c>
      <c r="J2594" t="str">
        <f t="shared" si="244"/>
        <v/>
      </c>
      <c r="K2594" s="28" t="str">
        <f t="shared" si="241"/>
        <v/>
      </c>
      <c r="L2594" s="46" t="str">
        <f t="shared" si="245"/>
        <v/>
      </c>
      <c r="M2594" t="str" cm="1">
        <f t="array" ref="M2594">IF(L2594="","",_xlfn.IFS(
  AND(L2594&gt;=TIME(9,0,0), L2594&lt;TIME(16,0,0)),"Morning",
  AND(L2594&gt;=TIME(16,0,0), L2594&lt;TIME(23,59,0)),"Evening",
  L2594&gt;=TIME(23,59,0),"Night",
  L2594&lt;TIME(9,0,0),"Night"
))</f>
        <v/>
      </c>
      <c r="O2594" t="str">
        <f t="shared" si="242"/>
        <v/>
      </c>
    </row>
    <row r="2595" spans="7:15" x14ac:dyDescent="0.25">
      <c r="G2595" t="str">
        <f t="shared" si="240"/>
        <v/>
      </c>
      <c r="H2595" s="13" t="str">
        <f t="shared" si="243"/>
        <v/>
      </c>
      <c r="I2595" t="str">
        <f>IFERROR(INDEX(Analysis!$D$116:$N$137, MATCH(B2595, Analysis!$C$116:$C$137, 0), MATCH(C2595, Analysis!$D$115:$N$115, 0)), "")</f>
        <v/>
      </c>
      <c r="J2595" t="str">
        <f t="shared" si="244"/>
        <v/>
      </c>
      <c r="K2595" s="28" t="str">
        <f t="shared" si="241"/>
        <v/>
      </c>
      <c r="L2595" s="46" t="str">
        <f t="shared" si="245"/>
        <v/>
      </c>
      <c r="M2595" t="str" cm="1">
        <f t="array" ref="M2595">IF(L2595="","",_xlfn.IFS(
  AND(L2595&gt;=TIME(9,0,0), L2595&lt;TIME(16,0,0)),"Morning",
  AND(L2595&gt;=TIME(16,0,0), L2595&lt;TIME(23,59,0)),"Evening",
  L2595&gt;=TIME(23,59,0),"Night",
  L2595&lt;TIME(9,0,0),"Night"
))</f>
        <v/>
      </c>
      <c r="O2595" t="str">
        <f t="shared" si="242"/>
        <v/>
      </c>
    </row>
    <row r="2596" spans="7:15" x14ac:dyDescent="0.25">
      <c r="G2596" t="str">
        <f t="shared" si="240"/>
        <v/>
      </c>
      <c r="H2596" s="13" t="str">
        <f t="shared" si="243"/>
        <v/>
      </c>
      <c r="I2596" t="str">
        <f>IFERROR(INDEX(Analysis!$D$116:$N$137, MATCH(B2596, Analysis!$C$116:$C$137, 0), MATCH(C2596, Analysis!$D$115:$N$115, 0)), "")</f>
        <v/>
      </c>
      <c r="J2596" t="str">
        <f t="shared" si="244"/>
        <v/>
      </c>
      <c r="K2596" s="28" t="str">
        <f t="shared" si="241"/>
        <v/>
      </c>
      <c r="L2596" s="46" t="str">
        <f t="shared" si="245"/>
        <v/>
      </c>
      <c r="M2596" t="str" cm="1">
        <f t="array" ref="M2596">IF(L2596="","",_xlfn.IFS(
  AND(L2596&gt;=TIME(9,0,0), L2596&lt;TIME(16,0,0)),"Morning",
  AND(L2596&gt;=TIME(16,0,0), L2596&lt;TIME(23,59,0)),"Evening",
  L2596&gt;=TIME(23,59,0),"Night",
  L2596&lt;TIME(9,0,0),"Night"
))</f>
        <v/>
      </c>
      <c r="O2596" t="str">
        <f t="shared" si="242"/>
        <v/>
      </c>
    </row>
    <row r="2597" spans="7:15" x14ac:dyDescent="0.25">
      <c r="G2597" t="str">
        <f t="shared" si="240"/>
        <v/>
      </c>
      <c r="H2597" s="13" t="str">
        <f t="shared" si="243"/>
        <v/>
      </c>
      <c r="I2597" t="str">
        <f>IFERROR(INDEX(Analysis!$D$116:$N$137, MATCH(B2597, Analysis!$C$116:$C$137, 0), MATCH(C2597, Analysis!$D$115:$N$115, 0)), "")</f>
        <v/>
      </c>
      <c r="J2597" t="str">
        <f t="shared" si="244"/>
        <v/>
      </c>
      <c r="K2597" s="28" t="str">
        <f t="shared" si="241"/>
        <v/>
      </c>
      <c r="L2597" s="46" t="str">
        <f t="shared" si="245"/>
        <v/>
      </c>
      <c r="M2597" t="str" cm="1">
        <f t="array" ref="M2597">IF(L2597="","",_xlfn.IFS(
  AND(L2597&gt;=TIME(9,0,0), L2597&lt;TIME(16,0,0)),"Morning",
  AND(L2597&gt;=TIME(16,0,0), L2597&lt;TIME(23,59,0)),"Evening",
  L2597&gt;=TIME(23,59,0),"Night",
  L2597&lt;TIME(9,0,0),"Night"
))</f>
        <v/>
      </c>
      <c r="O2597" t="str">
        <f t="shared" si="242"/>
        <v/>
      </c>
    </row>
    <row r="2598" spans="7:15" x14ac:dyDescent="0.25">
      <c r="G2598" t="str">
        <f t="shared" si="240"/>
        <v/>
      </c>
      <c r="H2598" s="13" t="str">
        <f t="shared" si="243"/>
        <v/>
      </c>
      <c r="I2598" t="str">
        <f>IFERROR(INDEX(Analysis!$D$116:$N$137, MATCH(B2598, Analysis!$C$116:$C$137, 0), MATCH(C2598, Analysis!$D$115:$N$115, 0)), "")</f>
        <v/>
      </c>
      <c r="J2598" t="str">
        <f t="shared" si="244"/>
        <v/>
      </c>
      <c r="K2598" s="28" t="str">
        <f t="shared" si="241"/>
        <v/>
      </c>
      <c r="L2598" s="46" t="str">
        <f t="shared" si="245"/>
        <v/>
      </c>
      <c r="M2598" t="str" cm="1">
        <f t="array" ref="M2598">IF(L2598="","",_xlfn.IFS(
  AND(L2598&gt;=TIME(9,0,0), L2598&lt;TIME(16,0,0)),"Morning",
  AND(L2598&gt;=TIME(16,0,0), L2598&lt;TIME(23,59,0)),"Evening",
  L2598&gt;=TIME(23,59,0),"Night",
  L2598&lt;TIME(9,0,0),"Night"
))</f>
        <v/>
      </c>
      <c r="O2598" t="str">
        <f t="shared" si="242"/>
        <v/>
      </c>
    </row>
    <row r="2599" spans="7:15" x14ac:dyDescent="0.25">
      <c r="G2599" t="str">
        <f t="shared" si="240"/>
        <v/>
      </c>
      <c r="H2599" s="13" t="str">
        <f t="shared" si="243"/>
        <v/>
      </c>
      <c r="I2599" t="str">
        <f>IFERROR(INDEX(Analysis!$D$116:$N$137, MATCH(B2599, Analysis!$C$116:$C$137, 0), MATCH(C2599, Analysis!$D$115:$N$115, 0)), "")</f>
        <v/>
      </c>
      <c r="J2599" t="str">
        <f t="shared" si="244"/>
        <v/>
      </c>
      <c r="K2599" s="28" t="str">
        <f t="shared" si="241"/>
        <v/>
      </c>
      <c r="L2599" s="46" t="str">
        <f t="shared" si="245"/>
        <v/>
      </c>
      <c r="M2599" t="str" cm="1">
        <f t="array" ref="M2599">IF(L2599="","",_xlfn.IFS(
  AND(L2599&gt;=TIME(9,0,0), L2599&lt;TIME(16,0,0)),"Morning",
  AND(L2599&gt;=TIME(16,0,0), L2599&lt;TIME(23,59,0)),"Evening",
  L2599&gt;=TIME(23,59,0),"Night",
  L2599&lt;TIME(9,0,0),"Night"
))</f>
        <v/>
      </c>
      <c r="O2599" t="str">
        <f t="shared" si="242"/>
        <v/>
      </c>
    </row>
    <row r="2600" spans="7:15" x14ac:dyDescent="0.25">
      <c r="G2600" t="str">
        <f t="shared" si="240"/>
        <v/>
      </c>
      <c r="H2600" s="13" t="str">
        <f t="shared" si="243"/>
        <v/>
      </c>
      <c r="I2600" t="str">
        <f>IFERROR(INDEX(Analysis!$D$116:$N$137, MATCH(B2600, Analysis!$C$116:$C$137, 0), MATCH(C2600, Analysis!$D$115:$N$115, 0)), "")</f>
        <v/>
      </c>
      <c r="J2600" t="str">
        <f t="shared" si="244"/>
        <v/>
      </c>
      <c r="K2600" s="28" t="str">
        <f t="shared" si="241"/>
        <v/>
      </c>
      <c r="L2600" s="46" t="str">
        <f t="shared" si="245"/>
        <v/>
      </c>
      <c r="M2600" t="str" cm="1">
        <f t="array" ref="M2600">IF(L2600="","",_xlfn.IFS(
  AND(L2600&gt;=TIME(9,0,0), L2600&lt;TIME(16,0,0)),"Morning",
  AND(L2600&gt;=TIME(16,0,0), L2600&lt;TIME(23,59,0)),"Evening",
  L2600&gt;=TIME(23,59,0),"Night",
  L2600&lt;TIME(9,0,0),"Night"
))</f>
        <v/>
      </c>
      <c r="O2600" t="str">
        <f t="shared" si="242"/>
        <v/>
      </c>
    </row>
    <row r="2601" spans="7:15" x14ac:dyDescent="0.25">
      <c r="G2601" t="str">
        <f t="shared" si="240"/>
        <v/>
      </c>
      <c r="H2601" s="13" t="str">
        <f t="shared" si="243"/>
        <v/>
      </c>
      <c r="I2601" t="str">
        <f>IFERROR(INDEX(Analysis!$D$116:$N$137, MATCH(B2601, Analysis!$C$116:$C$137, 0), MATCH(C2601, Analysis!$D$115:$N$115, 0)), "")</f>
        <v/>
      </c>
      <c r="J2601" t="str">
        <f t="shared" si="244"/>
        <v/>
      </c>
      <c r="K2601" s="28" t="str">
        <f t="shared" si="241"/>
        <v/>
      </c>
      <c r="L2601" s="46" t="str">
        <f t="shared" si="245"/>
        <v/>
      </c>
      <c r="M2601" t="str" cm="1">
        <f t="array" ref="M2601">IF(L2601="","",_xlfn.IFS(
  AND(L2601&gt;=TIME(9,0,0), L2601&lt;TIME(16,0,0)),"Morning",
  AND(L2601&gt;=TIME(16,0,0), L2601&lt;TIME(23,59,0)),"Evening",
  L2601&gt;=TIME(23,59,0),"Night",
  L2601&lt;TIME(9,0,0),"Night"
))</f>
        <v/>
      </c>
      <c r="O2601" t="str">
        <f t="shared" si="242"/>
        <v/>
      </c>
    </row>
    <row r="2602" spans="7:15" x14ac:dyDescent="0.25">
      <c r="G2602" t="str">
        <f t="shared" si="240"/>
        <v/>
      </c>
      <c r="H2602" s="13" t="str">
        <f t="shared" si="243"/>
        <v/>
      </c>
      <c r="I2602" t="str">
        <f>IFERROR(INDEX(Analysis!$D$116:$N$137, MATCH(B2602, Analysis!$C$116:$C$137, 0), MATCH(C2602, Analysis!$D$115:$N$115, 0)), "")</f>
        <v/>
      </c>
      <c r="J2602" t="str">
        <f t="shared" si="244"/>
        <v/>
      </c>
      <c r="K2602" s="28" t="str">
        <f t="shared" si="241"/>
        <v/>
      </c>
      <c r="L2602" s="46" t="str">
        <f t="shared" si="245"/>
        <v/>
      </c>
      <c r="M2602" t="str" cm="1">
        <f t="array" ref="M2602">IF(L2602="","",_xlfn.IFS(
  AND(L2602&gt;=TIME(9,0,0), L2602&lt;TIME(16,0,0)),"Morning",
  AND(L2602&gt;=TIME(16,0,0), L2602&lt;TIME(23,59,0)),"Evening",
  L2602&gt;=TIME(23,59,0),"Night",
  L2602&lt;TIME(9,0,0),"Night"
))</f>
        <v/>
      </c>
      <c r="O2602" t="str">
        <f t="shared" si="242"/>
        <v/>
      </c>
    </row>
    <row r="2603" spans="7:15" x14ac:dyDescent="0.25">
      <c r="G2603" t="str">
        <f t="shared" si="240"/>
        <v/>
      </c>
      <c r="H2603" s="13" t="str">
        <f t="shared" si="243"/>
        <v/>
      </c>
      <c r="I2603" t="str">
        <f>IFERROR(INDEX(Analysis!$D$116:$N$137, MATCH(B2603, Analysis!$C$116:$C$137, 0), MATCH(C2603, Analysis!$D$115:$N$115, 0)), "")</f>
        <v/>
      </c>
      <c r="J2603" t="str">
        <f t="shared" si="244"/>
        <v/>
      </c>
      <c r="K2603" s="28" t="str">
        <f t="shared" si="241"/>
        <v/>
      </c>
      <c r="L2603" s="46" t="str">
        <f t="shared" si="245"/>
        <v/>
      </c>
      <c r="M2603" t="str" cm="1">
        <f t="array" ref="M2603">IF(L2603="","",_xlfn.IFS(
  AND(L2603&gt;=TIME(9,0,0), L2603&lt;TIME(16,0,0)),"Morning",
  AND(L2603&gt;=TIME(16,0,0), L2603&lt;TIME(23,59,0)),"Evening",
  L2603&gt;=TIME(23,59,0),"Night",
  L2603&lt;TIME(9,0,0),"Night"
))</f>
        <v/>
      </c>
      <c r="O2603" t="str">
        <f t="shared" si="242"/>
        <v/>
      </c>
    </row>
    <row r="2604" spans="7:15" x14ac:dyDescent="0.25">
      <c r="G2604" t="str">
        <f t="shared" si="240"/>
        <v/>
      </c>
      <c r="H2604" s="13" t="str">
        <f t="shared" si="243"/>
        <v/>
      </c>
      <c r="I2604" t="str">
        <f>IFERROR(INDEX(Analysis!$D$116:$N$137, MATCH(B2604, Analysis!$C$116:$C$137, 0), MATCH(C2604, Analysis!$D$115:$N$115, 0)), "")</f>
        <v/>
      </c>
      <c r="J2604" t="str">
        <f t="shared" si="244"/>
        <v/>
      </c>
      <c r="K2604" s="28" t="str">
        <f t="shared" si="241"/>
        <v/>
      </c>
      <c r="L2604" s="46" t="str">
        <f t="shared" si="245"/>
        <v/>
      </c>
      <c r="M2604" t="str" cm="1">
        <f t="array" ref="M2604">IF(L2604="","",_xlfn.IFS(
  AND(L2604&gt;=TIME(9,0,0), L2604&lt;TIME(16,0,0)),"Morning",
  AND(L2604&gt;=TIME(16,0,0), L2604&lt;TIME(23,59,0)),"Evening",
  L2604&gt;=TIME(23,59,0),"Night",
  L2604&lt;TIME(9,0,0),"Night"
))</f>
        <v/>
      </c>
      <c r="O2604" t="str">
        <f t="shared" si="242"/>
        <v/>
      </c>
    </row>
    <row r="2605" spans="7:15" x14ac:dyDescent="0.25">
      <c r="G2605" t="str">
        <f t="shared" si="240"/>
        <v/>
      </c>
      <c r="H2605" s="13" t="str">
        <f t="shared" si="243"/>
        <v/>
      </c>
      <c r="I2605" t="str">
        <f>IFERROR(INDEX(Analysis!$D$116:$N$137, MATCH(B2605, Analysis!$C$116:$C$137, 0), MATCH(C2605, Analysis!$D$115:$N$115, 0)), "")</f>
        <v/>
      </c>
      <c r="J2605" t="str">
        <f t="shared" si="244"/>
        <v/>
      </c>
      <c r="K2605" s="28" t="str">
        <f t="shared" si="241"/>
        <v/>
      </c>
      <c r="L2605" s="46" t="str">
        <f t="shared" si="245"/>
        <v/>
      </c>
      <c r="M2605" t="str" cm="1">
        <f t="array" ref="M2605">IF(L2605="","",_xlfn.IFS(
  AND(L2605&gt;=TIME(9,0,0), L2605&lt;TIME(16,0,0)),"Morning",
  AND(L2605&gt;=TIME(16,0,0), L2605&lt;TIME(23,59,0)),"Evening",
  L2605&gt;=TIME(23,59,0),"Night",
  L2605&lt;TIME(9,0,0),"Night"
))</f>
        <v/>
      </c>
      <c r="O2605" t="str">
        <f t="shared" si="242"/>
        <v/>
      </c>
    </row>
    <row r="2606" spans="7:15" x14ac:dyDescent="0.25">
      <c r="G2606" t="str">
        <f t="shared" si="240"/>
        <v/>
      </c>
      <c r="H2606" s="13" t="str">
        <f t="shared" si="243"/>
        <v/>
      </c>
      <c r="I2606" t="str">
        <f>IFERROR(INDEX(Analysis!$D$116:$N$137, MATCH(B2606, Analysis!$C$116:$C$137, 0), MATCH(C2606, Analysis!$D$115:$N$115, 0)), "")</f>
        <v/>
      </c>
      <c r="J2606" t="str">
        <f t="shared" si="244"/>
        <v/>
      </c>
      <c r="K2606" s="28" t="str">
        <f t="shared" si="241"/>
        <v/>
      </c>
      <c r="L2606" s="46" t="str">
        <f t="shared" si="245"/>
        <v/>
      </c>
      <c r="M2606" t="str" cm="1">
        <f t="array" ref="M2606">IF(L2606="","",_xlfn.IFS(
  AND(L2606&gt;=TIME(9,0,0), L2606&lt;TIME(16,0,0)),"Morning",
  AND(L2606&gt;=TIME(16,0,0), L2606&lt;TIME(23,59,0)),"Evening",
  L2606&gt;=TIME(23,59,0),"Night",
  L2606&lt;TIME(9,0,0),"Night"
))</f>
        <v/>
      </c>
      <c r="O2606" t="str">
        <f t="shared" si="242"/>
        <v/>
      </c>
    </row>
    <row r="2607" spans="7:15" x14ac:dyDescent="0.25">
      <c r="G2607" t="str">
        <f t="shared" si="240"/>
        <v/>
      </c>
      <c r="H2607" s="13" t="str">
        <f t="shared" si="243"/>
        <v/>
      </c>
      <c r="I2607" t="str">
        <f>IFERROR(INDEX(Analysis!$D$116:$N$137, MATCH(B2607, Analysis!$C$116:$C$137, 0), MATCH(C2607, Analysis!$D$115:$N$115, 0)), "")</f>
        <v/>
      </c>
      <c r="J2607" t="str">
        <f t="shared" si="244"/>
        <v/>
      </c>
      <c r="K2607" s="28" t="str">
        <f t="shared" si="241"/>
        <v/>
      </c>
      <c r="L2607" s="46" t="str">
        <f t="shared" si="245"/>
        <v/>
      </c>
      <c r="M2607" t="str" cm="1">
        <f t="array" ref="M2607">IF(L2607="","",_xlfn.IFS(
  AND(L2607&gt;=TIME(9,0,0), L2607&lt;TIME(16,0,0)),"Morning",
  AND(L2607&gt;=TIME(16,0,0), L2607&lt;TIME(23,59,0)),"Evening",
  L2607&gt;=TIME(23,59,0),"Night",
  L2607&lt;TIME(9,0,0),"Night"
))</f>
        <v/>
      </c>
      <c r="O2607" t="str">
        <f t="shared" si="242"/>
        <v/>
      </c>
    </row>
    <row r="2608" spans="7:15" x14ac:dyDescent="0.25">
      <c r="G2608" t="str">
        <f t="shared" si="240"/>
        <v/>
      </c>
      <c r="H2608" s="13" t="str">
        <f t="shared" si="243"/>
        <v/>
      </c>
      <c r="I2608" t="str">
        <f>IFERROR(INDEX(Analysis!$D$116:$N$137, MATCH(B2608, Analysis!$C$116:$C$137, 0), MATCH(C2608, Analysis!$D$115:$N$115, 0)), "")</f>
        <v/>
      </c>
      <c r="J2608" t="str">
        <f t="shared" si="244"/>
        <v/>
      </c>
      <c r="K2608" s="28" t="str">
        <f t="shared" si="241"/>
        <v/>
      </c>
      <c r="L2608" s="46" t="str">
        <f t="shared" si="245"/>
        <v/>
      </c>
      <c r="M2608" t="str" cm="1">
        <f t="array" ref="M2608">IF(L2608="","",_xlfn.IFS(
  AND(L2608&gt;=TIME(9,0,0), L2608&lt;TIME(16,0,0)),"Morning",
  AND(L2608&gt;=TIME(16,0,0), L2608&lt;TIME(23,59,0)),"Evening",
  L2608&gt;=TIME(23,59,0),"Night",
  L2608&lt;TIME(9,0,0),"Night"
))</f>
        <v/>
      </c>
      <c r="O2608" t="str">
        <f t="shared" si="242"/>
        <v/>
      </c>
    </row>
    <row r="2609" spans="7:15" x14ac:dyDescent="0.25">
      <c r="G2609" t="str">
        <f t="shared" si="240"/>
        <v/>
      </c>
      <c r="H2609" s="13" t="str">
        <f t="shared" si="243"/>
        <v/>
      </c>
      <c r="I2609" t="str">
        <f>IFERROR(INDEX(Analysis!$D$116:$N$137, MATCH(B2609, Analysis!$C$116:$C$137, 0), MATCH(C2609, Analysis!$D$115:$N$115, 0)), "")</f>
        <v/>
      </c>
      <c r="J2609" t="str">
        <f t="shared" si="244"/>
        <v/>
      </c>
      <c r="K2609" s="28" t="str">
        <f t="shared" si="241"/>
        <v/>
      </c>
      <c r="L2609" s="46" t="str">
        <f t="shared" si="245"/>
        <v/>
      </c>
      <c r="M2609" t="str" cm="1">
        <f t="array" ref="M2609">IF(L2609="","",_xlfn.IFS(
  AND(L2609&gt;=TIME(9,0,0), L2609&lt;TIME(16,0,0)),"Morning",
  AND(L2609&gt;=TIME(16,0,0), L2609&lt;TIME(23,59,0)),"Evening",
  L2609&gt;=TIME(23,59,0),"Night",
  L2609&lt;TIME(9,0,0),"Night"
))</f>
        <v/>
      </c>
      <c r="O2609" t="str">
        <f t="shared" si="242"/>
        <v/>
      </c>
    </row>
    <row r="2610" spans="7:15" x14ac:dyDescent="0.25">
      <c r="G2610" t="str">
        <f t="shared" si="240"/>
        <v/>
      </c>
      <c r="H2610" s="13" t="str">
        <f t="shared" si="243"/>
        <v/>
      </c>
      <c r="I2610" t="str">
        <f>IFERROR(INDEX(Analysis!$D$116:$N$137, MATCH(B2610, Analysis!$C$116:$C$137, 0), MATCH(C2610, Analysis!$D$115:$N$115, 0)), "")</f>
        <v/>
      </c>
      <c r="J2610" t="str">
        <f t="shared" si="244"/>
        <v/>
      </c>
      <c r="K2610" s="28" t="str">
        <f t="shared" si="241"/>
        <v/>
      </c>
      <c r="L2610" s="46" t="str">
        <f t="shared" si="245"/>
        <v/>
      </c>
      <c r="M2610" t="str" cm="1">
        <f t="array" ref="M2610">IF(L2610="","",_xlfn.IFS(
  AND(L2610&gt;=TIME(9,0,0), L2610&lt;TIME(16,0,0)),"Morning",
  AND(L2610&gt;=TIME(16,0,0), L2610&lt;TIME(23,59,0)),"Evening",
  L2610&gt;=TIME(23,59,0),"Night",
  L2610&lt;TIME(9,0,0),"Night"
))</f>
        <v/>
      </c>
      <c r="O2610" t="str">
        <f t="shared" si="242"/>
        <v/>
      </c>
    </row>
    <row r="2611" spans="7:15" x14ac:dyDescent="0.25">
      <c r="G2611" t="str">
        <f t="shared" si="240"/>
        <v/>
      </c>
      <c r="H2611" s="13" t="str">
        <f t="shared" si="243"/>
        <v/>
      </c>
      <c r="I2611" t="str">
        <f>IFERROR(INDEX(Analysis!$D$116:$N$137, MATCH(B2611, Analysis!$C$116:$C$137, 0), MATCH(C2611, Analysis!$D$115:$N$115, 0)), "")</f>
        <v/>
      </c>
      <c r="J2611" t="str">
        <f t="shared" si="244"/>
        <v/>
      </c>
      <c r="K2611" s="28" t="str">
        <f t="shared" si="241"/>
        <v/>
      </c>
      <c r="L2611" s="46" t="str">
        <f t="shared" si="245"/>
        <v/>
      </c>
      <c r="M2611" t="str" cm="1">
        <f t="array" ref="M2611">IF(L2611="","",_xlfn.IFS(
  AND(L2611&gt;=TIME(9,0,0), L2611&lt;TIME(16,0,0)),"Morning",
  AND(L2611&gt;=TIME(16,0,0), L2611&lt;TIME(23,59,0)),"Evening",
  L2611&gt;=TIME(23,59,0),"Night",
  L2611&lt;TIME(9,0,0),"Night"
))</f>
        <v/>
      </c>
      <c r="O2611" t="str">
        <f t="shared" si="242"/>
        <v/>
      </c>
    </row>
    <row r="2612" spans="7:15" x14ac:dyDescent="0.25">
      <c r="G2612" t="str">
        <f t="shared" si="240"/>
        <v/>
      </c>
      <c r="H2612" s="13" t="str">
        <f t="shared" si="243"/>
        <v/>
      </c>
      <c r="I2612" t="str">
        <f>IFERROR(INDEX(Analysis!$D$116:$N$137, MATCH(B2612, Analysis!$C$116:$C$137, 0), MATCH(C2612, Analysis!$D$115:$N$115, 0)), "")</f>
        <v/>
      </c>
      <c r="J2612" t="str">
        <f t="shared" si="244"/>
        <v/>
      </c>
      <c r="K2612" s="28" t="str">
        <f t="shared" si="241"/>
        <v/>
      </c>
      <c r="L2612" s="46" t="str">
        <f t="shared" si="245"/>
        <v/>
      </c>
      <c r="M2612" t="str" cm="1">
        <f t="array" ref="M2612">IF(L2612="","",_xlfn.IFS(
  AND(L2612&gt;=TIME(9,0,0), L2612&lt;TIME(16,0,0)),"Morning",
  AND(L2612&gt;=TIME(16,0,0), L2612&lt;TIME(23,59,0)),"Evening",
  L2612&gt;=TIME(23,59,0),"Night",
  L2612&lt;TIME(9,0,0),"Night"
))</f>
        <v/>
      </c>
      <c r="O2612" t="str">
        <f t="shared" si="242"/>
        <v/>
      </c>
    </row>
    <row r="2613" spans="7:15" x14ac:dyDescent="0.25">
      <c r="G2613" t="str">
        <f t="shared" si="240"/>
        <v/>
      </c>
      <c r="H2613" s="13" t="str">
        <f t="shared" si="243"/>
        <v/>
      </c>
      <c r="I2613" t="str">
        <f>IFERROR(INDEX(Analysis!$D$116:$N$137, MATCH(B2613, Analysis!$C$116:$C$137, 0), MATCH(C2613, Analysis!$D$115:$N$115, 0)), "")</f>
        <v/>
      </c>
      <c r="J2613" t="str">
        <f t="shared" si="244"/>
        <v/>
      </c>
      <c r="K2613" s="28" t="str">
        <f t="shared" si="241"/>
        <v/>
      </c>
      <c r="L2613" s="46" t="str">
        <f t="shared" si="245"/>
        <v/>
      </c>
      <c r="M2613" t="str" cm="1">
        <f t="array" ref="M2613">IF(L2613="","",_xlfn.IFS(
  AND(L2613&gt;=TIME(9,0,0), L2613&lt;TIME(16,0,0)),"Morning",
  AND(L2613&gt;=TIME(16,0,0), L2613&lt;TIME(23,59,0)),"Evening",
  L2613&gt;=TIME(23,59,0),"Night",
  L2613&lt;TIME(9,0,0),"Night"
))</f>
        <v/>
      </c>
      <c r="O2613" t="str">
        <f t="shared" si="242"/>
        <v/>
      </c>
    </row>
    <row r="2614" spans="7:15" x14ac:dyDescent="0.25">
      <c r="G2614" t="str">
        <f t="shared" si="240"/>
        <v/>
      </c>
      <c r="H2614" s="13" t="str">
        <f t="shared" si="243"/>
        <v/>
      </c>
      <c r="I2614" t="str">
        <f>IFERROR(INDEX(Analysis!$D$116:$N$137, MATCH(B2614, Analysis!$C$116:$C$137, 0), MATCH(C2614, Analysis!$D$115:$N$115, 0)), "")</f>
        <v/>
      </c>
      <c r="J2614" t="str">
        <f t="shared" si="244"/>
        <v/>
      </c>
      <c r="K2614" s="28" t="str">
        <f t="shared" si="241"/>
        <v/>
      </c>
      <c r="L2614" s="46" t="str">
        <f t="shared" si="245"/>
        <v/>
      </c>
      <c r="M2614" t="str" cm="1">
        <f t="array" ref="M2614">IF(L2614="","",_xlfn.IFS(
  AND(L2614&gt;=TIME(9,0,0), L2614&lt;TIME(16,0,0)),"Morning",
  AND(L2614&gt;=TIME(16,0,0), L2614&lt;TIME(23,59,0)),"Evening",
  L2614&gt;=TIME(23,59,0),"Night",
  L2614&lt;TIME(9,0,0),"Night"
))</f>
        <v/>
      </c>
      <c r="O2614" t="str">
        <f t="shared" si="242"/>
        <v/>
      </c>
    </row>
    <row r="2615" spans="7:15" x14ac:dyDescent="0.25">
      <c r="G2615" t="str">
        <f t="shared" si="240"/>
        <v/>
      </c>
      <c r="H2615" s="13" t="str">
        <f t="shared" si="243"/>
        <v/>
      </c>
      <c r="I2615" t="str">
        <f>IFERROR(INDEX(Analysis!$D$116:$N$137, MATCH(B2615, Analysis!$C$116:$C$137, 0), MATCH(C2615, Analysis!$D$115:$N$115, 0)), "")</f>
        <v/>
      </c>
      <c r="J2615" t="str">
        <f t="shared" si="244"/>
        <v/>
      </c>
      <c r="K2615" s="28" t="str">
        <f t="shared" si="241"/>
        <v/>
      </c>
      <c r="L2615" s="46" t="str">
        <f t="shared" si="245"/>
        <v/>
      </c>
      <c r="M2615" t="str" cm="1">
        <f t="array" ref="M2615">IF(L2615="","",_xlfn.IFS(
  AND(L2615&gt;=TIME(9,0,0), L2615&lt;TIME(16,0,0)),"Morning",
  AND(L2615&gt;=TIME(16,0,0), L2615&lt;TIME(23,59,0)),"Evening",
  L2615&gt;=TIME(23,59,0),"Night",
  L2615&lt;TIME(9,0,0),"Night"
))</f>
        <v/>
      </c>
      <c r="O2615" t="str">
        <f t="shared" si="242"/>
        <v/>
      </c>
    </row>
    <row r="2616" spans="7:15" x14ac:dyDescent="0.25">
      <c r="G2616" t="str">
        <f t="shared" si="240"/>
        <v/>
      </c>
      <c r="H2616" s="13" t="str">
        <f t="shared" si="243"/>
        <v/>
      </c>
      <c r="I2616" t="str">
        <f>IFERROR(INDEX(Analysis!$D$116:$N$137, MATCH(B2616, Analysis!$C$116:$C$137, 0), MATCH(C2616, Analysis!$D$115:$N$115, 0)), "")</f>
        <v/>
      </c>
      <c r="J2616" t="str">
        <f t="shared" si="244"/>
        <v/>
      </c>
      <c r="K2616" s="28" t="str">
        <f t="shared" si="241"/>
        <v/>
      </c>
      <c r="L2616" s="46" t="str">
        <f t="shared" si="245"/>
        <v/>
      </c>
      <c r="M2616" t="str" cm="1">
        <f t="array" ref="M2616">IF(L2616="","",_xlfn.IFS(
  AND(L2616&gt;=TIME(9,0,0), L2616&lt;TIME(16,0,0)),"Morning",
  AND(L2616&gt;=TIME(16,0,0), L2616&lt;TIME(23,59,0)),"Evening",
  L2616&gt;=TIME(23,59,0),"Night",
  L2616&lt;TIME(9,0,0),"Night"
))</f>
        <v/>
      </c>
      <c r="O2616" t="str">
        <f t="shared" si="242"/>
        <v/>
      </c>
    </row>
    <row r="2617" spans="7:15" x14ac:dyDescent="0.25">
      <c r="G2617" t="str">
        <f t="shared" si="240"/>
        <v/>
      </c>
      <c r="H2617" s="13" t="str">
        <f t="shared" si="243"/>
        <v/>
      </c>
      <c r="I2617" t="str">
        <f>IFERROR(INDEX(Analysis!$D$116:$N$137, MATCH(B2617, Analysis!$C$116:$C$137, 0), MATCH(C2617, Analysis!$D$115:$N$115, 0)), "")</f>
        <v/>
      </c>
      <c r="J2617" t="str">
        <f t="shared" si="244"/>
        <v/>
      </c>
      <c r="K2617" s="28" t="str">
        <f t="shared" si="241"/>
        <v/>
      </c>
      <c r="L2617" s="46" t="str">
        <f t="shared" si="245"/>
        <v/>
      </c>
      <c r="M2617" t="str" cm="1">
        <f t="array" ref="M2617">IF(L2617="","",_xlfn.IFS(
  AND(L2617&gt;=TIME(9,0,0), L2617&lt;TIME(16,0,0)),"Morning",
  AND(L2617&gt;=TIME(16,0,0), L2617&lt;TIME(23,59,0)),"Evening",
  L2617&gt;=TIME(23,59,0),"Night",
  L2617&lt;TIME(9,0,0),"Night"
))</f>
        <v/>
      </c>
      <c r="O2617" t="str">
        <f t="shared" si="242"/>
        <v/>
      </c>
    </row>
    <row r="2618" spans="7:15" x14ac:dyDescent="0.25">
      <c r="G2618" t="str">
        <f t="shared" si="240"/>
        <v/>
      </c>
      <c r="H2618" s="13" t="str">
        <f t="shared" si="243"/>
        <v/>
      </c>
      <c r="I2618" t="str">
        <f>IFERROR(INDEX(Analysis!$D$116:$N$137, MATCH(B2618, Analysis!$C$116:$C$137, 0), MATCH(C2618, Analysis!$D$115:$N$115, 0)), "")</f>
        <v/>
      </c>
      <c r="J2618" t="str">
        <f t="shared" si="244"/>
        <v/>
      </c>
      <c r="K2618" s="28" t="str">
        <f t="shared" si="241"/>
        <v/>
      </c>
      <c r="L2618" s="46" t="str">
        <f t="shared" si="245"/>
        <v/>
      </c>
      <c r="M2618" t="str" cm="1">
        <f t="array" ref="M2618">IF(L2618="","",_xlfn.IFS(
  AND(L2618&gt;=TIME(9,0,0), L2618&lt;TIME(16,0,0)),"Morning",
  AND(L2618&gt;=TIME(16,0,0), L2618&lt;TIME(23,59,0)),"Evening",
  L2618&gt;=TIME(23,59,0),"Night",
  L2618&lt;TIME(9,0,0),"Night"
))</f>
        <v/>
      </c>
      <c r="O2618" t="str">
        <f t="shared" si="242"/>
        <v/>
      </c>
    </row>
    <row r="2619" spans="7:15" x14ac:dyDescent="0.25">
      <c r="G2619" t="str">
        <f t="shared" si="240"/>
        <v/>
      </c>
      <c r="H2619" s="13" t="str">
        <f t="shared" si="243"/>
        <v/>
      </c>
      <c r="I2619" t="str">
        <f>IFERROR(INDEX(Analysis!$D$116:$N$137, MATCH(B2619, Analysis!$C$116:$C$137, 0), MATCH(C2619, Analysis!$D$115:$N$115, 0)), "")</f>
        <v/>
      </c>
      <c r="J2619" t="str">
        <f t="shared" si="244"/>
        <v/>
      </c>
      <c r="K2619" s="28" t="str">
        <f t="shared" si="241"/>
        <v/>
      </c>
      <c r="L2619" s="46" t="str">
        <f t="shared" si="245"/>
        <v/>
      </c>
      <c r="M2619" t="str" cm="1">
        <f t="array" ref="M2619">IF(L2619="","",_xlfn.IFS(
  AND(L2619&gt;=TIME(9,0,0), L2619&lt;TIME(16,0,0)),"Morning",
  AND(L2619&gt;=TIME(16,0,0), L2619&lt;TIME(23,59,0)),"Evening",
  L2619&gt;=TIME(23,59,0),"Night",
  L2619&lt;TIME(9,0,0),"Night"
))</f>
        <v/>
      </c>
      <c r="O2619" t="str">
        <f t="shared" si="242"/>
        <v/>
      </c>
    </row>
    <row r="2620" spans="7:15" x14ac:dyDescent="0.25">
      <c r="G2620" t="str">
        <f t="shared" si="240"/>
        <v/>
      </c>
      <c r="H2620" s="13" t="str">
        <f t="shared" si="243"/>
        <v/>
      </c>
      <c r="I2620" t="str">
        <f>IFERROR(INDEX(Analysis!$D$116:$N$137, MATCH(B2620, Analysis!$C$116:$C$137, 0), MATCH(C2620, Analysis!$D$115:$N$115, 0)), "")</f>
        <v/>
      </c>
      <c r="J2620" t="str">
        <f t="shared" si="244"/>
        <v/>
      </c>
      <c r="K2620" s="28" t="str">
        <f t="shared" si="241"/>
        <v/>
      </c>
      <c r="L2620" s="46" t="str">
        <f t="shared" si="245"/>
        <v/>
      </c>
      <c r="M2620" t="str" cm="1">
        <f t="array" ref="M2620">IF(L2620="","",_xlfn.IFS(
  AND(L2620&gt;=TIME(9,0,0), L2620&lt;TIME(16,0,0)),"Morning",
  AND(L2620&gt;=TIME(16,0,0), L2620&lt;TIME(23,59,0)),"Evening",
  L2620&gt;=TIME(23,59,0),"Night",
  L2620&lt;TIME(9,0,0),"Night"
))</f>
        <v/>
      </c>
      <c r="O2620" t="str">
        <f t="shared" si="242"/>
        <v/>
      </c>
    </row>
    <row r="2621" spans="7:15" x14ac:dyDescent="0.25">
      <c r="G2621" t="str">
        <f t="shared" si="240"/>
        <v/>
      </c>
      <c r="H2621" s="13" t="str">
        <f t="shared" si="243"/>
        <v/>
      </c>
      <c r="I2621" t="str">
        <f>IFERROR(INDEX(Analysis!$D$116:$N$137, MATCH(B2621, Analysis!$C$116:$C$137, 0), MATCH(C2621, Analysis!$D$115:$N$115, 0)), "")</f>
        <v/>
      </c>
      <c r="J2621" t="str">
        <f t="shared" si="244"/>
        <v/>
      </c>
      <c r="K2621" s="28" t="str">
        <f t="shared" si="241"/>
        <v/>
      </c>
      <c r="L2621" s="46" t="str">
        <f t="shared" si="245"/>
        <v/>
      </c>
      <c r="M2621" t="str" cm="1">
        <f t="array" ref="M2621">IF(L2621="","",_xlfn.IFS(
  AND(L2621&gt;=TIME(9,0,0), L2621&lt;TIME(16,0,0)),"Morning",
  AND(L2621&gt;=TIME(16,0,0), L2621&lt;TIME(23,59,0)),"Evening",
  L2621&gt;=TIME(23,59,0),"Night",
  L2621&lt;TIME(9,0,0),"Night"
))</f>
        <v/>
      </c>
      <c r="O2621" t="str">
        <f t="shared" si="242"/>
        <v/>
      </c>
    </row>
    <row r="2622" spans="7:15" x14ac:dyDescent="0.25">
      <c r="G2622" t="str">
        <f t="shared" si="240"/>
        <v/>
      </c>
      <c r="H2622" s="13" t="str">
        <f t="shared" si="243"/>
        <v/>
      </c>
      <c r="I2622" t="str">
        <f>IFERROR(INDEX(Analysis!$D$116:$N$137, MATCH(B2622, Analysis!$C$116:$C$137, 0), MATCH(C2622, Analysis!$D$115:$N$115, 0)), "")</f>
        <v/>
      </c>
      <c r="J2622" t="str">
        <f t="shared" si="244"/>
        <v/>
      </c>
      <c r="K2622" s="28" t="str">
        <f t="shared" si="241"/>
        <v/>
      </c>
      <c r="L2622" s="46" t="str">
        <f t="shared" si="245"/>
        <v/>
      </c>
      <c r="M2622" t="str" cm="1">
        <f t="array" ref="M2622">IF(L2622="","",_xlfn.IFS(
  AND(L2622&gt;=TIME(9,0,0), L2622&lt;TIME(16,0,0)),"Morning",
  AND(L2622&gt;=TIME(16,0,0), L2622&lt;TIME(23,59,0)),"Evening",
  L2622&gt;=TIME(23,59,0),"Night",
  L2622&lt;TIME(9,0,0),"Night"
))</f>
        <v/>
      </c>
      <c r="O2622" t="str">
        <f t="shared" si="242"/>
        <v/>
      </c>
    </row>
    <row r="2623" spans="7:15" x14ac:dyDescent="0.25">
      <c r="G2623" t="str">
        <f t="shared" si="240"/>
        <v/>
      </c>
      <c r="H2623" s="13" t="str">
        <f t="shared" si="243"/>
        <v/>
      </c>
      <c r="I2623" t="str">
        <f>IFERROR(INDEX(Analysis!$D$116:$N$137, MATCH(B2623, Analysis!$C$116:$C$137, 0), MATCH(C2623, Analysis!$D$115:$N$115, 0)), "")</f>
        <v/>
      </c>
      <c r="J2623" t="str">
        <f t="shared" si="244"/>
        <v/>
      </c>
      <c r="K2623" s="28" t="str">
        <f t="shared" si="241"/>
        <v/>
      </c>
      <c r="L2623" s="46" t="str">
        <f t="shared" si="245"/>
        <v/>
      </c>
      <c r="M2623" t="str" cm="1">
        <f t="array" ref="M2623">IF(L2623="","",_xlfn.IFS(
  AND(L2623&gt;=TIME(9,0,0), L2623&lt;TIME(16,0,0)),"Morning",
  AND(L2623&gt;=TIME(16,0,0), L2623&lt;TIME(23,59,0)),"Evening",
  L2623&gt;=TIME(23,59,0),"Night",
  L2623&lt;TIME(9,0,0),"Night"
))</f>
        <v/>
      </c>
      <c r="O2623" t="str">
        <f t="shared" si="242"/>
        <v/>
      </c>
    </row>
    <row r="2624" spans="7:15" x14ac:dyDescent="0.25">
      <c r="G2624" t="str">
        <f t="shared" si="240"/>
        <v/>
      </c>
      <c r="H2624" s="13" t="str">
        <f t="shared" si="243"/>
        <v/>
      </c>
      <c r="I2624" t="str">
        <f>IFERROR(INDEX(Analysis!$D$116:$N$137, MATCH(B2624, Analysis!$C$116:$C$137, 0), MATCH(C2624, Analysis!$D$115:$N$115, 0)), "")</f>
        <v/>
      </c>
      <c r="J2624" t="str">
        <f t="shared" si="244"/>
        <v/>
      </c>
      <c r="K2624" s="28" t="str">
        <f t="shared" si="241"/>
        <v/>
      </c>
      <c r="L2624" s="46" t="str">
        <f t="shared" si="245"/>
        <v/>
      </c>
      <c r="M2624" t="str" cm="1">
        <f t="array" ref="M2624">IF(L2624="","",_xlfn.IFS(
  AND(L2624&gt;=TIME(9,0,0), L2624&lt;TIME(16,0,0)),"Morning",
  AND(L2624&gt;=TIME(16,0,0), L2624&lt;TIME(23,59,0)),"Evening",
  L2624&gt;=TIME(23,59,0),"Night",
  L2624&lt;TIME(9,0,0),"Night"
))</f>
        <v/>
      </c>
      <c r="O2624" t="str">
        <f t="shared" si="242"/>
        <v/>
      </c>
    </row>
    <row r="2625" spans="7:15" x14ac:dyDescent="0.25">
      <c r="G2625" t="str">
        <f t="shared" si="240"/>
        <v/>
      </c>
      <c r="H2625" s="13" t="str">
        <f t="shared" si="243"/>
        <v/>
      </c>
      <c r="I2625" t="str">
        <f>IFERROR(INDEX(Analysis!$D$116:$N$137, MATCH(B2625, Analysis!$C$116:$C$137, 0), MATCH(C2625, Analysis!$D$115:$N$115, 0)), "")</f>
        <v/>
      </c>
      <c r="J2625" t="str">
        <f t="shared" si="244"/>
        <v/>
      </c>
      <c r="K2625" s="28" t="str">
        <f t="shared" si="241"/>
        <v/>
      </c>
      <c r="L2625" s="46" t="str">
        <f t="shared" si="245"/>
        <v/>
      </c>
      <c r="M2625" t="str" cm="1">
        <f t="array" ref="M2625">IF(L2625="","",_xlfn.IFS(
  AND(L2625&gt;=TIME(9,0,0), L2625&lt;TIME(16,0,0)),"Morning",
  AND(L2625&gt;=TIME(16,0,0), L2625&lt;TIME(23,59,0)),"Evening",
  L2625&gt;=TIME(23,59,0),"Night",
  L2625&lt;TIME(9,0,0),"Night"
))</f>
        <v/>
      </c>
      <c r="O2625" t="str">
        <f t="shared" si="242"/>
        <v/>
      </c>
    </row>
    <row r="2626" spans="7:15" x14ac:dyDescent="0.25">
      <c r="G2626" t="str">
        <f t="shared" ref="G2626:G2689" si="246">IF(ISBLANK(A2626), "", IF(ISBLANK(F2626), 0, F2626))</f>
        <v/>
      </c>
      <c r="H2626" s="13" t="str">
        <f t="shared" si="243"/>
        <v/>
      </c>
      <c r="I2626" t="str">
        <f>IFERROR(INDEX(Analysis!$D$116:$N$137, MATCH(B2626, Analysis!$C$116:$C$137, 0), MATCH(C2626, Analysis!$D$115:$N$115, 0)), "")</f>
        <v/>
      </c>
      <c r="J2626" t="str">
        <f t="shared" si="244"/>
        <v/>
      </c>
      <c r="K2626" s="28" t="str">
        <f t="shared" ref="K2626:K2689" si="247">IF(ISBLANK(A2626),"",DATE(YEAR(A2626),MONTH(A2626),DAY(A2626)))</f>
        <v/>
      </c>
      <c r="L2626" s="46" t="str">
        <f t="shared" si="245"/>
        <v/>
      </c>
      <c r="M2626" t="str" cm="1">
        <f t="array" ref="M2626">IF(L2626="","",_xlfn.IFS(
  AND(L2626&gt;=TIME(9,0,0), L2626&lt;TIME(16,0,0)),"Morning",
  AND(L2626&gt;=TIME(16,0,0), L2626&lt;TIME(23,59,0)),"Evening",
  L2626&gt;=TIME(23,59,0),"Night",
  L2626&lt;TIME(9,0,0),"Night"
))</f>
        <v/>
      </c>
      <c r="O2626" t="str">
        <f t="shared" ref="O2626:O2689" si="248">IF(N2626="ON", _xlfn.IMAGE(E2626, 1), "")</f>
        <v/>
      </c>
    </row>
    <row r="2627" spans="7:15" x14ac:dyDescent="0.25">
      <c r="G2627" t="str">
        <f t="shared" si="246"/>
        <v/>
      </c>
      <c r="H2627" s="13" t="str">
        <f t="shared" ref="H2627:H2690" si="249">IF(ISBLANK(E2627),"",HYPERLINK(E2627,"Click here"))</f>
        <v/>
      </c>
      <c r="I2627" t="str">
        <f>IFERROR(INDEX(Analysis!$D$116:$N$137, MATCH(B2627, Analysis!$C$116:$C$137, 0), MATCH(C2627, Analysis!$D$115:$N$115, 0)), "")</f>
        <v/>
      </c>
      <c r="J2627" t="str">
        <f t="shared" ref="J2627:J2690" si="250">IF(ISBLANK(A2627),"",WEEKNUM(A2627))</f>
        <v/>
      </c>
      <c r="K2627" s="28" t="str">
        <f t="shared" si="247"/>
        <v/>
      </c>
      <c r="L2627" s="46" t="str">
        <f t="shared" ref="L2627:L2690" si="251">IF(A2627="", "", A2627 - INT(A2627))</f>
        <v/>
      </c>
      <c r="M2627" t="str" cm="1">
        <f t="array" ref="M2627">IF(L2627="","",_xlfn.IFS(
  AND(L2627&gt;=TIME(9,0,0), L2627&lt;TIME(16,0,0)),"Morning",
  AND(L2627&gt;=TIME(16,0,0), L2627&lt;TIME(23,59,0)),"Evening",
  L2627&gt;=TIME(23,59,0),"Night",
  L2627&lt;TIME(9,0,0),"Night"
))</f>
        <v/>
      </c>
      <c r="O2627" t="str">
        <f t="shared" si="248"/>
        <v/>
      </c>
    </row>
    <row r="2628" spans="7:15" x14ac:dyDescent="0.25">
      <c r="G2628" t="str">
        <f t="shared" si="246"/>
        <v/>
      </c>
      <c r="H2628" s="13" t="str">
        <f t="shared" si="249"/>
        <v/>
      </c>
      <c r="I2628" t="str">
        <f>IFERROR(INDEX(Analysis!$D$116:$N$137, MATCH(B2628, Analysis!$C$116:$C$137, 0), MATCH(C2628, Analysis!$D$115:$N$115, 0)), "")</f>
        <v/>
      </c>
      <c r="J2628" t="str">
        <f t="shared" si="250"/>
        <v/>
      </c>
      <c r="K2628" s="28" t="str">
        <f t="shared" si="247"/>
        <v/>
      </c>
      <c r="L2628" s="46" t="str">
        <f t="shared" si="251"/>
        <v/>
      </c>
      <c r="M2628" t="str" cm="1">
        <f t="array" ref="M2628">IF(L2628="","",_xlfn.IFS(
  AND(L2628&gt;=TIME(9,0,0), L2628&lt;TIME(16,0,0)),"Morning",
  AND(L2628&gt;=TIME(16,0,0), L2628&lt;TIME(23,59,0)),"Evening",
  L2628&gt;=TIME(23,59,0),"Night",
  L2628&lt;TIME(9,0,0),"Night"
))</f>
        <v/>
      </c>
      <c r="O2628" t="str">
        <f t="shared" si="248"/>
        <v/>
      </c>
    </row>
    <row r="2629" spans="7:15" x14ac:dyDescent="0.25">
      <c r="G2629" t="str">
        <f t="shared" si="246"/>
        <v/>
      </c>
      <c r="H2629" s="13" t="str">
        <f t="shared" si="249"/>
        <v/>
      </c>
      <c r="I2629" t="str">
        <f>IFERROR(INDEX(Analysis!$D$116:$N$137, MATCH(B2629, Analysis!$C$116:$C$137, 0), MATCH(C2629, Analysis!$D$115:$N$115, 0)), "")</f>
        <v/>
      </c>
      <c r="J2629" t="str">
        <f t="shared" si="250"/>
        <v/>
      </c>
      <c r="K2629" s="28" t="str">
        <f t="shared" si="247"/>
        <v/>
      </c>
      <c r="L2629" s="46" t="str">
        <f t="shared" si="251"/>
        <v/>
      </c>
      <c r="M2629" t="str" cm="1">
        <f t="array" ref="M2629">IF(L2629="","",_xlfn.IFS(
  AND(L2629&gt;=TIME(9,0,0), L2629&lt;TIME(16,0,0)),"Morning",
  AND(L2629&gt;=TIME(16,0,0), L2629&lt;TIME(23,59,0)),"Evening",
  L2629&gt;=TIME(23,59,0),"Night",
  L2629&lt;TIME(9,0,0),"Night"
))</f>
        <v/>
      </c>
      <c r="O2629" t="str">
        <f t="shared" si="248"/>
        <v/>
      </c>
    </row>
    <row r="2630" spans="7:15" x14ac:dyDescent="0.25">
      <c r="G2630" t="str">
        <f t="shared" si="246"/>
        <v/>
      </c>
      <c r="H2630" s="13" t="str">
        <f t="shared" si="249"/>
        <v/>
      </c>
      <c r="I2630" t="str">
        <f>IFERROR(INDEX(Analysis!$D$116:$N$137, MATCH(B2630, Analysis!$C$116:$C$137, 0), MATCH(C2630, Analysis!$D$115:$N$115, 0)), "")</f>
        <v/>
      </c>
      <c r="J2630" t="str">
        <f t="shared" si="250"/>
        <v/>
      </c>
      <c r="K2630" s="28" t="str">
        <f t="shared" si="247"/>
        <v/>
      </c>
      <c r="L2630" s="46" t="str">
        <f t="shared" si="251"/>
        <v/>
      </c>
      <c r="M2630" t="str" cm="1">
        <f t="array" ref="M2630">IF(L2630="","",_xlfn.IFS(
  AND(L2630&gt;=TIME(9,0,0), L2630&lt;TIME(16,0,0)),"Morning",
  AND(L2630&gt;=TIME(16,0,0), L2630&lt;TIME(23,59,0)),"Evening",
  L2630&gt;=TIME(23,59,0),"Night",
  L2630&lt;TIME(9,0,0),"Night"
))</f>
        <v/>
      </c>
      <c r="O2630" t="str">
        <f t="shared" si="248"/>
        <v/>
      </c>
    </row>
    <row r="2631" spans="7:15" x14ac:dyDescent="0.25">
      <c r="G2631" t="str">
        <f t="shared" si="246"/>
        <v/>
      </c>
      <c r="H2631" s="13" t="str">
        <f t="shared" si="249"/>
        <v/>
      </c>
      <c r="I2631" t="str">
        <f>IFERROR(INDEX(Analysis!$D$116:$N$137, MATCH(B2631, Analysis!$C$116:$C$137, 0), MATCH(C2631, Analysis!$D$115:$N$115, 0)), "")</f>
        <v/>
      </c>
      <c r="J2631" t="str">
        <f t="shared" si="250"/>
        <v/>
      </c>
      <c r="K2631" s="28" t="str">
        <f t="shared" si="247"/>
        <v/>
      </c>
      <c r="L2631" s="46" t="str">
        <f t="shared" si="251"/>
        <v/>
      </c>
      <c r="M2631" t="str" cm="1">
        <f t="array" ref="M2631">IF(L2631="","",_xlfn.IFS(
  AND(L2631&gt;=TIME(9,0,0), L2631&lt;TIME(16,0,0)),"Morning",
  AND(L2631&gt;=TIME(16,0,0), L2631&lt;TIME(23,59,0)),"Evening",
  L2631&gt;=TIME(23,59,0),"Night",
  L2631&lt;TIME(9,0,0),"Night"
))</f>
        <v/>
      </c>
      <c r="O2631" t="str">
        <f t="shared" si="248"/>
        <v/>
      </c>
    </row>
    <row r="2632" spans="7:15" x14ac:dyDescent="0.25">
      <c r="G2632" t="str">
        <f t="shared" si="246"/>
        <v/>
      </c>
      <c r="H2632" s="13" t="str">
        <f t="shared" si="249"/>
        <v/>
      </c>
      <c r="I2632" t="str">
        <f>IFERROR(INDEX(Analysis!$D$116:$N$137, MATCH(B2632, Analysis!$C$116:$C$137, 0), MATCH(C2632, Analysis!$D$115:$N$115, 0)), "")</f>
        <v/>
      </c>
      <c r="J2632" t="str">
        <f t="shared" si="250"/>
        <v/>
      </c>
      <c r="K2632" s="28" t="str">
        <f t="shared" si="247"/>
        <v/>
      </c>
      <c r="L2632" s="46" t="str">
        <f t="shared" si="251"/>
        <v/>
      </c>
      <c r="M2632" t="str" cm="1">
        <f t="array" ref="M2632">IF(L2632="","",_xlfn.IFS(
  AND(L2632&gt;=TIME(9,0,0), L2632&lt;TIME(16,0,0)),"Morning",
  AND(L2632&gt;=TIME(16,0,0), L2632&lt;TIME(23,59,0)),"Evening",
  L2632&gt;=TIME(23,59,0),"Night",
  L2632&lt;TIME(9,0,0),"Night"
))</f>
        <v/>
      </c>
      <c r="O2632" t="str">
        <f t="shared" si="248"/>
        <v/>
      </c>
    </row>
    <row r="2633" spans="7:15" x14ac:dyDescent="0.25">
      <c r="G2633" t="str">
        <f t="shared" si="246"/>
        <v/>
      </c>
      <c r="H2633" s="13" t="str">
        <f t="shared" si="249"/>
        <v/>
      </c>
      <c r="I2633" t="str">
        <f>IFERROR(INDEX(Analysis!$D$116:$N$137, MATCH(B2633, Analysis!$C$116:$C$137, 0), MATCH(C2633, Analysis!$D$115:$N$115, 0)), "")</f>
        <v/>
      </c>
      <c r="J2633" t="str">
        <f t="shared" si="250"/>
        <v/>
      </c>
      <c r="K2633" s="28" t="str">
        <f t="shared" si="247"/>
        <v/>
      </c>
      <c r="L2633" s="46" t="str">
        <f t="shared" si="251"/>
        <v/>
      </c>
      <c r="M2633" t="str" cm="1">
        <f t="array" ref="M2633">IF(L2633="","",_xlfn.IFS(
  AND(L2633&gt;=TIME(9,0,0), L2633&lt;TIME(16,0,0)),"Morning",
  AND(L2633&gt;=TIME(16,0,0), L2633&lt;TIME(23,59,0)),"Evening",
  L2633&gt;=TIME(23,59,0),"Night",
  L2633&lt;TIME(9,0,0),"Night"
))</f>
        <v/>
      </c>
      <c r="O2633" t="str">
        <f t="shared" si="248"/>
        <v/>
      </c>
    </row>
    <row r="2634" spans="7:15" x14ac:dyDescent="0.25">
      <c r="G2634" t="str">
        <f t="shared" si="246"/>
        <v/>
      </c>
      <c r="H2634" s="13" t="str">
        <f t="shared" si="249"/>
        <v/>
      </c>
      <c r="I2634" t="str">
        <f>IFERROR(INDEX(Analysis!$D$116:$N$137, MATCH(B2634, Analysis!$C$116:$C$137, 0), MATCH(C2634, Analysis!$D$115:$N$115, 0)), "")</f>
        <v/>
      </c>
      <c r="J2634" t="str">
        <f t="shared" si="250"/>
        <v/>
      </c>
      <c r="K2634" s="28" t="str">
        <f t="shared" si="247"/>
        <v/>
      </c>
      <c r="L2634" s="46" t="str">
        <f t="shared" si="251"/>
        <v/>
      </c>
      <c r="M2634" t="str" cm="1">
        <f t="array" ref="M2634">IF(L2634="","",_xlfn.IFS(
  AND(L2634&gt;=TIME(9,0,0), L2634&lt;TIME(16,0,0)),"Morning",
  AND(L2634&gt;=TIME(16,0,0), L2634&lt;TIME(23,59,0)),"Evening",
  L2634&gt;=TIME(23,59,0),"Night",
  L2634&lt;TIME(9,0,0),"Night"
))</f>
        <v/>
      </c>
      <c r="O2634" t="str">
        <f t="shared" si="248"/>
        <v/>
      </c>
    </row>
    <row r="2635" spans="7:15" x14ac:dyDescent="0.25">
      <c r="G2635" t="str">
        <f t="shared" si="246"/>
        <v/>
      </c>
      <c r="H2635" s="13" t="str">
        <f t="shared" si="249"/>
        <v/>
      </c>
      <c r="I2635" t="str">
        <f>IFERROR(INDEX(Analysis!$D$116:$N$137, MATCH(B2635, Analysis!$C$116:$C$137, 0), MATCH(C2635, Analysis!$D$115:$N$115, 0)), "")</f>
        <v/>
      </c>
      <c r="J2635" t="str">
        <f t="shared" si="250"/>
        <v/>
      </c>
      <c r="K2635" s="28" t="str">
        <f t="shared" si="247"/>
        <v/>
      </c>
      <c r="L2635" s="46" t="str">
        <f t="shared" si="251"/>
        <v/>
      </c>
      <c r="M2635" t="str" cm="1">
        <f t="array" ref="M2635">IF(L2635="","",_xlfn.IFS(
  AND(L2635&gt;=TIME(9,0,0), L2635&lt;TIME(16,0,0)),"Morning",
  AND(L2635&gt;=TIME(16,0,0), L2635&lt;TIME(23,59,0)),"Evening",
  L2635&gt;=TIME(23,59,0),"Night",
  L2635&lt;TIME(9,0,0),"Night"
))</f>
        <v/>
      </c>
      <c r="O2635" t="str">
        <f t="shared" si="248"/>
        <v/>
      </c>
    </row>
    <row r="2636" spans="7:15" x14ac:dyDescent="0.25">
      <c r="G2636" t="str">
        <f t="shared" si="246"/>
        <v/>
      </c>
      <c r="H2636" s="13" t="str">
        <f t="shared" si="249"/>
        <v/>
      </c>
      <c r="I2636" t="str">
        <f>IFERROR(INDEX(Analysis!$D$116:$N$137, MATCH(B2636, Analysis!$C$116:$C$137, 0), MATCH(C2636, Analysis!$D$115:$N$115, 0)), "")</f>
        <v/>
      </c>
      <c r="J2636" t="str">
        <f t="shared" si="250"/>
        <v/>
      </c>
      <c r="K2636" s="28" t="str">
        <f t="shared" si="247"/>
        <v/>
      </c>
      <c r="L2636" s="46" t="str">
        <f t="shared" si="251"/>
        <v/>
      </c>
      <c r="M2636" t="str" cm="1">
        <f t="array" ref="M2636">IF(L2636="","",_xlfn.IFS(
  AND(L2636&gt;=TIME(9,0,0), L2636&lt;TIME(16,0,0)),"Morning",
  AND(L2636&gt;=TIME(16,0,0), L2636&lt;TIME(23,59,0)),"Evening",
  L2636&gt;=TIME(23,59,0),"Night",
  L2636&lt;TIME(9,0,0),"Night"
))</f>
        <v/>
      </c>
      <c r="O2636" t="str">
        <f t="shared" si="248"/>
        <v/>
      </c>
    </row>
    <row r="2637" spans="7:15" x14ac:dyDescent="0.25">
      <c r="G2637" t="str">
        <f t="shared" si="246"/>
        <v/>
      </c>
      <c r="H2637" s="13" t="str">
        <f t="shared" si="249"/>
        <v/>
      </c>
      <c r="I2637" t="str">
        <f>IFERROR(INDEX(Analysis!$D$116:$N$137, MATCH(B2637, Analysis!$C$116:$C$137, 0), MATCH(C2637, Analysis!$D$115:$N$115, 0)), "")</f>
        <v/>
      </c>
      <c r="J2637" t="str">
        <f t="shared" si="250"/>
        <v/>
      </c>
      <c r="K2637" s="28" t="str">
        <f t="shared" si="247"/>
        <v/>
      </c>
      <c r="L2637" s="46" t="str">
        <f t="shared" si="251"/>
        <v/>
      </c>
      <c r="M2637" t="str" cm="1">
        <f t="array" ref="M2637">IF(L2637="","",_xlfn.IFS(
  AND(L2637&gt;=TIME(9,0,0), L2637&lt;TIME(16,0,0)),"Morning",
  AND(L2637&gt;=TIME(16,0,0), L2637&lt;TIME(23,59,0)),"Evening",
  L2637&gt;=TIME(23,59,0),"Night",
  L2637&lt;TIME(9,0,0),"Night"
))</f>
        <v/>
      </c>
      <c r="O2637" t="str">
        <f t="shared" si="248"/>
        <v/>
      </c>
    </row>
    <row r="2638" spans="7:15" x14ac:dyDescent="0.25">
      <c r="G2638" t="str">
        <f t="shared" si="246"/>
        <v/>
      </c>
      <c r="H2638" s="13" t="str">
        <f t="shared" si="249"/>
        <v/>
      </c>
      <c r="I2638" t="str">
        <f>IFERROR(INDEX(Analysis!$D$116:$N$137, MATCH(B2638, Analysis!$C$116:$C$137, 0), MATCH(C2638, Analysis!$D$115:$N$115, 0)), "")</f>
        <v/>
      </c>
      <c r="J2638" t="str">
        <f t="shared" si="250"/>
        <v/>
      </c>
      <c r="K2638" s="28" t="str">
        <f t="shared" si="247"/>
        <v/>
      </c>
      <c r="L2638" s="46" t="str">
        <f t="shared" si="251"/>
        <v/>
      </c>
      <c r="M2638" t="str" cm="1">
        <f t="array" ref="M2638">IF(L2638="","",_xlfn.IFS(
  AND(L2638&gt;=TIME(9,0,0), L2638&lt;TIME(16,0,0)),"Morning",
  AND(L2638&gt;=TIME(16,0,0), L2638&lt;TIME(23,59,0)),"Evening",
  L2638&gt;=TIME(23,59,0),"Night",
  L2638&lt;TIME(9,0,0),"Night"
))</f>
        <v/>
      </c>
      <c r="O2638" t="str">
        <f t="shared" si="248"/>
        <v/>
      </c>
    </row>
    <row r="2639" spans="7:15" x14ac:dyDescent="0.25">
      <c r="G2639" t="str">
        <f t="shared" si="246"/>
        <v/>
      </c>
      <c r="H2639" s="13" t="str">
        <f t="shared" si="249"/>
        <v/>
      </c>
      <c r="I2639" t="str">
        <f>IFERROR(INDEX(Analysis!$D$116:$N$137, MATCH(B2639, Analysis!$C$116:$C$137, 0), MATCH(C2639, Analysis!$D$115:$N$115, 0)), "")</f>
        <v/>
      </c>
      <c r="J2639" t="str">
        <f t="shared" si="250"/>
        <v/>
      </c>
      <c r="K2639" s="28" t="str">
        <f t="shared" si="247"/>
        <v/>
      </c>
      <c r="L2639" s="46" t="str">
        <f t="shared" si="251"/>
        <v/>
      </c>
      <c r="M2639" t="str" cm="1">
        <f t="array" ref="M2639">IF(L2639="","",_xlfn.IFS(
  AND(L2639&gt;=TIME(9,0,0), L2639&lt;TIME(16,0,0)),"Morning",
  AND(L2639&gt;=TIME(16,0,0), L2639&lt;TIME(23,59,0)),"Evening",
  L2639&gt;=TIME(23,59,0),"Night",
  L2639&lt;TIME(9,0,0),"Night"
))</f>
        <v/>
      </c>
      <c r="O2639" t="str">
        <f t="shared" si="248"/>
        <v/>
      </c>
    </row>
    <row r="2640" spans="7:15" x14ac:dyDescent="0.25">
      <c r="G2640" t="str">
        <f t="shared" si="246"/>
        <v/>
      </c>
      <c r="H2640" s="13" t="str">
        <f t="shared" si="249"/>
        <v/>
      </c>
      <c r="I2640" t="str">
        <f>IFERROR(INDEX(Analysis!$D$116:$N$137, MATCH(B2640, Analysis!$C$116:$C$137, 0), MATCH(C2640, Analysis!$D$115:$N$115, 0)), "")</f>
        <v/>
      </c>
      <c r="J2640" t="str">
        <f t="shared" si="250"/>
        <v/>
      </c>
      <c r="K2640" s="28" t="str">
        <f t="shared" si="247"/>
        <v/>
      </c>
      <c r="L2640" s="46" t="str">
        <f t="shared" si="251"/>
        <v/>
      </c>
      <c r="M2640" t="str" cm="1">
        <f t="array" ref="M2640">IF(L2640="","",_xlfn.IFS(
  AND(L2640&gt;=TIME(9,0,0), L2640&lt;TIME(16,0,0)),"Morning",
  AND(L2640&gt;=TIME(16,0,0), L2640&lt;TIME(23,59,0)),"Evening",
  L2640&gt;=TIME(23,59,0),"Night",
  L2640&lt;TIME(9,0,0),"Night"
))</f>
        <v/>
      </c>
      <c r="O2640" t="str">
        <f t="shared" si="248"/>
        <v/>
      </c>
    </row>
    <row r="2641" spans="7:15" x14ac:dyDescent="0.25">
      <c r="G2641" t="str">
        <f t="shared" si="246"/>
        <v/>
      </c>
      <c r="H2641" s="13" t="str">
        <f t="shared" si="249"/>
        <v/>
      </c>
      <c r="I2641" t="str">
        <f>IFERROR(INDEX(Analysis!$D$116:$N$137, MATCH(B2641, Analysis!$C$116:$C$137, 0), MATCH(C2641, Analysis!$D$115:$N$115, 0)), "")</f>
        <v/>
      </c>
      <c r="J2641" t="str">
        <f t="shared" si="250"/>
        <v/>
      </c>
      <c r="K2641" s="28" t="str">
        <f t="shared" si="247"/>
        <v/>
      </c>
      <c r="L2641" s="46" t="str">
        <f t="shared" si="251"/>
        <v/>
      </c>
      <c r="M2641" t="str" cm="1">
        <f t="array" ref="M2641">IF(L2641="","",_xlfn.IFS(
  AND(L2641&gt;=TIME(9,0,0), L2641&lt;TIME(16,0,0)),"Morning",
  AND(L2641&gt;=TIME(16,0,0), L2641&lt;TIME(23,59,0)),"Evening",
  L2641&gt;=TIME(23,59,0),"Night",
  L2641&lt;TIME(9,0,0),"Night"
))</f>
        <v/>
      </c>
      <c r="O2641" t="str">
        <f t="shared" si="248"/>
        <v/>
      </c>
    </row>
    <row r="2642" spans="7:15" x14ac:dyDescent="0.25">
      <c r="G2642" t="str">
        <f t="shared" si="246"/>
        <v/>
      </c>
      <c r="H2642" s="13" t="str">
        <f t="shared" si="249"/>
        <v/>
      </c>
      <c r="I2642" t="str">
        <f>IFERROR(INDEX(Analysis!$D$116:$N$137, MATCH(B2642, Analysis!$C$116:$C$137, 0), MATCH(C2642, Analysis!$D$115:$N$115, 0)), "")</f>
        <v/>
      </c>
      <c r="J2642" t="str">
        <f t="shared" si="250"/>
        <v/>
      </c>
      <c r="K2642" s="28" t="str">
        <f t="shared" si="247"/>
        <v/>
      </c>
      <c r="L2642" s="46" t="str">
        <f t="shared" si="251"/>
        <v/>
      </c>
      <c r="M2642" t="str" cm="1">
        <f t="array" ref="M2642">IF(L2642="","",_xlfn.IFS(
  AND(L2642&gt;=TIME(9,0,0), L2642&lt;TIME(16,0,0)),"Morning",
  AND(L2642&gt;=TIME(16,0,0), L2642&lt;TIME(23,59,0)),"Evening",
  L2642&gt;=TIME(23,59,0),"Night",
  L2642&lt;TIME(9,0,0),"Night"
))</f>
        <v/>
      </c>
      <c r="O2642" t="str">
        <f t="shared" si="248"/>
        <v/>
      </c>
    </row>
    <row r="2643" spans="7:15" x14ac:dyDescent="0.25">
      <c r="G2643" t="str">
        <f t="shared" si="246"/>
        <v/>
      </c>
      <c r="H2643" s="13" t="str">
        <f t="shared" si="249"/>
        <v/>
      </c>
      <c r="I2643" t="str">
        <f>IFERROR(INDEX(Analysis!$D$116:$N$137, MATCH(B2643, Analysis!$C$116:$C$137, 0), MATCH(C2643, Analysis!$D$115:$N$115, 0)), "")</f>
        <v/>
      </c>
      <c r="J2643" t="str">
        <f t="shared" si="250"/>
        <v/>
      </c>
      <c r="K2643" s="28" t="str">
        <f t="shared" si="247"/>
        <v/>
      </c>
      <c r="L2643" s="46" t="str">
        <f t="shared" si="251"/>
        <v/>
      </c>
      <c r="M2643" t="str" cm="1">
        <f t="array" ref="M2643">IF(L2643="","",_xlfn.IFS(
  AND(L2643&gt;=TIME(9,0,0), L2643&lt;TIME(16,0,0)),"Morning",
  AND(L2643&gt;=TIME(16,0,0), L2643&lt;TIME(23,59,0)),"Evening",
  L2643&gt;=TIME(23,59,0),"Night",
  L2643&lt;TIME(9,0,0),"Night"
))</f>
        <v/>
      </c>
      <c r="O2643" t="str">
        <f t="shared" si="248"/>
        <v/>
      </c>
    </row>
    <row r="2644" spans="7:15" x14ac:dyDescent="0.25">
      <c r="G2644" t="str">
        <f t="shared" si="246"/>
        <v/>
      </c>
      <c r="H2644" s="13" t="str">
        <f t="shared" si="249"/>
        <v/>
      </c>
      <c r="I2644" t="str">
        <f>IFERROR(INDEX(Analysis!$D$116:$N$137, MATCH(B2644, Analysis!$C$116:$C$137, 0), MATCH(C2644, Analysis!$D$115:$N$115, 0)), "")</f>
        <v/>
      </c>
      <c r="J2644" t="str">
        <f t="shared" si="250"/>
        <v/>
      </c>
      <c r="K2644" s="28" t="str">
        <f t="shared" si="247"/>
        <v/>
      </c>
      <c r="L2644" s="46" t="str">
        <f t="shared" si="251"/>
        <v/>
      </c>
      <c r="M2644" t="str" cm="1">
        <f t="array" ref="M2644">IF(L2644="","",_xlfn.IFS(
  AND(L2644&gt;=TIME(9,0,0), L2644&lt;TIME(16,0,0)),"Morning",
  AND(L2644&gt;=TIME(16,0,0), L2644&lt;TIME(23,59,0)),"Evening",
  L2644&gt;=TIME(23,59,0),"Night",
  L2644&lt;TIME(9,0,0),"Night"
))</f>
        <v/>
      </c>
      <c r="O2644" t="str">
        <f t="shared" si="248"/>
        <v/>
      </c>
    </row>
    <row r="2645" spans="7:15" x14ac:dyDescent="0.25">
      <c r="G2645" t="str">
        <f t="shared" si="246"/>
        <v/>
      </c>
      <c r="H2645" s="13" t="str">
        <f t="shared" si="249"/>
        <v/>
      </c>
      <c r="I2645" t="str">
        <f>IFERROR(INDEX(Analysis!$D$116:$N$137, MATCH(B2645, Analysis!$C$116:$C$137, 0), MATCH(C2645, Analysis!$D$115:$N$115, 0)), "")</f>
        <v/>
      </c>
      <c r="J2645" t="str">
        <f t="shared" si="250"/>
        <v/>
      </c>
      <c r="K2645" s="28" t="str">
        <f t="shared" si="247"/>
        <v/>
      </c>
      <c r="L2645" s="46" t="str">
        <f t="shared" si="251"/>
        <v/>
      </c>
      <c r="M2645" t="str" cm="1">
        <f t="array" ref="M2645">IF(L2645="","",_xlfn.IFS(
  AND(L2645&gt;=TIME(9,0,0), L2645&lt;TIME(16,0,0)),"Morning",
  AND(L2645&gt;=TIME(16,0,0), L2645&lt;TIME(23,59,0)),"Evening",
  L2645&gt;=TIME(23,59,0),"Night",
  L2645&lt;TIME(9,0,0),"Night"
))</f>
        <v/>
      </c>
      <c r="O2645" t="str">
        <f t="shared" si="248"/>
        <v/>
      </c>
    </row>
    <row r="2646" spans="7:15" x14ac:dyDescent="0.25">
      <c r="G2646" t="str">
        <f t="shared" si="246"/>
        <v/>
      </c>
      <c r="H2646" s="13" t="str">
        <f t="shared" si="249"/>
        <v/>
      </c>
      <c r="I2646" t="str">
        <f>IFERROR(INDEX(Analysis!$D$116:$N$137, MATCH(B2646, Analysis!$C$116:$C$137, 0), MATCH(C2646, Analysis!$D$115:$N$115, 0)), "")</f>
        <v/>
      </c>
      <c r="J2646" t="str">
        <f t="shared" si="250"/>
        <v/>
      </c>
      <c r="K2646" s="28" t="str">
        <f t="shared" si="247"/>
        <v/>
      </c>
      <c r="L2646" s="46" t="str">
        <f t="shared" si="251"/>
        <v/>
      </c>
      <c r="M2646" t="str" cm="1">
        <f t="array" ref="M2646">IF(L2646="","",_xlfn.IFS(
  AND(L2646&gt;=TIME(9,0,0), L2646&lt;TIME(16,0,0)),"Morning",
  AND(L2646&gt;=TIME(16,0,0), L2646&lt;TIME(23,59,0)),"Evening",
  L2646&gt;=TIME(23,59,0),"Night",
  L2646&lt;TIME(9,0,0),"Night"
))</f>
        <v/>
      </c>
      <c r="O2646" t="str">
        <f t="shared" si="248"/>
        <v/>
      </c>
    </row>
    <row r="2647" spans="7:15" x14ac:dyDescent="0.25">
      <c r="G2647" t="str">
        <f t="shared" si="246"/>
        <v/>
      </c>
      <c r="H2647" s="13" t="str">
        <f t="shared" si="249"/>
        <v/>
      </c>
      <c r="I2647" t="str">
        <f>IFERROR(INDEX(Analysis!$D$116:$N$137, MATCH(B2647, Analysis!$C$116:$C$137, 0), MATCH(C2647, Analysis!$D$115:$N$115, 0)), "")</f>
        <v/>
      </c>
      <c r="J2647" t="str">
        <f t="shared" si="250"/>
        <v/>
      </c>
      <c r="K2647" s="28" t="str">
        <f t="shared" si="247"/>
        <v/>
      </c>
      <c r="L2647" s="46" t="str">
        <f t="shared" si="251"/>
        <v/>
      </c>
      <c r="M2647" t="str" cm="1">
        <f t="array" ref="M2647">IF(L2647="","",_xlfn.IFS(
  AND(L2647&gt;=TIME(9,0,0), L2647&lt;TIME(16,0,0)),"Morning",
  AND(L2647&gt;=TIME(16,0,0), L2647&lt;TIME(23,59,0)),"Evening",
  L2647&gt;=TIME(23,59,0),"Night",
  L2647&lt;TIME(9,0,0),"Night"
))</f>
        <v/>
      </c>
      <c r="O2647" t="str">
        <f t="shared" si="248"/>
        <v/>
      </c>
    </row>
    <row r="2648" spans="7:15" x14ac:dyDescent="0.25">
      <c r="G2648" t="str">
        <f t="shared" si="246"/>
        <v/>
      </c>
      <c r="H2648" s="13" t="str">
        <f t="shared" si="249"/>
        <v/>
      </c>
      <c r="I2648" t="str">
        <f>IFERROR(INDEX(Analysis!$D$116:$N$137, MATCH(B2648, Analysis!$C$116:$C$137, 0), MATCH(C2648, Analysis!$D$115:$N$115, 0)), "")</f>
        <v/>
      </c>
      <c r="J2648" t="str">
        <f t="shared" si="250"/>
        <v/>
      </c>
      <c r="K2648" s="28" t="str">
        <f t="shared" si="247"/>
        <v/>
      </c>
      <c r="L2648" s="46" t="str">
        <f t="shared" si="251"/>
        <v/>
      </c>
      <c r="M2648" t="str" cm="1">
        <f t="array" ref="M2648">IF(L2648="","",_xlfn.IFS(
  AND(L2648&gt;=TIME(9,0,0), L2648&lt;TIME(16,0,0)),"Morning",
  AND(L2648&gt;=TIME(16,0,0), L2648&lt;TIME(23,59,0)),"Evening",
  L2648&gt;=TIME(23,59,0),"Night",
  L2648&lt;TIME(9,0,0),"Night"
))</f>
        <v/>
      </c>
      <c r="O2648" t="str">
        <f t="shared" si="248"/>
        <v/>
      </c>
    </row>
    <row r="2649" spans="7:15" x14ac:dyDescent="0.25">
      <c r="G2649" t="str">
        <f t="shared" si="246"/>
        <v/>
      </c>
      <c r="H2649" s="13" t="str">
        <f t="shared" si="249"/>
        <v/>
      </c>
      <c r="I2649" t="str">
        <f>IFERROR(INDEX(Analysis!$D$116:$N$137, MATCH(B2649, Analysis!$C$116:$C$137, 0), MATCH(C2649, Analysis!$D$115:$N$115, 0)), "")</f>
        <v/>
      </c>
      <c r="J2649" t="str">
        <f t="shared" si="250"/>
        <v/>
      </c>
      <c r="K2649" s="28" t="str">
        <f t="shared" si="247"/>
        <v/>
      </c>
      <c r="L2649" s="46" t="str">
        <f t="shared" si="251"/>
        <v/>
      </c>
      <c r="M2649" t="str" cm="1">
        <f t="array" ref="M2649">IF(L2649="","",_xlfn.IFS(
  AND(L2649&gt;=TIME(9,0,0), L2649&lt;TIME(16,0,0)),"Morning",
  AND(L2649&gt;=TIME(16,0,0), L2649&lt;TIME(23,59,0)),"Evening",
  L2649&gt;=TIME(23,59,0),"Night",
  L2649&lt;TIME(9,0,0),"Night"
))</f>
        <v/>
      </c>
      <c r="O2649" t="str">
        <f t="shared" si="248"/>
        <v/>
      </c>
    </row>
    <row r="2650" spans="7:15" x14ac:dyDescent="0.25">
      <c r="G2650" t="str">
        <f t="shared" si="246"/>
        <v/>
      </c>
      <c r="H2650" s="13" t="str">
        <f t="shared" si="249"/>
        <v/>
      </c>
      <c r="I2650" t="str">
        <f>IFERROR(INDEX(Analysis!$D$116:$N$137, MATCH(B2650, Analysis!$C$116:$C$137, 0), MATCH(C2650, Analysis!$D$115:$N$115, 0)), "")</f>
        <v/>
      </c>
      <c r="J2650" t="str">
        <f t="shared" si="250"/>
        <v/>
      </c>
      <c r="K2650" s="28" t="str">
        <f t="shared" si="247"/>
        <v/>
      </c>
      <c r="L2650" s="46" t="str">
        <f t="shared" si="251"/>
        <v/>
      </c>
      <c r="M2650" t="str" cm="1">
        <f t="array" ref="M2650">IF(L2650="","",_xlfn.IFS(
  AND(L2650&gt;=TIME(9,0,0), L2650&lt;TIME(16,0,0)),"Morning",
  AND(L2650&gt;=TIME(16,0,0), L2650&lt;TIME(23,59,0)),"Evening",
  L2650&gt;=TIME(23,59,0),"Night",
  L2650&lt;TIME(9,0,0),"Night"
))</f>
        <v/>
      </c>
      <c r="O2650" t="str">
        <f t="shared" si="248"/>
        <v/>
      </c>
    </row>
    <row r="2651" spans="7:15" x14ac:dyDescent="0.25">
      <c r="G2651" t="str">
        <f t="shared" si="246"/>
        <v/>
      </c>
      <c r="H2651" s="13" t="str">
        <f t="shared" si="249"/>
        <v/>
      </c>
      <c r="I2651" t="str">
        <f>IFERROR(INDEX(Analysis!$D$116:$N$137, MATCH(B2651, Analysis!$C$116:$C$137, 0), MATCH(C2651, Analysis!$D$115:$N$115, 0)), "")</f>
        <v/>
      </c>
      <c r="J2651" t="str">
        <f t="shared" si="250"/>
        <v/>
      </c>
      <c r="K2651" s="28" t="str">
        <f t="shared" si="247"/>
        <v/>
      </c>
      <c r="L2651" s="46" t="str">
        <f t="shared" si="251"/>
        <v/>
      </c>
      <c r="M2651" t="str" cm="1">
        <f t="array" ref="M2651">IF(L2651="","",_xlfn.IFS(
  AND(L2651&gt;=TIME(9,0,0), L2651&lt;TIME(16,0,0)),"Morning",
  AND(L2651&gt;=TIME(16,0,0), L2651&lt;TIME(23,59,0)),"Evening",
  L2651&gt;=TIME(23,59,0),"Night",
  L2651&lt;TIME(9,0,0),"Night"
))</f>
        <v/>
      </c>
      <c r="O2651" t="str">
        <f t="shared" si="248"/>
        <v/>
      </c>
    </row>
    <row r="2652" spans="7:15" x14ac:dyDescent="0.25">
      <c r="G2652" t="str">
        <f t="shared" si="246"/>
        <v/>
      </c>
      <c r="H2652" s="13" t="str">
        <f t="shared" si="249"/>
        <v/>
      </c>
      <c r="I2652" t="str">
        <f>IFERROR(INDEX(Analysis!$D$116:$N$137, MATCH(B2652, Analysis!$C$116:$C$137, 0), MATCH(C2652, Analysis!$D$115:$N$115, 0)), "")</f>
        <v/>
      </c>
      <c r="J2652" t="str">
        <f t="shared" si="250"/>
        <v/>
      </c>
      <c r="K2652" s="28" t="str">
        <f t="shared" si="247"/>
        <v/>
      </c>
      <c r="L2652" s="46" t="str">
        <f t="shared" si="251"/>
        <v/>
      </c>
      <c r="M2652" t="str" cm="1">
        <f t="array" ref="M2652">IF(L2652="","",_xlfn.IFS(
  AND(L2652&gt;=TIME(9,0,0), L2652&lt;TIME(16,0,0)),"Morning",
  AND(L2652&gt;=TIME(16,0,0), L2652&lt;TIME(23,59,0)),"Evening",
  L2652&gt;=TIME(23,59,0),"Night",
  L2652&lt;TIME(9,0,0),"Night"
))</f>
        <v/>
      </c>
      <c r="O2652" t="str">
        <f t="shared" si="248"/>
        <v/>
      </c>
    </row>
    <row r="2653" spans="7:15" x14ac:dyDescent="0.25">
      <c r="G2653" t="str">
        <f t="shared" si="246"/>
        <v/>
      </c>
      <c r="H2653" s="13" t="str">
        <f t="shared" si="249"/>
        <v/>
      </c>
      <c r="I2653" t="str">
        <f>IFERROR(INDEX(Analysis!$D$116:$N$137, MATCH(B2653, Analysis!$C$116:$C$137, 0), MATCH(C2653, Analysis!$D$115:$N$115, 0)), "")</f>
        <v/>
      </c>
      <c r="J2653" t="str">
        <f t="shared" si="250"/>
        <v/>
      </c>
      <c r="K2653" s="28" t="str">
        <f t="shared" si="247"/>
        <v/>
      </c>
      <c r="L2653" s="46" t="str">
        <f t="shared" si="251"/>
        <v/>
      </c>
      <c r="M2653" t="str" cm="1">
        <f t="array" ref="M2653">IF(L2653="","",_xlfn.IFS(
  AND(L2653&gt;=TIME(9,0,0), L2653&lt;TIME(16,0,0)),"Morning",
  AND(L2653&gt;=TIME(16,0,0), L2653&lt;TIME(23,59,0)),"Evening",
  L2653&gt;=TIME(23,59,0),"Night",
  L2653&lt;TIME(9,0,0),"Night"
))</f>
        <v/>
      </c>
      <c r="O2653" t="str">
        <f t="shared" si="248"/>
        <v/>
      </c>
    </row>
    <row r="2654" spans="7:15" x14ac:dyDescent="0.25">
      <c r="G2654" t="str">
        <f t="shared" si="246"/>
        <v/>
      </c>
      <c r="H2654" s="13" t="str">
        <f t="shared" si="249"/>
        <v/>
      </c>
      <c r="I2654" t="str">
        <f>IFERROR(INDEX(Analysis!$D$116:$N$137, MATCH(B2654, Analysis!$C$116:$C$137, 0), MATCH(C2654, Analysis!$D$115:$N$115, 0)), "")</f>
        <v/>
      </c>
      <c r="J2654" t="str">
        <f t="shared" si="250"/>
        <v/>
      </c>
      <c r="K2654" s="28" t="str">
        <f t="shared" si="247"/>
        <v/>
      </c>
      <c r="L2654" s="46" t="str">
        <f t="shared" si="251"/>
        <v/>
      </c>
      <c r="M2654" t="str" cm="1">
        <f t="array" ref="M2654">IF(L2654="","",_xlfn.IFS(
  AND(L2654&gt;=TIME(9,0,0), L2654&lt;TIME(16,0,0)),"Morning",
  AND(L2654&gt;=TIME(16,0,0), L2654&lt;TIME(23,59,0)),"Evening",
  L2654&gt;=TIME(23,59,0),"Night",
  L2654&lt;TIME(9,0,0),"Night"
))</f>
        <v/>
      </c>
      <c r="O2654" t="str">
        <f t="shared" si="248"/>
        <v/>
      </c>
    </row>
    <row r="2655" spans="7:15" x14ac:dyDescent="0.25">
      <c r="G2655" t="str">
        <f t="shared" si="246"/>
        <v/>
      </c>
      <c r="H2655" s="13" t="str">
        <f t="shared" si="249"/>
        <v/>
      </c>
      <c r="I2655" t="str">
        <f>IFERROR(INDEX(Analysis!$D$116:$N$137, MATCH(B2655, Analysis!$C$116:$C$137, 0), MATCH(C2655, Analysis!$D$115:$N$115, 0)), "")</f>
        <v/>
      </c>
      <c r="J2655" t="str">
        <f t="shared" si="250"/>
        <v/>
      </c>
      <c r="K2655" s="28" t="str">
        <f t="shared" si="247"/>
        <v/>
      </c>
      <c r="L2655" s="46" t="str">
        <f t="shared" si="251"/>
        <v/>
      </c>
      <c r="M2655" t="str" cm="1">
        <f t="array" ref="M2655">IF(L2655="","",_xlfn.IFS(
  AND(L2655&gt;=TIME(9,0,0), L2655&lt;TIME(16,0,0)),"Morning",
  AND(L2655&gt;=TIME(16,0,0), L2655&lt;TIME(23,59,0)),"Evening",
  L2655&gt;=TIME(23,59,0),"Night",
  L2655&lt;TIME(9,0,0),"Night"
))</f>
        <v/>
      </c>
      <c r="O2655" t="str">
        <f t="shared" si="248"/>
        <v/>
      </c>
    </row>
    <row r="2656" spans="7:15" x14ac:dyDescent="0.25">
      <c r="G2656" t="str">
        <f t="shared" si="246"/>
        <v/>
      </c>
      <c r="H2656" s="13" t="str">
        <f t="shared" si="249"/>
        <v/>
      </c>
      <c r="I2656" t="str">
        <f>IFERROR(INDEX(Analysis!$D$116:$N$137, MATCH(B2656, Analysis!$C$116:$C$137, 0), MATCH(C2656, Analysis!$D$115:$N$115, 0)), "")</f>
        <v/>
      </c>
      <c r="J2656" t="str">
        <f t="shared" si="250"/>
        <v/>
      </c>
      <c r="K2656" s="28" t="str">
        <f t="shared" si="247"/>
        <v/>
      </c>
      <c r="L2656" s="46" t="str">
        <f t="shared" si="251"/>
        <v/>
      </c>
      <c r="M2656" t="str" cm="1">
        <f t="array" ref="M2656">IF(L2656="","",_xlfn.IFS(
  AND(L2656&gt;=TIME(9,0,0), L2656&lt;TIME(16,0,0)),"Morning",
  AND(L2656&gt;=TIME(16,0,0), L2656&lt;TIME(23,59,0)),"Evening",
  L2656&gt;=TIME(23,59,0),"Night",
  L2656&lt;TIME(9,0,0),"Night"
))</f>
        <v/>
      </c>
      <c r="O2656" t="str">
        <f t="shared" si="248"/>
        <v/>
      </c>
    </row>
    <row r="2657" spans="7:15" x14ac:dyDescent="0.25">
      <c r="G2657" t="str">
        <f t="shared" si="246"/>
        <v/>
      </c>
      <c r="H2657" s="13" t="str">
        <f t="shared" si="249"/>
        <v/>
      </c>
      <c r="I2657" t="str">
        <f>IFERROR(INDEX(Analysis!$D$116:$N$137, MATCH(B2657, Analysis!$C$116:$C$137, 0), MATCH(C2657, Analysis!$D$115:$N$115, 0)), "")</f>
        <v/>
      </c>
      <c r="J2657" t="str">
        <f t="shared" si="250"/>
        <v/>
      </c>
      <c r="K2657" s="28" t="str">
        <f t="shared" si="247"/>
        <v/>
      </c>
      <c r="L2657" s="46" t="str">
        <f t="shared" si="251"/>
        <v/>
      </c>
      <c r="M2657" t="str" cm="1">
        <f t="array" ref="M2657">IF(L2657="","",_xlfn.IFS(
  AND(L2657&gt;=TIME(9,0,0), L2657&lt;TIME(16,0,0)),"Morning",
  AND(L2657&gt;=TIME(16,0,0), L2657&lt;TIME(23,59,0)),"Evening",
  L2657&gt;=TIME(23,59,0),"Night",
  L2657&lt;TIME(9,0,0),"Night"
))</f>
        <v/>
      </c>
      <c r="O2657" t="str">
        <f t="shared" si="248"/>
        <v/>
      </c>
    </row>
    <row r="2658" spans="7:15" x14ac:dyDescent="0.25">
      <c r="G2658" t="str">
        <f t="shared" si="246"/>
        <v/>
      </c>
      <c r="H2658" s="13" t="str">
        <f t="shared" si="249"/>
        <v/>
      </c>
      <c r="I2658" t="str">
        <f>IFERROR(INDEX(Analysis!$D$116:$N$137, MATCH(B2658, Analysis!$C$116:$C$137, 0), MATCH(C2658, Analysis!$D$115:$N$115, 0)), "")</f>
        <v/>
      </c>
      <c r="J2658" t="str">
        <f t="shared" si="250"/>
        <v/>
      </c>
      <c r="K2658" s="28" t="str">
        <f t="shared" si="247"/>
        <v/>
      </c>
      <c r="L2658" s="46" t="str">
        <f t="shared" si="251"/>
        <v/>
      </c>
      <c r="M2658" t="str" cm="1">
        <f t="array" ref="M2658">IF(L2658="","",_xlfn.IFS(
  AND(L2658&gt;=TIME(9,0,0), L2658&lt;TIME(16,0,0)),"Morning",
  AND(L2658&gt;=TIME(16,0,0), L2658&lt;TIME(23,59,0)),"Evening",
  L2658&gt;=TIME(23,59,0),"Night",
  L2658&lt;TIME(9,0,0),"Night"
))</f>
        <v/>
      </c>
      <c r="O2658" t="str">
        <f t="shared" si="248"/>
        <v/>
      </c>
    </row>
    <row r="2659" spans="7:15" x14ac:dyDescent="0.25">
      <c r="G2659" t="str">
        <f t="shared" si="246"/>
        <v/>
      </c>
      <c r="H2659" s="13" t="str">
        <f t="shared" si="249"/>
        <v/>
      </c>
      <c r="I2659" t="str">
        <f>IFERROR(INDEX(Analysis!$D$116:$N$137, MATCH(B2659, Analysis!$C$116:$C$137, 0), MATCH(C2659, Analysis!$D$115:$N$115, 0)), "")</f>
        <v/>
      </c>
      <c r="J2659" t="str">
        <f t="shared" si="250"/>
        <v/>
      </c>
      <c r="K2659" s="28" t="str">
        <f t="shared" si="247"/>
        <v/>
      </c>
      <c r="L2659" s="46" t="str">
        <f t="shared" si="251"/>
        <v/>
      </c>
      <c r="M2659" t="str" cm="1">
        <f t="array" ref="M2659">IF(L2659="","",_xlfn.IFS(
  AND(L2659&gt;=TIME(9,0,0), L2659&lt;TIME(16,0,0)),"Morning",
  AND(L2659&gt;=TIME(16,0,0), L2659&lt;TIME(23,59,0)),"Evening",
  L2659&gt;=TIME(23,59,0),"Night",
  L2659&lt;TIME(9,0,0),"Night"
))</f>
        <v/>
      </c>
      <c r="O2659" t="str">
        <f t="shared" si="248"/>
        <v/>
      </c>
    </row>
    <row r="2660" spans="7:15" x14ac:dyDescent="0.25">
      <c r="G2660" t="str">
        <f t="shared" si="246"/>
        <v/>
      </c>
      <c r="H2660" s="13" t="str">
        <f t="shared" si="249"/>
        <v/>
      </c>
      <c r="I2660" t="str">
        <f>IFERROR(INDEX(Analysis!$D$116:$N$137, MATCH(B2660, Analysis!$C$116:$C$137, 0), MATCH(C2660, Analysis!$D$115:$N$115, 0)), "")</f>
        <v/>
      </c>
      <c r="J2660" t="str">
        <f t="shared" si="250"/>
        <v/>
      </c>
      <c r="K2660" s="28" t="str">
        <f t="shared" si="247"/>
        <v/>
      </c>
      <c r="L2660" s="46" t="str">
        <f t="shared" si="251"/>
        <v/>
      </c>
      <c r="M2660" t="str" cm="1">
        <f t="array" ref="M2660">IF(L2660="","",_xlfn.IFS(
  AND(L2660&gt;=TIME(9,0,0), L2660&lt;TIME(16,0,0)),"Morning",
  AND(L2660&gt;=TIME(16,0,0), L2660&lt;TIME(23,59,0)),"Evening",
  L2660&gt;=TIME(23,59,0),"Night",
  L2660&lt;TIME(9,0,0),"Night"
))</f>
        <v/>
      </c>
      <c r="O2660" t="str">
        <f t="shared" si="248"/>
        <v/>
      </c>
    </row>
    <row r="2661" spans="7:15" x14ac:dyDescent="0.25">
      <c r="G2661" t="str">
        <f t="shared" si="246"/>
        <v/>
      </c>
      <c r="H2661" s="13" t="str">
        <f t="shared" si="249"/>
        <v/>
      </c>
      <c r="I2661" t="str">
        <f>IFERROR(INDEX(Analysis!$D$116:$N$137, MATCH(B2661, Analysis!$C$116:$C$137, 0), MATCH(C2661, Analysis!$D$115:$N$115, 0)), "")</f>
        <v/>
      </c>
      <c r="J2661" t="str">
        <f t="shared" si="250"/>
        <v/>
      </c>
      <c r="K2661" s="28" t="str">
        <f t="shared" si="247"/>
        <v/>
      </c>
      <c r="L2661" s="46" t="str">
        <f t="shared" si="251"/>
        <v/>
      </c>
      <c r="M2661" t="str" cm="1">
        <f t="array" ref="M2661">IF(L2661="","",_xlfn.IFS(
  AND(L2661&gt;=TIME(9,0,0), L2661&lt;TIME(16,0,0)),"Morning",
  AND(L2661&gt;=TIME(16,0,0), L2661&lt;TIME(23,59,0)),"Evening",
  L2661&gt;=TIME(23,59,0),"Night",
  L2661&lt;TIME(9,0,0),"Night"
))</f>
        <v/>
      </c>
      <c r="O2661" t="str">
        <f t="shared" si="248"/>
        <v/>
      </c>
    </row>
    <row r="2662" spans="7:15" x14ac:dyDescent="0.25">
      <c r="G2662" t="str">
        <f t="shared" si="246"/>
        <v/>
      </c>
      <c r="H2662" s="13" t="str">
        <f t="shared" si="249"/>
        <v/>
      </c>
      <c r="I2662" t="str">
        <f>IFERROR(INDEX(Analysis!$D$116:$N$137, MATCH(B2662, Analysis!$C$116:$C$137, 0), MATCH(C2662, Analysis!$D$115:$N$115, 0)), "")</f>
        <v/>
      </c>
      <c r="J2662" t="str">
        <f t="shared" si="250"/>
        <v/>
      </c>
      <c r="K2662" s="28" t="str">
        <f t="shared" si="247"/>
        <v/>
      </c>
      <c r="L2662" s="46" t="str">
        <f t="shared" si="251"/>
        <v/>
      </c>
      <c r="M2662" t="str" cm="1">
        <f t="array" ref="M2662">IF(L2662="","",_xlfn.IFS(
  AND(L2662&gt;=TIME(9,0,0), L2662&lt;TIME(16,0,0)),"Morning",
  AND(L2662&gt;=TIME(16,0,0), L2662&lt;TIME(23,59,0)),"Evening",
  L2662&gt;=TIME(23,59,0),"Night",
  L2662&lt;TIME(9,0,0),"Night"
))</f>
        <v/>
      </c>
      <c r="O2662" t="str">
        <f t="shared" si="248"/>
        <v/>
      </c>
    </row>
    <row r="2663" spans="7:15" x14ac:dyDescent="0.25">
      <c r="G2663" t="str">
        <f t="shared" si="246"/>
        <v/>
      </c>
      <c r="H2663" s="13" t="str">
        <f t="shared" si="249"/>
        <v/>
      </c>
      <c r="I2663" t="str">
        <f>IFERROR(INDEX(Analysis!$D$116:$N$137, MATCH(B2663, Analysis!$C$116:$C$137, 0), MATCH(C2663, Analysis!$D$115:$N$115, 0)), "")</f>
        <v/>
      </c>
      <c r="J2663" t="str">
        <f t="shared" si="250"/>
        <v/>
      </c>
      <c r="K2663" s="28" t="str">
        <f t="shared" si="247"/>
        <v/>
      </c>
      <c r="L2663" s="46" t="str">
        <f t="shared" si="251"/>
        <v/>
      </c>
      <c r="M2663" t="str" cm="1">
        <f t="array" ref="M2663">IF(L2663="","",_xlfn.IFS(
  AND(L2663&gt;=TIME(9,0,0), L2663&lt;TIME(16,0,0)),"Morning",
  AND(L2663&gt;=TIME(16,0,0), L2663&lt;TIME(23,59,0)),"Evening",
  L2663&gt;=TIME(23,59,0),"Night",
  L2663&lt;TIME(9,0,0),"Night"
))</f>
        <v/>
      </c>
      <c r="O2663" t="str">
        <f t="shared" si="248"/>
        <v/>
      </c>
    </row>
    <row r="2664" spans="7:15" x14ac:dyDescent="0.25">
      <c r="G2664" t="str">
        <f t="shared" si="246"/>
        <v/>
      </c>
      <c r="H2664" s="13" t="str">
        <f t="shared" si="249"/>
        <v/>
      </c>
      <c r="I2664" t="str">
        <f>IFERROR(INDEX(Analysis!$D$116:$N$137, MATCH(B2664, Analysis!$C$116:$C$137, 0), MATCH(C2664, Analysis!$D$115:$N$115, 0)), "")</f>
        <v/>
      </c>
      <c r="J2664" t="str">
        <f t="shared" si="250"/>
        <v/>
      </c>
      <c r="K2664" s="28" t="str">
        <f t="shared" si="247"/>
        <v/>
      </c>
      <c r="L2664" s="46" t="str">
        <f t="shared" si="251"/>
        <v/>
      </c>
      <c r="M2664" t="str" cm="1">
        <f t="array" ref="M2664">IF(L2664="","",_xlfn.IFS(
  AND(L2664&gt;=TIME(9,0,0), L2664&lt;TIME(16,0,0)),"Morning",
  AND(L2664&gt;=TIME(16,0,0), L2664&lt;TIME(23,59,0)),"Evening",
  L2664&gt;=TIME(23,59,0),"Night",
  L2664&lt;TIME(9,0,0),"Night"
))</f>
        <v/>
      </c>
      <c r="O2664" t="str">
        <f t="shared" si="248"/>
        <v/>
      </c>
    </row>
    <row r="2665" spans="7:15" x14ac:dyDescent="0.25">
      <c r="G2665" t="str">
        <f t="shared" si="246"/>
        <v/>
      </c>
      <c r="H2665" s="13" t="str">
        <f t="shared" si="249"/>
        <v/>
      </c>
      <c r="I2665" t="str">
        <f>IFERROR(INDEX(Analysis!$D$116:$N$137, MATCH(B2665, Analysis!$C$116:$C$137, 0), MATCH(C2665, Analysis!$D$115:$N$115, 0)), "")</f>
        <v/>
      </c>
      <c r="J2665" t="str">
        <f t="shared" si="250"/>
        <v/>
      </c>
      <c r="K2665" s="28" t="str">
        <f t="shared" si="247"/>
        <v/>
      </c>
      <c r="L2665" s="46" t="str">
        <f t="shared" si="251"/>
        <v/>
      </c>
      <c r="M2665" t="str" cm="1">
        <f t="array" ref="M2665">IF(L2665="","",_xlfn.IFS(
  AND(L2665&gt;=TIME(9,0,0), L2665&lt;TIME(16,0,0)),"Morning",
  AND(L2665&gt;=TIME(16,0,0), L2665&lt;TIME(23,59,0)),"Evening",
  L2665&gt;=TIME(23,59,0),"Night",
  L2665&lt;TIME(9,0,0),"Night"
))</f>
        <v/>
      </c>
      <c r="O2665" t="str">
        <f t="shared" si="248"/>
        <v/>
      </c>
    </row>
    <row r="2666" spans="7:15" x14ac:dyDescent="0.25">
      <c r="G2666" t="str">
        <f t="shared" si="246"/>
        <v/>
      </c>
      <c r="H2666" s="13" t="str">
        <f t="shared" si="249"/>
        <v/>
      </c>
      <c r="I2666" t="str">
        <f>IFERROR(INDEX(Analysis!$D$116:$N$137, MATCH(B2666, Analysis!$C$116:$C$137, 0), MATCH(C2666, Analysis!$D$115:$N$115, 0)), "")</f>
        <v/>
      </c>
      <c r="J2666" t="str">
        <f t="shared" si="250"/>
        <v/>
      </c>
      <c r="K2666" s="28" t="str">
        <f t="shared" si="247"/>
        <v/>
      </c>
      <c r="L2666" s="46" t="str">
        <f t="shared" si="251"/>
        <v/>
      </c>
      <c r="M2666" t="str" cm="1">
        <f t="array" ref="M2666">IF(L2666="","",_xlfn.IFS(
  AND(L2666&gt;=TIME(9,0,0), L2666&lt;TIME(16,0,0)),"Morning",
  AND(L2666&gt;=TIME(16,0,0), L2666&lt;TIME(23,59,0)),"Evening",
  L2666&gt;=TIME(23,59,0),"Night",
  L2666&lt;TIME(9,0,0),"Night"
))</f>
        <v/>
      </c>
      <c r="O2666" t="str">
        <f t="shared" si="248"/>
        <v/>
      </c>
    </row>
    <row r="2667" spans="7:15" x14ac:dyDescent="0.25">
      <c r="G2667" t="str">
        <f t="shared" si="246"/>
        <v/>
      </c>
      <c r="H2667" s="13" t="str">
        <f t="shared" si="249"/>
        <v/>
      </c>
      <c r="I2667" t="str">
        <f>IFERROR(INDEX(Analysis!$D$116:$N$137, MATCH(B2667, Analysis!$C$116:$C$137, 0), MATCH(C2667, Analysis!$D$115:$N$115, 0)), "")</f>
        <v/>
      </c>
      <c r="J2667" t="str">
        <f t="shared" si="250"/>
        <v/>
      </c>
      <c r="K2667" s="28" t="str">
        <f t="shared" si="247"/>
        <v/>
      </c>
      <c r="L2667" s="46" t="str">
        <f t="shared" si="251"/>
        <v/>
      </c>
      <c r="M2667" t="str" cm="1">
        <f t="array" ref="M2667">IF(L2667="","",_xlfn.IFS(
  AND(L2667&gt;=TIME(9,0,0), L2667&lt;TIME(16,0,0)),"Morning",
  AND(L2667&gt;=TIME(16,0,0), L2667&lt;TIME(23,59,0)),"Evening",
  L2667&gt;=TIME(23,59,0),"Night",
  L2667&lt;TIME(9,0,0),"Night"
))</f>
        <v/>
      </c>
      <c r="O2667" t="str">
        <f t="shared" si="248"/>
        <v/>
      </c>
    </row>
    <row r="2668" spans="7:15" x14ac:dyDescent="0.25">
      <c r="G2668" t="str">
        <f t="shared" si="246"/>
        <v/>
      </c>
      <c r="H2668" s="13" t="str">
        <f t="shared" si="249"/>
        <v/>
      </c>
      <c r="I2668" t="str">
        <f>IFERROR(INDEX(Analysis!$D$116:$N$137, MATCH(B2668, Analysis!$C$116:$C$137, 0), MATCH(C2668, Analysis!$D$115:$N$115, 0)), "")</f>
        <v/>
      </c>
      <c r="J2668" t="str">
        <f t="shared" si="250"/>
        <v/>
      </c>
      <c r="K2668" s="28" t="str">
        <f t="shared" si="247"/>
        <v/>
      </c>
      <c r="L2668" s="46" t="str">
        <f t="shared" si="251"/>
        <v/>
      </c>
      <c r="M2668" t="str" cm="1">
        <f t="array" ref="M2668">IF(L2668="","",_xlfn.IFS(
  AND(L2668&gt;=TIME(9,0,0), L2668&lt;TIME(16,0,0)),"Morning",
  AND(L2668&gt;=TIME(16,0,0), L2668&lt;TIME(23,59,0)),"Evening",
  L2668&gt;=TIME(23,59,0),"Night",
  L2668&lt;TIME(9,0,0),"Night"
))</f>
        <v/>
      </c>
      <c r="O2668" t="str">
        <f t="shared" si="248"/>
        <v/>
      </c>
    </row>
    <row r="2669" spans="7:15" x14ac:dyDescent="0.25">
      <c r="G2669" t="str">
        <f t="shared" si="246"/>
        <v/>
      </c>
      <c r="H2669" s="13" t="str">
        <f t="shared" si="249"/>
        <v/>
      </c>
      <c r="I2669" t="str">
        <f>IFERROR(INDEX(Analysis!$D$116:$N$137, MATCH(B2669, Analysis!$C$116:$C$137, 0), MATCH(C2669, Analysis!$D$115:$N$115, 0)), "")</f>
        <v/>
      </c>
      <c r="J2669" t="str">
        <f t="shared" si="250"/>
        <v/>
      </c>
      <c r="K2669" s="28" t="str">
        <f t="shared" si="247"/>
        <v/>
      </c>
      <c r="L2669" s="46" t="str">
        <f t="shared" si="251"/>
        <v/>
      </c>
      <c r="M2669" t="str" cm="1">
        <f t="array" ref="M2669">IF(L2669="","",_xlfn.IFS(
  AND(L2669&gt;=TIME(9,0,0), L2669&lt;TIME(16,0,0)),"Morning",
  AND(L2669&gt;=TIME(16,0,0), L2669&lt;TIME(23,59,0)),"Evening",
  L2669&gt;=TIME(23,59,0),"Night",
  L2669&lt;TIME(9,0,0),"Night"
))</f>
        <v/>
      </c>
      <c r="O2669" t="str">
        <f t="shared" si="248"/>
        <v/>
      </c>
    </row>
    <row r="2670" spans="7:15" x14ac:dyDescent="0.25">
      <c r="G2670" t="str">
        <f t="shared" si="246"/>
        <v/>
      </c>
      <c r="H2670" s="13" t="str">
        <f t="shared" si="249"/>
        <v/>
      </c>
      <c r="I2670" t="str">
        <f>IFERROR(INDEX(Analysis!$D$116:$N$137, MATCH(B2670, Analysis!$C$116:$C$137, 0), MATCH(C2670, Analysis!$D$115:$N$115, 0)), "")</f>
        <v/>
      </c>
      <c r="J2670" t="str">
        <f t="shared" si="250"/>
        <v/>
      </c>
      <c r="K2670" s="28" t="str">
        <f t="shared" si="247"/>
        <v/>
      </c>
      <c r="L2670" s="46" t="str">
        <f t="shared" si="251"/>
        <v/>
      </c>
      <c r="M2670" t="str" cm="1">
        <f t="array" ref="M2670">IF(L2670="","",_xlfn.IFS(
  AND(L2670&gt;=TIME(9,0,0), L2670&lt;TIME(16,0,0)),"Morning",
  AND(L2670&gt;=TIME(16,0,0), L2670&lt;TIME(23,59,0)),"Evening",
  L2670&gt;=TIME(23,59,0),"Night",
  L2670&lt;TIME(9,0,0),"Night"
))</f>
        <v/>
      </c>
      <c r="O2670" t="str">
        <f t="shared" si="248"/>
        <v/>
      </c>
    </row>
    <row r="2671" spans="7:15" x14ac:dyDescent="0.25">
      <c r="G2671" t="str">
        <f t="shared" si="246"/>
        <v/>
      </c>
      <c r="H2671" s="13" t="str">
        <f t="shared" si="249"/>
        <v/>
      </c>
      <c r="I2671" t="str">
        <f>IFERROR(INDEX(Analysis!$D$116:$N$137, MATCH(B2671, Analysis!$C$116:$C$137, 0), MATCH(C2671, Analysis!$D$115:$N$115, 0)), "")</f>
        <v/>
      </c>
      <c r="J2671" t="str">
        <f t="shared" si="250"/>
        <v/>
      </c>
      <c r="K2671" s="28" t="str">
        <f t="shared" si="247"/>
        <v/>
      </c>
      <c r="L2671" s="46" t="str">
        <f t="shared" si="251"/>
        <v/>
      </c>
      <c r="M2671" t="str" cm="1">
        <f t="array" ref="M2671">IF(L2671="","",_xlfn.IFS(
  AND(L2671&gt;=TIME(9,0,0), L2671&lt;TIME(16,0,0)),"Morning",
  AND(L2671&gt;=TIME(16,0,0), L2671&lt;TIME(23,59,0)),"Evening",
  L2671&gt;=TIME(23,59,0),"Night",
  L2671&lt;TIME(9,0,0),"Night"
))</f>
        <v/>
      </c>
      <c r="O2671" t="str">
        <f t="shared" si="248"/>
        <v/>
      </c>
    </row>
    <row r="2672" spans="7:15" x14ac:dyDescent="0.25">
      <c r="G2672" t="str">
        <f t="shared" si="246"/>
        <v/>
      </c>
      <c r="H2672" s="13" t="str">
        <f t="shared" si="249"/>
        <v/>
      </c>
      <c r="I2672" t="str">
        <f>IFERROR(INDEX(Analysis!$D$116:$N$137, MATCH(B2672, Analysis!$C$116:$C$137, 0), MATCH(C2672, Analysis!$D$115:$N$115, 0)), "")</f>
        <v/>
      </c>
      <c r="J2672" t="str">
        <f t="shared" si="250"/>
        <v/>
      </c>
      <c r="K2672" s="28" t="str">
        <f t="shared" si="247"/>
        <v/>
      </c>
      <c r="L2672" s="46" t="str">
        <f t="shared" si="251"/>
        <v/>
      </c>
      <c r="M2672" t="str" cm="1">
        <f t="array" ref="M2672">IF(L2672="","",_xlfn.IFS(
  AND(L2672&gt;=TIME(9,0,0), L2672&lt;TIME(16,0,0)),"Morning",
  AND(L2672&gt;=TIME(16,0,0), L2672&lt;TIME(23,59,0)),"Evening",
  L2672&gt;=TIME(23,59,0),"Night",
  L2672&lt;TIME(9,0,0),"Night"
))</f>
        <v/>
      </c>
      <c r="O2672" t="str">
        <f t="shared" si="248"/>
        <v/>
      </c>
    </row>
    <row r="2673" spans="7:15" x14ac:dyDescent="0.25">
      <c r="G2673" t="str">
        <f t="shared" si="246"/>
        <v/>
      </c>
      <c r="H2673" s="13" t="str">
        <f t="shared" si="249"/>
        <v/>
      </c>
      <c r="I2673" t="str">
        <f>IFERROR(INDEX(Analysis!$D$116:$N$137, MATCH(B2673, Analysis!$C$116:$C$137, 0), MATCH(C2673, Analysis!$D$115:$N$115, 0)), "")</f>
        <v/>
      </c>
      <c r="J2673" t="str">
        <f t="shared" si="250"/>
        <v/>
      </c>
      <c r="K2673" s="28" t="str">
        <f t="shared" si="247"/>
        <v/>
      </c>
      <c r="L2673" s="46" t="str">
        <f t="shared" si="251"/>
        <v/>
      </c>
      <c r="M2673" t="str" cm="1">
        <f t="array" ref="M2673">IF(L2673="","",_xlfn.IFS(
  AND(L2673&gt;=TIME(9,0,0), L2673&lt;TIME(16,0,0)),"Morning",
  AND(L2673&gt;=TIME(16,0,0), L2673&lt;TIME(23,59,0)),"Evening",
  L2673&gt;=TIME(23,59,0),"Night",
  L2673&lt;TIME(9,0,0),"Night"
))</f>
        <v/>
      </c>
      <c r="O2673" t="str">
        <f t="shared" si="248"/>
        <v/>
      </c>
    </row>
    <row r="2674" spans="7:15" x14ac:dyDescent="0.25">
      <c r="G2674" t="str">
        <f t="shared" si="246"/>
        <v/>
      </c>
      <c r="H2674" s="13" t="str">
        <f t="shared" si="249"/>
        <v/>
      </c>
      <c r="I2674" t="str">
        <f>IFERROR(INDEX(Analysis!$D$116:$N$137, MATCH(B2674, Analysis!$C$116:$C$137, 0), MATCH(C2674, Analysis!$D$115:$N$115, 0)), "")</f>
        <v/>
      </c>
      <c r="J2674" t="str">
        <f t="shared" si="250"/>
        <v/>
      </c>
      <c r="K2674" s="28" t="str">
        <f t="shared" si="247"/>
        <v/>
      </c>
      <c r="L2674" s="46" t="str">
        <f t="shared" si="251"/>
        <v/>
      </c>
      <c r="M2674" t="str" cm="1">
        <f t="array" ref="M2674">IF(L2674="","",_xlfn.IFS(
  AND(L2674&gt;=TIME(9,0,0), L2674&lt;TIME(16,0,0)),"Morning",
  AND(L2674&gt;=TIME(16,0,0), L2674&lt;TIME(23,59,0)),"Evening",
  L2674&gt;=TIME(23,59,0),"Night",
  L2674&lt;TIME(9,0,0),"Night"
))</f>
        <v/>
      </c>
      <c r="O2674" t="str">
        <f t="shared" si="248"/>
        <v/>
      </c>
    </row>
    <row r="2675" spans="7:15" x14ac:dyDescent="0.25">
      <c r="G2675" t="str">
        <f t="shared" si="246"/>
        <v/>
      </c>
      <c r="H2675" s="13" t="str">
        <f t="shared" si="249"/>
        <v/>
      </c>
      <c r="I2675" t="str">
        <f>IFERROR(INDEX(Analysis!$D$116:$N$137, MATCH(B2675, Analysis!$C$116:$C$137, 0), MATCH(C2675, Analysis!$D$115:$N$115, 0)), "")</f>
        <v/>
      </c>
      <c r="J2675" t="str">
        <f t="shared" si="250"/>
        <v/>
      </c>
      <c r="K2675" s="28" t="str">
        <f t="shared" si="247"/>
        <v/>
      </c>
      <c r="L2675" s="46" t="str">
        <f t="shared" si="251"/>
        <v/>
      </c>
      <c r="M2675" t="str" cm="1">
        <f t="array" ref="M2675">IF(L2675="","",_xlfn.IFS(
  AND(L2675&gt;=TIME(9,0,0), L2675&lt;TIME(16,0,0)),"Morning",
  AND(L2675&gt;=TIME(16,0,0), L2675&lt;TIME(23,59,0)),"Evening",
  L2675&gt;=TIME(23,59,0),"Night",
  L2675&lt;TIME(9,0,0),"Night"
))</f>
        <v/>
      </c>
      <c r="O2675" t="str">
        <f t="shared" si="248"/>
        <v/>
      </c>
    </row>
    <row r="2676" spans="7:15" x14ac:dyDescent="0.25">
      <c r="G2676" t="str">
        <f t="shared" si="246"/>
        <v/>
      </c>
      <c r="H2676" s="13" t="str">
        <f t="shared" si="249"/>
        <v/>
      </c>
      <c r="I2676" t="str">
        <f>IFERROR(INDEX(Analysis!$D$116:$N$137, MATCH(B2676, Analysis!$C$116:$C$137, 0), MATCH(C2676, Analysis!$D$115:$N$115, 0)), "")</f>
        <v/>
      </c>
      <c r="J2676" t="str">
        <f t="shared" si="250"/>
        <v/>
      </c>
      <c r="K2676" s="28" t="str">
        <f t="shared" si="247"/>
        <v/>
      </c>
      <c r="L2676" s="46" t="str">
        <f t="shared" si="251"/>
        <v/>
      </c>
      <c r="M2676" t="str" cm="1">
        <f t="array" ref="M2676">IF(L2676="","",_xlfn.IFS(
  AND(L2676&gt;=TIME(9,0,0), L2676&lt;TIME(16,0,0)),"Morning",
  AND(L2676&gt;=TIME(16,0,0), L2676&lt;TIME(23,59,0)),"Evening",
  L2676&gt;=TIME(23,59,0),"Night",
  L2676&lt;TIME(9,0,0),"Night"
))</f>
        <v/>
      </c>
      <c r="O2676" t="str">
        <f t="shared" si="248"/>
        <v/>
      </c>
    </row>
    <row r="2677" spans="7:15" x14ac:dyDescent="0.25">
      <c r="G2677" t="str">
        <f t="shared" si="246"/>
        <v/>
      </c>
      <c r="H2677" s="13" t="str">
        <f t="shared" si="249"/>
        <v/>
      </c>
      <c r="I2677" t="str">
        <f>IFERROR(INDEX(Analysis!$D$116:$N$137, MATCH(B2677, Analysis!$C$116:$C$137, 0), MATCH(C2677, Analysis!$D$115:$N$115, 0)), "")</f>
        <v/>
      </c>
      <c r="J2677" t="str">
        <f t="shared" si="250"/>
        <v/>
      </c>
      <c r="K2677" s="28" t="str">
        <f t="shared" si="247"/>
        <v/>
      </c>
      <c r="L2677" s="46" t="str">
        <f t="shared" si="251"/>
        <v/>
      </c>
      <c r="M2677" t="str" cm="1">
        <f t="array" ref="M2677">IF(L2677="","",_xlfn.IFS(
  AND(L2677&gt;=TIME(9,0,0), L2677&lt;TIME(16,0,0)),"Morning",
  AND(L2677&gt;=TIME(16,0,0), L2677&lt;TIME(23,59,0)),"Evening",
  L2677&gt;=TIME(23,59,0),"Night",
  L2677&lt;TIME(9,0,0),"Night"
))</f>
        <v/>
      </c>
      <c r="O2677" t="str">
        <f t="shared" si="248"/>
        <v/>
      </c>
    </row>
    <row r="2678" spans="7:15" x14ac:dyDescent="0.25">
      <c r="G2678" t="str">
        <f t="shared" si="246"/>
        <v/>
      </c>
      <c r="H2678" s="13" t="str">
        <f t="shared" si="249"/>
        <v/>
      </c>
      <c r="I2678" t="str">
        <f>IFERROR(INDEX(Analysis!$D$116:$N$137, MATCH(B2678, Analysis!$C$116:$C$137, 0), MATCH(C2678, Analysis!$D$115:$N$115, 0)), "")</f>
        <v/>
      </c>
      <c r="J2678" t="str">
        <f t="shared" si="250"/>
        <v/>
      </c>
      <c r="K2678" s="28" t="str">
        <f t="shared" si="247"/>
        <v/>
      </c>
      <c r="L2678" s="46" t="str">
        <f t="shared" si="251"/>
        <v/>
      </c>
      <c r="M2678" t="str" cm="1">
        <f t="array" ref="M2678">IF(L2678="","",_xlfn.IFS(
  AND(L2678&gt;=TIME(9,0,0), L2678&lt;TIME(16,0,0)),"Morning",
  AND(L2678&gt;=TIME(16,0,0), L2678&lt;TIME(23,59,0)),"Evening",
  L2678&gt;=TIME(23,59,0),"Night",
  L2678&lt;TIME(9,0,0),"Night"
))</f>
        <v/>
      </c>
      <c r="O2678" t="str">
        <f t="shared" si="248"/>
        <v/>
      </c>
    </row>
    <row r="2679" spans="7:15" x14ac:dyDescent="0.25">
      <c r="G2679" t="str">
        <f t="shared" si="246"/>
        <v/>
      </c>
      <c r="H2679" s="13" t="str">
        <f t="shared" si="249"/>
        <v/>
      </c>
      <c r="I2679" t="str">
        <f>IFERROR(INDEX(Analysis!$D$116:$N$137, MATCH(B2679, Analysis!$C$116:$C$137, 0), MATCH(C2679, Analysis!$D$115:$N$115, 0)), "")</f>
        <v/>
      </c>
      <c r="J2679" t="str">
        <f t="shared" si="250"/>
        <v/>
      </c>
      <c r="K2679" s="28" t="str">
        <f t="shared" si="247"/>
        <v/>
      </c>
      <c r="L2679" s="46" t="str">
        <f t="shared" si="251"/>
        <v/>
      </c>
      <c r="M2679" t="str" cm="1">
        <f t="array" ref="M2679">IF(L2679="","",_xlfn.IFS(
  AND(L2679&gt;=TIME(9,0,0), L2679&lt;TIME(16,0,0)),"Morning",
  AND(L2679&gt;=TIME(16,0,0), L2679&lt;TIME(23,59,0)),"Evening",
  L2679&gt;=TIME(23,59,0),"Night",
  L2679&lt;TIME(9,0,0),"Night"
))</f>
        <v/>
      </c>
      <c r="O2679" t="str">
        <f t="shared" si="248"/>
        <v/>
      </c>
    </row>
    <row r="2680" spans="7:15" x14ac:dyDescent="0.25">
      <c r="G2680" t="str">
        <f t="shared" si="246"/>
        <v/>
      </c>
      <c r="H2680" s="13" t="str">
        <f t="shared" si="249"/>
        <v/>
      </c>
      <c r="I2680" t="str">
        <f>IFERROR(INDEX(Analysis!$D$116:$N$137, MATCH(B2680, Analysis!$C$116:$C$137, 0), MATCH(C2680, Analysis!$D$115:$N$115, 0)), "")</f>
        <v/>
      </c>
      <c r="J2680" t="str">
        <f t="shared" si="250"/>
        <v/>
      </c>
      <c r="K2680" s="28" t="str">
        <f t="shared" si="247"/>
        <v/>
      </c>
      <c r="L2680" s="46" t="str">
        <f t="shared" si="251"/>
        <v/>
      </c>
      <c r="M2680" t="str" cm="1">
        <f t="array" ref="M2680">IF(L2680="","",_xlfn.IFS(
  AND(L2680&gt;=TIME(9,0,0), L2680&lt;TIME(16,0,0)),"Morning",
  AND(L2680&gt;=TIME(16,0,0), L2680&lt;TIME(23,59,0)),"Evening",
  L2680&gt;=TIME(23,59,0),"Night",
  L2680&lt;TIME(9,0,0),"Night"
))</f>
        <v/>
      </c>
      <c r="O2680" t="str">
        <f t="shared" si="248"/>
        <v/>
      </c>
    </row>
    <row r="2681" spans="7:15" x14ac:dyDescent="0.25">
      <c r="G2681" t="str">
        <f t="shared" si="246"/>
        <v/>
      </c>
      <c r="H2681" s="13" t="str">
        <f t="shared" si="249"/>
        <v/>
      </c>
      <c r="I2681" t="str">
        <f>IFERROR(INDEX(Analysis!$D$116:$N$137, MATCH(B2681, Analysis!$C$116:$C$137, 0), MATCH(C2681, Analysis!$D$115:$N$115, 0)), "")</f>
        <v/>
      </c>
      <c r="J2681" t="str">
        <f t="shared" si="250"/>
        <v/>
      </c>
      <c r="K2681" s="28" t="str">
        <f t="shared" si="247"/>
        <v/>
      </c>
      <c r="L2681" s="46" t="str">
        <f t="shared" si="251"/>
        <v/>
      </c>
      <c r="M2681" t="str" cm="1">
        <f t="array" ref="M2681">IF(L2681="","",_xlfn.IFS(
  AND(L2681&gt;=TIME(9,0,0), L2681&lt;TIME(16,0,0)),"Morning",
  AND(L2681&gt;=TIME(16,0,0), L2681&lt;TIME(23,59,0)),"Evening",
  L2681&gt;=TIME(23,59,0),"Night",
  L2681&lt;TIME(9,0,0),"Night"
))</f>
        <v/>
      </c>
      <c r="O2681" t="str">
        <f t="shared" si="248"/>
        <v/>
      </c>
    </row>
    <row r="2682" spans="7:15" x14ac:dyDescent="0.25">
      <c r="G2682" t="str">
        <f t="shared" si="246"/>
        <v/>
      </c>
      <c r="H2682" s="13" t="str">
        <f t="shared" si="249"/>
        <v/>
      </c>
      <c r="I2682" t="str">
        <f>IFERROR(INDEX(Analysis!$D$116:$N$137, MATCH(B2682, Analysis!$C$116:$C$137, 0), MATCH(C2682, Analysis!$D$115:$N$115, 0)), "")</f>
        <v/>
      </c>
      <c r="J2682" t="str">
        <f t="shared" si="250"/>
        <v/>
      </c>
      <c r="K2682" s="28" t="str">
        <f t="shared" si="247"/>
        <v/>
      </c>
      <c r="L2682" s="46" t="str">
        <f t="shared" si="251"/>
        <v/>
      </c>
      <c r="M2682" t="str" cm="1">
        <f t="array" ref="M2682">IF(L2682="","",_xlfn.IFS(
  AND(L2682&gt;=TIME(9,0,0), L2682&lt;TIME(16,0,0)),"Morning",
  AND(L2682&gt;=TIME(16,0,0), L2682&lt;TIME(23,59,0)),"Evening",
  L2682&gt;=TIME(23,59,0),"Night",
  L2682&lt;TIME(9,0,0),"Night"
))</f>
        <v/>
      </c>
      <c r="O2682" t="str">
        <f t="shared" si="248"/>
        <v/>
      </c>
    </row>
    <row r="2683" spans="7:15" x14ac:dyDescent="0.25">
      <c r="G2683" t="str">
        <f t="shared" si="246"/>
        <v/>
      </c>
      <c r="H2683" s="13" t="str">
        <f t="shared" si="249"/>
        <v/>
      </c>
      <c r="I2683" t="str">
        <f>IFERROR(INDEX(Analysis!$D$116:$N$137, MATCH(B2683, Analysis!$C$116:$C$137, 0), MATCH(C2683, Analysis!$D$115:$N$115, 0)), "")</f>
        <v/>
      </c>
      <c r="J2683" t="str">
        <f t="shared" si="250"/>
        <v/>
      </c>
      <c r="K2683" s="28" t="str">
        <f t="shared" si="247"/>
        <v/>
      </c>
      <c r="L2683" s="46" t="str">
        <f t="shared" si="251"/>
        <v/>
      </c>
      <c r="M2683" t="str" cm="1">
        <f t="array" ref="M2683">IF(L2683="","",_xlfn.IFS(
  AND(L2683&gt;=TIME(9,0,0), L2683&lt;TIME(16,0,0)),"Morning",
  AND(L2683&gt;=TIME(16,0,0), L2683&lt;TIME(23,59,0)),"Evening",
  L2683&gt;=TIME(23,59,0),"Night",
  L2683&lt;TIME(9,0,0),"Night"
))</f>
        <v/>
      </c>
      <c r="O2683" t="str">
        <f t="shared" si="248"/>
        <v/>
      </c>
    </row>
    <row r="2684" spans="7:15" x14ac:dyDescent="0.25">
      <c r="G2684" t="str">
        <f t="shared" si="246"/>
        <v/>
      </c>
      <c r="H2684" s="13" t="str">
        <f t="shared" si="249"/>
        <v/>
      </c>
      <c r="I2684" t="str">
        <f>IFERROR(INDEX(Analysis!$D$116:$N$137, MATCH(B2684, Analysis!$C$116:$C$137, 0), MATCH(C2684, Analysis!$D$115:$N$115, 0)), "")</f>
        <v/>
      </c>
      <c r="J2684" t="str">
        <f t="shared" si="250"/>
        <v/>
      </c>
      <c r="K2684" s="28" t="str">
        <f t="shared" si="247"/>
        <v/>
      </c>
      <c r="L2684" s="46" t="str">
        <f t="shared" si="251"/>
        <v/>
      </c>
      <c r="M2684" t="str" cm="1">
        <f t="array" ref="M2684">IF(L2684="","",_xlfn.IFS(
  AND(L2684&gt;=TIME(9,0,0), L2684&lt;TIME(16,0,0)),"Morning",
  AND(L2684&gt;=TIME(16,0,0), L2684&lt;TIME(23,59,0)),"Evening",
  L2684&gt;=TIME(23,59,0),"Night",
  L2684&lt;TIME(9,0,0),"Night"
))</f>
        <v/>
      </c>
      <c r="O2684" t="str">
        <f t="shared" si="248"/>
        <v/>
      </c>
    </row>
    <row r="2685" spans="7:15" x14ac:dyDescent="0.25">
      <c r="G2685" t="str">
        <f t="shared" si="246"/>
        <v/>
      </c>
      <c r="H2685" s="13" t="str">
        <f t="shared" si="249"/>
        <v/>
      </c>
      <c r="I2685" t="str">
        <f>IFERROR(INDEX(Analysis!$D$116:$N$137, MATCH(B2685, Analysis!$C$116:$C$137, 0), MATCH(C2685, Analysis!$D$115:$N$115, 0)), "")</f>
        <v/>
      </c>
      <c r="J2685" t="str">
        <f t="shared" si="250"/>
        <v/>
      </c>
      <c r="K2685" s="28" t="str">
        <f t="shared" si="247"/>
        <v/>
      </c>
      <c r="L2685" s="46" t="str">
        <f t="shared" si="251"/>
        <v/>
      </c>
      <c r="M2685" t="str" cm="1">
        <f t="array" ref="M2685">IF(L2685="","",_xlfn.IFS(
  AND(L2685&gt;=TIME(9,0,0), L2685&lt;TIME(16,0,0)),"Morning",
  AND(L2685&gt;=TIME(16,0,0), L2685&lt;TIME(23,59,0)),"Evening",
  L2685&gt;=TIME(23,59,0),"Night",
  L2685&lt;TIME(9,0,0),"Night"
))</f>
        <v/>
      </c>
      <c r="O2685" t="str">
        <f t="shared" si="248"/>
        <v/>
      </c>
    </row>
    <row r="2686" spans="7:15" x14ac:dyDescent="0.25">
      <c r="G2686" t="str">
        <f t="shared" si="246"/>
        <v/>
      </c>
      <c r="H2686" s="13" t="str">
        <f t="shared" si="249"/>
        <v/>
      </c>
      <c r="I2686" t="str">
        <f>IFERROR(INDEX(Analysis!$D$116:$N$137, MATCH(B2686, Analysis!$C$116:$C$137, 0), MATCH(C2686, Analysis!$D$115:$N$115, 0)), "")</f>
        <v/>
      </c>
      <c r="J2686" t="str">
        <f t="shared" si="250"/>
        <v/>
      </c>
      <c r="K2686" s="28" t="str">
        <f t="shared" si="247"/>
        <v/>
      </c>
      <c r="L2686" s="46" t="str">
        <f t="shared" si="251"/>
        <v/>
      </c>
      <c r="M2686" t="str" cm="1">
        <f t="array" ref="M2686">IF(L2686="","",_xlfn.IFS(
  AND(L2686&gt;=TIME(9,0,0), L2686&lt;TIME(16,0,0)),"Morning",
  AND(L2686&gt;=TIME(16,0,0), L2686&lt;TIME(23,59,0)),"Evening",
  L2686&gt;=TIME(23,59,0),"Night",
  L2686&lt;TIME(9,0,0),"Night"
))</f>
        <v/>
      </c>
      <c r="O2686" t="str">
        <f t="shared" si="248"/>
        <v/>
      </c>
    </row>
    <row r="2687" spans="7:15" x14ac:dyDescent="0.25">
      <c r="G2687" t="str">
        <f t="shared" si="246"/>
        <v/>
      </c>
      <c r="H2687" s="13" t="str">
        <f t="shared" si="249"/>
        <v/>
      </c>
      <c r="I2687" t="str">
        <f>IFERROR(INDEX(Analysis!$D$116:$N$137, MATCH(B2687, Analysis!$C$116:$C$137, 0), MATCH(C2687, Analysis!$D$115:$N$115, 0)), "")</f>
        <v/>
      </c>
      <c r="J2687" t="str">
        <f t="shared" si="250"/>
        <v/>
      </c>
      <c r="K2687" s="28" t="str">
        <f t="shared" si="247"/>
        <v/>
      </c>
      <c r="L2687" s="46" t="str">
        <f t="shared" si="251"/>
        <v/>
      </c>
      <c r="M2687" t="str" cm="1">
        <f t="array" ref="M2687">IF(L2687="","",_xlfn.IFS(
  AND(L2687&gt;=TIME(9,0,0), L2687&lt;TIME(16,0,0)),"Morning",
  AND(L2687&gt;=TIME(16,0,0), L2687&lt;TIME(23,59,0)),"Evening",
  L2687&gt;=TIME(23,59,0),"Night",
  L2687&lt;TIME(9,0,0),"Night"
))</f>
        <v/>
      </c>
      <c r="O2687" t="str">
        <f t="shared" si="248"/>
        <v/>
      </c>
    </row>
    <row r="2688" spans="7:15" x14ac:dyDescent="0.25">
      <c r="G2688" t="str">
        <f t="shared" si="246"/>
        <v/>
      </c>
      <c r="H2688" s="13" t="str">
        <f t="shared" si="249"/>
        <v/>
      </c>
      <c r="I2688" t="str">
        <f>IFERROR(INDEX(Analysis!$D$116:$N$137, MATCH(B2688, Analysis!$C$116:$C$137, 0), MATCH(C2688, Analysis!$D$115:$N$115, 0)), "")</f>
        <v/>
      </c>
      <c r="J2688" t="str">
        <f t="shared" si="250"/>
        <v/>
      </c>
      <c r="K2688" s="28" t="str">
        <f t="shared" si="247"/>
        <v/>
      </c>
      <c r="L2688" s="46" t="str">
        <f t="shared" si="251"/>
        <v/>
      </c>
      <c r="M2688" t="str" cm="1">
        <f t="array" ref="M2688">IF(L2688="","",_xlfn.IFS(
  AND(L2688&gt;=TIME(9,0,0), L2688&lt;TIME(16,0,0)),"Morning",
  AND(L2688&gt;=TIME(16,0,0), L2688&lt;TIME(23,59,0)),"Evening",
  L2688&gt;=TIME(23,59,0),"Night",
  L2688&lt;TIME(9,0,0),"Night"
))</f>
        <v/>
      </c>
      <c r="O2688" t="str">
        <f t="shared" si="248"/>
        <v/>
      </c>
    </row>
    <row r="2689" spans="7:15" x14ac:dyDescent="0.25">
      <c r="G2689" t="str">
        <f t="shared" si="246"/>
        <v/>
      </c>
      <c r="H2689" s="13" t="str">
        <f t="shared" si="249"/>
        <v/>
      </c>
      <c r="I2689" t="str">
        <f>IFERROR(INDEX(Analysis!$D$116:$N$137, MATCH(B2689, Analysis!$C$116:$C$137, 0), MATCH(C2689, Analysis!$D$115:$N$115, 0)), "")</f>
        <v/>
      </c>
      <c r="J2689" t="str">
        <f t="shared" si="250"/>
        <v/>
      </c>
      <c r="K2689" s="28" t="str">
        <f t="shared" si="247"/>
        <v/>
      </c>
      <c r="L2689" s="46" t="str">
        <f t="shared" si="251"/>
        <v/>
      </c>
      <c r="M2689" t="str" cm="1">
        <f t="array" ref="M2689">IF(L2689="","",_xlfn.IFS(
  AND(L2689&gt;=TIME(9,0,0), L2689&lt;TIME(16,0,0)),"Morning",
  AND(L2689&gt;=TIME(16,0,0), L2689&lt;TIME(23,59,0)),"Evening",
  L2689&gt;=TIME(23,59,0),"Night",
  L2689&lt;TIME(9,0,0),"Night"
))</f>
        <v/>
      </c>
      <c r="O2689" t="str">
        <f t="shared" si="248"/>
        <v/>
      </c>
    </row>
    <row r="2690" spans="7:15" x14ac:dyDescent="0.25">
      <c r="G2690" t="str">
        <f t="shared" ref="G2690:G2753" si="252">IF(ISBLANK(A2690), "", IF(ISBLANK(F2690), 0, F2690))</f>
        <v/>
      </c>
      <c r="H2690" s="13" t="str">
        <f t="shared" si="249"/>
        <v/>
      </c>
      <c r="I2690" t="str">
        <f>IFERROR(INDEX(Analysis!$D$116:$N$137, MATCH(B2690, Analysis!$C$116:$C$137, 0), MATCH(C2690, Analysis!$D$115:$N$115, 0)), "")</f>
        <v/>
      </c>
      <c r="J2690" t="str">
        <f t="shared" si="250"/>
        <v/>
      </c>
      <c r="K2690" s="28" t="str">
        <f t="shared" ref="K2690:K2753" si="253">IF(ISBLANK(A2690),"",DATE(YEAR(A2690),MONTH(A2690),DAY(A2690)))</f>
        <v/>
      </c>
      <c r="L2690" s="46" t="str">
        <f t="shared" si="251"/>
        <v/>
      </c>
      <c r="M2690" t="str" cm="1">
        <f t="array" ref="M2690">IF(L2690="","",_xlfn.IFS(
  AND(L2690&gt;=TIME(9,0,0), L2690&lt;TIME(16,0,0)),"Morning",
  AND(L2690&gt;=TIME(16,0,0), L2690&lt;TIME(23,59,0)),"Evening",
  L2690&gt;=TIME(23,59,0),"Night",
  L2690&lt;TIME(9,0,0),"Night"
))</f>
        <v/>
      </c>
      <c r="O2690" t="str">
        <f t="shared" ref="O2690:O2753" si="254">IF(N2690="ON", _xlfn.IMAGE(E2690, 1), "")</f>
        <v/>
      </c>
    </row>
    <row r="2691" spans="7:15" x14ac:dyDescent="0.25">
      <c r="G2691" t="str">
        <f t="shared" si="252"/>
        <v/>
      </c>
      <c r="H2691" s="13" t="str">
        <f t="shared" ref="H2691:H2754" si="255">IF(ISBLANK(E2691),"",HYPERLINK(E2691,"Click here"))</f>
        <v/>
      </c>
      <c r="I2691" t="str">
        <f>IFERROR(INDEX(Analysis!$D$116:$N$137, MATCH(B2691, Analysis!$C$116:$C$137, 0), MATCH(C2691, Analysis!$D$115:$N$115, 0)), "")</f>
        <v/>
      </c>
      <c r="J2691" t="str">
        <f t="shared" ref="J2691:J2754" si="256">IF(ISBLANK(A2691),"",WEEKNUM(A2691))</f>
        <v/>
      </c>
      <c r="K2691" s="28" t="str">
        <f t="shared" si="253"/>
        <v/>
      </c>
      <c r="L2691" s="46" t="str">
        <f t="shared" ref="L2691:L2754" si="257">IF(A2691="", "", A2691 - INT(A2691))</f>
        <v/>
      </c>
      <c r="M2691" t="str" cm="1">
        <f t="array" ref="M2691">IF(L2691="","",_xlfn.IFS(
  AND(L2691&gt;=TIME(9,0,0), L2691&lt;TIME(16,0,0)),"Morning",
  AND(L2691&gt;=TIME(16,0,0), L2691&lt;TIME(23,59,0)),"Evening",
  L2691&gt;=TIME(23,59,0),"Night",
  L2691&lt;TIME(9,0,0),"Night"
))</f>
        <v/>
      </c>
      <c r="O2691" t="str">
        <f t="shared" si="254"/>
        <v/>
      </c>
    </row>
    <row r="2692" spans="7:15" x14ac:dyDescent="0.25">
      <c r="G2692" t="str">
        <f t="shared" si="252"/>
        <v/>
      </c>
      <c r="H2692" s="13" t="str">
        <f t="shared" si="255"/>
        <v/>
      </c>
      <c r="I2692" t="str">
        <f>IFERROR(INDEX(Analysis!$D$116:$N$137, MATCH(B2692, Analysis!$C$116:$C$137, 0), MATCH(C2692, Analysis!$D$115:$N$115, 0)), "")</f>
        <v/>
      </c>
      <c r="J2692" t="str">
        <f t="shared" si="256"/>
        <v/>
      </c>
      <c r="K2692" s="28" t="str">
        <f t="shared" si="253"/>
        <v/>
      </c>
      <c r="L2692" s="46" t="str">
        <f t="shared" si="257"/>
        <v/>
      </c>
      <c r="M2692" t="str" cm="1">
        <f t="array" ref="M2692">IF(L2692="","",_xlfn.IFS(
  AND(L2692&gt;=TIME(9,0,0), L2692&lt;TIME(16,0,0)),"Morning",
  AND(L2692&gt;=TIME(16,0,0), L2692&lt;TIME(23,59,0)),"Evening",
  L2692&gt;=TIME(23,59,0),"Night",
  L2692&lt;TIME(9,0,0),"Night"
))</f>
        <v/>
      </c>
      <c r="O2692" t="str">
        <f t="shared" si="254"/>
        <v/>
      </c>
    </row>
    <row r="2693" spans="7:15" x14ac:dyDescent="0.25">
      <c r="G2693" t="str">
        <f t="shared" si="252"/>
        <v/>
      </c>
      <c r="H2693" s="13" t="str">
        <f t="shared" si="255"/>
        <v/>
      </c>
      <c r="I2693" t="str">
        <f>IFERROR(INDEX(Analysis!$D$116:$N$137, MATCH(B2693, Analysis!$C$116:$C$137, 0), MATCH(C2693, Analysis!$D$115:$N$115, 0)), "")</f>
        <v/>
      </c>
      <c r="J2693" t="str">
        <f t="shared" si="256"/>
        <v/>
      </c>
      <c r="K2693" s="28" t="str">
        <f t="shared" si="253"/>
        <v/>
      </c>
      <c r="L2693" s="46" t="str">
        <f t="shared" si="257"/>
        <v/>
      </c>
      <c r="M2693" t="str" cm="1">
        <f t="array" ref="M2693">IF(L2693="","",_xlfn.IFS(
  AND(L2693&gt;=TIME(9,0,0), L2693&lt;TIME(16,0,0)),"Morning",
  AND(L2693&gt;=TIME(16,0,0), L2693&lt;TIME(23,59,0)),"Evening",
  L2693&gt;=TIME(23,59,0),"Night",
  L2693&lt;TIME(9,0,0),"Night"
))</f>
        <v/>
      </c>
      <c r="O2693" t="str">
        <f t="shared" si="254"/>
        <v/>
      </c>
    </row>
    <row r="2694" spans="7:15" x14ac:dyDescent="0.25">
      <c r="G2694" t="str">
        <f t="shared" si="252"/>
        <v/>
      </c>
      <c r="H2694" s="13" t="str">
        <f t="shared" si="255"/>
        <v/>
      </c>
      <c r="I2694" t="str">
        <f>IFERROR(INDEX(Analysis!$D$116:$N$137, MATCH(B2694, Analysis!$C$116:$C$137, 0), MATCH(C2694, Analysis!$D$115:$N$115, 0)), "")</f>
        <v/>
      </c>
      <c r="J2694" t="str">
        <f t="shared" si="256"/>
        <v/>
      </c>
      <c r="K2694" s="28" t="str">
        <f t="shared" si="253"/>
        <v/>
      </c>
      <c r="L2694" s="46" t="str">
        <f t="shared" si="257"/>
        <v/>
      </c>
      <c r="M2694" t="str" cm="1">
        <f t="array" ref="M2694">IF(L2694="","",_xlfn.IFS(
  AND(L2694&gt;=TIME(9,0,0), L2694&lt;TIME(16,0,0)),"Morning",
  AND(L2694&gt;=TIME(16,0,0), L2694&lt;TIME(23,59,0)),"Evening",
  L2694&gt;=TIME(23,59,0),"Night",
  L2694&lt;TIME(9,0,0),"Night"
))</f>
        <v/>
      </c>
      <c r="O2694" t="str">
        <f t="shared" si="254"/>
        <v/>
      </c>
    </row>
    <row r="2695" spans="7:15" x14ac:dyDescent="0.25">
      <c r="G2695" t="str">
        <f t="shared" si="252"/>
        <v/>
      </c>
      <c r="H2695" s="13" t="str">
        <f t="shared" si="255"/>
        <v/>
      </c>
      <c r="I2695" t="str">
        <f>IFERROR(INDEX(Analysis!$D$116:$N$137, MATCH(B2695, Analysis!$C$116:$C$137, 0), MATCH(C2695, Analysis!$D$115:$N$115, 0)), "")</f>
        <v/>
      </c>
      <c r="J2695" t="str">
        <f t="shared" si="256"/>
        <v/>
      </c>
      <c r="K2695" s="28" t="str">
        <f t="shared" si="253"/>
        <v/>
      </c>
      <c r="L2695" s="46" t="str">
        <f t="shared" si="257"/>
        <v/>
      </c>
      <c r="M2695" t="str" cm="1">
        <f t="array" ref="M2695">IF(L2695="","",_xlfn.IFS(
  AND(L2695&gt;=TIME(9,0,0), L2695&lt;TIME(16,0,0)),"Morning",
  AND(L2695&gt;=TIME(16,0,0), L2695&lt;TIME(23,59,0)),"Evening",
  L2695&gt;=TIME(23,59,0),"Night",
  L2695&lt;TIME(9,0,0),"Night"
))</f>
        <v/>
      </c>
      <c r="O2695" t="str">
        <f t="shared" si="254"/>
        <v/>
      </c>
    </row>
    <row r="2696" spans="7:15" x14ac:dyDescent="0.25">
      <c r="G2696" t="str">
        <f t="shared" si="252"/>
        <v/>
      </c>
      <c r="H2696" s="13" t="str">
        <f t="shared" si="255"/>
        <v/>
      </c>
      <c r="I2696" t="str">
        <f>IFERROR(INDEX(Analysis!$D$116:$N$137, MATCH(B2696, Analysis!$C$116:$C$137, 0), MATCH(C2696, Analysis!$D$115:$N$115, 0)), "")</f>
        <v/>
      </c>
      <c r="J2696" t="str">
        <f t="shared" si="256"/>
        <v/>
      </c>
      <c r="K2696" s="28" t="str">
        <f t="shared" si="253"/>
        <v/>
      </c>
      <c r="L2696" s="46" t="str">
        <f t="shared" si="257"/>
        <v/>
      </c>
      <c r="M2696" t="str" cm="1">
        <f t="array" ref="M2696">IF(L2696="","",_xlfn.IFS(
  AND(L2696&gt;=TIME(9,0,0), L2696&lt;TIME(16,0,0)),"Morning",
  AND(L2696&gt;=TIME(16,0,0), L2696&lt;TIME(23,59,0)),"Evening",
  L2696&gt;=TIME(23,59,0),"Night",
  L2696&lt;TIME(9,0,0),"Night"
))</f>
        <v/>
      </c>
      <c r="O2696" t="str">
        <f t="shared" si="254"/>
        <v/>
      </c>
    </row>
    <row r="2697" spans="7:15" x14ac:dyDescent="0.25">
      <c r="G2697" t="str">
        <f t="shared" si="252"/>
        <v/>
      </c>
      <c r="H2697" s="13" t="str">
        <f t="shared" si="255"/>
        <v/>
      </c>
      <c r="I2697" t="str">
        <f>IFERROR(INDEX(Analysis!$D$116:$N$137, MATCH(B2697, Analysis!$C$116:$C$137, 0), MATCH(C2697, Analysis!$D$115:$N$115, 0)), "")</f>
        <v/>
      </c>
      <c r="J2697" t="str">
        <f t="shared" si="256"/>
        <v/>
      </c>
      <c r="K2697" s="28" t="str">
        <f t="shared" si="253"/>
        <v/>
      </c>
      <c r="L2697" s="46" t="str">
        <f t="shared" si="257"/>
        <v/>
      </c>
      <c r="M2697" t="str" cm="1">
        <f t="array" ref="M2697">IF(L2697="","",_xlfn.IFS(
  AND(L2697&gt;=TIME(9,0,0), L2697&lt;TIME(16,0,0)),"Morning",
  AND(L2697&gt;=TIME(16,0,0), L2697&lt;TIME(23,59,0)),"Evening",
  L2697&gt;=TIME(23,59,0),"Night",
  L2697&lt;TIME(9,0,0),"Night"
))</f>
        <v/>
      </c>
      <c r="O2697" t="str">
        <f t="shared" si="254"/>
        <v/>
      </c>
    </row>
    <row r="2698" spans="7:15" x14ac:dyDescent="0.25">
      <c r="G2698" t="str">
        <f t="shared" si="252"/>
        <v/>
      </c>
      <c r="H2698" s="13" t="str">
        <f t="shared" si="255"/>
        <v/>
      </c>
      <c r="I2698" t="str">
        <f>IFERROR(INDEX(Analysis!$D$116:$N$137, MATCH(B2698, Analysis!$C$116:$C$137, 0), MATCH(C2698, Analysis!$D$115:$N$115, 0)), "")</f>
        <v/>
      </c>
      <c r="J2698" t="str">
        <f t="shared" si="256"/>
        <v/>
      </c>
      <c r="K2698" s="28" t="str">
        <f t="shared" si="253"/>
        <v/>
      </c>
      <c r="L2698" s="46" t="str">
        <f t="shared" si="257"/>
        <v/>
      </c>
      <c r="M2698" t="str" cm="1">
        <f t="array" ref="M2698">IF(L2698="","",_xlfn.IFS(
  AND(L2698&gt;=TIME(9,0,0), L2698&lt;TIME(16,0,0)),"Morning",
  AND(L2698&gt;=TIME(16,0,0), L2698&lt;TIME(23,59,0)),"Evening",
  L2698&gt;=TIME(23,59,0),"Night",
  L2698&lt;TIME(9,0,0),"Night"
))</f>
        <v/>
      </c>
      <c r="O2698" t="str">
        <f t="shared" si="254"/>
        <v/>
      </c>
    </row>
    <row r="2699" spans="7:15" x14ac:dyDescent="0.25">
      <c r="G2699" t="str">
        <f t="shared" si="252"/>
        <v/>
      </c>
      <c r="H2699" s="13" t="str">
        <f t="shared" si="255"/>
        <v/>
      </c>
      <c r="I2699" t="str">
        <f>IFERROR(INDEX(Analysis!$D$116:$N$137, MATCH(B2699, Analysis!$C$116:$C$137, 0), MATCH(C2699, Analysis!$D$115:$N$115, 0)), "")</f>
        <v/>
      </c>
      <c r="J2699" t="str">
        <f t="shared" si="256"/>
        <v/>
      </c>
      <c r="K2699" s="28" t="str">
        <f t="shared" si="253"/>
        <v/>
      </c>
      <c r="L2699" s="46" t="str">
        <f t="shared" si="257"/>
        <v/>
      </c>
      <c r="M2699" t="str" cm="1">
        <f t="array" ref="M2699">IF(L2699="","",_xlfn.IFS(
  AND(L2699&gt;=TIME(9,0,0), L2699&lt;TIME(16,0,0)),"Morning",
  AND(L2699&gt;=TIME(16,0,0), L2699&lt;TIME(23,59,0)),"Evening",
  L2699&gt;=TIME(23,59,0),"Night",
  L2699&lt;TIME(9,0,0),"Night"
))</f>
        <v/>
      </c>
      <c r="O2699" t="str">
        <f t="shared" si="254"/>
        <v/>
      </c>
    </row>
    <row r="2700" spans="7:15" x14ac:dyDescent="0.25">
      <c r="G2700" t="str">
        <f t="shared" si="252"/>
        <v/>
      </c>
      <c r="H2700" s="13" t="str">
        <f t="shared" si="255"/>
        <v/>
      </c>
      <c r="I2700" t="str">
        <f>IFERROR(INDEX(Analysis!$D$116:$N$137, MATCH(B2700, Analysis!$C$116:$C$137, 0), MATCH(C2700, Analysis!$D$115:$N$115, 0)), "")</f>
        <v/>
      </c>
      <c r="J2700" t="str">
        <f t="shared" si="256"/>
        <v/>
      </c>
      <c r="K2700" s="28" t="str">
        <f t="shared" si="253"/>
        <v/>
      </c>
      <c r="L2700" s="46" t="str">
        <f t="shared" si="257"/>
        <v/>
      </c>
      <c r="M2700" t="str" cm="1">
        <f t="array" ref="M2700">IF(L2700="","",_xlfn.IFS(
  AND(L2700&gt;=TIME(9,0,0), L2700&lt;TIME(16,0,0)),"Morning",
  AND(L2700&gt;=TIME(16,0,0), L2700&lt;TIME(23,59,0)),"Evening",
  L2700&gt;=TIME(23,59,0),"Night",
  L2700&lt;TIME(9,0,0),"Night"
))</f>
        <v/>
      </c>
      <c r="O2700" t="str">
        <f t="shared" si="254"/>
        <v/>
      </c>
    </row>
    <row r="2701" spans="7:15" x14ac:dyDescent="0.25">
      <c r="G2701" t="str">
        <f t="shared" si="252"/>
        <v/>
      </c>
      <c r="H2701" s="13" t="str">
        <f t="shared" si="255"/>
        <v/>
      </c>
      <c r="I2701" t="str">
        <f>IFERROR(INDEX(Analysis!$D$116:$N$137, MATCH(B2701, Analysis!$C$116:$C$137, 0), MATCH(C2701, Analysis!$D$115:$N$115, 0)), "")</f>
        <v/>
      </c>
      <c r="J2701" t="str">
        <f t="shared" si="256"/>
        <v/>
      </c>
      <c r="K2701" s="28" t="str">
        <f t="shared" si="253"/>
        <v/>
      </c>
      <c r="L2701" s="46" t="str">
        <f t="shared" si="257"/>
        <v/>
      </c>
      <c r="M2701" t="str" cm="1">
        <f t="array" ref="M2701">IF(L2701="","",_xlfn.IFS(
  AND(L2701&gt;=TIME(9,0,0), L2701&lt;TIME(16,0,0)),"Morning",
  AND(L2701&gt;=TIME(16,0,0), L2701&lt;TIME(23,59,0)),"Evening",
  L2701&gt;=TIME(23,59,0),"Night",
  L2701&lt;TIME(9,0,0),"Night"
))</f>
        <v/>
      </c>
      <c r="O2701" t="str">
        <f t="shared" si="254"/>
        <v/>
      </c>
    </row>
    <row r="2702" spans="7:15" x14ac:dyDescent="0.25">
      <c r="G2702" t="str">
        <f t="shared" si="252"/>
        <v/>
      </c>
      <c r="H2702" s="13" t="str">
        <f t="shared" si="255"/>
        <v/>
      </c>
      <c r="I2702" t="str">
        <f>IFERROR(INDEX(Analysis!$D$116:$N$137, MATCH(B2702, Analysis!$C$116:$C$137, 0), MATCH(C2702, Analysis!$D$115:$N$115, 0)), "")</f>
        <v/>
      </c>
      <c r="J2702" t="str">
        <f t="shared" si="256"/>
        <v/>
      </c>
      <c r="K2702" s="28" t="str">
        <f t="shared" si="253"/>
        <v/>
      </c>
      <c r="L2702" s="46" t="str">
        <f t="shared" si="257"/>
        <v/>
      </c>
      <c r="M2702" t="str" cm="1">
        <f t="array" ref="M2702">IF(L2702="","",_xlfn.IFS(
  AND(L2702&gt;=TIME(9,0,0), L2702&lt;TIME(16,0,0)),"Morning",
  AND(L2702&gt;=TIME(16,0,0), L2702&lt;TIME(23,59,0)),"Evening",
  L2702&gt;=TIME(23,59,0),"Night",
  L2702&lt;TIME(9,0,0),"Night"
))</f>
        <v/>
      </c>
      <c r="O2702" t="str">
        <f t="shared" si="254"/>
        <v/>
      </c>
    </row>
    <row r="2703" spans="7:15" x14ac:dyDescent="0.25">
      <c r="G2703" t="str">
        <f t="shared" si="252"/>
        <v/>
      </c>
      <c r="H2703" s="13" t="str">
        <f t="shared" si="255"/>
        <v/>
      </c>
      <c r="I2703" t="str">
        <f>IFERROR(INDEX(Analysis!$D$116:$N$137, MATCH(B2703, Analysis!$C$116:$C$137, 0), MATCH(C2703, Analysis!$D$115:$N$115, 0)), "")</f>
        <v/>
      </c>
      <c r="J2703" t="str">
        <f t="shared" si="256"/>
        <v/>
      </c>
      <c r="K2703" s="28" t="str">
        <f t="shared" si="253"/>
        <v/>
      </c>
      <c r="L2703" s="46" t="str">
        <f t="shared" si="257"/>
        <v/>
      </c>
      <c r="M2703" t="str" cm="1">
        <f t="array" ref="M2703">IF(L2703="","",_xlfn.IFS(
  AND(L2703&gt;=TIME(9,0,0), L2703&lt;TIME(16,0,0)),"Morning",
  AND(L2703&gt;=TIME(16,0,0), L2703&lt;TIME(23,59,0)),"Evening",
  L2703&gt;=TIME(23,59,0),"Night",
  L2703&lt;TIME(9,0,0),"Night"
))</f>
        <v/>
      </c>
      <c r="O2703" t="str">
        <f t="shared" si="254"/>
        <v/>
      </c>
    </row>
    <row r="2704" spans="7:15" x14ac:dyDescent="0.25">
      <c r="G2704" t="str">
        <f t="shared" si="252"/>
        <v/>
      </c>
      <c r="H2704" s="13" t="str">
        <f t="shared" si="255"/>
        <v/>
      </c>
      <c r="I2704" t="str">
        <f>IFERROR(INDEX(Analysis!$D$116:$N$137, MATCH(B2704, Analysis!$C$116:$C$137, 0), MATCH(C2704, Analysis!$D$115:$N$115, 0)), "")</f>
        <v/>
      </c>
      <c r="J2704" t="str">
        <f t="shared" si="256"/>
        <v/>
      </c>
      <c r="K2704" s="28" t="str">
        <f t="shared" si="253"/>
        <v/>
      </c>
      <c r="L2704" s="46" t="str">
        <f t="shared" si="257"/>
        <v/>
      </c>
      <c r="M2704" t="str" cm="1">
        <f t="array" ref="M2704">IF(L2704="","",_xlfn.IFS(
  AND(L2704&gt;=TIME(9,0,0), L2704&lt;TIME(16,0,0)),"Morning",
  AND(L2704&gt;=TIME(16,0,0), L2704&lt;TIME(23,59,0)),"Evening",
  L2704&gt;=TIME(23,59,0),"Night",
  L2704&lt;TIME(9,0,0),"Night"
))</f>
        <v/>
      </c>
      <c r="O2704" t="str">
        <f t="shared" si="254"/>
        <v/>
      </c>
    </row>
    <row r="2705" spans="7:15" x14ac:dyDescent="0.25">
      <c r="G2705" t="str">
        <f t="shared" si="252"/>
        <v/>
      </c>
      <c r="H2705" s="13" t="str">
        <f t="shared" si="255"/>
        <v/>
      </c>
      <c r="I2705" t="str">
        <f>IFERROR(INDEX(Analysis!$D$116:$N$137, MATCH(B2705, Analysis!$C$116:$C$137, 0), MATCH(C2705, Analysis!$D$115:$N$115, 0)), "")</f>
        <v/>
      </c>
      <c r="J2705" t="str">
        <f t="shared" si="256"/>
        <v/>
      </c>
      <c r="K2705" s="28" t="str">
        <f t="shared" si="253"/>
        <v/>
      </c>
      <c r="L2705" s="46" t="str">
        <f t="shared" si="257"/>
        <v/>
      </c>
      <c r="M2705" t="str" cm="1">
        <f t="array" ref="M2705">IF(L2705="","",_xlfn.IFS(
  AND(L2705&gt;=TIME(9,0,0), L2705&lt;TIME(16,0,0)),"Morning",
  AND(L2705&gt;=TIME(16,0,0), L2705&lt;TIME(23,59,0)),"Evening",
  L2705&gt;=TIME(23,59,0),"Night",
  L2705&lt;TIME(9,0,0),"Night"
))</f>
        <v/>
      </c>
      <c r="O2705" t="str">
        <f t="shared" si="254"/>
        <v/>
      </c>
    </row>
    <row r="2706" spans="7:15" x14ac:dyDescent="0.25">
      <c r="G2706" t="str">
        <f t="shared" si="252"/>
        <v/>
      </c>
      <c r="H2706" s="13" t="str">
        <f t="shared" si="255"/>
        <v/>
      </c>
      <c r="I2706" t="str">
        <f>IFERROR(INDEX(Analysis!$D$116:$N$137, MATCH(B2706, Analysis!$C$116:$C$137, 0), MATCH(C2706, Analysis!$D$115:$N$115, 0)), "")</f>
        <v/>
      </c>
      <c r="J2706" t="str">
        <f t="shared" si="256"/>
        <v/>
      </c>
      <c r="K2706" s="28" t="str">
        <f t="shared" si="253"/>
        <v/>
      </c>
      <c r="L2706" s="46" t="str">
        <f t="shared" si="257"/>
        <v/>
      </c>
      <c r="M2706" t="str" cm="1">
        <f t="array" ref="M2706">IF(L2706="","",_xlfn.IFS(
  AND(L2706&gt;=TIME(9,0,0), L2706&lt;TIME(16,0,0)),"Morning",
  AND(L2706&gt;=TIME(16,0,0), L2706&lt;TIME(23,59,0)),"Evening",
  L2706&gt;=TIME(23,59,0),"Night",
  L2706&lt;TIME(9,0,0),"Night"
))</f>
        <v/>
      </c>
      <c r="O2706" t="str">
        <f t="shared" si="254"/>
        <v/>
      </c>
    </row>
    <row r="2707" spans="7:15" x14ac:dyDescent="0.25">
      <c r="G2707" t="str">
        <f t="shared" si="252"/>
        <v/>
      </c>
      <c r="H2707" s="13" t="str">
        <f t="shared" si="255"/>
        <v/>
      </c>
      <c r="I2707" t="str">
        <f>IFERROR(INDEX(Analysis!$D$116:$N$137, MATCH(B2707, Analysis!$C$116:$C$137, 0), MATCH(C2707, Analysis!$D$115:$N$115, 0)), "")</f>
        <v/>
      </c>
      <c r="J2707" t="str">
        <f t="shared" si="256"/>
        <v/>
      </c>
      <c r="K2707" s="28" t="str">
        <f t="shared" si="253"/>
        <v/>
      </c>
      <c r="L2707" s="46" t="str">
        <f t="shared" si="257"/>
        <v/>
      </c>
      <c r="M2707" t="str" cm="1">
        <f t="array" ref="M2707">IF(L2707="","",_xlfn.IFS(
  AND(L2707&gt;=TIME(9,0,0), L2707&lt;TIME(16,0,0)),"Morning",
  AND(L2707&gt;=TIME(16,0,0), L2707&lt;TIME(23,59,0)),"Evening",
  L2707&gt;=TIME(23,59,0),"Night",
  L2707&lt;TIME(9,0,0),"Night"
))</f>
        <v/>
      </c>
      <c r="O2707" t="str">
        <f t="shared" si="254"/>
        <v/>
      </c>
    </row>
    <row r="2708" spans="7:15" x14ac:dyDescent="0.25">
      <c r="G2708" t="str">
        <f t="shared" si="252"/>
        <v/>
      </c>
      <c r="H2708" s="13" t="str">
        <f t="shared" si="255"/>
        <v/>
      </c>
      <c r="I2708" t="str">
        <f>IFERROR(INDEX(Analysis!$D$116:$N$137, MATCH(B2708, Analysis!$C$116:$C$137, 0), MATCH(C2708, Analysis!$D$115:$N$115, 0)), "")</f>
        <v/>
      </c>
      <c r="J2708" t="str">
        <f t="shared" si="256"/>
        <v/>
      </c>
      <c r="K2708" s="28" t="str">
        <f t="shared" si="253"/>
        <v/>
      </c>
      <c r="L2708" s="46" t="str">
        <f t="shared" si="257"/>
        <v/>
      </c>
      <c r="M2708" t="str" cm="1">
        <f t="array" ref="M2708">IF(L2708="","",_xlfn.IFS(
  AND(L2708&gt;=TIME(9,0,0), L2708&lt;TIME(16,0,0)),"Morning",
  AND(L2708&gt;=TIME(16,0,0), L2708&lt;TIME(23,59,0)),"Evening",
  L2708&gt;=TIME(23,59,0),"Night",
  L2708&lt;TIME(9,0,0),"Night"
))</f>
        <v/>
      </c>
      <c r="O2708" t="str">
        <f t="shared" si="254"/>
        <v/>
      </c>
    </row>
    <row r="2709" spans="7:15" x14ac:dyDescent="0.25">
      <c r="G2709" t="str">
        <f t="shared" si="252"/>
        <v/>
      </c>
      <c r="H2709" s="13" t="str">
        <f t="shared" si="255"/>
        <v/>
      </c>
      <c r="I2709" t="str">
        <f>IFERROR(INDEX(Analysis!$D$116:$N$137, MATCH(B2709, Analysis!$C$116:$C$137, 0), MATCH(C2709, Analysis!$D$115:$N$115, 0)), "")</f>
        <v/>
      </c>
      <c r="J2709" t="str">
        <f t="shared" si="256"/>
        <v/>
      </c>
      <c r="K2709" s="28" t="str">
        <f t="shared" si="253"/>
        <v/>
      </c>
      <c r="L2709" s="46" t="str">
        <f t="shared" si="257"/>
        <v/>
      </c>
      <c r="M2709" t="str" cm="1">
        <f t="array" ref="M2709">IF(L2709="","",_xlfn.IFS(
  AND(L2709&gt;=TIME(9,0,0), L2709&lt;TIME(16,0,0)),"Morning",
  AND(L2709&gt;=TIME(16,0,0), L2709&lt;TIME(23,59,0)),"Evening",
  L2709&gt;=TIME(23,59,0),"Night",
  L2709&lt;TIME(9,0,0),"Night"
))</f>
        <v/>
      </c>
      <c r="O2709" t="str">
        <f t="shared" si="254"/>
        <v/>
      </c>
    </row>
    <row r="2710" spans="7:15" x14ac:dyDescent="0.25">
      <c r="G2710" t="str">
        <f t="shared" si="252"/>
        <v/>
      </c>
      <c r="H2710" s="13" t="str">
        <f t="shared" si="255"/>
        <v/>
      </c>
      <c r="I2710" t="str">
        <f>IFERROR(INDEX(Analysis!$D$116:$N$137, MATCH(B2710, Analysis!$C$116:$C$137, 0), MATCH(C2710, Analysis!$D$115:$N$115, 0)), "")</f>
        <v/>
      </c>
      <c r="J2710" t="str">
        <f t="shared" si="256"/>
        <v/>
      </c>
      <c r="K2710" s="28" t="str">
        <f t="shared" si="253"/>
        <v/>
      </c>
      <c r="L2710" s="46" t="str">
        <f t="shared" si="257"/>
        <v/>
      </c>
      <c r="M2710" t="str" cm="1">
        <f t="array" ref="M2710">IF(L2710="","",_xlfn.IFS(
  AND(L2710&gt;=TIME(9,0,0), L2710&lt;TIME(16,0,0)),"Morning",
  AND(L2710&gt;=TIME(16,0,0), L2710&lt;TIME(23,59,0)),"Evening",
  L2710&gt;=TIME(23,59,0),"Night",
  L2710&lt;TIME(9,0,0),"Night"
))</f>
        <v/>
      </c>
      <c r="O2710" t="str">
        <f t="shared" si="254"/>
        <v/>
      </c>
    </row>
    <row r="2711" spans="7:15" x14ac:dyDescent="0.25">
      <c r="G2711" t="str">
        <f t="shared" si="252"/>
        <v/>
      </c>
      <c r="H2711" s="13" t="str">
        <f t="shared" si="255"/>
        <v/>
      </c>
      <c r="I2711" t="str">
        <f>IFERROR(INDEX(Analysis!$D$116:$N$137, MATCH(B2711, Analysis!$C$116:$C$137, 0), MATCH(C2711, Analysis!$D$115:$N$115, 0)), "")</f>
        <v/>
      </c>
      <c r="J2711" t="str">
        <f t="shared" si="256"/>
        <v/>
      </c>
      <c r="K2711" s="28" t="str">
        <f t="shared" si="253"/>
        <v/>
      </c>
      <c r="L2711" s="46" t="str">
        <f t="shared" si="257"/>
        <v/>
      </c>
      <c r="M2711" t="str" cm="1">
        <f t="array" ref="M2711">IF(L2711="","",_xlfn.IFS(
  AND(L2711&gt;=TIME(9,0,0), L2711&lt;TIME(16,0,0)),"Morning",
  AND(L2711&gt;=TIME(16,0,0), L2711&lt;TIME(23,59,0)),"Evening",
  L2711&gt;=TIME(23,59,0),"Night",
  L2711&lt;TIME(9,0,0),"Night"
))</f>
        <v/>
      </c>
      <c r="O2711" t="str">
        <f t="shared" si="254"/>
        <v/>
      </c>
    </row>
    <row r="2712" spans="7:15" x14ac:dyDescent="0.25">
      <c r="G2712" t="str">
        <f t="shared" si="252"/>
        <v/>
      </c>
      <c r="H2712" s="13" t="str">
        <f t="shared" si="255"/>
        <v/>
      </c>
      <c r="I2712" t="str">
        <f>IFERROR(INDEX(Analysis!$D$116:$N$137, MATCH(B2712, Analysis!$C$116:$C$137, 0), MATCH(C2712, Analysis!$D$115:$N$115, 0)), "")</f>
        <v/>
      </c>
      <c r="J2712" t="str">
        <f t="shared" si="256"/>
        <v/>
      </c>
      <c r="K2712" s="28" t="str">
        <f t="shared" si="253"/>
        <v/>
      </c>
      <c r="L2712" s="46" t="str">
        <f t="shared" si="257"/>
        <v/>
      </c>
      <c r="M2712" t="str" cm="1">
        <f t="array" ref="M2712">IF(L2712="","",_xlfn.IFS(
  AND(L2712&gt;=TIME(9,0,0), L2712&lt;TIME(16,0,0)),"Morning",
  AND(L2712&gt;=TIME(16,0,0), L2712&lt;TIME(23,59,0)),"Evening",
  L2712&gt;=TIME(23,59,0),"Night",
  L2712&lt;TIME(9,0,0),"Night"
))</f>
        <v/>
      </c>
      <c r="O2712" t="str">
        <f t="shared" si="254"/>
        <v/>
      </c>
    </row>
    <row r="2713" spans="7:15" x14ac:dyDescent="0.25">
      <c r="G2713" t="str">
        <f t="shared" si="252"/>
        <v/>
      </c>
      <c r="H2713" s="13" t="str">
        <f t="shared" si="255"/>
        <v/>
      </c>
      <c r="I2713" t="str">
        <f>IFERROR(INDEX(Analysis!$D$116:$N$137, MATCH(B2713, Analysis!$C$116:$C$137, 0), MATCH(C2713, Analysis!$D$115:$N$115, 0)), "")</f>
        <v/>
      </c>
      <c r="J2713" t="str">
        <f t="shared" si="256"/>
        <v/>
      </c>
      <c r="K2713" s="28" t="str">
        <f t="shared" si="253"/>
        <v/>
      </c>
      <c r="L2713" s="46" t="str">
        <f t="shared" si="257"/>
        <v/>
      </c>
      <c r="M2713" t="str" cm="1">
        <f t="array" ref="M2713">IF(L2713="","",_xlfn.IFS(
  AND(L2713&gt;=TIME(9,0,0), L2713&lt;TIME(16,0,0)),"Morning",
  AND(L2713&gt;=TIME(16,0,0), L2713&lt;TIME(23,59,0)),"Evening",
  L2713&gt;=TIME(23,59,0),"Night",
  L2713&lt;TIME(9,0,0),"Night"
))</f>
        <v/>
      </c>
      <c r="O2713" t="str">
        <f t="shared" si="254"/>
        <v/>
      </c>
    </row>
    <row r="2714" spans="7:15" x14ac:dyDescent="0.25">
      <c r="G2714" t="str">
        <f t="shared" si="252"/>
        <v/>
      </c>
      <c r="H2714" s="13" t="str">
        <f t="shared" si="255"/>
        <v/>
      </c>
      <c r="I2714" t="str">
        <f>IFERROR(INDEX(Analysis!$D$116:$N$137, MATCH(B2714, Analysis!$C$116:$C$137, 0), MATCH(C2714, Analysis!$D$115:$N$115, 0)), "")</f>
        <v/>
      </c>
      <c r="J2714" t="str">
        <f t="shared" si="256"/>
        <v/>
      </c>
      <c r="K2714" s="28" t="str">
        <f t="shared" si="253"/>
        <v/>
      </c>
      <c r="L2714" s="46" t="str">
        <f t="shared" si="257"/>
        <v/>
      </c>
      <c r="M2714" t="str" cm="1">
        <f t="array" ref="M2714">IF(L2714="","",_xlfn.IFS(
  AND(L2714&gt;=TIME(9,0,0), L2714&lt;TIME(16,0,0)),"Morning",
  AND(L2714&gt;=TIME(16,0,0), L2714&lt;TIME(23,59,0)),"Evening",
  L2714&gt;=TIME(23,59,0),"Night",
  L2714&lt;TIME(9,0,0),"Night"
))</f>
        <v/>
      </c>
      <c r="O2714" t="str">
        <f t="shared" si="254"/>
        <v/>
      </c>
    </row>
    <row r="2715" spans="7:15" x14ac:dyDescent="0.25">
      <c r="G2715" t="str">
        <f t="shared" si="252"/>
        <v/>
      </c>
      <c r="H2715" s="13" t="str">
        <f t="shared" si="255"/>
        <v/>
      </c>
      <c r="I2715" t="str">
        <f>IFERROR(INDEX(Analysis!$D$116:$N$137, MATCH(B2715, Analysis!$C$116:$C$137, 0), MATCH(C2715, Analysis!$D$115:$N$115, 0)), "")</f>
        <v/>
      </c>
      <c r="J2715" t="str">
        <f t="shared" si="256"/>
        <v/>
      </c>
      <c r="K2715" s="28" t="str">
        <f t="shared" si="253"/>
        <v/>
      </c>
      <c r="L2715" s="46" t="str">
        <f t="shared" si="257"/>
        <v/>
      </c>
      <c r="M2715" t="str" cm="1">
        <f t="array" ref="M2715">IF(L2715="","",_xlfn.IFS(
  AND(L2715&gt;=TIME(9,0,0), L2715&lt;TIME(16,0,0)),"Morning",
  AND(L2715&gt;=TIME(16,0,0), L2715&lt;TIME(23,59,0)),"Evening",
  L2715&gt;=TIME(23,59,0),"Night",
  L2715&lt;TIME(9,0,0),"Night"
))</f>
        <v/>
      </c>
      <c r="O2715" t="str">
        <f t="shared" si="254"/>
        <v/>
      </c>
    </row>
    <row r="2716" spans="7:15" x14ac:dyDescent="0.25">
      <c r="G2716" t="str">
        <f t="shared" si="252"/>
        <v/>
      </c>
      <c r="H2716" s="13" t="str">
        <f t="shared" si="255"/>
        <v/>
      </c>
      <c r="I2716" t="str">
        <f>IFERROR(INDEX(Analysis!$D$116:$N$137, MATCH(B2716, Analysis!$C$116:$C$137, 0), MATCH(C2716, Analysis!$D$115:$N$115, 0)), "")</f>
        <v/>
      </c>
      <c r="J2716" t="str">
        <f t="shared" si="256"/>
        <v/>
      </c>
      <c r="K2716" s="28" t="str">
        <f t="shared" si="253"/>
        <v/>
      </c>
      <c r="L2716" s="46" t="str">
        <f t="shared" si="257"/>
        <v/>
      </c>
      <c r="M2716" t="str" cm="1">
        <f t="array" ref="M2716">IF(L2716="","",_xlfn.IFS(
  AND(L2716&gt;=TIME(9,0,0), L2716&lt;TIME(16,0,0)),"Morning",
  AND(L2716&gt;=TIME(16,0,0), L2716&lt;TIME(23,59,0)),"Evening",
  L2716&gt;=TIME(23,59,0),"Night",
  L2716&lt;TIME(9,0,0),"Night"
))</f>
        <v/>
      </c>
      <c r="O2716" t="str">
        <f t="shared" si="254"/>
        <v/>
      </c>
    </row>
    <row r="2717" spans="7:15" x14ac:dyDescent="0.25">
      <c r="G2717" t="str">
        <f t="shared" si="252"/>
        <v/>
      </c>
      <c r="H2717" s="13" t="str">
        <f t="shared" si="255"/>
        <v/>
      </c>
      <c r="I2717" t="str">
        <f>IFERROR(INDEX(Analysis!$D$116:$N$137, MATCH(B2717, Analysis!$C$116:$C$137, 0), MATCH(C2717, Analysis!$D$115:$N$115, 0)), "")</f>
        <v/>
      </c>
      <c r="J2717" t="str">
        <f t="shared" si="256"/>
        <v/>
      </c>
      <c r="K2717" s="28" t="str">
        <f t="shared" si="253"/>
        <v/>
      </c>
      <c r="L2717" s="46" t="str">
        <f t="shared" si="257"/>
        <v/>
      </c>
      <c r="M2717" t="str" cm="1">
        <f t="array" ref="M2717">IF(L2717="","",_xlfn.IFS(
  AND(L2717&gt;=TIME(9,0,0), L2717&lt;TIME(16,0,0)),"Morning",
  AND(L2717&gt;=TIME(16,0,0), L2717&lt;TIME(23,59,0)),"Evening",
  L2717&gt;=TIME(23,59,0),"Night",
  L2717&lt;TIME(9,0,0),"Night"
))</f>
        <v/>
      </c>
      <c r="O2717" t="str">
        <f t="shared" si="254"/>
        <v/>
      </c>
    </row>
    <row r="2718" spans="7:15" x14ac:dyDescent="0.25">
      <c r="G2718" t="str">
        <f t="shared" si="252"/>
        <v/>
      </c>
      <c r="H2718" s="13" t="str">
        <f t="shared" si="255"/>
        <v/>
      </c>
      <c r="I2718" t="str">
        <f>IFERROR(INDEX(Analysis!$D$116:$N$137, MATCH(B2718, Analysis!$C$116:$C$137, 0), MATCH(C2718, Analysis!$D$115:$N$115, 0)), "")</f>
        <v/>
      </c>
      <c r="J2718" t="str">
        <f t="shared" si="256"/>
        <v/>
      </c>
      <c r="K2718" s="28" t="str">
        <f t="shared" si="253"/>
        <v/>
      </c>
      <c r="L2718" s="46" t="str">
        <f t="shared" si="257"/>
        <v/>
      </c>
      <c r="M2718" t="str" cm="1">
        <f t="array" ref="M2718">IF(L2718="","",_xlfn.IFS(
  AND(L2718&gt;=TIME(9,0,0), L2718&lt;TIME(16,0,0)),"Morning",
  AND(L2718&gt;=TIME(16,0,0), L2718&lt;TIME(23,59,0)),"Evening",
  L2718&gt;=TIME(23,59,0),"Night",
  L2718&lt;TIME(9,0,0),"Night"
))</f>
        <v/>
      </c>
      <c r="O2718" t="str">
        <f t="shared" si="254"/>
        <v/>
      </c>
    </row>
    <row r="2719" spans="7:15" x14ac:dyDescent="0.25">
      <c r="G2719" t="str">
        <f t="shared" si="252"/>
        <v/>
      </c>
      <c r="H2719" s="13" t="str">
        <f t="shared" si="255"/>
        <v/>
      </c>
      <c r="I2719" t="str">
        <f>IFERROR(INDEX(Analysis!$D$116:$N$137, MATCH(B2719, Analysis!$C$116:$C$137, 0), MATCH(C2719, Analysis!$D$115:$N$115, 0)), "")</f>
        <v/>
      </c>
      <c r="J2719" t="str">
        <f t="shared" si="256"/>
        <v/>
      </c>
      <c r="K2719" s="28" t="str">
        <f t="shared" si="253"/>
        <v/>
      </c>
      <c r="L2719" s="46" t="str">
        <f t="shared" si="257"/>
        <v/>
      </c>
      <c r="M2719" t="str" cm="1">
        <f t="array" ref="M2719">IF(L2719="","",_xlfn.IFS(
  AND(L2719&gt;=TIME(9,0,0), L2719&lt;TIME(16,0,0)),"Morning",
  AND(L2719&gt;=TIME(16,0,0), L2719&lt;TIME(23,59,0)),"Evening",
  L2719&gt;=TIME(23,59,0),"Night",
  L2719&lt;TIME(9,0,0),"Night"
))</f>
        <v/>
      </c>
      <c r="O2719" t="str">
        <f t="shared" si="254"/>
        <v/>
      </c>
    </row>
    <row r="2720" spans="7:15" x14ac:dyDescent="0.25">
      <c r="G2720" t="str">
        <f t="shared" si="252"/>
        <v/>
      </c>
      <c r="H2720" s="13" t="str">
        <f t="shared" si="255"/>
        <v/>
      </c>
      <c r="I2720" t="str">
        <f>IFERROR(INDEX(Analysis!$D$116:$N$137, MATCH(B2720, Analysis!$C$116:$C$137, 0), MATCH(C2720, Analysis!$D$115:$N$115, 0)), "")</f>
        <v/>
      </c>
      <c r="J2720" t="str">
        <f t="shared" si="256"/>
        <v/>
      </c>
      <c r="K2720" s="28" t="str">
        <f t="shared" si="253"/>
        <v/>
      </c>
      <c r="L2720" s="46" t="str">
        <f t="shared" si="257"/>
        <v/>
      </c>
      <c r="M2720" t="str" cm="1">
        <f t="array" ref="M2720">IF(L2720="","",_xlfn.IFS(
  AND(L2720&gt;=TIME(9,0,0), L2720&lt;TIME(16,0,0)),"Morning",
  AND(L2720&gt;=TIME(16,0,0), L2720&lt;TIME(23,59,0)),"Evening",
  L2720&gt;=TIME(23,59,0),"Night",
  L2720&lt;TIME(9,0,0),"Night"
))</f>
        <v/>
      </c>
      <c r="O2720" t="str">
        <f t="shared" si="254"/>
        <v/>
      </c>
    </row>
    <row r="2721" spans="7:15" x14ac:dyDescent="0.25">
      <c r="G2721" t="str">
        <f t="shared" si="252"/>
        <v/>
      </c>
      <c r="H2721" s="13" t="str">
        <f t="shared" si="255"/>
        <v/>
      </c>
      <c r="I2721" t="str">
        <f>IFERROR(INDEX(Analysis!$D$116:$N$137, MATCH(B2721, Analysis!$C$116:$C$137, 0), MATCH(C2721, Analysis!$D$115:$N$115, 0)), "")</f>
        <v/>
      </c>
      <c r="J2721" t="str">
        <f t="shared" si="256"/>
        <v/>
      </c>
      <c r="K2721" s="28" t="str">
        <f t="shared" si="253"/>
        <v/>
      </c>
      <c r="L2721" s="46" t="str">
        <f t="shared" si="257"/>
        <v/>
      </c>
      <c r="M2721" t="str" cm="1">
        <f t="array" ref="M2721">IF(L2721="","",_xlfn.IFS(
  AND(L2721&gt;=TIME(9,0,0), L2721&lt;TIME(16,0,0)),"Morning",
  AND(L2721&gt;=TIME(16,0,0), L2721&lt;TIME(23,59,0)),"Evening",
  L2721&gt;=TIME(23,59,0),"Night",
  L2721&lt;TIME(9,0,0),"Night"
))</f>
        <v/>
      </c>
      <c r="O2721" t="str">
        <f t="shared" si="254"/>
        <v/>
      </c>
    </row>
    <row r="2722" spans="7:15" x14ac:dyDescent="0.25">
      <c r="G2722" t="str">
        <f t="shared" si="252"/>
        <v/>
      </c>
      <c r="H2722" s="13" t="str">
        <f t="shared" si="255"/>
        <v/>
      </c>
      <c r="I2722" t="str">
        <f>IFERROR(INDEX(Analysis!$D$116:$N$137, MATCH(B2722, Analysis!$C$116:$C$137, 0), MATCH(C2722, Analysis!$D$115:$N$115, 0)), "")</f>
        <v/>
      </c>
      <c r="J2722" t="str">
        <f t="shared" si="256"/>
        <v/>
      </c>
      <c r="K2722" s="28" t="str">
        <f t="shared" si="253"/>
        <v/>
      </c>
      <c r="L2722" s="46" t="str">
        <f t="shared" si="257"/>
        <v/>
      </c>
      <c r="M2722" t="str" cm="1">
        <f t="array" ref="M2722">IF(L2722="","",_xlfn.IFS(
  AND(L2722&gt;=TIME(9,0,0), L2722&lt;TIME(16,0,0)),"Morning",
  AND(L2722&gt;=TIME(16,0,0), L2722&lt;TIME(23,59,0)),"Evening",
  L2722&gt;=TIME(23,59,0),"Night",
  L2722&lt;TIME(9,0,0),"Night"
))</f>
        <v/>
      </c>
      <c r="O2722" t="str">
        <f t="shared" si="254"/>
        <v/>
      </c>
    </row>
    <row r="2723" spans="7:15" x14ac:dyDescent="0.25">
      <c r="G2723" t="str">
        <f t="shared" si="252"/>
        <v/>
      </c>
      <c r="H2723" s="13" t="str">
        <f t="shared" si="255"/>
        <v/>
      </c>
      <c r="I2723" t="str">
        <f>IFERROR(INDEX(Analysis!$D$116:$N$137, MATCH(B2723, Analysis!$C$116:$C$137, 0), MATCH(C2723, Analysis!$D$115:$N$115, 0)), "")</f>
        <v/>
      </c>
      <c r="J2723" t="str">
        <f t="shared" si="256"/>
        <v/>
      </c>
      <c r="K2723" s="28" t="str">
        <f t="shared" si="253"/>
        <v/>
      </c>
      <c r="L2723" s="46" t="str">
        <f t="shared" si="257"/>
        <v/>
      </c>
      <c r="M2723" t="str" cm="1">
        <f t="array" ref="M2723">IF(L2723="","",_xlfn.IFS(
  AND(L2723&gt;=TIME(9,0,0), L2723&lt;TIME(16,0,0)),"Morning",
  AND(L2723&gt;=TIME(16,0,0), L2723&lt;TIME(23,59,0)),"Evening",
  L2723&gt;=TIME(23,59,0),"Night",
  L2723&lt;TIME(9,0,0),"Night"
))</f>
        <v/>
      </c>
      <c r="O2723" t="str">
        <f t="shared" si="254"/>
        <v/>
      </c>
    </row>
    <row r="2724" spans="7:15" x14ac:dyDescent="0.25">
      <c r="G2724" t="str">
        <f t="shared" si="252"/>
        <v/>
      </c>
      <c r="H2724" s="13" t="str">
        <f t="shared" si="255"/>
        <v/>
      </c>
      <c r="I2724" t="str">
        <f>IFERROR(INDEX(Analysis!$D$116:$N$137, MATCH(B2724, Analysis!$C$116:$C$137, 0), MATCH(C2724, Analysis!$D$115:$N$115, 0)), "")</f>
        <v/>
      </c>
      <c r="J2724" t="str">
        <f t="shared" si="256"/>
        <v/>
      </c>
      <c r="K2724" s="28" t="str">
        <f t="shared" si="253"/>
        <v/>
      </c>
      <c r="L2724" s="46" t="str">
        <f t="shared" si="257"/>
        <v/>
      </c>
      <c r="M2724" t="str" cm="1">
        <f t="array" ref="M2724">IF(L2724="","",_xlfn.IFS(
  AND(L2724&gt;=TIME(9,0,0), L2724&lt;TIME(16,0,0)),"Morning",
  AND(L2724&gt;=TIME(16,0,0), L2724&lt;TIME(23,59,0)),"Evening",
  L2724&gt;=TIME(23,59,0),"Night",
  L2724&lt;TIME(9,0,0),"Night"
))</f>
        <v/>
      </c>
      <c r="O2724" t="str">
        <f t="shared" si="254"/>
        <v/>
      </c>
    </row>
    <row r="2725" spans="7:15" x14ac:dyDescent="0.25">
      <c r="G2725" t="str">
        <f t="shared" si="252"/>
        <v/>
      </c>
      <c r="H2725" s="13" t="str">
        <f t="shared" si="255"/>
        <v/>
      </c>
      <c r="I2725" t="str">
        <f>IFERROR(INDEX(Analysis!$D$116:$N$137, MATCH(B2725, Analysis!$C$116:$C$137, 0), MATCH(C2725, Analysis!$D$115:$N$115, 0)), "")</f>
        <v/>
      </c>
      <c r="J2725" t="str">
        <f t="shared" si="256"/>
        <v/>
      </c>
      <c r="K2725" s="28" t="str">
        <f t="shared" si="253"/>
        <v/>
      </c>
      <c r="L2725" s="46" t="str">
        <f t="shared" si="257"/>
        <v/>
      </c>
      <c r="M2725" t="str" cm="1">
        <f t="array" ref="M2725">IF(L2725="","",_xlfn.IFS(
  AND(L2725&gt;=TIME(9,0,0), L2725&lt;TIME(16,0,0)),"Morning",
  AND(L2725&gt;=TIME(16,0,0), L2725&lt;TIME(23,59,0)),"Evening",
  L2725&gt;=TIME(23,59,0),"Night",
  L2725&lt;TIME(9,0,0),"Night"
))</f>
        <v/>
      </c>
      <c r="O2725" t="str">
        <f t="shared" si="254"/>
        <v/>
      </c>
    </row>
    <row r="2726" spans="7:15" x14ac:dyDescent="0.25">
      <c r="G2726" t="str">
        <f t="shared" si="252"/>
        <v/>
      </c>
      <c r="H2726" s="13" t="str">
        <f t="shared" si="255"/>
        <v/>
      </c>
      <c r="I2726" t="str">
        <f>IFERROR(INDEX(Analysis!$D$116:$N$137, MATCH(B2726, Analysis!$C$116:$C$137, 0), MATCH(C2726, Analysis!$D$115:$N$115, 0)), "")</f>
        <v/>
      </c>
      <c r="J2726" t="str">
        <f t="shared" si="256"/>
        <v/>
      </c>
      <c r="K2726" s="28" t="str">
        <f t="shared" si="253"/>
        <v/>
      </c>
      <c r="L2726" s="46" t="str">
        <f t="shared" si="257"/>
        <v/>
      </c>
      <c r="M2726" t="str" cm="1">
        <f t="array" ref="M2726">IF(L2726="","",_xlfn.IFS(
  AND(L2726&gt;=TIME(9,0,0), L2726&lt;TIME(16,0,0)),"Morning",
  AND(L2726&gt;=TIME(16,0,0), L2726&lt;TIME(23,59,0)),"Evening",
  L2726&gt;=TIME(23,59,0),"Night",
  L2726&lt;TIME(9,0,0),"Night"
))</f>
        <v/>
      </c>
      <c r="O2726" t="str">
        <f t="shared" si="254"/>
        <v/>
      </c>
    </row>
    <row r="2727" spans="7:15" x14ac:dyDescent="0.25">
      <c r="G2727" t="str">
        <f t="shared" si="252"/>
        <v/>
      </c>
      <c r="H2727" s="13" t="str">
        <f t="shared" si="255"/>
        <v/>
      </c>
      <c r="I2727" t="str">
        <f>IFERROR(INDEX(Analysis!$D$116:$N$137, MATCH(B2727, Analysis!$C$116:$C$137, 0), MATCH(C2727, Analysis!$D$115:$N$115, 0)), "")</f>
        <v/>
      </c>
      <c r="J2727" t="str">
        <f t="shared" si="256"/>
        <v/>
      </c>
      <c r="K2727" s="28" t="str">
        <f t="shared" si="253"/>
        <v/>
      </c>
      <c r="L2727" s="46" t="str">
        <f t="shared" si="257"/>
        <v/>
      </c>
      <c r="M2727" t="str" cm="1">
        <f t="array" ref="M2727">IF(L2727="","",_xlfn.IFS(
  AND(L2727&gt;=TIME(9,0,0), L2727&lt;TIME(16,0,0)),"Morning",
  AND(L2727&gt;=TIME(16,0,0), L2727&lt;TIME(23,59,0)),"Evening",
  L2727&gt;=TIME(23,59,0),"Night",
  L2727&lt;TIME(9,0,0),"Night"
))</f>
        <v/>
      </c>
      <c r="O2727" t="str">
        <f t="shared" si="254"/>
        <v/>
      </c>
    </row>
    <row r="2728" spans="7:15" x14ac:dyDescent="0.25">
      <c r="G2728" t="str">
        <f t="shared" si="252"/>
        <v/>
      </c>
      <c r="H2728" s="13" t="str">
        <f t="shared" si="255"/>
        <v/>
      </c>
      <c r="I2728" t="str">
        <f>IFERROR(INDEX(Analysis!$D$116:$N$137, MATCH(B2728, Analysis!$C$116:$C$137, 0), MATCH(C2728, Analysis!$D$115:$N$115, 0)), "")</f>
        <v/>
      </c>
      <c r="J2728" t="str">
        <f t="shared" si="256"/>
        <v/>
      </c>
      <c r="K2728" s="28" t="str">
        <f t="shared" si="253"/>
        <v/>
      </c>
      <c r="L2728" s="46" t="str">
        <f t="shared" si="257"/>
        <v/>
      </c>
      <c r="M2728" t="str" cm="1">
        <f t="array" ref="M2728">IF(L2728="","",_xlfn.IFS(
  AND(L2728&gt;=TIME(9,0,0), L2728&lt;TIME(16,0,0)),"Morning",
  AND(L2728&gt;=TIME(16,0,0), L2728&lt;TIME(23,59,0)),"Evening",
  L2728&gt;=TIME(23,59,0),"Night",
  L2728&lt;TIME(9,0,0),"Night"
))</f>
        <v/>
      </c>
      <c r="O2728" t="str">
        <f t="shared" si="254"/>
        <v/>
      </c>
    </row>
    <row r="2729" spans="7:15" x14ac:dyDescent="0.25">
      <c r="G2729" t="str">
        <f t="shared" si="252"/>
        <v/>
      </c>
      <c r="H2729" s="13" t="str">
        <f t="shared" si="255"/>
        <v/>
      </c>
      <c r="I2729" t="str">
        <f>IFERROR(INDEX(Analysis!$D$116:$N$137, MATCH(B2729, Analysis!$C$116:$C$137, 0), MATCH(C2729, Analysis!$D$115:$N$115, 0)), "")</f>
        <v/>
      </c>
      <c r="J2729" t="str">
        <f t="shared" si="256"/>
        <v/>
      </c>
      <c r="K2729" s="28" t="str">
        <f t="shared" si="253"/>
        <v/>
      </c>
      <c r="L2729" s="46" t="str">
        <f t="shared" si="257"/>
        <v/>
      </c>
      <c r="M2729" t="str" cm="1">
        <f t="array" ref="M2729">IF(L2729="","",_xlfn.IFS(
  AND(L2729&gt;=TIME(9,0,0), L2729&lt;TIME(16,0,0)),"Morning",
  AND(L2729&gt;=TIME(16,0,0), L2729&lt;TIME(23,59,0)),"Evening",
  L2729&gt;=TIME(23,59,0),"Night",
  L2729&lt;TIME(9,0,0),"Night"
))</f>
        <v/>
      </c>
      <c r="O2729" t="str">
        <f t="shared" si="254"/>
        <v/>
      </c>
    </row>
    <row r="2730" spans="7:15" x14ac:dyDescent="0.25">
      <c r="G2730" t="str">
        <f t="shared" si="252"/>
        <v/>
      </c>
      <c r="H2730" s="13" t="str">
        <f t="shared" si="255"/>
        <v/>
      </c>
      <c r="I2730" t="str">
        <f>IFERROR(INDEX(Analysis!$D$116:$N$137, MATCH(B2730, Analysis!$C$116:$C$137, 0), MATCH(C2730, Analysis!$D$115:$N$115, 0)), "")</f>
        <v/>
      </c>
      <c r="J2730" t="str">
        <f t="shared" si="256"/>
        <v/>
      </c>
      <c r="K2730" s="28" t="str">
        <f t="shared" si="253"/>
        <v/>
      </c>
      <c r="L2730" s="46" t="str">
        <f t="shared" si="257"/>
        <v/>
      </c>
      <c r="M2730" t="str" cm="1">
        <f t="array" ref="M2730">IF(L2730="","",_xlfn.IFS(
  AND(L2730&gt;=TIME(9,0,0), L2730&lt;TIME(16,0,0)),"Morning",
  AND(L2730&gt;=TIME(16,0,0), L2730&lt;TIME(23,59,0)),"Evening",
  L2730&gt;=TIME(23,59,0),"Night",
  L2730&lt;TIME(9,0,0),"Night"
))</f>
        <v/>
      </c>
      <c r="O2730" t="str">
        <f t="shared" si="254"/>
        <v/>
      </c>
    </row>
    <row r="2731" spans="7:15" x14ac:dyDescent="0.25">
      <c r="G2731" t="str">
        <f t="shared" si="252"/>
        <v/>
      </c>
      <c r="H2731" s="13" t="str">
        <f t="shared" si="255"/>
        <v/>
      </c>
      <c r="I2731" t="str">
        <f>IFERROR(INDEX(Analysis!$D$116:$N$137, MATCH(B2731, Analysis!$C$116:$C$137, 0), MATCH(C2731, Analysis!$D$115:$N$115, 0)), "")</f>
        <v/>
      </c>
      <c r="J2731" t="str">
        <f t="shared" si="256"/>
        <v/>
      </c>
      <c r="K2731" s="28" t="str">
        <f t="shared" si="253"/>
        <v/>
      </c>
      <c r="L2731" s="46" t="str">
        <f t="shared" si="257"/>
        <v/>
      </c>
      <c r="M2731" t="str" cm="1">
        <f t="array" ref="M2731">IF(L2731="","",_xlfn.IFS(
  AND(L2731&gt;=TIME(9,0,0), L2731&lt;TIME(16,0,0)),"Morning",
  AND(L2731&gt;=TIME(16,0,0), L2731&lt;TIME(23,59,0)),"Evening",
  L2731&gt;=TIME(23,59,0),"Night",
  L2731&lt;TIME(9,0,0),"Night"
))</f>
        <v/>
      </c>
      <c r="O2731" t="str">
        <f t="shared" si="254"/>
        <v/>
      </c>
    </row>
    <row r="2732" spans="7:15" x14ac:dyDescent="0.25">
      <c r="G2732" t="str">
        <f t="shared" si="252"/>
        <v/>
      </c>
      <c r="H2732" s="13" t="str">
        <f t="shared" si="255"/>
        <v/>
      </c>
      <c r="I2732" t="str">
        <f>IFERROR(INDEX(Analysis!$D$116:$N$137, MATCH(B2732, Analysis!$C$116:$C$137, 0), MATCH(C2732, Analysis!$D$115:$N$115, 0)), "")</f>
        <v/>
      </c>
      <c r="J2732" t="str">
        <f t="shared" si="256"/>
        <v/>
      </c>
      <c r="K2732" s="28" t="str">
        <f t="shared" si="253"/>
        <v/>
      </c>
      <c r="L2732" s="46" t="str">
        <f t="shared" si="257"/>
        <v/>
      </c>
      <c r="M2732" t="str" cm="1">
        <f t="array" ref="M2732">IF(L2732="","",_xlfn.IFS(
  AND(L2732&gt;=TIME(9,0,0), L2732&lt;TIME(16,0,0)),"Morning",
  AND(L2732&gt;=TIME(16,0,0), L2732&lt;TIME(23,59,0)),"Evening",
  L2732&gt;=TIME(23,59,0),"Night",
  L2732&lt;TIME(9,0,0),"Night"
))</f>
        <v/>
      </c>
      <c r="O2732" t="str">
        <f t="shared" si="254"/>
        <v/>
      </c>
    </row>
    <row r="2733" spans="7:15" x14ac:dyDescent="0.25">
      <c r="G2733" t="str">
        <f t="shared" si="252"/>
        <v/>
      </c>
      <c r="H2733" s="13" t="str">
        <f t="shared" si="255"/>
        <v/>
      </c>
      <c r="I2733" t="str">
        <f>IFERROR(INDEX(Analysis!$D$116:$N$137, MATCH(B2733, Analysis!$C$116:$C$137, 0), MATCH(C2733, Analysis!$D$115:$N$115, 0)), "")</f>
        <v/>
      </c>
      <c r="J2733" t="str">
        <f t="shared" si="256"/>
        <v/>
      </c>
      <c r="K2733" s="28" t="str">
        <f t="shared" si="253"/>
        <v/>
      </c>
      <c r="L2733" s="46" t="str">
        <f t="shared" si="257"/>
        <v/>
      </c>
      <c r="M2733" t="str" cm="1">
        <f t="array" ref="M2733">IF(L2733="","",_xlfn.IFS(
  AND(L2733&gt;=TIME(9,0,0), L2733&lt;TIME(16,0,0)),"Morning",
  AND(L2733&gt;=TIME(16,0,0), L2733&lt;TIME(23,59,0)),"Evening",
  L2733&gt;=TIME(23,59,0),"Night",
  L2733&lt;TIME(9,0,0),"Night"
))</f>
        <v/>
      </c>
      <c r="O2733" t="str">
        <f t="shared" si="254"/>
        <v/>
      </c>
    </row>
    <row r="2734" spans="7:15" x14ac:dyDescent="0.25">
      <c r="G2734" t="str">
        <f t="shared" si="252"/>
        <v/>
      </c>
      <c r="H2734" s="13" t="str">
        <f t="shared" si="255"/>
        <v/>
      </c>
      <c r="I2734" t="str">
        <f>IFERROR(INDEX(Analysis!$D$116:$N$137, MATCH(B2734, Analysis!$C$116:$C$137, 0), MATCH(C2734, Analysis!$D$115:$N$115, 0)), "")</f>
        <v/>
      </c>
      <c r="J2734" t="str">
        <f t="shared" si="256"/>
        <v/>
      </c>
      <c r="K2734" s="28" t="str">
        <f t="shared" si="253"/>
        <v/>
      </c>
      <c r="L2734" s="46" t="str">
        <f t="shared" si="257"/>
        <v/>
      </c>
      <c r="M2734" t="str" cm="1">
        <f t="array" ref="M2734">IF(L2734="","",_xlfn.IFS(
  AND(L2734&gt;=TIME(9,0,0), L2734&lt;TIME(16,0,0)),"Morning",
  AND(L2734&gt;=TIME(16,0,0), L2734&lt;TIME(23,59,0)),"Evening",
  L2734&gt;=TIME(23,59,0),"Night",
  L2734&lt;TIME(9,0,0),"Night"
))</f>
        <v/>
      </c>
      <c r="O2734" t="str">
        <f t="shared" si="254"/>
        <v/>
      </c>
    </row>
    <row r="2735" spans="7:15" x14ac:dyDescent="0.25">
      <c r="G2735" t="str">
        <f t="shared" si="252"/>
        <v/>
      </c>
      <c r="H2735" s="13" t="str">
        <f t="shared" si="255"/>
        <v/>
      </c>
      <c r="I2735" t="str">
        <f>IFERROR(INDEX(Analysis!$D$116:$N$137, MATCH(B2735, Analysis!$C$116:$C$137, 0), MATCH(C2735, Analysis!$D$115:$N$115, 0)), "")</f>
        <v/>
      </c>
      <c r="J2735" t="str">
        <f t="shared" si="256"/>
        <v/>
      </c>
      <c r="K2735" s="28" t="str">
        <f t="shared" si="253"/>
        <v/>
      </c>
      <c r="L2735" s="46" t="str">
        <f t="shared" si="257"/>
        <v/>
      </c>
      <c r="M2735" t="str" cm="1">
        <f t="array" ref="M2735">IF(L2735="","",_xlfn.IFS(
  AND(L2735&gt;=TIME(9,0,0), L2735&lt;TIME(16,0,0)),"Morning",
  AND(L2735&gt;=TIME(16,0,0), L2735&lt;TIME(23,59,0)),"Evening",
  L2735&gt;=TIME(23,59,0),"Night",
  L2735&lt;TIME(9,0,0),"Night"
))</f>
        <v/>
      </c>
      <c r="O2735" t="str">
        <f t="shared" si="254"/>
        <v/>
      </c>
    </row>
    <row r="2736" spans="7:15" x14ac:dyDescent="0.25">
      <c r="G2736" t="str">
        <f t="shared" si="252"/>
        <v/>
      </c>
      <c r="H2736" s="13" t="str">
        <f t="shared" si="255"/>
        <v/>
      </c>
      <c r="I2736" t="str">
        <f>IFERROR(INDEX(Analysis!$D$116:$N$137, MATCH(B2736, Analysis!$C$116:$C$137, 0), MATCH(C2736, Analysis!$D$115:$N$115, 0)), "")</f>
        <v/>
      </c>
      <c r="J2736" t="str">
        <f t="shared" si="256"/>
        <v/>
      </c>
      <c r="K2736" s="28" t="str">
        <f t="shared" si="253"/>
        <v/>
      </c>
      <c r="L2736" s="46" t="str">
        <f t="shared" si="257"/>
        <v/>
      </c>
      <c r="M2736" t="str" cm="1">
        <f t="array" ref="M2736">IF(L2736="","",_xlfn.IFS(
  AND(L2736&gt;=TIME(9,0,0), L2736&lt;TIME(16,0,0)),"Morning",
  AND(L2736&gt;=TIME(16,0,0), L2736&lt;TIME(23,59,0)),"Evening",
  L2736&gt;=TIME(23,59,0),"Night",
  L2736&lt;TIME(9,0,0),"Night"
))</f>
        <v/>
      </c>
      <c r="O2736" t="str">
        <f t="shared" si="254"/>
        <v/>
      </c>
    </row>
    <row r="2737" spans="7:15" x14ac:dyDescent="0.25">
      <c r="G2737" t="str">
        <f t="shared" si="252"/>
        <v/>
      </c>
      <c r="H2737" s="13" t="str">
        <f t="shared" si="255"/>
        <v/>
      </c>
      <c r="I2737" t="str">
        <f>IFERROR(INDEX(Analysis!$D$116:$N$137, MATCH(B2737, Analysis!$C$116:$C$137, 0), MATCH(C2737, Analysis!$D$115:$N$115, 0)), "")</f>
        <v/>
      </c>
      <c r="J2737" t="str">
        <f t="shared" si="256"/>
        <v/>
      </c>
      <c r="K2737" s="28" t="str">
        <f t="shared" si="253"/>
        <v/>
      </c>
      <c r="L2737" s="46" t="str">
        <f t="shared" si="257"/>
        <v/>
      </c>
      <c r="M2737" t="str" cm="1">
        <f t="array" ref="M2737">IF(L2737="","",_xlfn.IFS(
  AND(L2737&gt;=TIME(9,0,0), L2737&lt;TIME(16,0,0)),"Morning",
  AND(L2737&gt;=TIME(16,0,0), L2737&lt;TIME(23,59,0)),"Evening",
  L2737&gt;=TIME(23,59,0),"Night",
  L2737&lt;TIME(9,0,0),"Night"
))</f>
        <v/>
      </c>
      <c r="O2737" t="str">
        <f t="shared" si="254"/>
        <v/>
      </c>
    </row>
    <row r="2738" spans="7:15" x14ac:dyDescent="0.25">
      <c r="G2738" t="str">
        <f t="shared" si="252"/>
        <v/>
      </c>
      <c r="H2738" s="13" t="str">
        <f t="shared" si="255"/>
        <v/>
      </c>
      <c r="I2738" t="str">
        <f>IFERROR(INDEX(Analysis!$D$116:$N$137, MATCH(B2738, Analysis!$C$116:$C$137, 0), MATCH(C2738, Analysis!$D$115:$N$115, 0)), "")</f>
        <v/>
      </c>
      <c r="J2738" t="str">
        <f t="shared" si="256"/>
        <v/>
      </c>
      <c r="K2738" s="28" t="str">
        <f t="shared" si="253"/>
        <v/>
      </c>
      <c r="L2738" s="46" t="str">
        <f t="shared" si="257"/>
        <v/>
      </c>
      <c r="M2738" t="str" cm="1">
        <f t="array" ref="M2738">IF(L2738="","",_xlfn.IFS(
  AND(L2738&gt;=TIME(9,0,0), L2738&lt;TIME(16,0,0)),"Morning",
  AND(L2738&gt;=TIME(16,0,0), L2738&lt;TIME(23,59,0)),"Evening",
  L2738&gt;=TIME(23,59,0),"Night",
  L2738&lt;TIME(9,0,0),"Night"
))</f>
        <v/>
      </c>
      <c r="O2738" t="str">
        <f t="shared" si="254"/>
        <v/>
      </c>
    </row>
    <row r="2739" spans="7:15" x14ac:dyDescent="0.25">
      <c r="G2739" t="str">
        <f t="shared" si="252"/>
        <v/>
      </c>
      <c r="H2739" s="13" t="str">
        <f t="shared" si="255"/>
        <v/>
      </c>
      <c r="I2739" t="str">
        <f>IFERROR(INDEX(Analysis!$D$116:$N$137, MATCH(B2739, Analysis!$C$116:$C$137, 0), MATCH(C2739, Analysis!$D$115:$N$115, 0)), "")</f>
        <v/>
      </c>
      <c r="J2739" t="str">
        <f t="shared" si="256"/>
        <v/>
      </c>
      <c r="K2739" s="28" t="str">
        <f t="shared" si="253"/>
        <v/>
      </c>
      <c r="L2739" s="46" t="str">
        <f t="shared" si="257"/>
        <v/>
      </c>
      <c r="M2739" t="str" cm="1">
        <f t="array" ref="M2739">IF(L2739="","",_xlfn.IFS(
  AND(L2739&gt;=TIME(9,0,0), L2739&lt;TIME(16,0,0)),"Morning",
  AND(L2739&gt;=TIME(16,0,0), L2739&lt;TIME(23,59,0)),"Evening",
  L2739&gt;=TIME(23,59,0),"Night",
  L2739&lt;TIME(9,0,0),"Night"
))</f>
        <v/>
      </c>
      <c r="O2739" t="str">
        <f t="shared" si="254"/>
        <v/>
      </c>
    </row>
    <row r="2740" spans="7:15" x14ac:dyDescent="0.25">
      <c r="G2740" t="str">
        <f t="shared" si="252"/>
        <v/>
      </c>
      <c r="H2740" s="13" t="str">
        <f t="shared" si="255"/>
        <v/>
      </c>
      <c r="I2740" t="str">
        <f>IFERROR(INDEX(Analysis!$D$116:$N$137, MATCH(B2740, Analysis!$C$116:$C$137, 0), MATCH(C2740, Analysis!$D$115:$N$115, 0)), "")</f>
        <v/>
      </c>
      <c r="J2740" t="str">
        <f t="shared" si="256"/>
        <v/>
      </c>
      <c r="K2740" s="28" t="str">
        <f t="shared" si="253"/>
        <v/>
      </c>
      <c r="L2740" s="46" t="str">
        <f t="shared" si="257"/>
        <v/>
      </c>
      <c r="M2740" t="str" cm="1">
        <f t="array" ref="M2740">IF(L2740="","",_xlfn.IFS(
  AND(L2740&gt;=TIME(9,0,0), L2740&lt;TIME(16,0,0)),"Morning",
  AND(L2740&gt;=TIME(16,0,0), L2740&lt;TIME(23,59,0)),"Evening",
  L2740&gt;=TIME(23,59,0),"Night",
  L2740&lt;TIME(9,0,0),"Night"
))</f>
        <v/>
      </c>
      <c r="O2740" t="str">
        <f t="shared" si="254"/>
        <v/>
      </c>
    </row>
    <row r="2741" spans="7:15" x14ac:dyDescent="0.25">
      <c r="G2741" t="str">
        <f t="shared" si="252"/>
        <v/>
      </c>
      <c r="H2741" s="13" t="str">
        <f t="shared" si="255"/>
        <v/>
      </c>
      <c r="I2741" t="str">
        <f>IFERROR(INDEX(Analysis!$D$116:$N$137, MATCH(B2741, Analysis!$C$116:$C$137, 0), MATCH(C2741, Analysis!$D$115:$N$115, 0)), "")</f>
        <v/>
      </c>
      <c r="J2741" t="str">
        <f t="shared" si="256"/>
        <v/>
      </c>
      <c r="K2741" s="28" t="str">
        <f t="shared" si="253"/>
        <v/>
      </c>
      <c r="L2741" s="46" t="str">
        <f t="shared" si="257"/>
        <v/>
      </c>
      <c r="M2741" t="str" cm="1">
        <f t="array" ref="M2741">IF(L2741="","",_xlfn.IFS(
  AND(L2741&gt;=TIME(9,0,0), L2741&lt;TIME(16,0,0)),"Morning",
  AND(L2741&gt;=TIME(16,0,0), L2741&lt;TIME(23,59,0)),"Evening",
  L2741&gt;=TIME(23,59,0),"Night",
  L2741&lt;TIME(9,0,0),"Night"
))</f>
        <v/>
      </c>
      <c r="O2741" t="str">
        <f t="shared" si="254"/>
        <v/>
      </c>
    </row>
    <row r="2742" spans="7:15" x14ac:dyDescent="0.25">
      <c r="G2742" t="str">
        <f t="shared" si="252"/>
        <v/>
      </c>
      <c r="H2742" s="13" t="str">
        <f t="shared" si="255"/>
        <v/>
      </c>
      <c r="I2742" t="str">
        <f>IFERROR(INDEX(Analysis!$D$116:$N$137, MATCH(B2742, Analysis!$C$116:$C$137, 0), MATCH(C2742, Analysis!$D$115:$N$115, 0)), "")</f>
        <v/>
      </c>
      <c r="J2742" t="str">
        <f t="shared" si="256"/>
        <v/>
      </c>
      <c r="K2742" s="28" t="str">
        <f t="shared" si="253"/>
        <v/>
      </c>
      <c r="L2742" s="46" t="str">
        <f t="shared" si="257"/>
        <v/>
      </c>
      <c r="M2742" t="str" cm="1">
        <f t="array" ref="M2742">IF(L2742="","",_xlfn.IFS(
  AND(L2742&gt;=TIME(9,0,0), L2742&lt;TIME(16,0,0)),"Morning",
  AND(L2742&gt;=TIME(16,0,0), L2742&lt;TIME(23,59,0)),"Evening",
  L2742&gt;=TIME(23,59,0),"Night",
  L2742&lt;TIME(9,0,0),"Night"
))</f>
        <v/>
      </c>
      <c r="O2742" t="str">
        <f t="shared" si="254"/>
        <v/>
      </c>
    </row>
    <row r="2743" spans="7:15" x14ac:dyDescent="0.25">
      <c r="G2743" t="str">
        <f t="shared" si="252"/>
        <v/>
      </c>
      <c r="H2743" s="13" t="str">
        <f t="shared" si="255"/>
        <v/>
      </c>
      <c r="I2743" t="str">
        <f>IFERROR(INDEX(Analysis!$D$116:$N$137, MATCH(B2743, Analysis!$C$116:$C$137, 0), MATCH(C2743, Analysis!$D$115:$N$115, 0)), "")</f>
        <v/>
      </c>
      <c r="J2743" t="str">
        <f t="shared" si="256"/>
        <v/>
      </c>
      <c r="K2743" s="28" t="str">
        <f t="shared" si="253"/>
        <v/>
      </c>
      <c r="L2743" s="46" t="str">
        <f t="shared" si="257"/>
        <v/>
      </c>
      <c r="M2743" t="str" cm="1">
        <f t="array" ref="M2743">IF(L2743="","",_xlfn.IFS(
  AND(L2743&gt;=TIME(9,0,0), L2743&lt;TIME(16,0,0)),"Morning",
  AND(L2743&gt;=TIME(16,0,0), L2743&lt;TIME(23,59,0)),"Evening",
  L2743&gt;=TIME(23,59,0),"Night",
  L2743&lt;TIME(9,0,0),"Night"
))</f>
        <v/>
      </c>
      <c r="O2743" t="str">
        <f t="shared" si="254"/>
        <v/>
      </c>
    </row>
    <row r="2744" spans="7:15" x14ac:dyDescent="0.25">
      <c r="G2744" t="str">
        <f t="shared" si="252"/>
        <v/>
      </c>
      <c r="H2744" s="13" t="str">
        <f t="shared" si="255"/>
        <v/>
      </c>
      <c r="I2744" t="str">
        <f>IFERROR(INDEX(Analysis!$D$116:$N$137, MATCH(B2744, Analysis!$C$116:$C$137, 0), MATCH(C2744, Analysis!$D$115:$N$115, 0)), "")</f>
        <v/>
      </c>
      <c r="J2744" t="str">
        <f t="shared" si="256"/>
        <v/>
      </c>
      <c r="K2744" s="28" t="str">
        <f t="shared" si="253"/>
        <v/>
      </c>
      <c r="L2744" s="46" t="str">
        <f t="shared" si="257"/>
        <v/>
      </c>
      <c r="M2744" t="str" cm="1">
        <f t="array" ref="M2744">IF(L2744="","",_xlfn.IFS(
  AND(L2744&gt;=TIME(9,0,0), L2744&lt;TIME(16,0,0)),"Morning",
  AND(L2744&gt;=TIME(16,0,0), L2744&lt;TIME(23,59,0)),"Evening",
  L2744&gt;=TIME(23,59,0),"Night",
  L2744&lt;TIME(9,0,0),"Night"
))</f>
        <v/>
      </c>
      <c r="O2744" t="str">
        <f t="shared" si="254"/>
        <v/>
      </c>
    </row>
    <row r="2745" spans="7:15" x14ac:dyDescent="0.25">
      <c r="G2745" t="str">
        <f t="shared" si="252"/>
        <v/>
      </c>
      <c r="H2745" s="13" t="str">
        <f t="shared" si="255"/>
        <v/>
      </c>
      <c r="I2745" t="str">
        <f>IFERROR(INDEX(Analysis!$D$116:$N$137, MATCH(B2745, Analysis!$C$116:$C$137, 0), MATCH(C2745, Analysis!$D$115:$N$115, 0)), "")</f>
        <v/>
      </c>
      <c r="J2745" t="str">
        <f t="shared" si="256"/>
        <v/>
      </c>
      <c r="K2745" s="28" t="str">
        <f t="shared" si="253"/>
        <v/>
      </c>
      <c r="L2745" s="46" t="str">
        <f t="shared" si="257"/>
        <v/>
      </c>
      <c r="M2745" t="str" cm="1">
        <f t="array" ref="M2745">IF(L2745="","",_xlfn.IFS(
  AND(L2745&gt;=TIME(9,0,0), L2745&lt;TIME(16,0,0)),"Morning",
  AND(L2745&gt;=TIME(16,0,0), L2745&lt;TIME(23,59,0)),"Evening",
  L2745&gt;=TIME(23,59,0),"Night",
  L2745&lt;TIME(9,0,0),"Night"
))</f>
        <v/>
      </c>
      <c r="O2745" t="str">
        <f t="shared" si="254"/>
        <v/>
      </c>
    </row>
    <row r="2746" spans="7:15" x14ac:dyDescent="0.25">
      <c r="G2746" t="str">
        <f t="shared" si="252"/>
        <v/>
      </c>
      <c r="H2746" s="13" t="str">
        <f t="shared" si="255"/>
        <v/>
      </c>
      <c r="I2746" t="str">
        <f>IFERROR(INDEX(Analysis!$D$116:$N$137, MATCH(B2746, Analysis!$C$116:$C$137, 0), MATCH(C2746, Analysis!$D$115:$N$115, 0)), "")</f>
        <v/>
      </c>
      <c r="J2746" t="str">
        <f t="shared" si="256"/>
        <v/>
      </c>
      <c r="K2746" s="28" t="str">
        <f t="shared" si="253"/>
        <v/>
      </c>
      <c r="L2746" s="46" t="str">
        <f t="shared" si="257"/>
        <v/>
      </c>
      <c r="M2746" t="str" cm="1">
        <f t="array" ref="M2746">IF(L2746="","",_xlfn.IFS(
  AND(L2746&gt;=TIME(9,0,0), L2746&lt;TIME(16,0,0)),"Morning",
  AND(L2746&gt;=TIME(16,0,0), L2746&lt;TIME(23,59,0)),"Evening",
  L2746&gt;=TIME(23,59,0),"Night",
  L2746&lt;TIME(9,0,0),"Night"
))</f>
        <v/>
      </c>
      <c r="O2746" t="str">
        <f t="shared" si="254"/>
        <v/>
      </c>
    </row>
    <row r="2747" spans="7:15" x14ac:dyDescent="0.25">
      <c r="G2747" t="str">
        <f t="shared" si="252"/>
        <v/>
      </c>
      <c r="H2747" s="13" t="str">
        <f t="shared" si="255"/>
        <v/>
      </c>
      <c r="I2747" t="str">
        <f>IFERROR(INDEX(Analysis!$D$116:$N$137, MATCH(B2747, Analysis!$C$116:$C$137, 0), MATCH(C2747, Analysis!$D$115:$N$115, 0)), "")</f>
        <v/>
      </c>
      <c r="J2747" t="str">
        <f t="shared" si="256"/>
        <v/>
      </c>
      <c r="K2747" s="28" t="str">
        <f t="shared" si="253"/>
        <v/>
      </c>
      <c r="L2747" s="46" t="str">
        <f t="shared" si="257"/>
        <v/>
      </c>
      <c r="M2747" t="str" cm="1">
        <f t="array" ref="M2747">IF(L2747="","",_xlfn.IFS(
  AND(L2747&gt;=TIME(9,0,0), L2747&lt;TIME(16,0,0)),"Morning",
  AND(L2747&gt;=TIME(16,0,0), L2747&lt;TIME(23,59,0)),"Evening",
  L2747&gt;=TIME(23,59,0),"Night",
  L2747&lt;TIME(9,0,0),"Night"
))</f>
        <v/>
      </c>
      <c r="O2747" t="str">
        <f t="shared" si="254"/>
        <v/>
      </c>
    </row>
    <row r="2748" spans="7:15" x14ac:dyDescent="0.25">
      <c r="G2748" t="str">
        <f t="shared" si="252"/>
        <v/>
      </c>
      <c r="H2748" s="13" t="str">
        <f t="shared" si="255"/>
        <v/>
      </c>
      <c r="I2748" t="str">
        <f>IFERROR(INDEX(Analysis!$D$116:$N$137, MATCH(B2748, Analysis!$C$116:$C$137, 0), MATCH(C2748, Analysis!$D$115:$N$115, 0)), "")</f>
        <v/>
      </c>
      <c r="J2748" t="str">
        <f t="shared" si="256"/>
        <v/>
      </c>
      <c r="K2748" s="28" t="str">
        <f t="shared" si="253"/>
        <v/>
      </c>
      <c r="L2748" s="46" t="str">
        <f t="shared" si="257"/>
        <v/>
      </c>
      <c r="M2748" t="str" cm="1">
        <f t="array" ref="M2748">IF(L2748="","",_xlfn.IFS(
  AND(L2748&gt;=TIME(9,0,0), L2748&lt;TIME(16,0,0)),"Morning",
  AND(L2748&gt;=TIME(16,0,0), L2748&lt;TIME(23,59,0)),"Evening",
  L2748&gt;=TIME(23,59,0),"Night",
  L2748&lt;TIME(9,0,0),"Night"
))</f>
        <v/>
      </c>
      <c r="O2748" t="str">
        <f t="shared" si="254"/>
        <v/>
      </c>
    </row>
    <row r="2749" spans="7:15" x14ac:dyDescent="0.25">
      <c r="G2749" t="str">
        <f t="shared" si="252"/>
        <v/>
      </c>
      <c r="H2749" s="13" t="str">
        <f t="shared" si="255"/>
        <v/>
      </c>
      <c r="I2749" t="str">
        <f>IFERROR(INDEX(Analysis!$D$116:$N$137, MATCH(B2749, Analysis!$C$116:$C$137, 0), MATCH(C2749, Analysis!$D$115:$N$115, 0)), "")</f>
        <v/>
      </c>
      <c r="J2749" t="str">
        <f t="shared" si="256"/>
        <v/>
      </c>
      <c r="K2749" s="28" t="str">
        <f t="shared" si="253"/>
        <v/>
      </c>
      <c r="L2749" s="46" t="str">
        <f t="shared" si="257"/>
        <v/>
      </c>
      <c r="M2749" t="str" cm="1">
        <f t="array" ref="M2749">IF(L2749="","",_xlfn.IFS(
  AND(L2749&gt;=TIME(9,0,0), L2749&lt;TIME(16,0,0)),"Morning",
  AND(L2749&gt;=TIME(16,0,0), L2749&lt;TIME(23,59,0)),"Evening",
  L2749&gt;=TIME(23,59,0),"Night",
  L2749&lt;TIME(9,0,0),"Night"
))</f>
        <v/>
      </c>
      <c r="O2749" t="str">
        <f t="shared" si="254"/>
        <v/>
      </c>
    </row>
    <row r="2750" spans="7:15" x14ac:dyDescent="0.25">
      <c r="G2750" t="str">
        <f t="shared" si="252"/>
        <v/>
      </c>
      <c r="H2750" s="13" t="str">
        <f t="shared" si="255"/>
        <v/>
      </c>
      <c r="I2750" t="str">
        <f>IFERROR(INDEX(Analysis!$D$116:$N$137, MATCH(B2750, Analysis!$C$116:$C$137, 0), MATCH(C2750, Analysis!$D$115:$N$115, 0)), "")</f>
        <v/>
      </c>
      <c r="J2750" t="str">
        <f t="shared" si="256"/>
        <v/>
      </c>
      <c r="K2750" s="28" t="str">
        <f t="shared" si="253"/>
        <v/>
      </c>
      <c r="L2750" s="46" t="str">
        <f t="shared" si="257"/>
        <v/>
      </c>
      <c r="M2750" t="str" cm="1">
        <f t="array" ref="M2750">IF(L2750="","",_xlfn.IFS(
  AND(L2750&gt;=TIME(9,0,0), L2750&lt;TIME(16,0,0)),"Morning",
  AND(L2750&gt;=TIME(16,0,0), L2750&lt;TIME(23,59,0)),"Evening",
  L2750&gt;=TIME(23,59,0),"Night",
  L2750&lt;TIME(9,0,0),"Night"
))</f>
        <v/>
      </c>
      <c r="O2750" t="str">
        <f t="shared" si="254"/>
        <v/>
      </c>
    </row>
    <row r="2751" spans="7:15" x14ac:dyDescent="0.25">
      <c r="G2751" t="str">
        <f t="shared" si="252"/>
        <v/>
      </c>
      <c r="H2751" s="13" t="str">
        <f t="shared" si="255"/>
        <v/>
      </c>
      <c r="I2751" t="str">
        <f>IFERROR(INDEX(Analysis!$D$116:$N$137, MATCH(B2751, Analysis!$C$116:$C$137, 0), MATCH(C2751, Analysis!$D$115:$N$115, 0)), "")</f>
        <v/>
      </c>
      <c r="J2751" t="str">
        <f t="shared" si="256"/>
        <v/>
      </c>
      <c r="K2751" s="28" t="str">
        <f t="shared" si="253"/>
        <v/>
      </c>
      <c r="L2751" s="46" t="str">
        <f t="shared" si="257"/>
        <v/>
      </c>
      <c r="M2751" t="str" cm="1">
        <f t="array" ref="M2751">IF(L2751="","",_xlfn.IFS(
  AND(L2751&gt;=TIME(9,0,0), L2751&lt;TIME(16,0,0)),"Morning",
  AND(L2751&gt;=TIME(16,0,0), L2751&lt;TIME(23,59,0)),"Evening",
  L2751&gt;=TIME(23,59,0),"Night",
  L2751&lt;TIME(9,0,0),"Night"
))</f>
        <v/>
      </c>
      <c r="O2751" t="str">
        <f t="shared" si="254"/>
        <v/>
      </c>
    </row>
    <row r="2752" spans="7:15" x14ac:dyDescent="0.25">
      <c r="G2752" t="str">
        <f t="shared" si="252"/>
        <v/>
      </c>
      <c r="H2752" s="13" t="str">
        <f t="shared" si="255"/>
        <v/>
      </c>
      <c r="I2752" t="str">
        <f>IFERROR(INDEX(Analysis!$D$116:$N$137, MATCH(B2752, Analysis!$C$116:$C$137, 0), MATCH(C2752, Analysis!$D$115:$N$115, 0)), "")</f>
        <v/>
      </c>
      <c r="J2752" t="str">
        <f t="shared" si="256"/>
        <v/>
      </c>
      <c r="K2752" s="28" t="str">
        <f t="shared" si="253"/>
        <v/>
      </c>
      <c r="L2752" s="46" t="str">
        <f t="shared" si="257"/>
        <v/>
      </c>
      <c r="M2752" t="str" cm="1">
        <f t="array" ref="M2752">IF(L2752="","",_xlfn.IFS(
  AND(L2752&gt;=TIME(9,0,0), L2752&lt;TIME(16,0,0)),"Morning",
  AND(L2752&gt;=TIME(16,0,0), L2752&lt;TIME(23,59,0)),"Evening",
  L2752&gt;=TIME(23,59,0),"Night",
  L2752&lt;TIME(9,0,0),"Night"
))</f>
        <v/>
      </c>
      <c r="O2752" t="str">
        <f t="shared" si="254"/>
        <v/>
      </c>
    </row>
    <row r="2753" spans="7:15" x14ac:dyDescent="0.25">
      <c r="G2753" t="str">
        <f t="shared" si="252"/>
        <v/>
      </c>
      <c r="H2753" s="13" t="str">
        <f t="shared" si="255"/>
        <v/>
      </c>
      <c r="I2753" t="str">
        <f>IFERROR(INDEX(Analysis!$D$116:$N$137, MATCH(B2753, Analysis!$C$116:$C$137, 0), MATCH(C2753, Analysis!$D$115:$N$115, 0)), "")</f>
        <v/>
      </c>
      <c r="J2753" t="str">
        <f t="shared" si="256"/>
        <v/>
      </c>
      <c r="K2753" s="28" t="str">
        <f t="shared" si="253"/>
        <v/>
      </c>
      <c r="L2753" s="46" t="str">
        <f t="shared" si="257"/>
        <v/>
      </c>
      <c r="M2753" t="str" cm="1">
        <f t="array" ref="M2753">IF(L2753="","",_xlfn.IFS(
  AND(L2753&gt;=TIME(9,0,0), L2753&lt;TIME(16,0,0)),"Morning",
  AND(L2753&gt;=TIME(16,0,0), L2753&lt;TIME(23,59,0)),"Evening",
  L2753&gt;=TIME(23,59,0),"Night",
  L2753&lt;TIME(9,0,0),"Night"
))</f>
        <v/>
      </c>
      <c r="O2753" t="str">
        <f t="shared" si="254"/>
        <v/>
      </c>
    </row>
    <row r="2754" spans="7:15" x14ac:dyDescent="0.25">
      <c r="G2754" t="str">
        <f t="shared" ref="G2754:G2817" si="258">IF(ISBLANK(A2754), "", IF(ISBLANK(F2754), 0, F2754))</f>
        <v/>
      </c>
      <c r="H2754" s="13" t="str">
        <f t="shared" si="255"/>
        <v/>
      </c>
      <c r="I2754" t="str">
        <f>IFERROR(INDEX(Analysis!$D$116:$N$137, MATCH(B2754, Analysis!$C$116:$C$137, 0), MATCH(C2754, Analysis!$D$115:$N$115, 0)), "")</f>
        <v/>
      </c>
      <c r="J2754" t="str">
        <f t="shared" si="256"/>
        <v/>
      </c>
      <c r="K2754" s="28" t="str">
        <f t="shared" ref="K2754:K2817" si="259">IF(ISBLANK(A2754),"",DATE(YEAR(A2754),MONTH(A2754),DAY(A2754)))</f>
        <v/>
      </c>
      <c r="L2754" s="46" t="str">
        <f t="shared" si="257"/>
        <v/>
      </c>
      <c r="M2754" t="str" cm="1">
        <f t="array" ref="M2754">IF(L2754="","",_xlfn.IFS(
  AND(L2754&gt;=TIME(9,0,0), L2754&lt;TIME(16,0,0)),"Morning",
  AND(L2754&gt;=TIME(16,0,0), L2754&lt;TIME(23,59,0)),"Evening",
  L2754&gt;=TIME(23,59,0),"Night",
  L2754&lt;TIME(9,0,0),"Night"
))</f>
        <v/>
      </c>
      <c r="O2754" t="str">
        <f t="shared" ref="O2754:O2817" si="260">IF(N2754="ON", _xlfn.IMAGE(E2754, 1), "")</f>
        <v/>
      </c>
    </row>
    <row r="2755" spans="7:15" x14ac:dyDescent="0.25">
      <c r="G2755" t="str">
        <f t="shared" si="258"/>
        <v/>
      </c>
      <c r="H2755" s="13" t="str">
        <f t="shared" ref="H2755:H2818" si="261">IF(ISBLANK(E2755),"",HYPERLINK(E2755,"Click here"))</f>
        <v/>
      </c>
      <c r="I2755" t="str">
        <f>IFERROR(INDEX(Analysis!$D$116:$N$137, MATCH(B2755, Analysis!$C$116:$C$137, 0), MATCH(C2755, Analysis!$D$115:$N$115, 0)), "")</f>
        <v/>
      </c>
      <c r="J2755" t="str">
        <f t="shared" ref="J2755:J2818" si="262">IF(ISBLANK(A2755),"",WEEKNUM(A2755))</f>
        <v/>
      </c>
      <c r="K2755" s="28" t="str">
        <f t="shared" si="259"/>
        <v/>
      </c>
      <c r="L2755" s="46" t="str">
        <f t="shared" ref="L2755:L2818" si="263">IF(A2755="", "", A2755 - INT(A2755))</f>
        <v/>
      </c>
      <c r="M2755" t="str" cm="1">
        <f t="array" ref="M2755">IF(L2755="","",_xlfn.IFS(
  AND(L2755&gt;=TIME(9,0,0), L2755&lt;TIME(16,0,0)),"Morning",
  AND(L2755&gt;=TIME(16,0,0), L2755&lt;TIME(23,59,0)),"Evening",
  L2755&gt;=TIME(23,59,0),"Night",
  L2755&lt;TIME(9,0,0),"Night"
))</f>
        <v/>
      </c>
      <c r="O2755" t="str">
        <f t="shared" si="260"/>
        <v/>
      </c>
    </row>
    <row r="2756" spans="7:15" x14ac:dyDescent="0.25">
      <c r="G2756" t="str">
        <f t="shared" si="258"/>
        <v/>
      </c>
      <c r="H2756" s="13" t="str">
        <f t="shared" si="261"/>
        <v/>
      </c>
      <c r="I2756" t="str">
        <f>IFERROR(INDEX(Analysis!$D$116:$N$137, MATCH(B2756, Analysis!$C$116:$C$137, 0), MATCH(C2756, Analysis!$D$115:$N$115, 0)), "")</f>
        <v/>
      </c>
      <c r="J2756" t="str">
        <f t="shared" si="262"/>
        <v/>
      </c>
      <c r="K2756" s="28" t="str">
        <f t="shared" si="259"/>
        <v/>
      </c>
      <c r="L2756" s="46" t="str">
        <f t="shared" si="263"/>
        <v/>
      </c>
      <c r="M2756" t="str" cm="1">
        <f t="array" ref="M2756">IF(L2756="","",_xlfn.IFS(
  AND(L2756&gt;=TIME(9,0,0), L2756&lt;TIME(16,0,0)),"Morning",
  AND(L2756&gt;=TIME(16,0,0), L2756&lt;TIME(23,59,0)),"Evening",
  L2756&gt;=TIME(23,59,0),"Night",
  L2756&lt;TIME(9,0,0),"Night"
))</f>
        <v/>
      </c>
      <c r="O2756" t="str">
        <f t="shared" si="260"/>
        <v/>
      </c>
    </row>
    <row r="2757" spans="7:15" x14ac:dyDescent="0.25">
      <c r="G2757" t="str">
        <f t="shared" si="258"/>
        <v/>
      </c>
      <c r="H2757" s="13" t="str">
        <f t="shared" si="261"/>
        <v/>
      </c>
      <c r="I2757" t="str">
        <f>IFERROR(INDEX(Analysis!$D$116:$N$137, MATCH(B2757, Analysis!$C$116:$C$137, 0), MATCH(C2757, Analysis!$D$115:$N$115, 0)), "")</f>
        <v/>
      </c>
      <c r="J2757" t="str">
        <f t="shared" si="262"/>
        <v/>
      </c>
      <c r="K2757" s="28" t="str">
        <f t="shared" si="259"/>
        <v/>
      </c>
      <c r="L2757" s="46" t="str">
        <f t="shared" si="263"/>
        <v/>
      </c>
      <c r="M2757" t="str" cm="1">
        <f t="array" ref="M2757">IF(L2757="","",_xlfn.IFS(
  AND(L2757&gt;=TIME(9,0,0), L2757&lt;TIME(16,0,0)),"Morning",
  AND(L2757&gt;=TIME(16,0,0), L2757&lt;TIME(23,59,0)),"Evening",
  L2757&gt;=TIME(23,59,0),"Night",
  L2757&lt;TIME(9,0,0),"Night"
))</f>
        <v/>
      </c>
      <c r="O2757" t="str">
        <f t="shared" si="260"/>
        <v/>
      </c>
    </row>
    <row r="2758" spans="7:15" x14ac:dyDescent="0.25">
      <c r="G2758" t="str">
        <f t="shared" si="258"/>
        <v/>
      </c>
      <c r="H2758" s="13" t="str">
        <f t="shared" si="261"/>
        <v/>
      </c>
      <c r="I2758" t="str">
        <f>IFERROR(INDEX(Analysis!$D$116:$N$137, MATCH(B2758, Analysis!$C$116:$C$137, 0), MATCH(C2758, Analysis!$D$115:$N$115, 0)), "")</f>
        <v/>
      </c>
      <c r="J2758" t="str">
        <f t="shared" si="262"/>
        <v/>
      </c>
      <c r="K2758" s="28" t="str">
        <f t="shared" si="259"/>
        <v/>
      </c>
      <c r="L2758" s="46" t="str">
        <f t="shared" si="263"/>
        <v/>
      </c>
      <c r="M2758" t="str" cm="1">
        <f t="array" ref="M2758">IF(L2758="","",_xlfn.IFS(
  AND(L2758&gt;=TIME(9,0,0), L2758&lt;TIME(16,0,0)),"Morning",
  AND(L2758&gt;=TIME(16,0,0), L2758&lt;TIME(23,59,0)),"Evening",
  L2758&gt;=TIME(23,59,0),"Night",
  L2758&lt;TIME(9,0,0),"Night"
))</f>
        <v/>
      </c>
      <c r="O2758" t="str">
        <f t="shared" si="260"/>
        <v/>
      </c>
    </row>
    <row r="2759" spans="7:15" x14ac:dyDescent="0.25">
      <c r="G2759" t="str">
        <f t="shared" si="258"/>
        <v/>
      </c>
      <c r="H2759" s="13" t="str">
        <f t="shared" si="261"/>
        <v/>
      </c>
      <c r="I2759" t="str">
        <f>IFERROR(INDEX(Analysis!$D$116:$N$137, MATCH(B2759, Analysis!$C$116:$C$137, 0), MATCH(C2759, Analysis!$D$115:$N$115, 0)), "")</f>
        <v/>
      </c>
      <c r="J2759" t="str">
        <f t="shared" si="262"/>
        <v/>
      </c>
      <c r="K2759" s="28" t="str">
        <f t="shared" si="259"/>
        <v/>
      </c>
      <c r="L2759" s="46" t="str">
        <f t="shared" si="263"/>
        <v/>
      </c>
      <c r="M2759" t="str" cm="1">
        <f t="array" ref="M2759">IF(L2759="","",_xlfn.IFS(
  AND(L2759&gt;=TIME(9,0,0), L2759&lt;TIME(16,0,0)),"Morning",
  AND(L2759&gt;=TIME(16,0,0), L2759&lt;TIME(23,59,0)),"Evening",
  L2759&gt;=TIME(23,59,0),"Night",
  L2759&lt;TIME(9,0,0),"Night"
))</f>
        <v/>
      </c>
      <c r="O2759" t="str">
        <f t="shared" si="260"/>
        <v/>
      </c>
    </row>
    <row r="2760" spans="7:15" x14ac:dyDescent="0.25">
      <c r="G2760" t="str">
        <f t="shared" si="258"/>
        <v/>
      </c>
      <c r="H2760" s="13" t="str">
        <f t="shared" si="261"/>
        <v/>
      </c>
      <c r="I2760" t="str">
        <f>IFERROR(INDEX(Analysis!$D$116:$N$137, MATCH(B2760, Analysis!$C$116:$C$137, 0), MATCH(C2760, Analysis!$D$115:$N$115, 0)), "")</f>
        <v/>
      </c>
      <c r="J2760" t="str">
        <f t="shared" si="262"/>
        <v/>
      </c>
      <c r="K2760" s="28" t="str">
        <f t="shared" si="259"/>
        <v/>
      </c>
      <c r="L2760" s="46" t="str">
        <f t="shared" si="263"/>
        <v/>
      </c>
      <c r="M2760" t="str" cm="1">
        <f t="array" ref="M2760">IF(L2760="","",_xlfn.IFS(
  AND(L2760&gt;=TIME(9,0,0), L2760&lt;TIME(16,0,0)),"Morning",
  AND(L2760&gt;=TIME(16,0,0), L2760&lt;TIME(23,59,0)),"Evening",
  L2760&gt;=TIME(23,59,0),"Night",
  L2760&lt;TIME(9,0,0),"Night"
))</f>
        <v/>
      </c>
      <c r="O2760" t="str">
        <f t="shared" si="260"/>
        <v/>
      </c>
    </row>
    <row r="2761" spans="7:15" x14ac:dyDescent="0.25">
      <c r="G2761" t="str">
        <f t="shared" si="258"/>
        <v/>
      </c>
      <c r="H2761" s="13" t="str">
        <f t="shared" si="261"/>
        <v/>
      </c>
      <c r="I2761" t="str">
        <f>IFERROR(INDEX(Analysis!$D$116:$N$137, MATCH(B2761, Analysis!$C$116:$C$137, 0), MATCH(C2761, Analysis!$D$115:$N$115, 0)), "")</f>
        <v/>
      </c>
      <c r="J2761" t="str">
        <f t="shared" si="262"/>
        <v/>
      </c>
      <c r="K2761" s="28" t="str">
        <f t="shared" si="259"/>
        <v/>
      </c>
      <c r="L2761" s="46" t="str">
        <f t="shared" si="263"/>
        <v/>
      </c>
      <c r="M2761" t="str" cm="1">
        <f t="array" ref="M2761">IF(L2761="","",_xlfn.IFS(
  AND(L2761&gt;=TIME(9,0,0), L2761&lt;TIME(16,0,0)),"Morning",
  AND(L2761&gt;=TIME(16,0,0), L2761&lt;TIME(23,59,0)),"Evening",
  L2761&gt;=TIME(23,59,0),"Night",
  L2761&lt;TIME(9,0,0),"Night"
))</f>
        <v/>
      </c>
      <c r="O2761" t="str">
        <f t="shared" si="260"/>
        <v/>
      </c>
    </row>
    <row r="2762" spans="7:15" x14ac:dyDescent="0.25">
      <c r="G2762" t="str">
        <f t="shared" si="258"/>
        <v/>
      </c>
      <c r="H2762" s="13" t="str">
        <f t="shared" si="261"/>
        <v/>
      </c>
      <c r="I2762" t="str">
        <f>IFERROR(INDEX(Analysis!$D$116:$N$137, MATCH(B2762, Analysis!$C$116:$C$137, 0), MATCH(C2762, Analysis!$D$115:$N$115, 0)), "")</f>
        <v/>
      </c>
      <c r="J2762" t="str">
        <f t="shared" si="262"/>
        <v/>
      </c>
      <c r="K2762" s="28" t="str">
        <f t="shared" si="259"/>
        <v/>
      </c>
      <c r="L2762" s="46" t="str">
        <f t="shared" si="263"/>
        <v/>
      </c>
      <c r="M2762" t="str" cm="1">
        <f t="array" ref="M2762">IF(L2762="","",_xlfn.IFS(
  AND(L2762&gt;=TIME(9,0,0), L2762&lt;TIME(16,0,0)),"Morning",
  AND(L2762&gt;=TIME(16,0,0), L2762&lt;TIME(23,59,0)),"Evening",
  L2762&gt;=TIME(23,59,0),"Night",
  L2762&lt;TIME(9,0,0),"Night"
))</f>
        <v/>
      </c>
      <c r="O2762" t="str">
        <f t="shared" si="260"/>
        <v/>
      </c>
    </row>
    <row r="2763" spans="7:15" x14ac:dyDescent="0.25">
      <c r="G2763" t="str">
        <f t="shared" si="258"/>
        <v/>
      </c>
      <c r="H2763" s="13" t="str">
        <f t="shared" si="261"/>
        <v/>
      </c>
      <c r="I2763" t="str">
        <f>IFERROR(INDEX(Analysis!$D$116:$N$137, MATCH(B2763, Analysis!$C$116:$C$137, 0), MATCH(C2763, Analysis!$D$115:$N$115, 0)), "")</f>
        <v/>
      </c>
      <c r="J2763" t="str">
        <f t="shared" si="262"/>
        <v/>
      </c>
      <c r="K2763" s="28" t="str">
        <f t="shared" si="259"/>
        <v/>
      </c>
      <c r="L2763" s="46" t="str">
        <f t="shared" si="263"/>
        <v/>
      </c>
      <c r="M2763" t="str" cm="1">
        <f t="array" ref="M2763">IF(L2763="","",_xlfn.IFS(
  AND(L2763&gt;=TIME(9,0,0), L2763&lt;TIME(16,0,0)),"Morning",
  AND(L2763&gt;=TIME(16,0,0), L2763&lt;TIME(23,59,0)),"Evening",
  L2763&gt;=TIME(23,59,0),"Night",
  L2763&lt;TIME(9,0,0),"Night"
))</f>
        <v/>
      </c>
      <c r="O2763" t="str">
        <f t="shared" si="260"/>
        <v/>
      </c>
    </row>
    <row r="2764" spans="7:15" x14ac:dyDescent="0.25">
      <c r="G2764" t="str">
        <f t="shared" si="258"/>
        <v/>
      </c>
      <c r="H2764" s="13" t="str">
        <f t="shared" si="261"/>
        <v/>
      </c>
      <c r="I2764" t="str">
        <f>IFERROR(INDEX(Analysis!$D$116:$N$137, MATCH(B2764, Analysis!$C$116:$C$137, 0), MATCH(C2764, Analysis!$D$115:$N$115, 0)), "")</f>
        <v/>
      </c>
      <c r="J2764" t="str">
        <f t="shared" si="262"/>
        <v/>
      </c>
      <c r="K2764" s="28" t="str">
        <f t="shared" si="259"/>
        <v/>
      </c>
      <c r="L2764" s="46" t="str">
        <f t="shared" si="263"/>
        <v/>
      </c>
      <c r="M2764" t="str" cm="1">
        <f t="array" ref="M2764">IF(L2764="","",_xlfn.IFS(
  AND(L2764&gt;=TIME(9,0,0), L2764&lt;TIME(16,0,0)),"Morning",
  AND(L2764&gt;=TIME(16,0,0), L2764&lt;TIME(23,59,0)),"Evening",
  L2764&gt;=TIME(23,59,0),"Night",
  L2764&lt;TIME(9,0,0),"Night"
))</f>
        <v/>
      </c>
      <c r="O2764" t="str">
        <f t="shared" si="260"/>
        <v/>
      </c>
    </row>
    <row r="2765" spans="7:15" x14ac:dyDescent="0.25">
      <c r="G2765" t="str">
        <f t="shared" si="258"/>
        <v/>
      </c>
      <c r="H2765" s="13" t="str">
        <f t="shared" si="261"/>
        <v/>
      </c>
      <c r="I2765" t="str">
        <f>IFERROR(INDEX(Analysis!$D$116:$N$137, MATCH(B2765, Analysis!$C$116:$C$137, 0), MATCH(C2765, Analysis!$D$115:$N$115, 0)), "")</f>
        <v/>
      </c>
      <c r="J2765" t="str">
        <f t="shared" si="262"/>
        <v/>
      </c>
      <c r="K2765" s="28" t="str">
        <f t="shared" si="259"/>
        <v/>
      </c>
      <c r="L2765" s="46" t="str">
        <f t="shared" si="263"/>
        <v/>
      </c>
      <c r="M2765" t="str" cm="1">
        <f t="array" ref="M2765">IF(L2765="","",_xlfn.IFS(
  AND(L2765&gt;=TIME(9,0,0), L2765&lt;TIME(16,0,0)),"Morning",
  AND(L2765&gt;=TIME(16,0,0), L2765&lt;TIME(23,59,0)),"Evening",
  L2765&gt;=TIME(23,59,0),"Night",
  L2765&lt;TIME(9,0,0),"Night"
))</f>
        <v/>
      </c>
      <c r="O2765" t="str">
        <f t="shared" si="260"/>
        <v/>
      </c>
    </row>
    <row r="2766" spans="7:15" x14ac:dyDescent="0.25">
      <c r="G2766" t="str">
        <f t="shared" si="258"/>
        <v/>
      </c>
      <c r="H2766" s="13" t="str">
        <f t="shared" si="261"/>
        <v/>
      </c>
      <c r="I2766" t="str">
        <f>IFERROR(INDEX(Analysis!$D$116:$N$137, MATCH(B2766, Analysis!$C$116:$C$137, 0), MATCH(C2766, Analysis!$D$115:$N$115, 0)), "")</f>
        <v/>
      </c>
      <c r="J2766" t="str">
        <f t="shared" si="262"/>
        <v/>
      </c>
      <c r="K2766" s="28" t="str">
        <f t="shared" si="259"/>
        <v/>
      </c>
      <c r="L2766" s="46" t="str">
        <f t="shared" si="263"/>
        <v/>
      </c>
      <c r="M2766" t="str" cm="1">
        <f t="array" ref="M2766">IF(L2766="","",_xlfn.IFS(
  AND(L2766&gt;=TIME(9,0,0), L2766&lt;TIME(16,0,0)),"Morning",
  AND(L2766&gt;=TIME(16,0,0), L2766&lt;TIME(23,59,0)),"Evening",
  L2766&gt;=TIME(23,59,0),"Night",
  L2766&lt;TIME(9,0,0),"Night"
))</f>
        <v/>
      </c>
      <c r="O2766" t="str">
        <f t="shared" si="260"/>
        <v/>
      </c>
    </row>
    <row r="2767" spans="7:15" x14ac:dyDescent="0.25">
      <c r="G2767" t="str">
        <f t="shared" si="258"/>
        <v/>
      </c>
      <c r="H2767" s="13" t="str">
        <f t="shared" si="261"/>
        <v/>
      </c>
      <c r="I2767" t="str">
        <f>IFERROR(INDEX(Analysis!$D$116:$N$137, MATCH(B2767, Analysis!$C$116:$C$137, 0), MATCH(C2767, Analysis!$D$115:$N$115, 0)), "")</f>
        <v/>
      </c>
      <c r="J2767" t="str">
        <f t="shared" si="262"/>
        <v/>
      </c>
      <c r="K2767" s="28" t="str">
        <f t="shared" si="259"/>
        <v/>
      </c>
      <c r="L2767" s="46" t="str">
        <f t="shared" si="263"/>
        <v/>
      </c>
      <c r="M2767" t="str" cm="1">
        <f t="array" ref="M2767">IF(L2767="","",_xlfn.IFS(
  AND(L2767&gt;=TIME(9,0,0), L2767&lt;TIME(16,0,0)),"Morning",
  AND(L2767&gt;=TIME(16,0,0), L2767&lt;TIME(23,59,0)),"Evening",
  L2767&gt;=TIME(23,59,0),"Night",
  L2767&lt;TIME(9,0,0),"Night"
))</f>
        <v/>
      </c>
      <c r="O2767" t="str">
        <f t="shared" si="260"/>
        <v/>
      </c>
    </row>
    <row r="2768" spans="7:15" x14ac:dyDescent="0.25">
      <c r="G2768" t="str">
        <f t="shared" si="258"/>
        <v/>
      </c>
      <c r="H2768" s="13" t="str">
        <f t="shared" si="261"/>
        <v/>
      </c>
      <c r="I2768" t="str">
        <f>IFERROR(INDEX(Analysis!$D$116:$N$137, MATCH(B2768, Analysis!$C$116:$C$137, 0), MATCH(C2768, Analysis!$D$115:$N$115, 0)), "")</f>
        <v/>
      </c>
      <c r="J2768" t="str">
        <f t="shared" si="262"/>
        <v/>
      </c>
      <c r="K2768" s="28" t="str">
        <f t="shared" si="259"/>
        <v/>
      </c>
      <c r="L2768" s="46" t="str">
        <f t="shared" si="263"/>
        <v/>
      </c>
      <c r="M2768" t="str" cm="1">
        <f t="array" ref="M2768">IF(L2768="","",_xlfn.IFS(
  AND(L2768&gt;=TIME(9,0,0), L2768&lt;TIME(16,0,0)),"Morning",
  AND(L2768&gt;=TIME(16,0,0), L2768&lt;TIME(23,59,0)),"Evening",
  L2768&gt;=TIME(23,59,0),"Night",
  L2768&lt;TIME(9,0,0),"Night"
))</f>
        <v/>
      </c>
      <c r="O2768" t="str">
        <f t="shared" si="260"/>
        <v/>
      </c>
    </row>
    <row r="2769" spans="7:15" x14ac:dyDescent="0.25">
      <c r="G2769" t="str">
        <f t="shared" si="258"/>
        <v/>
      </c>
      <c r="H2769" s="13" t="str">
        <f t="shared" si="261"/>
        <v/>
      </c>
      <c r="I2769" t="str">
        <f>IFERROR(INDEX(Analysis!$D$116:$N$137, MATCH(B2769, Analysis!$C$116:$C$137, 0), MATCH(C2769, Analysis!$D$115:$N$115, 0)), "")</f>
        <v/>
      </c>
      <c r="J2769" t="str">
        <f t="shared" si="262"/>
        <v/>
      </c>
      <c r="K2769" s="28" t="str">
        <f t="shared" si="259"/>
        <v/>
      </c>
      <c r="L2769" s="46" t="str">
        <f t="shared" si="263"/>
        <v/>
      </c>
      <c r="M2769" t="str" cm="1">
        <f t="array" ref="M2769">IF(L2769="","",_xlfn.IFS(
  AND(L2769&gt;=TIME(9,0,0), L2769&lt;TIME(16,0,0)),"Morning",
  AND(L2769&gt;=TIME(16,0,0), L2769&lt;TIME(23,59,0)),"Evening",
  L2769&gt;=TIME(23,59,0),"Night",
  L2769&lt;TIME(9,0,0),"Night"
))</f>
        <v/>
      </c>
      <c r="O2769" t="str">
        <f t="shared" si="260"/>
        <v/>
      </c>
    </row>
    <row r="2770" spans="7:15" x14ac:dyDescent="0.25">
      <c r="G2770" t="str">
        <f t="shared" si="258"/>
        <v/>
      </c>
      <c r="H2770" s="13" t="str">
        <f t="shared" si="261"/>
        <v/>
      </c>
      <c r="I2770" t="str">
        <f>IFERROR(INDEX(Analysis!$D$116:$N$137, MATCH(B2770, Analysis!$C$116:$C$137, 0), MATCH(C2770, Analysis!$D$115:$N$115, 0)), "")</f>
        <v/>
      </c>
      <c r="J2770" t="str">
        <f t="shared" si="262"/>
        <v/>
      </c>
      <c r="K2770" s="28" t="str">
        <f t="shared" si="259"/>
        <v/>
      </c>
      <c r="L2770" s="46" t="str">
        <f t="shared" si="263"/>
        <v/>
      </c>
      <c r="M2770" t="str" cm="1">
        <f t="array" ref="M2770">IF(L2770="","",_xlfn.IFS(
  AND(L2770&gt;=TIME(9,0,0), L2770&lt;TIME(16,0,0)),"Morning",
  AND(L2770&gt;=TIME(16,0,0), L2770&lt;TIME(23,59,0)),"Evening",
  L2770&gt;=TIME(23,59,0),"Night",
  L2770&lt;TIME(9,0,0),"Night"
))</f>
        <v/>
      </c>
      <c r="O2770" t="str">
        <f t="shared" si="260"/>
        <v/>
      </c>
    </row>
    <row r="2771" spans="7:15" x14ac:dyDescent="0.25">
      <c r="G2771" t="str">
        <f t="shared" si="258"/>
        <v/>
      </c>
      <c r="H2771" s="13" t="str">
        <f t="shared" si="261"/>
        <v/>
      </c>
      <c r="I2771" t="str">
        <f>IFERROR(INDEX(Analysis!$D$116:$N$137, MATCH(B2771, Analysis!$C$116:$C$137, 0), MATCH(C2771, Analysis!$D$115:$N$115, 0)), "")</f>
        <v/>
      </c>
      <c r="J2771" t="str">
        <f t="shared" si="262"/>
        <v/>
      </c>
      <c r="K2771" s="28" t="str">
        <f t="shared" si="259"/>
        <v/>
      </c>
      <c r="L2771" s="46" t="str">
        <f t="shared" si="263"/>
        <v/>
      </c>
      <c r="M2771" t="str" cm="1">
        <f t="array" ref="M2771">IF(L2771="","",_xlfn.IFS(
  AND(L2771&gt;=TIME(9,0,0), L2771&lt;TIME(16,0,0)),"Morning",
  AND(L2771&gt;=TIME(16,0,0), L2771&lt;TIME(23,59,0)),"Evening",
  L2771&gt;=TIME(23,59,0),"Night",
  L2771&lt;TIME(9,0,0),"Night"
))</f>
        <v/>
      </c>
      <c r="O2771" t="str">
        <f t="shared" si="260"/>
        <v/>
      </c>
    </row>
    <row r="2772" spans="7:15" x14ac:dyDescent="0.25">
      <c r="G2772" t="str">
        <f t="shared" si="258"/>
        <v/>
      </c>
      <c r="H2772" s="13" t="str">
        <f t="shared" si="261"/>
        <v/>
      </c>
      <c r="I2772" t="str">
        <f>IFERROR(INDEX(Analysis!$D$116:$N$137, MATCH(B2772, Analysis!$C$116:$C$137, 0), MATCH(C2772, Analysis!$D$115:$N$115, 0)), "")</f>
        <v/>
      </c>
      <c r="J2772" t="str">
        <f t="shared" si="262"/>
        <v/>
      </c>
      <c r="K2772" s="28" t="str">
        <f t="shared" si="259"/>
        <v/>
      </c>
      <c r="L2772" s="46" t="str">
        <f t="shared" si="263"/>
        <v/>
      </c>
      <c r="M2772" t="str" cm="1">
        <f t="array" ref="M2772">IF(L2772="","",_xlfn.IFS(
  AND(L2772&gt;=TIME(9,0,0), L2772&lt;TIME(16,0,0)),"Morning",
  AND(L2772&gt;=TIME(16,0,0), L2772&lt;TIME(23,59,0)),"Evening",
  L2772&gt;=TIME(23,59,0),"Night",
  L2772&lt;TIME(9,0,0),"Night"
))</f>
        <v/>
      </c>
      <c r="O2772" t="str">
        <f t="shared" si="260"/>
        <v/>
      </c>
    </row>
    <row r="2773" spans="7:15" x14ac:dyDescent="0.25">
      <c r="G2773" t="str">
        <f t="shared" si="258"/>
        <v/>
      </c>
      <c r="H2773" s="13" t="str">
        <f t="shared" si="261"/>
        <v/>
      </c>
      <c r="I2773" t="str">
        <f>IFERROR(INDEX(Analysis!$D$116:$N$137, MATCH(B2773, Analysis!$C$116:$C$137, 0), MATCH(C2773, Analysis!$D$115:$N$115, 0)), "")</f>
        <v/>
      </c>
      <c r="J2773" t="str">
        <f t="shared" si="262"/>
        <v/>
      </c>
      <c r="K2773" s="28" t="str">
        <f t="shared" si="259"/>
        <v/>
      </c>
      <c r="L2773" s="46" t="str">
        <f t="shared" si="263"/>
        <v/>
      </c>
      <c r="M2773" t="str" cm="1">
        <f t="array" ref="M2773">IF(L2773="","",_xlfn.IFS(
  AND(L2773&gt;=TIME(9,0,0), L2773&lt;TIME(16,0,0)),"Morning",
  AND(L2773&gt;=TIME(16,0,0), L2773&lt;TIME(23,59,0)),"Evening",
  L2773&gt;=TIME(23,59,0),"Night",
  L2773&lt;TIME(9,0,0),"Night"
))</f>
        <v/>
      </c>
      <c r="O2773" t="str">
        <f t="shared" si="260"/>
        <v/>
      </c>
    </row>
    <row r="2774" spans="7:15" x14ac:dyDescent="0.25">
      <c r="G2774" t="str">
        <f t="shared" si="258"/>
        <v/>
      </c>
      <c r="H2774" s="13" t="str">
        <f t="shared" si="261"/>
        <v/>
      </c>
      <c r="I2774" t="str">
        <f>IFERROR(INDEX(Analysis!$D$116:$N$137, MATCH(B2774, Analysis!$C$116:$C$137, 0), MATCH(C2774, Analysis!$D$115:$N$115, 0)), "")</f>
        <v/>
      </c>
      <c r="J2774" t="str">
        <f t="shared" si="262"/>
        <v/>
      </c>
      <c r="K2774" s="28" t="str">
        <f t="shared" si="259"/>
        <v/>
      </c>
      <c r="L2774" s="46" t="str">
        <f t="shared" si="263"/>
        <v/>
      </c>
      <c r="M2774" t="str" cm="1">
        <f t="array" ref="M2774">IF(L2774="","",_xlfn.IFS(
  AND(L2774&gt;=TIME(9,0,0), L2774&lt;TIME(16,0,0)),"Morning",
  AND(L2774&gt;=TIME(16,0,0), L2774&lt;TIME(23,59,0)),"Evening",
  L2774&gt;=TIME(23,59,0),"Night",
  L2774&lt;TIME(9,0,0),"Night"
))</f>
        <v/>
      </c>
      <c r="O2774" t="str">
        <f t="shared" si="260"/>
        <v/>
      </c>
    </row>
    <row r="2775" spans="7:15" x14ac:dyDescent="0.25">
      <c r="G2775" t="str">
        <f t="shared" si="258"/>
        <v/>
      </c>
      <c r="H2775" s="13" t="str">
        <f t="shared" si="261"/>
        <v/>
      </c>
      <c r="I2775" t="str">
        <f>IFERROR(INDEX(Analysis!$D$116:$N$137, MATCH(B2775, Analysis!$C$116:$C$137, 0), MATCH(C2775, Analysis!$D$115:$N$115, 0)), "")</f>
        <v/>
      </c>
      <c r="J2775" t="str">
        <f t="shared" si="262"/>
        <v/>
      </c>
      <c r="K2775" s="28" t="str">
        <f t="shared" si="259"/>
        <v/>
      </c>
      <c r="L2775" s="46" t="str">
        <f t="shared" si="263"/>
        <v/>
      </c>
      <c r="M2775" t="str" cm="1">
        <f t="array" ref="M2775">IF(L2775="","",_xlfn.IFS(
  AND(L2775&gt;=TIME(9,0,0), L2775&lt;TIME(16,0,0)),"Morning",
  AND(L2775&gt;=TIME(16,0,0), L2775&lt;TIME(23,59,0)),"Evening",
  L2775&gt;=TIME(23,59,0),"Night",
  L2775&lt;TIME(9,0,0),"Night"
))</f>
        <v/>
      </c>
      <c r="O2775" t="str">
        <f t="shared" si="260"/>
        <v/>
      </c>
    </row>
    <row r="2776" spans="7:15" x14ac:dyDescent="0.25">
      <c r="G2776" t="str">
        <f t="shared" si="258"/>
        <v/>
      </c>
      <c r="H2776" s="13" t="str">
        <f t="shared" si="261"/>
        <v/>
      </c>
      <c r="I2776" t="str">
        <f>IFERROR(INDEX(Analysis!$D$116:$N$137, MATCH(B2776, Analysis!$C$116:$C$137, 0), MATCH(C2776, Analysis!$D$115:$N$115, 0)), "")</f>
        <v/>
      </c>
      <c r="J2776" t="str">
        <f t="shared" si="262"/>
        <v/>
      </c>
      <c r="K2776" s="28" t="str">
        <f t="shared" si="259"/>
        <v/>
      </c>
      <c r="L2776" s="46" t="str">
        <f t="shared" si="263"/>
        <v/>
      </c>
      <c r="M2776" t="str" cm="1">
        <f t="array" ref="M2776">IF(L2776="","",_xlfn.IFS(
  AND(L2776&gt;=TIME(9,0,0), L2776&lt;TIME(16,0,0)),"Morning",
  AND(L2776&gt;=TIME(16,0,0), L2776&lt;TIME(23,59,0)),"Evening",
  L2776&gt;=TIME(23,59,0),"Night",
  L2776&lt;TIME(9,0,0),"Night"
))</f>
        <v/>
      </c>
      <c r="O2776" t="str">
        <f t="shared" si="260"/>
        <v/>
      </c>
    </row>
    <row r="2777" spans="7:15" x14ac:dyDescent="0.25">
      <c r="G2777" t="str">
        <f t="shared" si="258"/>
        <v/>
      </c>
      <c r="H2777" s="13" t="str">
        <f t="shared" si="261"/>
        <v/>
      </c>
      <c r="I2777" t="str">
        <f>IFERROR(INDEX(Analysis!$D$116:$N$137, MATCH(B2777, Analysis!$C$116:$C$137, 0), MATCH(C2777, Analysis!$D$115:$N$115, 0)), "")</f>
        <v/>
      </c>
      <c r="J2777" t="str">
        <f t="shared" si="262"/>
        <v/>
      </c>
      <c r="K2777" s="28" t="str">
        <f t="shared" si="259"/>
        <v/>
      </c>
      <c r="L2777" s="46" t="str">
        <f t="shared" si="263"/>
        <v/>
      </c>
      <c r="M2777" t="str" cm="1">
        <f t="array" ref="M2777">IF(L2777="","",_xlfn.IFS(
  AND(L2777&gt;=TIME(9,0,0), L2777&lt;TIME(16,0,0)),"Morning",
  AND(L2777&gt;=TIME(16,0,0), L2777&lt;TIME(23,59,0)),"Evening",
  L2777&gt;=TIME(23,59,0),"Night",
  L2777&lt;TIME(9,0,0),"Night"
))</f>
        <v/>
      </c>
      <c r="O2777" t="str">
        <f t="shared" si="260"/>
        <v/>
      </c>
    </row>
    <row r="2778" spans="7:15" x14ac:dyDescent="0.25">
      <c r="G2778" t="str">
        <f t="shared" si="258"/>
        <v/>
      </c>
      <c r="H2778" s="13" t="str">
        <f t="shared" si="261"/>
        <v/>
      </c>
      <c r="I2778" t="str">
        <f>IFERROR(INDEX(Analysis!$D$116:$N$137, MATCH(B2778, Analysis!$C$116:$C$137, 0), MATCH(C2778, Analysis!$D$115:$N$115, 0)), "")</f>
        <v/>
      </c>
      <c r="J2778" t="str">
        <f t="shared" si="262"/>
        <v/>
      </c>
      <c r="K2778" s="28" t="str">
        <f t="shared" si="259"/>
        <v/>
      </c>
      <c r="L2778" s="46" t="str">
        <f t="shared" si="263"/>
        <v/>
      </c>
      <c r="M2778" t="str" cm="1">
        <f t="array" ref="M2778">IF(L2778="","",_xlfn.IFS(
  AND(L2778&gt;=TIME(9,0,0), L2778&lt;TIME(16,0,0)),"Morning",
  AND(L2778&gt;=TIME(16,0,0), L2778&lt;TIME(23,59,0)),"Evening",
  L2778&gt;=TIME(23,59,0),"Night",
  L2778&lt;TIME(9,0,0),"Night"
))</f>
        <v/>
      </c>
      <c r="O2778" t="str">
        <f t="shared" si="260"/>
        <v/>
      </c>
    </row>
    <row r="2779" spans="7:15" x14ac:dyDescent="0.25">
      <c r="G2779" t="str">
        <f t="shared" si="258"/>
        <v/>
      </c>
      <c r="H2779" s="13" t="str">
        <f t="shared" si="261"/>
        <v/>
      </c>
      <c r="I2779" t="str">
        <f>IFERROR(INDEX(Analysis!$D$116:$N$137, MATCH(B2779, Analysis!$C$116:$C$137, 0), MATCH(C2779, Analysis!$D$115:$N$115, 0)), "")</f>
        <v/>
      </c>
      <c r="J2779" t="str">
        <f t="shared" si="262"/>
        <v/>
      </c>
      <c r="K2779" s="28" t="str">
        <f t="shared" si="259"/>
        <v/>
      </c>
      <c r="L2779" s="46" t="str">
        <f t="shared" si="263"/>
        <v/>
      </c>
      <c r="M2779" t="str" cm="1">
        <f t="array" ref="M2779">IF(L2779="","",_xlfn.IFS(
  AND(L2779&gt;=TIME(9,0,0), L2779&lt;TIME(16,0,0)),"Morning",
  AND(L2779&gt;=TIME(16,0,0), L2779&lt;TIME(23,59,0)),"Evening",
  L2779&gt;=TIME(23,59,0),"Night",
  L2779&lt;TIME(9,0,0),"Night"
))</f>
        <v/>
      </c>
      <c r="O2779" t="str">
        <f t="shared" si="260"/>
        <v/>
      </c>
    </row>
    <row r="2780" spans="7:15" x14ac:dyDescent="0.25">
      <c r="G2780" t="str">
        <f t="shared" si="258"/>
        <v/>
      </c>
      <c r="H2780" s="13" t="str">
        <f t="shared" si="261"/>
        <v/>
      </c>
      <c r="I2780" t="str">
        <f>IFERROR(INDEX(Analysis!$D$116:$N$137, MATCH(B2780, Analysis!$C$116:$C$137, 0), MATCH(C2780, Analysis!$D$115:$N$115, 0)), "")</f>
        <v/>
      </c>
      <c r="J2780" t="str">
        <f t="shared" si="262"/>
        <v/>
      </c>
      <c r="K2780" s="28" t="str">
        <f t="shared" si="259"/>
        <v/>
      </c>
      <c r="L2780" s="46" t="str">
        <f t="shared" si="263"/>
        <v/>
      </c>
      <c r="M2780" t="str" cm="1">
        <f t="array" ref="M2780">IF(L2780="","",_xlfn.IFS(
  AND(L2780&gt;=TIME(9,0,0), L2780&lt;TIME(16,0,0)),"Morning",
  AND(L2780&gt;=TIME(16,0,0), L2780&lt;TIME(23,59,0)),"Evening",
  L2780&gt;=TIME(23,59,0),"Night",
  L2780&lt;TIME(9,0,0),"Night"
))</f>
        <v/>
      </c>
      <c r="O2780" t="str">
        <f t="shared" si="260"/>
        <v/>
      </c>
    </row>
    <row r="2781" spans="7:15" x14ac:dyDescent="0.25">
      <c r="G2781" t="str">
        <f t="shared" si="258"/>
        <v/>
      </c>
      <c r="H2781" s="13" t="str">
        <f t="shared" si="261"/>
        <v/>
      </c>
      <c r="I2781" t="str">
        <f>IFERROR(INDEX(Analysis!$D$116:$N$137, MATCH(B2781, Analysis!$C$116:$C$137, 0), MATCH(C2781, Analysis!$D$115:$N$115, 0)), "")</f>
        <v/>
      </c>
      <c r="J2781" t="str">
        <f t="shared" si="262"/>
        <v/>
      </c>
      <c r="K2781" s="28" t="str">
        <f t="shared" si="259"/>
        <v/>
      </c>
      <c r="L2781" s="46" t="str">
        <f t="shared" si="263"/>
        <v/>
      </c>
      <c r="M2781" t="str" cm="1">
        <f t="array" ref="M2781">IF(L2781="","",_xlfn.IFS(
  AND(L2781&gt;=TIME(9,0,0), L2781&lt;TIME(16,0,0)),"Morning",
  AND(L2781&gt;=TIME(16,0,0), L2781&lt;TIME(23,59,0)),"Evening",
  L2781&gt;=TIME(23,59,0),"Night",
  L2781&lt;TIME(9,0,0),"Night"
))</f>
        <v/>
      </c>
      <c r="O2781" t="str">
        <f t="shared" si="260"/>
        <v/>
      </c>
    </row>
    <row r="2782" spans="7:15" x14ac:dyDescent="0.25">
      <c r="G2782" t="str">
        <f t="shared" si="258"/>
        <v/>
      </c>
      <c r="H2782" s="13" t="str">
        <f t="shared" si="261"/>
        <v/>
      </c>
      <c r="I2782" t="str">
        <f>IFERROR(INDEX(Analysis!$D$116:$N$137, MATCH(B2782, Analysis!$C$116:$C$137, 0), MATCH(C2782, Analysis!$D$115:$N$115, 0)), "")</f>
        <v/>
      </c>
      <c r="J2782" t="str">
        <f t="shared" si="262"/>
        <v/>
      </c>
      <c r="K2782" s="28" t="str">
        <f t="shared" si="259"/>
        <v/>
      </c>
      <c r="L2782" s="46" t="str">
        <f t="shared" si="263"/>
        <v/>
      </c>
      <c r="M2782" t="str" cm="1">
        <f t="array" ref="M2782">IF(L2782="","",_xlfn.IFS(
  AND(L2782&gt;=TIME(9,0,0), L2782&lt;TIME(16,0,0)),"Morning",
  AND(L2782&gt;=TIME(16,0,0), L2782&lt;TIME(23,59,0)),"Evening",
  L2782&gt;=TIME(23,59,0),"Night",
  L2782&lt;TIME(9,0,0),"Night"
))</f>
        <v/>
      </c>
      <c r="O2782" t="str">
        <f t="shared" si="260"/>
        <v/>
      </c>
    </row>
    <row r="2783" spans="7:15" x14ac:dyDescent="0.25">
      <c r="G2783" t="str">
        <f t="shared" si="258"/>
        <v/>
      </c>
      <c r="H2783" s="13" t="str">
        <f t="shared" si="261"/>
        <v/>
      </c>
      <c r="I2783" t="str">
        <f>IFERROR(INDEX(Analysis!$D$116:$N$137, MATCH(B2783, Analysis!$C$116:$C$137, 0), MATCH(C2783, Analysis!$D$115:$N$115, 0)), "")</f>
        <v/>
      </c>
      <c r="J2783" t="str">
        <f t="shared" si="262"/>
        <v/>
      </c>
      <c r="K2783" s="28" t="str">
        <f t="shared" si="259"/>
        <v/>
      </c>
      <c r="L2783" s="46" t="str">
        <f t="shared" si="263"/>
        <v/>
      </c>
      <c r="M2783" t="str" cm="1">
        <f t="array" ref="M2783">IF(L2783="","",_xlfn.IFS(
  AND(L2783&gt;=TIME(9,0,0), L2783&lt;TIME(16,0,0)),"Morning",
  AND(L2783&gt;=TIME(16,0,0), L2783&lt;TIME(23,59,0)),"Evening",
  L2783&gt;=TIME(23,59,0),"Night",
  L2783&lt;TIME(9,0,0),"Night"
))</f>
        <v/>
      </c>
      <c r="O2783" t="str">
        <f t="shared" si="260"/>
        <v/>
      </c>
    </row>
    <row r="2784" spans="7:15" x14ac:dyDescent="0.25">
      <c r="G2784" t="str">
        <f t="shared" si="258"/>
        <v/>
      </c>
      <c r="H2784" s="13" t="str">
        <f t="shared" si="261"/>
        <v/>
      </c>
      <c r="I2784" t="str">
        <f>IFERROR(INDEX(Analysis!$D$116:$N$137, MATCH(B2784, Analysis!$C$116:$C$137, 0), MATCH(C2784, Analysis!$D$115:$N$115, 0)), "")</f>
        <v/>
      </c>
      <c r="J2784" t="str">
        <f t="shared" si="262"/>
        <v/>
      </c>
      <c r="K2784" s="28" t="str">
        <f t="shared" si="259"/>
        <v/>
      </c>
      <c r="L2784" s="46" t="str">
        <f t="shared" si="263"/>
        <v/>
      </c>
      <c r="M2784" t="str" cm="1">
        <f t="array" ref="M2784">IF(L2784="","",_xlfn.IFS(
  AND(L2784&gt;=TIME(9,0,0), L2784&lt;TIME(16,0,0)),"Morning",
  AND(L2784&gt;=TIME(16,0,0), L2784&lt;TIME(23,59,0)),"Evening",
  L2784&gt;=TIME(23,59,0),"Night",
  L2784&lt;TIME(9,0,0),"Night"
))</f>
        <v/>
      </c>
      <c r="O2784" t="str">
        <f t="shared" si="260"/>
        <v/>
      </c>
    </row>
    <row r="2785" spans="7:15" x14ac:dyDescent="0.25">
      <c r="G2785" t="str">
        <f t="shared" si="258"/>
        <v/>
      </c>
      <c r="H2785" s="13" t="str">
        <f t="shared" si="261"/>
        <v/>
      </c>
      <c r="I2785" t="str">
        <f>IFERROR(INDEX(Analysis!$D$116:$N$137, MATCH(B2785, Analysis!$C$116:$C$137, 0), MATCH(C2785, Analysis!$D$115:$N$115, 0)), "")</f>
        <v/>
      </c>
      <c r="J2785" t="str">
        <f t="shared" si="262"/>
        <v/>
      </c>
      <c r="K2785" s="28" t="str">
        <f t="shared" si="259"/>
        <v/>
      </c>
      <c r="L2785" s="46" t="str">
        <f t="shared" si="263"/>
        <v/>
      </c>
      <c r="M2785" t="str" cm="1">
        <f t="array" ref="M2785">IF(L2785="","",_xlfn.IFS(
  AND(L2785&gt;=TIME(9,0,0), L2785&lt;TIME(16,0,0)),"Morning",
  AND(L2785&gt;=TIME(16,0,0), L2785&lt;TIME(23,59,0)),"Evening",
  L2785&gt;=TIME(23,59,0),"Night",
  L2785&lt;TIME(9,0,0),"Night"
))</f>
        <v/>
      </c>
      <c r="O2785" t="str">
        <f t="shared" si="260"/>
        <v/>
      </c>
    </row>
    <row r="2786" spans="7:15" x14ac:dyDescent="0.25">
      <c r="G2786" t="str">
        <f t="shared" si="258"/>
        <v/>
      </c>
      <c r="H2786" s="13" t="str">
        <f t="shared" si="261"/>
        <v/>
      </c>
      <c r="I2786" t="str">
        <f>IFERROR(INDEX(Analysis!$D$116:$N$137, MATCH(B2786, Analysis!$C$116:$C$137, 0), MATCH(C2786, Analysis!$D$115:$N$115, 0)), "")</f>
        <v/>
      </c>
      <c r="J2786" t="str">
        <f t="shared" si="262"/>
        <v/>
      </c>
      <c r="K2786" s="28" t="str">
        <f t="shared" si="259"/>
        <v/>
      </c>
      <c r="L2786" s="46" t="str">
        <f t="shared" si="263"/>
        <v/>
      </c>
      <c r="M2786" t="str" cm="1">
        <f t="array" ref="M2786">IF(L2786="","",_xlfn.IFS(
  AND(L2786&gt;=TIME(9,0,0), L2786&lt;TIME(16,0,0)),"Morning",
  AND(L2786&gt;=TIME(16,0,0), L2786&lt;TIME(23,59,0)),"Evening",
  L2786&gt;=TIME(23,59,0),"Night",
  L2786&lt;TIME(9,0,0),"Night"
))</f>
        <v/>
      </c>
      <c r="O2786" t="str">
        <f t="shared" si="260"/>
        <v/>
      </c>
    </row>
    <row r="2787" spans="7:15" x14ac:dyDescent="0.25">
      <c r="G2787" t="str">
        <f t="shared" si="258"/>
        <v/>
      </c>
      <c r="H2787" s="13" t="str">
        <f t="shared" si="261"/>
        <v/>
      </c>
      <c r="I2787" t="str">
        <f>IFERROR(INDEX(Analysis!$D$116:$N$137, MATCH(B2787, Analysis!$C$116:$C$137, 0), MATCH(C2787, Analysis!$D$115:$N$115, 0)), "")</f>
        <v/>
      </c>
      <c r="J2787" t="str">
        <f t="shared" si="262"/>
        <v/>
      </c>
      <c r="K2787" s="28" t="str">
        <f t="shared" si="259"/>
        <v/>
      </c>
      <c r="L2787" s="46" t="str">
        <f t="shared" si="263"/>
        <v/>
      </c>
      <c r="M2787" t="str" cm="1">
        <f t="array" ref="M2787">IF(L2787="","",_xlfn.IFS(
  AND(L2787&gt;=TIME(9,0,0), L2787&lt;TIME(16,0,0)),"Morning",
  AND(L2787&gt;=TIME(16,0,0), L2787&lt;TIME(23,59,0)),"Evening",
  L2787&gt;=TIME(23,59,0),"Night",
  L2787&lt;TIME(9,0,0),"Night"
))</f>
        <v/>
      </c>
      <c r="O2787" t="str">
        <f t="shared" si="260"/>
        <v/>
      </c>
    </row>
    <row r="2788" spans="7:15" x14ac:dyDescent="0.25">
      <c r="G2788" t="str">
        <f t="shared" si="258"/>
        <v/>
      </c>
      <c r="H2788" s="13" t="str">
        <f t="shared" si="261"/>
        <v/>
      </c>
      <c r="I2788" t="str">
        <f>IFERROR(INDEX(Analysis!$D$116:$N$137, MATCH(B2788, Analysis!$C$116:$C$137, 0), MATCH(C2788, Analysis!$D$115:$N$115, 0)), "")</f>
        <v/>
      </c>
      <c r="J2788" t="str">
        <f t="shared" si="262"/>
        <v/>
      </c>
      <c r="K2788" s="28" t="str">
        <f t="shared" si="259"/>
        <v/>
      </c>
      <c r="L2788" s="46" t="str">
        <f t="shared" si="263"/>
        <v/>
      </c>
      <c r="M2788" t="str" cm="1">
        <f t="array" ref="M2788">IF(L2788="","",_xlfn.IFS(
  AND(L2788&gt;=TIME(9,0,0), L2788&lt;TIME(16,0,0)),"Morning",
  AND(L2788&gt;=TIME(16,0,0), L2788&lt;TIME(23,59,0)),"Evening",
  L2788&gt;=TIME(23,59,0),"Night",
  L2788&lt;TIME(9,0,0),"Night"
))</f>
        <v/>
      </c>
      <c r="O2788" t="str">
        <f t="shared" si="260"/>
        <v/>
      </c>
    </row>
    <row r="2789" spans="7:15" x14ac:dyDescent="0.25">
      <c r="G2789" t="str">
        <f t="shared" si="258"/>
        <v/>
      </c>
      <c r="H2789" s="13" t="str">
        <f t="shared" si="261"/>
        <v/>
      </c>
      <c r="I2789" t="str">
        <f>IFERROR(INDEX(Analysis!$D$116:$N$137, MATCH(B2789, Analysis!$C$116:$C$137, 0), MATCH(C2789, Analysis!$D$115:$N$115, 0)), "")</f>
        <v/>
      </c>
      <c r="J2789" t="str">
        <f t="shared" si="262"/>
        <v/>
      </c>
      <c r="K2789" s="28" t="str">
        <f t="shared" si="259"/>
        <v/>
      </c>
      <c r="L2789" s="46" t="str">
        <f t="shared" si="263"/>
        <v/>
      </c>
      <c r="M2789" t="str" cm="1">
        <f t="array" ref="M2789">IF(L2789="","",_xlfn.IFS(
  AND(L2789&gt;=TIME(9,0,0), L2789&lt;TIME(16,0,0)),"Morning",
  AND(L2789&gt;=TIME(16,0,0), L2789&lt;TIME(23,59,0)),"Evening",
  L2789&gt;=TIME(23,59,0),"Night",
  L2789&lt;TIME(9,0,0),"Night"
))</f>
        <v/>
      </c>
      <c r="O2789" t="str">
        <f t="shared" si="260"/>
        <v/>
      </c>
    </row>
    <row r="2790" spans="7:15" x14ac:dyDescent="0.25">
      <c r="G2790" t="str">
        <f t="shared" si="258"/>
        <v/>
      </c>
      <c r="H2790" s="13" t="str">
        <f t="shared" si="261"/>
        <v/>
      </c>
      <c r="I2790" t="str">
        <f>IFERROR(INDEX(Analysis!$D$116:$N$137, MATCH(B2790, Analysis!$C$116:$C$137, 0), MATCH(C2790, Analysis!$D$115:$N$115, 0)), "")</f>
        <v/>
      </c>
      <c r="J2790" t="str">
        <f t="shared" si="262"/>
        <v/>
      </c>
      <c r="K2790" s="28" t="str">
        <f t="shared" si="259"/>
        <v/>
      </c>
      <c r="L2790" s="46" t="str">
        <f t="shared" si="263"/>
        <v/>
      </c>
      <c r="M2790" t="str" cm="1">
        <f t="array" ref="M2790">IF(L2790="","",_xlfn.IFS(
  AND(L2790&gt;=TIME(9,0,0), L2790&lt;TIME(16,0,0)),"Morning",
  AND(L2790&gt;=TIME(16,0,0), L2790&lt;TIME(23,59,0)),"Evening",
  L2790&gt;=TIME(23,59,0),"Night",
  L2790&lt;TIME(9,0,0),"Night"
))</f>
        <v/>
      </c>
      <c r="O2790" t="str">
        <f t="shared" si="260"/>
        <v/>
      </c>
    </row>
    <row r="2791" spans="7:15" x14ac:dyDescent="0.25">
      <c r="G2791" t="str">
        <f t="shared" si="258"/>
        <v/>
      </c>
      <c r="H2791" s="13" t="str">
        <f t="shared" si="261"/>
        <v/>
      </c>
      <c r="I2791" t="str">
        <f>IFERROR(INDEX(Analysis!$D$116:$N$137, MATCH(B2791, Analysis!$C$116:$C$137, 0), MATCH(C2791, Analysis!$D$115:$N$115, 0)), "")</f>
        <v/>
      </c>
      <c r="J2791" t="str">
        <f t="shared" si="262"/>
        <v/>
      </c>
      <c r="K2791" s="28" t="str">
        <f t="shared" si="259"/>
        <v/>
      </c>
      <c r="L2791" s="46" t="str">
        <f t="shared" si="263"/>
        <v/>
      </c>
      <c r="M2791" t="str" cm="1">
        <f t="array" ref="M2791">IF(L2791="","",_xlfn.IFS(
  AND(L2791&gt;=TIME(9,0,0), L2791&lt;TIME(16,0,0)),"Morning",
  AND(L2791&gt;=TIME(16,0,0), L2791&lt;TIME(23,59,0)),"Evening",
  L2791&gt;=TIME(23,59,0),"Night",
  L2791&lt;TIME(9,0,0),"Night"
))</f>
        <v/>
      </c>
      <c r="O2791" t="str">
        <f t="shared" si="260"/>
        <v/>
      </c>
    </row>
    <row r="2792" spans="7:15" x14ac:dyDescent="0.25">
      <c r="G2792" t="str">
        <f t="shared" si="258"/>
        <v/>
      </c>
      <c r="H2792" s="13" t="str">
        <f t="shared" si="261"/>
        <v/>
      </c>
      <c r="I2792" t="str">
        <f>IFERROR(INDEX(Analysis!$D$116:$N$137, MATCH(B2792, Analysis!$C$116:$C$137, 0), MATCH(C2792, Analysis!$D$115:$N$115, 0)), "")</f>
        <v/>
      </c>
      <c r="J2792" t="str">
        <f t="shared" si="262"/>
        <v/>
      </c>
      <c r="K2792" s="28" t="str">
        <f t="shared" si="259"/>
        <v/>
      </c>
      <c r="L2792" s="46" t="str">
        <f t="shared" si="263"/>
        <v/>
      </c>
      <c r="M2792" t="str" cm="1">
        <f t="array" ref="M2792">IF(L2792="","",_xlfn.IFS(
  AND(L2792&gt;=TIME(9,0,0), L2792&lt;TIME(16,0,0)),"Morning",
  AND(L2792&gt;=TIME(16,0,0), L2792&lt;TIME(23,59,0)),"Evening",
  L2792&gt;=TIME(23,59,0),"Night",
  L2792&lt;TIME(9,0,0),"Night"
))</f>
        <v/>
      </c>
      <c r="O2792" t="str">
        <f t="shared" si="260"/>
        <v/>
      </c>
    </row>
    <row r="2793" spans="7:15" x14ac:dyDescent="0.25">
      <c r="G2793" t="str">
        <f t="shared" si="258"/>
        <v/>
      </c>
      <c r="H2793" s="13" t="str">
        <f t="shared" si="261"/>
        <v/>
      </c>
      <c r="I2793" t="str">
        <f>IFERROR(INDEX(Analysis!$D$116:$N$137, MATCH(B2793, Analysis!$C$116:$C$137, 0), MATCH(C2793, Analysis!$D$115:$N$115, 0)), "")</f>
        <v/>
      </c>
      <c r="J2793" t="str">
        <f t="shared" si="262"/>
        <v/>
      </c>
      <c r="K2793" s="28" t="str">
        <f t="shared" si="259"/>
        <v/>
      </c>
      <c r="L2793" s="46" t="str">
        <f t="shared" si="263"/>
        <v/>
      </c>
      <c r="M2793" t="str" cm="1">
        <f t="array" ref="M2793">IF(L2793="","",_xlfn.IFS(
  AND(L2793&gt;=TIME(9,0,0), L2793&lt;TIME(16,0,0)),"Morning",
  AND(L2793&gt;=TIME(16,0,0), L2793&lt;TIME(23,59,0)),"Evening",
  L2793&gt;=TIME(23,59,0),"Night",
  L2793&lt;TIME(9,0,0),"Night"
))</f>
        <v/>
      </c>
      <c r="O2793" t="str">
        <f t="shared" si="260"/>
        <v/>
      </c>
    </row>
    <row r="2794" spans="7:15" x14ac:dyDescent="0.25">
      <c r="G2794" t="str">
        <f t="shared" si="258"/>
        <v/>
      </c>
      <c r="H2794" s="13" t="str">
        <f t="shared" si="261"/>
        <v/>
      </c>
      <c r="I2794" t="str">
        <f>IFERROR(INDEX(Analysis!$D$116:$N$137, MATCH(B2794, Analysis!$C$116:$C$137, 0), MATCH(C2794, Analysis!$D$115:$N$115, 0)), "")</f>
        <v/>
      </c>
      <c r="J2794" t="str">
        <f t="shared" si="262"/>
        <v/>
      </c>
      <c r="K2794" s="28" t="str">
        <f t="shared" si="259"/>
        <v/>
      </c>
      <c r="L2794" s="46" t="str">
        <f t="shared" si="263"/>
        <v/>
      </c>
      <c r="M2794" t="str" cm="1">
        <f t="array" ref="M2794">IF(L2794="","",_xlfn.IFS(
  AND(L2794&gt;=TIME(9,0,0), L2794&lt;TIME(16,0,0)),"Morning",
  AND(L2794&gt;=TIME(16,0,0), L2794&lt;TIME(23,59,0)),"Evening",
  L2794&gt;=TIME(23,59,0),"Night",
  L2794&lt;TIME(9,0,0),"Night"
))</f>
        <v/>
      </c>
      <c r="O2794" t="str">
        <f t="shared" si="260"/>
        <v/>
      </c>
    </row>
    <row r="2795" spans="7:15" x14ac:dyDescent="0.25">
      <c r="G2795" t="str">
        <f t="shared" si="258"/>
        <v/>
      </c>
      <c r="H2795" s="13" t="str">
        <f t="shared" si="261"/>
        <v/>
      </c>
      <c r="I2795" t="str">
        <f>IFERROR(INDEX(Analysis!$D$116:$N$137, MATCH(B2795, Analysis!$C$116:$C$137, 0), MATCH(C2795, Analysis!$D$115:$N$115, 0)), "")</f>
        <v/>
      </c>
      <c r="J2795" t="str">
        <f t="shared" si="262"/>
        <v/>
      </c>
      <c r="K2795" s="28" t="str">
        <f t="shared" si="259"/>
        <v/>
      </c>
      <c r="L2795" s="46" t="str">
        <f t="shared" si="263"/>
        <v/>
      </c>
      <c r="M2795" t="str" cm="1">
        <f t="array" ref="M2795">IF(L2795="","",_xlfn.IFS(
  AND(L2795&gt;=TIME(9,0,0), L2795&lt;TIME(16,0,0)),"Morning",
  AND(L2795&gt;=TIME(16,0,0), L2795&lt;TIME(23,59,0)),"Evening",
  L2795&gt;=TIME(23,59,0),"Night",
  L2795&lt;TIME(9,0,0),"Night"
))</f>
        <v/>
      </c>
      <c r="O2795" t="str">
        <f t="shared" si="260"/>
        <v/>
      </c>
    </row>
    <row r="2796" spans="7:15" x14ac:dyDescent="0.25">
      <c r="G2796" t="str">
        <f t="shared" si="258"/>
        <v/>
      </c>
      <c r="H2796" s="13" t="str">
        <f t="shared" si="261"/>
        <v/>
      </c>
      <c r="I2796" t="str">
        <f>IFERROR(INDEX(Analysis!$D$116:$N$137, MATCH(B2796, Analysis!$C$116:$C$137, 0), MATCH(C2796, Analysis!$D$115:$N$115, 0)), "")</f>
        <v/>
      </c>
      <c r="J2796" t="str">
        <f t="shared" si="262"/>
        <v/>
      </c>
      <c r="K2796" s="28" t="str">
        <f t="shared" si="259"/>
        <v/>
      </c>
      <c r="L2796" s="46" t="str">
        <f t="shared" si="263"/>
        <v/>
      </c>
      <c r="M2796" t="str" cm="1">
        <f t="array" ref="M2796">IF(L2796="","",_xlfn.IFS(
  AND(L2796&gt;=TIME(9,0,0), L2796&lt;TIME(16,0,0)),"Morning",
  AND(L2796&gt;=TIME(16,0,0), L2796&lt;TIME(23,59,0)),"Evening",
  L2796&gt;=TIME(23,59,0),"Night",
  L2796&lt;TIME(9,0,0),"Night"
))</f>
        <v/>
      </c>
      <c r="O2796" t="str">
        <f t="shared" si="260"/>
        <v/>
      </c>
    </row>
    <row r="2797" spans="7:15" x14ac:dyDescent="0.25">
      <c r="G2797" t="str">
        <f t="shared" si="258"/>
        <v/>
      </c>
      <c r="H2797" s="13" t="str">
        <f t="shared" si="261"/>
        <v/>
      </c>
      <c r="I2797" t="str">
        <f>IFERROR(INDEX(Analysis!$D$116:$N$137, MATCH(B2797, Analysis!$C$116:$C$137, 0), MATCH(C2797, Analysis!$D$115:$N$115, 0)), "")</f>
        <v/>
      </c>
      <c r="J2797" t="str">
        <f t="shared" si="262"/>
        <v/>
      </c>
      <c r="K2797" s="28" t="str">
        <f t="shared" si="259"/>
        <v/>
      </c>
      <c r="L2797" s="46" t="str">
        <f t="shared" si="263"/>
        <v/>
      </c>
      <c r="M2797" t="str" cm="1">
        <f t="array" ref="M2797">IF(L2797="","",_xlfn.IFS(
  AND(L2797&gt;=TIME(9,0,0), L2797&lt;TIME(16,0,0)),"Morning",
  AND(L2797&gt;=TIME(16,0,0), L2797&lt;TIME(23,59,0)),"Evening",
  L2797&gt;=TIME(23,59,0),"Night",
  L2797&lt;TIME(9,0,0),"Night"
))</f>
        <v/>
      </c>
      <c r="O2797" t="str">
        <f t="shared" si="260"/>
        <v/>
      </c>
    </row>
    <row r="2798" spans="7:15" x14ac:dyDescent="0.25">
      <c r="G2798" t="str">
        <f t="shared" si="258"/>
        <v/>
      </c>
      <c r="H2798" s="13" t="str">
        <f t="shared" si="261"/>
        <v/>
      </c>
      <c r="I2798" t="str">
        <f>IFERROR(INDEX(Analysis!$D$116:$N$137, MATCH(B2798, Analysis!$C$116:$C$137, 0), MATCH(C2798, Analysis!$D$115:$N$115, 0)), "")</f>
        <v/>
      </c>
      <c r="J2798" t="str">
        <f t="shared" si="262"/>
        <v/>
      </c>
      <c r="K2798" s="28" t="str">
        <f t="shared" si="259"/>
        <v/>
      </c>
      <c r="L2798" s="46" t="str">
        <f t="shared" si="263"/>
        <v/>
      </c>
      <c r="M2798" t="str" cm="1">
        <f t="array" ref="M2798">IF(L2798="","",_xlfn.IFS(
  AND(L2798&gt;=TIME(9,0,0), L2798&lt;TIME(16,0,0)),"Morning",
  AND(L2798&gt;=TIME(16,0,0), L2798&lt;TIME(23,59,0)),"Evening",
  L2798&gt;=TIME(23,59,0),"Night",
  L2798&lt;TIME(9,0,0),"Night"
))</f>
        <v/>
      </c>
      <c r="O2798" t="str">
        <f t="shared" si="260"/>
        <v/>
      </c>
    </row>
    <row r="2799" spans="7:15" x14ac:dyDescent="0.25">
      <c r="G2799" t="str">
        <f t="shared" si="258"/>
        <v/>
      </c>
      <c r="H2799" s="13" t="str">
        <f t="shared" si="261"/>
        <v/>
      </c>
      <c r="I2799" t="str">
        <f>IFERROR(INDEX(Analysis!$D$116:$N$137, MATCH(B2799, Analysis!$C$116:$C$137, 0), MATCH(C2799, Analysis!$D$115:$N$115, 0)), "")</f>
        <v/>
      </c>
      <c r="J2799" t="str">
        <f t="shared" si="262"/>
        <v/>
      </c>
      <c r="K2799" s="28" t="str">
        <f t="shared" si="259"/>
        <v/>
      </c>
      <c r="L2799" s="46" t="str">
        <f t="shared" si="263"/>
        <v/>
      </c>
      <c r="M2799" t="str" cm="1">
        <f t="array" ref="M2799">IF(L2799="","",_xlfn.IFS(
  AND(L2799&gt;=TIME(9,0,0), L2799&lt;TIME(16,0,0)),"Morning",
  AND(L2799&gt;=TIME(16,0,0), L2799&lt;TIME(23,59,0)),"Evening",
  L2799&gt;=TIME(23,59,0),"Night",
  L2799&lt;TIME(9,0,0),"Night"
))</f>
        <v/>
      </c>
      <c r="O2799" t="str">
        <f t="shared" si="260"/>
        <v/>
      </c>
    </row>
    <row r="2800" spans="7:15" x14ac:dyDescent="0.25">
      <c r="G2800" t="str">
        <f t="shared" si="258"/>
        <v/>
      </c>
      <c r="H2800" s="13" t="str">
        <f t="shared" si="261"/>
        <v/>
      </c>
      <c r="I2800" t="str">
        <f>IFERROR(INDEX(Analysis!$D$116:$N$137, MATCH(B2800, Analysis!$C$116:$C$137, 0), MATCH(C2800, Analysis!$D$115:$N$115, 0)), "")</f>
        <v/>
      </c>
      <c r="J2800" t="str">
        <f t="shared" si="262"/>
        <v/>
      </c>
      <c r="K2800" s="28" t="str">
        <f t="shared" si="259"/>
        <v/>
      </c>
      <c r="L2800" s="46" t="str">
        <f t="shared" si="263"/>
        <v/>
      </c>
      <c r="M2800" t="str" cm="1">
        <f t="array" ref="M2800">IF(L2800="","",_xlfn.IFS(
  AND(L2800&gt;=TIME(9,0,0), L2800&lt;TIME(16,0,0)),"Morning",
  AND(L2800&gt;=TIME(16,0,0), L2800&lt;TIME(23,59,0)),"Evening",
  L2800&gt;=TIME(23,59,0),"Night",
  L2800&lt;TIME(9,0,0),"Night"
))</f>
        <v/>
      </c>
      <c r="O2800" t="str">
        <f t="shared" si="260"/>
        <v/>
      </c>
    </row>
    <row r="2801" spans="7:15" x14ac:dyDescent="0.25">
      <c r="G2801" t="str">
        <f t="shared" si="258"/>
        <v/>
      </c>
      <c r="H2801" s="13" t="str">
        <f t="shared" si="261"/>
        <v/>
      </c>
      <c r="I2801" t="str">
        <f>IFERROR(INDEX(Analysis!$D$116:$N$137, MATCH(B2801, Analysis!$C$116:$C$137, 0), MATCH(C2801, Analysis!$D$115:$N$115, 0)), "")</f>
        <v/>
      </c>
      <c r="J2801" t="str">
        <f t="shared" si="262"/>
        <v/>
      </c>
      <c r="K2801" s="28" t="str">
        <f t="shared" si="259"/>
        <v/>
      </c>
      <c r="L2801" s="46" t="str">
        <f t="shared" si="263"/>
        <v/>
      </c>
      <c r="M2801" t="str" cm="1">
        <f t="array" ref="M2801">IF(L2801="","",_xlfn.IFS(
  AND(L2801&gt;=TIME(9,0,0), L2801&lt;TIME(16,0,0)),"Morning",
  AND(L2801&gt;=TIME(16,0,0), L2801&lt;TIME(23,59,0)),"Evening",
  L2801&gt;=TIME(23,59,0),"Night",
  L2801&lt;TIME(9,0,0),"Night"
))</f>
        <v/>
      </c>
      <c r="O2801" t="str">
        <f t="shared" si="260"/>
        <v/>
      </c>
    </row>
    <row r="2802" spans="7:15" x14ac:dyDescent="0.25">
      <c r="G2802" t="str">
        <f t="shared" si="258"/>
        <v/>
      </c>
      <c r="H2802" s="13" t="str">
        <f t="shared" si="261"/>
        <v/>
      </c>
      <c r="I2802" t="str">
        <f>IFERROR(INDEX(Analysis!$D$116:$N$137, MATCH(B2802, Analysis!$C$116:$C$137, 0), MATCH(C2802, Analysis!$D$115:$N$115, 0)), "")</f>
        <v/>
      </c>
      <c r="J2802" t="str">
        <f t="shared" si="262"/>
        <v/>
      </c>
      <c r="K2802" s="28" t="str">
        <f t="shared" si="259"/>
        <v/>
      </c>
      <c r="L2802" s="46" t="str">
        <f t="shared" si="263"/>
        <v/>
      </c>
      <c r="M2802" t="str" cm="1">
        <f t="array" ref="M2802">IF(L2802="","",_xlfn.IFS(
  AND(L2802&gt;=TIME(9,0,0), L2802&lt;TIME(16,0,0)),"Morning",
  AND(L2802&gt;=TIME(16,0,0), L2802&lt;TIME(23,59,0)),"Evening",
  L2802&gt;=TIME(23,59,0),"Night",
  L2802&lt;TIME(9,0,0),"Night"
))</f>
        <v/>
      </c>
      <c r="O2802" t="str">
        <f t="shared" si="260"/>
        <v/>
      </c>
    </row>
    <row r="2803" spans="7:15" x14ac:dyDescent="0.25">
      <c r="G2803" t="str">
        <f t="shared" si="258"/>
        <v/>
      </c>
      <c r="H2803" s="13" t="str">
        <f t="shared" si="261"/>
        <v/>
      </c>
      <c r="I2803" t="str">
        <f>IFERROR(INDEX(Analysis!$D$116:$N$137, MATCH(B2803, Analysis!$C$116:$C$137, 0), MATCH(C2803, Analysis!$D$115:$N$115, 0)), "")</f>
        <v/>
      </c>
      <c r="J2803" t="str">
        <f t="shared" si="262"/>
        <v/>
      </c>
      <c r="K2803" s="28" t="str">
        <f t="shared" si="259"/>
        <v/>
      </c>
      <c r="L2803" s="46" t="str">
        <f t="shared" si="263"/>
        <v/>
      </c>
      <c r="M2803" t="str" cm="1">
        <f t="array" ref="M2803">IF(L2803="","",_xlfn.IFS(
  AND(L2803&gt;=TIME(9,0,0), L2803&lt;TIME(16,0,0)),"Morning",
  AND(L2803&gt;=TIME(16,0,0), L2803&lt;TIME(23,59,0)),"Evening",
  L2803&gt;=TIME(23,59,0),"Night",
  L2803&lt;TIME(9,0,0),"Night"
))</f>
        <v/>
      </c>
      <c r="O2803" t="str">
        <f t="shared" si="260"/>
        <v/>
      </c>
    </row>
    <row r="2804" spans="7:15" x14ac:dyDescent="0.25">
      <c r="G2804" t="str">
        <f t="shared" si="258"/>
        <v/>
      </c>
      <c r="H2804" s="13" t="str">
        <f t="shared" si="261"/>
        <v/>
      </c>
      <c r="I2804" t="str">
        <f>IFERROR(INDEX(Analysis!$D$116:$N$137, MATCH(B2804, Analysis!$C$116:$C$137, 0), MATCH(C2804, Analysis!$D$115:$N$115, 0)), "")</f>
        <v/>
      </c>
      <c r="J2804" t="str">
        <f t="shared" si="262"/>
        <v/>
      </c>
      <c r="K2804" s="28" t="str">
        <f t="shared" si="259"/>
        <v/>
      </c>
      <c r="L2804" s="46" t="str">
        <f t="shared" si="263"/>
        <v/>
      </c>
      <c r="M2804" t="str" cm="1">
        <f t="array" ref="M2804">IF(L2804="","",_xlfn.IFS(
  AND(L2804&gt;=TIME(9,0,0), L2804&lt;TIME(16,0,0)),"Morning",
  AND(L2804&gt;=TIME(16,0,0), L2804&lt;TIME(23,59,0)),"Evening",
  L2804&gt;=TIME(23,59,0),"Night",
  L2804&lt;TIME(9,0,0),"Night"
))</f>
        <v/>
      </c>
      <c r="O2804" t="str">
        <f t="shared" si="260"/>
        <v/>
      </c>
    </row>
    <row r="2805" spans="7:15" x14ac:dyDescent="0.25">
      <c r="G2805" t="str">
        <f t="shared" si="258"/>
        <v/>
      </c>
      <c r="H2805" s="13" t="str">
        <f t="shared" si="261"/>
        <v/>
      </c>
      <c r="I2805" t="str">
        <f>IFERROR(INDEX(Analysis!$D$116:$N$137, MATCH(B2805, Analysis!$C$116:$C$137, 0), MATCH(C2805, Analysis!$D$115:$N$115, 0)), "")</f>
        <v/>
      </c>
      <c r="J2805" t="str">
        <f t="shared" si="262"/>
        <v/>
      </c>
      <c r="K2805" s="28" t="str">
        <f t="shared" si="259"/>
        <v/>
      </c>
      <c r="L2805" s="46" t="str">
        <f t="shared" si="263"/>
        <v/>
      </c>
      <c r="M2805" t="str" cm="1">
        <f t="array" ref="M2805">IF(L2805="","",_xlfn.IFS(
  AND(L2805&gt;=TIME(9,0,0), L2805&lt;TIME(16,0,0)),"Morning",
  AND(L2805&gt;=TIME(16,0,0), L2805&lt;TIME(23,59,0)),"Evening",
  L2805&gt;=TIME(23,59,0),"Night",
  L2805&lt;TIME(9,0,0),"Night"
))</f>
        <v/>
      </c>
      <c r="O2805" t="str">
        <f t="shared" si="260"/>
        <v/>
      </c>
    </row>
    <row r="2806" spans="7:15" x14ac:dyDescent="0.25">
      <c r="G2806" t="str">
        <f t="shared" si="258"/>
        <v/>
      </c>
      <c r="H2806" s="13" t="str">
        <f t="shared" si="261"/>
        <v/>
      </c>
      <c r="I2806" t="str">
        <f>IFERROR(INDEX(Analysis!$D$116:$N$137, MATCH(B2806, Analysis!$C$116:$C$137, 0), MATCH(C2806, Analysis!$D$115:$N$115, 0)), "")</f>
        <v/>
      </c>
      <c r="J2806" t="str">
        <f t="shared" si="262"/>
        <v/>
      </c>
      <c r="K2806" s="28" t="str">
        <f t="shared" si="259"/>
        <v/>
      </c>
      <c r="L2806" s="46" t="str">
        <f t="shared" si="263"/>
        <v/>
      </c>
      <c r="M2806" t="str" cm="1">
        <f t="array" ref="M2806">IF(L2806="","",_xlfn.IFS(
  AND(L2806&gt;=TIME(9,0,0), L2806&lt;TIME(16,0,0)),"Morning",
  AND(L2806&gt;=TIME(16,0,0), L2806&lt;TIME(23,59,0)),"Evening",
  L2806&gt;=TIME(23,59,0),"Night",
  L2806&lt;TIME(9,0,0),"Night"
))</f>
        <v/>
      </c>
      <c r="O2806" t="str">
        <f t="shared" si="260"/>
        <v/>
      </c>
    </row>
    <row r="2807" spans="7:15" x14ac:dyDescent="0.25">
      <c r="G2807" t="str">
        <f t="shared" si="258"/>
        <v/>
      </c>
      <c r="H2807" s="13" t="str">
        <f t="shared" si="261"/>
        <v/>
      </c>
      <c r="I2807" t="str">
        <f>IFERROR(INDEX(Analysis!$D$116:$N$137, MATCH(B2807, Analysis!$C$116:$C$137, 0), MATCH(C2807, Analysis!$D$115:$N$115, 0)), "")</f>
        <v/>
      </c>
      <c r="J2807" t="str">
        <f t="shared" si="262"/>
        <v/>
      </c>
      <c r="K2807" s="28" t="str">
        <f t="shared" si="259"/>
        <v/>
      </c>
      <c r="L2807" s="46" t="str">
        <f t="shared" si="263"/>
        <v/>
      </c>
      <c r="M2807" t="str" cm="1">
        <f t="array" ref="M2807">IF(L2807="","",_xlfn.IFS(
  AND(L2807&gt;=TIME(9,0,0), L2807&lt;TIME(16,0,0)),"Morning",
  AND(L2807&gt;=TIME(16,0,0), L2807&lt;TIME(23,59,0)),"Evening",
  L2807&gt;=TIME(23,59,0),"Night",
  L2807&lt;TIME(9,0,0),"Night"
))</f>
        <v/>
      </c>
      <c r="O2807" t="str">
        <f t="shared" si="260"/>
        <v/>
      </c>
    </row>
    <row r="2808" spans="7:15" x14ac:dyDescent="0.25">
      <c r="G2808" t="str">
        <f t="shared" si="258"/>
        <v/>
      </c>
      <c r="H2808" s="13" t="str">
        <f t="shared" si="261"/>
        <v/>
      </c>
      <c r="I2808" t="str">
        <f>IFERROR(INDEX(Analysis!$D$116:$N$137, MATCH(B2808, Analysis!$C$116:$C$137, 0), MATCH(C2808, Analysis!$D$115:$N$115, 0)), "")</f>
        <v/>
      </c>
      <c r="J2808" t="str">
        <f t="shared" si="262"/>
        <v/>
      </c>
      <c r="K2808" s="28" t="str">
        <f t="shared" si="259"/>
        <v/>
      </c>
      <c r="L2808" s="46" t="str">
        <f t="shared" si="263"/>
        <v/>
      </c>
      <c r="M2808" t="str" cm="1">
        <f t="array" ref="M2808">IF(L2808="","",_xlfn.IFS(
  AND(L2808&gt;=TIME(9,0,0), L2808&lt;TIME(16,0,0)),"Morning",
  AND(L2808&gt;=TIME(16,0,0), L2808&lt;TIME(23,59,0)),"Evening",
  L2808&gt;=TIME(23,59,0),"Night",
  L2808&lt;TIME(9,0,0),"Night"
))</f>
        <v/>
      </c>
      <c r="O2808" t="str">
        <f t="shared" si="260"/>
        <v/>
      </c>
    </row>
    <row r="2809" spans="7:15" x14ac:dyDescent="0.25">
      <c r="G2809" t="str">
        <f t="shared" si="258"/>
        <v/>
      </c>
      <c r="H2809" s="13" t="str">
        <f t="shared" si="261"/>
        <v/>
      </c>
      <c r="I2809" t="str">
        <f>IFERROR(INDEX(Analysis!$D$116:$N$137, MATCH(B2809, Analysis!$C$116:$C$137, 0), MATCH(C2809, Analysis!$D$115:$N$115, 0)), "")</f>
        <v/>
      </c>
      <c r="J2809" t="str">
        <f t="shared" si="262"/>
        <v/>
      </c>
      <c r="K2809" s="28" t="str">
        <f t="shared" si="259"/>
        <v/>
      </c>
      <c r="L2809" s="46" t="str">
        <f t="shared" si="263"/>
        <v/>
      </c>
      <c r="M2809" t="str" cm="1">
        <f t="array" ref="M2809">IF(L2809="","",_xlfn.IFS(
  AND(L2809&gt;=TIME(9,0,0), L2809&lt;TIME(16,0,0)),"Morning",
  AND(L2809&gt;=TIME(16,0,0), L2809&lt;TIME(23,59,0)),"Evening",
  L2809&gt;=TIME(23,59,0),"Night",
  L2809&lt;TIME(9,0,0),"Night"
))</f>
        <v/>
      </c>
      <c r="O2809" t="str">
        <f t="shared" si="260"/>
        <v/>
      </c>
    </row>
    <row r="2810" spans="7:15" x14ac:dyDescent="0.25">
      <c r="G2810" t="str">
        <f t="shared" si="258"/>
        <v/>
      </c>
      <c r="H2810" s="13" t="str">
        <f t="shared" si="261"/>
        <v/>
      </c>
      <c r="I2810" t="str">
        <f>IFERROR(INDEX(Analysis!$D$116:$N$137, MATCH(B2810, Analysis!$C$116:$C$137, 0), MATCH(C2810, Analysis!$D$115:$N$115, 0)), "")</f>
        <v/>
      </c>
      <c r="J2810" t="str">
        <f t="shared" si="262"/>
        <v/>
      </c>
      <c r="K2810" s="28" t="str">
        <f t="shared" si="259"/>
        <v/>
      </c>
      <c r="L2810" s="46" t="str">
        <f t="shared" si="263"/>
        <v/>
      </c>
      <c r="M2810" t="str" cm="1">
        <f t="array" ref="M2810">IF(L2810="","",_xlfn.IFS(
  AND(L2810&gt;=TIME(9,0,0), L2810&lt;TIME(16,0,0)),"Morning",
  AND(L2810&gt;=TIME(16,0,0), L2810&lt;TIME(23,59,0)),"Evening",
  L2810&gt;=TIME(23,59,0),"Night",
  L2810&lt;TIME(9,0,0),"Night"
))</f>
        <v/>
      </c>
      <c r="O2810" t="str">
        <f t="shared" si="260"/>
        <v/>
      </c>
    </row>
    <row r="2811" spans="7:15" x14ac:dyDescent="0.25">
      <c r="G2811" t="str">
        <f t="shared" si="258"/>
        <v/>
      </c>
      <c r="H2811" s="13" t="str">
        <f t="shared" si="261"/>
        <v/>
      </c>
      <c r="I2811" t="str">
        <f>IFERROR(INDEX(Analysis!$D$116:$N$137, MATCH(B2811, Analysis!$C$116:$C$137, 0), MATCH(C2811, Analysis!$D$115:$N$115, 0)), "")</f>
        <v/>
      </c>
      <c r="J2811" t="str">
        <f t="shared" si="262"/>
        <v/>
      </c>
      <c r="K2811" s="28" t="str">
        <f t="shared" si="259"/>
        <v/>
      </c>
      <c r="L2811" s="46" t="str">
        <f t="shared" si="263"/>
        <v/>
      </c>
      <c r="M2811" t="str" cm="1">
        <f t="array" ref="M2811">IF(L2811="","",_xlfn.IFS(
  AND(L2811&gt;=TIME(9,0,0), L2811&lt;TIME(16,0,0)),"Morning",
  AND(L2811&gt;=TIME(16,0,0), L2811&lt;TIME(23,59,0)),"Evening",
  L2811&gt;=TIME(23,59,0),"Night",
  L2811&lt;TIME(9,0,0),"Night"
))</f>
        <v/>
      </c>
      <c r="O2811" t="str">
        <f t="shared" si="260"/>
        <v/>
      </c>
    </row>
    <row r="2812" spans="7:15" x14ac:dyDescent="0.25">
      <c r="G2812" t="str">
        <f t="shared" si="258"/>
        <v/>
      </c>
      <c r="H2812" s="13" t="str">
        <f t="shared" si="261"/>
        <v/>
      </c>
      <c r="I2812" t="str">
        <f>IFERROR(INDEX(Analysis!$D$116:$N$137, MATCH(B2812, Analysis!$C$116:$C$137, 0), MATCH(C2812, Analysis!$D$115:$N$115, 0)), "")</f>
        <v/>
      </c>
      <c r="J2812" t="str">
        <f t="shared" si="262"/>
        <v/>
      </c>
      <c r="K2812" s="28" t="str">
        <f t="shared" si="259"/>
        <v/>
      </c>
      <c r="L2812" s="46" t="str">
        <f t="shared" si="263"/>
        <v/>
      </c>
      <c r="M2812" t="str" cm="1">
        <f t="array" ref="M2812">IF(L2812="","",_xlfn.IFS(
  AND(L2812&gt;=TIME(9,0,0), L2812&lt;TIME(16,0,0)),"Morning",
  AND(L2812&gt;=TIME(16,0,0), L2812&lt;TIME(23,59,0)),"Evening",
  L2812&gt;=TIME(23,59,0),"Night",
  L2812&lt;TIME(9,0,0),"Night"
))</f>
        <v/>
      </c>
      <c r="O2812" t="str">
        <f t="shared" si="260"/>
        <v/>
      </c>
    </row>
    <row r="2813" spans="7:15" x14ac:dyDescent="0.25">
      <c r="G2813" t="str">
        <f t="shared" si="258"/>
        <v/>
      </c>
      <c r="H2813" s="13" t="str">
        <f t="shared" si="261"/>
        <v/>
      </c>
      <c r="I2813" t="str">
        <f>IFERROR(INDEX(Analysis!$D$116:$N$137, MATCH(B2813, Analysis!$C$116:$C$137, 0), MATCH(C2813, Analysis!$D$115:$N$115, 0)), "")</f>
        <v/>
      </c>
      <c r="J2813" t="str">
        <f t="shared" si="262"/>
        <v/>
      </c>
      <c r="K2813" s="28" t="str">
        <f t="shared" si="259"/>
        <v/>
      </c>
      <c r="L2813" s="46" t="str">
        <f t="shared" si="263"/>
        <v/>
      </c>
      <c r="M2813" t="str" cm="1">
        <f t="array" ref="M2813">IF(L2813="","",_xlfn.IFS(
  AND(L2813&gt;=TIME(9,0,0), L2813&lt;TIME(16,0,0)),"Morning",
  AND(L2813&gt;=TIME(16,0,0), L2813&lt;TIME(23,59,0)),"Evening",
  L2813&gt;=TIME(23,59,0),"Night",
  L2813&lt;TIME(9,0,0),"Night"
))</f>
        <v/>
      </c>
      <c r="O2813" t="str">
        <f t="shared" si="260"/>
        <v/>
      </c>
    </row>
    <row r="2814" spans="7:15" x14ac:dyDescent="0.25">
      <c r="G2814" t="str">
        <f t="shared" si="258"/>
        <v/>
      </c>
      <c r="H2814" s="13" t="str">
        <f t="shared" si="261"/>
        <v/>
      </c>
      <c r="I2814" t="str">
        <f>IFERROR(INDEX(Analysis!$D$116:$N$137, MATCH(B2814, Analysis!$C$116:$C$137, 0), MATCH(C2814, Analysis!$D$115:$N$115, 0)), "")</f>
        <v/>
      </c>
      <c r="J2814" t="str">
        <f t="shared" si="262"/>
        <v/>
      </c>
      <c r="K2814" s="28" t="str">
        <f t="shared" si="259"/>
        <v/>
      </c>
      <c r="L2814" s="46" t="str">
        <f t="shared" si="263"/>
        <v/>
      </c>
      <c r="M2814" t="str" cm="1">
        <f t="array" ref="M2814">IF(L2814="","",_xlfn.IFS(
  AND(L2814&gt;=TIME(9,0,0), L2814&lt;TIME(16,0,0)),"Morning",
  AND(L2814&gt;=TIME(16,0,0), L2814&lt;TIME(23,59,0)),"Evening",
  L2814&gt;=TIME(23,59,0),"Night",
  L2814&lt;TIME(9,0,0),"Night"
))</f>
        <v/>
      </c>
      <c r="O2814" t="str">
        <f t="shared" si="260"/>
        <v/>
      </c>
    </row>
    <row r="2815" spans="7:15" x14ac:dyDescent="0.25">
      <c r="G2815" t="str">
        <f t="shared" si="258"/>
        <v/>
      </c>
      <c r="H2815" s="13" t="str">
        <f t="shared" si="261"/>
        <v/>
      </c>
      <c r="I2815" t="str">
        <f>IFERROR(INDEX(Analysis!$D$116:$N$137, MATCH(B2815, Analysis!$C$116:$C$137, 0), MATCH(C2815, Analysis!$D$115:$N$115, 0)), "")</f>
        <v/>
      </c>
      <c r="J2815" t="str">
        <f t="shared" si="262"/>
        <v/>
      </c>
      <c r="K2815" s="28" t="str">
        <f t="shared" si="259"/>
        <v/>
      </c>
      <c r="L2815" s="46" t="str">
        <f t="shared" si="263"/>
        <v/>
      </c>
      <c r="M2815" t="str" cm="1">
        <f t="array" ref="M2815">IF(L2815="","",_xlfn.IFS(
  AND(L2815&gt;=TIME(9,0,0), L2815&lt;TIME(16,0,0)),"Morning",
  AND(L2815&gt;=TIME(16,0,0), L2815&lt;TIME(23,59,0)),"Evening",
  L2815&gt;=TIME(23,59,0),"Night",
  L2815&lt;TIME(9,0,0),"Night"
))</f>
        <v/>
      </c>
      <c r="O2815" t="str">
        <f t="shared" si="260"/>
        <v/>
      </c>
    </row>
    <row r="2816" spans="7:15" x14ac:dyDescent="0.25">
      <c r="G2816" t="str">
        <f t="shared" si="258"/>
        <v/>
      </c>
      <c r="H2816" s="13" t="str">
        <f t="shared" si="261"/>
        <v/>
      </c>
      <c r="I2816" t="str">
        <f>IFERROR(INDEX(Analysis!$D$116:$N$137, MATCH(B2816, Analysis!$C$116:$C$137, 0), MATCH(C2816, Analysis!$D$115:$N$115, 0)), "")</f>
        <v/>
      </c>
      <c r="J2816" t="str">
        <f t="shared" si="262"/>
        <v/>
      </c>
      <c r="K2816" s="28" t="str">
        <f t="shared" si="259"/>
        <v/>
      </c>
      <c r="L2816" s="46" t="str">
        <f t="shared" si="263"/>
        <v/>
      </c>
      <c r="M2816" t="str" cm="1">
        <f t="array" ref="M2816">IF(L2816="","",_xlfn.IFS(
  AND(L2816&gt;=TIME(9,0,0), L2816&lt;TIME(16,0,0)),"Morning",
  AND(L2816&gt;=TIME(16,0,0), L2816&lt;TIME(23,59,0)),"Evening",
  L2816&gt;=TIME(23,59,0),"Night",
  L2816&lt;TIME(9,0,0),"Night"
))</f>
        <v/>
      </c>
      <c r="O2816" t="str">
        <f t="shared" si="260"/>
        <v/>
      </c>
    </row>
    <row r="2817" spans="7:15" x14ac:dyDescent="0.25">
      <c r="G2817" t="str">
        <f t="shared" si="258"/>
        <v/>
      </c>
      <c r="H2817" s="13" t="str">
        <f t="shared" si="261"/>
        <v/>
      </c>
      <c r="I2817" t="str">
        <f>IFERROR(INDEX(Analysis!$D$116:$N$137, MATCH(B2817, Analysis!$C$116:$C$137, 0), MATCH(C2817, Analysis!$D$115:$N$115, 0)), "")</f>
        <v/>
      </c>
      <c r="J2817" t="str">
        <f t="shared" si="262"/>
        <v/>
      </c>
      <c r="K2817" s="28" t="str">
        <f t="shared" si="259"/>
        <v/>
      </c>
      <c r="L2817" s="46" t="str">
        <f t="shared" si="263"/>
        <v/>
      </c>
      <c r="M2817" t="str" cm="1">
        <f t="array" ref="M2817">IF(L2817="","",_xlfn.IFS(
  AND(L2817&gt;=TIME(9,0,0), L2817&lt;TIME(16,0,0)),"Morning",
  AND(L2817&gt;=TIME(16,0,0), L2817&lt;TIME(23,59,0)),"Evening",
  L2817&gt;=TIME(23,59,0),"Night",
  L2817&lt;TIME(9,0,0),"Night"
))</f>
        <v/>
      </c>
      <c r="O2817" t="str">
        <f t="shared" si="260"/>
        <v/>
      </c>
    </row>
    <row r="2818" spans="7:15" x14ac:dyDescent="0.25">
      <c r="G2818" t="str">
        <f t="shared" ref="G2818:G2881" si="264">IF(ISBLANK(A2818), "", IF(ISBLANK(F2818), 0, F2818))</f>
        <v/>
      </c>
      <c r="H2818" s="13" t="str">
        <f t="shared" si="261"/>
        <v/>
      </c>
      <c r="I2818" t="str">
        <f>IFERROR(INDEX(Analysis!$D$116:$N$137, MATCH(B2818, Analysis!$C$116:$C$137, 0), MATCH(C2818, Analysis!$D$115:$N$115, 0)), "")</f>
        <v/>
      </c>
      <c r="J2818" t="str">
        <f t="shared" si="262"/>
        <v/>
      </c>
      <c r="K2818" s="28" t="str">
        <f t="shared" ref="K2818:K2881" si="265">IF(ISBLANK(A2818),"",DATE(YEAR(A2818),MONTH(A2818),DAY(A2818)))</f>
        <v/>
      </c>
      <c r="L2818" s="46" t="str">
        <f t="shared" si="263"/>
        <v/>
      </c>
      <c r="M2818" t="str" cm="1">
        <f t="array" ref="M2818">IF(L2818="","",_xlfn.IFS(
  AND(L2818&gt;=TIME(9,0,0), L2818&lt;TIME(16,0,0)),"Morning",
  AND(L2818&gt;=TIME(16,0,0), L2818&lt;TIME(23,59,0)),"Evening",
  L2818&gt;=TIME(23,59,0),"Night",
  L2818&lt;TIME(9,0,0),"Night"
))</f>
        <v/>
      </c>
      <c r="O2818" t="str">
        <f t="shared" ref="O2818:O2881" si="266">IF(N2818="ON", _xlfn.IMAGE(E2818, 1), "")</f>
        <v/>
      </c>
    </row>
    <row r="2819" spans="7:15" x14ac:dyDescent="0.25">
      <c r="G2819" t="str">
        <f t="shared" si="264"/>
        <v/>
      </c>
      <c r="H2819" s="13" t="str">
        <f t="shared" ref="H2819:H2882" si="267">IF(ISBLANK(E2819),"",HYPERLINK(E2819,"Click here"))</f>
        <v/>
      </c>
      <c r="I2819" t="str">
        <f>IFERROR(INDEX(Analysis!$D$116:$N$137, MATCH(B2819, Analysis!$C$116:$C$137, 0), MATCH(C2819, Analysis!$D$115:$N$115, 0)), "")</f>
        <v/>
      </c>
      <c r="J2819" t="str">
        <f t="shared" ref="J2819:J2882" si="268">IF(ISBLANK(A2819),"",WEEKNUM(A2819))</f>
        <v/>
      </c>
      <c r="K2819" s="28" t="str">
        <f t="shared" si="265"/>
        <v/>
      </c>
      <c r="L2819" s="46" t="str">
        <f t="shared" ref="L2819:L2882" si="269">IF(A2819="", "", A2819 - INT(A2819))</f>
        <v/>
      </c>
      <c r="M2819" t="str" cm="1">
        <f t="array" ref="M2819">IF(L2819="","",_xlfn.IFS(
  AND(L2819&gt;=TIME(9,0,0), L2819&lt;TIME(16,0,0)),"Morning",
  AND(L2819&gt;=TIME(16,0,0), L2819&lt;TIME(23,59,0)),"Evening",
  L2819&gt;=TIME(23,59,0),"Night",
  L2819&lt;TIME(9,0,0),"Night"
))</f>
        <v/>
      </c>
      <c r="O2819" t="str">
        <f t="shared" si="266"/>
        <v/>
      </c>
    </row>
    <row r="2820" spans="7:15" x14ac:dyDescent="0.25">
      <c r="G2820" t="str">
        <f t="shared" si="264"/>
        <v/>
      </c>
      <c r="H2820" s="13" t="str">
        <f t="shared" si="267"/>
        <v/>
      </c>
      <c r="I2820" t="str">
        <f>IFERROR(INDEX(Analysis!$D$116:$N$137, MATCH(B2820, Analysis!$C$116:$C$137, 0), MATCH(C2820, Analysis!$D$115:$N$115, 0)), "")</f>
        <v/>
      </c>
      <c r="J2820" t="str">
        <f t="shared" si="268"/>
        <v/>
      </c>
      <c r="K2820" s="28" t="str">
        <f t="shared" si="265"/>
        <v/>
      </c>
      <c r="L2820" s="46" t="str">
        <f t="shared" si="269"/>
        <v/>
      </c>
      <c r="M2820" t="str" cm="1">
        <f t="array" ref="M2820">IF(L2820="","",_xlfn.IFS(
  AND(L2820&gt;=TIME(9,0,0), L2820&lt;TIME(16,0,0)),"Morning",
  AND(L2820&gt;=TIME(16,0,0), L2820&lt;TIME(23,59,0)),"Evening",
  L2820&gt;=TIME(23,59,0),"Night",
  L2820&lt;TIME(9,0,0),"Night"
))</f>
        <v/>
      </c>
      <c r="O2820" t="str">
        <f t="shared" si="266"/>
        <v/>
      </c>
    </row>
    <row r="2821" spans="7:15" x14ac:dyDescent="0.25">
      <c r="G2821" t="str">
        <f t="shared" si="264"/>
        <v/>
      </c>
      <c r="H2821" s="13" t="str">
        <f t="shared" si="267"/>
        <v/>
      </c>
      <c r="I2821" t="str">
        <f>IFERROR(INDEX(Analysis!$D$116:$N$137, MATCH(B2821, Analysis!$C$116:$C$137, 0), MATCH(C2821, Analysis!$D$115:$N$115, 0)), "")</f>
        <v/>
      </c>
      <c r="J2821" t="str">
        <f t="shared" si="268"/>
        <v/>
      </c>
      <c r="K2821" s="28" t="str">
        <f t="shared" si="265"/>
        <v/>
      </c>
      <c r="L2821" s="46" t="str">
        <f t="shared" si="269"/>
        <v/>
      </c>
      <c r="M2821" t="str" cm="1">
        <f t="array" ref="M2821">IF(L2821="","",_xlfn.IFS(
  AND(L2821&gt;=TIME(9,0,0), L2821&lt;TIME(16,0,0)),"Morning",
  AND(L2821&gt;=TIME(16,0,0), L2821&lt;TIME(23,59,0)),"Evening",
  L2821&gt;=TIME(23,59,0),"Night",
  L2821&lt;TIME(9,0,0),"Night"
))</f>
        <v/>
      </c>
      <c r="O2821" t="str">
        <f t="shared" si="266"/>
        <v/>
      </c>
    </row>
    <row r="2822" spans="7:15" x14ac:dyDescent="0.25">
      <c r="G2822" t="str">
        <f t="shared" si="264"/>
        <v/>
      </c>
      <c r="H2822" s="13" t="str">
        <f t="shared" si="267"/>
        <v/>
      </c>
      <c r="I2822" t="str">
        <f>IFERROR(INDEX(Analysis!$D$116:$N$137, MATCH(B2822, Analysis!$C$116:$C$137, 0), MATCH(C2822, Analysis!$D$115:$N$115, 0)), "")</f>
        <v/>
      </c>
      <c r="J2822" t="str">
        <f t="shared" si="268"/>
        <v/>
      </c>
      <c r="K2822" s="28" t="str">
        <f t="shared" si="265"/>
        <v/>
      </c>
      <c r="L2822" s="46" t="str">
        <f t="shared" si="269"/>
        <v/>
      </c>
      <c r="M2822" t="str" cm="1">
        <f t="array" ref="M2822">IF(L2822="","",_xlfn.IFS(
  AND(L2822&gt;=TIME(9,0,0), L2822&lt;TIME(16,0,0)),"Morning",
  AND(L2822&gt;=TIME(16,0,0), L2822&lt;TIME(23,59,0)),"Evening",
  L2822&gt;=TIME(23,59,0),"Night",
  L2822&lt;TIME(9,0,0),"Night"
))</f>
        <v/>
      </c>
      <c r="O2822" t="str">
        <f t="shared" si="266"/>
        <v/>
      </c>
    </row>
    <row r="2823" spans="7:15" x14ac:dyDescent="0.25">
      <c r="G2823" t="str">
        <f t="shared" si="264"/>
        <v/>
      </c>
      <c r="H2823" s="13" t="str">
        <f t="shared" si="267"/>
        <v/>
      </c>
      <c r="I2823" t="str">
        <f>IFERROR(INDEX(Analysis!$D$116:$N$137, MATCH(B2823, Analysis!$C$116:$C$137, 0), MATCH(C2823, Analysis!$D$115:$N$115, 0)), "")</f>
        <v/>
      </c>
      <c r="J2823" t="str">
        <f t="shared" si="268"/>
        <v/>
      </c>
      <c r="K2823" s="28" t="str">
        <f t="shared" si="265"/>
        <v/>
      </c>
      <c r="L2823" s="46" t="str">
        <f t="shared" si="269"/>
        <v/>
      </c>
      <c r="M2823" t="str" cm="1">
        <f t="array" ref="M2823">IF(L2823="","",_xlfn.IFS(
  AND(L2823&gt;=TIME(9,0,0), L2823&lt;TIME(16,0,0)),"Morning",
  AND(L2823&gt;=TIME(16,0,0), L2823&lt;TIME(23,59,0)),"Evening",
  L2823&gt;=TIME(23,59,0),"Night",
  L2823&lt;TIME(9,0,0),"Night"
))</f>
        <v/>
      </c>
      <c r="O2823" t="str">
        <f t="shared" si="266"/>
        <v/>
      </c>
    </row>
    <row r="2824" spans="7:15" x14ac:dyDescent="0.25">
      <c r="G2824" t="str">
        <f t="shared" si="264"/>
        <v/>
      </c>
      <c r="H2824" s="13" t="str">
        <f t="shared" si="267"/>
        <v/>
      </c>
      <c r="I2824" t="str">
        <f>IFERROR(INDEX(Analysis!$D$116:$N$137, MATCH(B2824, Analysis!$C$116:$C$137, 0), MATCH(C2824, Analysis!$D$115:$N$115, 0)), "")</f>
        <v/>
      </c>
      <c r="J2824" t="str">
        <f t="shared" si="268"/>
        <v/>
      </c>
      <c r="K2824" s="28" t="str">
        <f t="shared" si="265"/>
        <v/>
      </c>
      <c r="L2824" s="46" t="str">
        <f t="shared" si="269"/>
        <v/>
      </c>
      <c r="M2824" t="str" cm="1">
        <f t="array" ref="M2824">IF(L2824="","",_xlfn.IFS(
  AND(L2824&gt;=TIME(9,0,0), L2824&lt;TIME(16,0,0)),"Morning",
  AND(L2824&gt;=TIME(16,0,0), L2824&lt;TIME(23,59,0)),"Evening",
  L2824&gt;=TIME(23,59,0),"Night",
  L2824&lt;TIME(9,0,0),"Night"
))</f>
        <v/>
      </c>
      <c r="O2824" t="str">
        <f t="shared" si="266"/>
        <v/>
      </c>
    </row>
    <row r="2825" spans="7:15" x14ac:dyDescent="0.25">
      <c r="G2825" t="str">
        <f t="shared" si="264"/>
        <v/>
      </c>
      <c r="H2825" s="13" t="str">
        <f t="shared" si="267"/>
        <v/>
      </c>
      <c r="I2825" t="str">
        <f>IFERROR(INDEX(Analysis!$D$116:$N$137, MATCH(B2825, Analysis!$C$116:$C$137, 0), MATCH(C2825, Analysis!$D$115:$N$115, 0)), "")</f>
        <v/>
      </c>
      <c r="J2825" t="str">
        <f t="shared" si="268"/>
        <v/>
      </c>
      <c r="K2825" s="28" t="str">
        <f t="shared" si="265"/>
        <v/>
      </c>
      <c r="L2825" s="46" t="str">
        <f t="shared" si="269"/>
        <v/>
      </c>
      <c r="M2825" t="str" cm="1">
        <f t="array" ref="M2825">IF(L2825="","",_xlfn.IFS(
  AND(L2825&gt;=TIME(9,0,0), L2825&lt;TIME(16,0,0)),"Morning",
  AND(L2825&gt;=TIME(16,0,0), L2825&lt;TIME(23,59,0)),"Evening",
  L2825&gt;=TIME(23,59,0),"Night",
  L2825&lt;TIME(9,0,0),"Night"
))</f>
        <v/>
      </c>
      <c r="O2825" t="str">
        <f t="shared" si="266"/>
        <v/>
      </c>
    </row>
    <row r="2826" spans="7:15" x14ac:dyDescent="0.25">
      <c r="G2826" t="str">
        <f t="shared" si="264"/>
        <v/>
      </c>
      <c r="H2826" s="13" t="str">
        <f t="shared" si="267"/>
        <v/>
      </c>
      <c r="I2826" t="str">
        <f>IFERROR(INDEX(Analysis!$D$116:$N$137, MATCH(B2826, Analysis!$C$116:$C$137, 0), MATCH(C2826, Analysis!$D$115:$N$115, 0)), "")</f>
        <v/>
      </c>
      <c r="J2826" t="str">
        <f t="shared" si="268"/>
        <v/>
      </c>
      <c r="K2826" s="28" t="str">
        <f t="shared" si="265"/>
        <v/>
      </c>
      <c r="L2826" s="46" t="str">
        <f t="shared" si="269"/>
        <v/>
      </c>
      <c r="M2826" t="str" cm="1">
        <f t="array" ref="M2826">IF(L2826="","",_xlfn.IFS(
  AND(L2826&gt;=TIME(9,0,0), L2826&lt;TIME(16,0,0)),"Morning",
  AND(L2826&gt;=TIME(16,0,0), L2826&lt;TIME(23,59,0)),"Evening",
  L2826&gt;=TIME(23,59,0),"Night",
  L2826&lt;TIME(9,0,0),"Night"
))</f>
        <v/>
      </c>
      <c r="O2826" t="str">
        <f t="shared" si="266"/>
        <v/>
      </c>
    </row>
    <row r="2827" spans="7:15" x14ac:dyDescent="0.25">
      <c r="G2827" t="str">
        <f t="shared" si="264"/>
        <v/>
      </c>
      <c r="H2827" s="13" t="str">
        <f t="shared" si="267"/>
        <v/>
      </c>
      <c r="I2827" t="str">
        <f>IFERROR(INDEX(Analysis!$D$116:$N$137, MATCH(B2827, Analysis!$C$116:$C$137, 0), MATCH(C2827, Analysis!$D$115:$N$115, 0)), "")</f>
        <v/>
      </c>
      <c r="J2827" t="str">
        <f t="shared" si="268"/>
        <v/>
      </c>
      <c r="K2827" s="28" t="str">
        <f t="shared" si="265"/>
        <v/>
      </c>
      <c r="L2827" s="46" t="str">
        <f t="shared" si="269"/>
        <v/>
      </c>
      <c r="M2827" t="str" cm="1">
        <f t="array" ref="M2827">IF(L2827="","",_xlfn.IFS(
  AND(L2827&gt;=TIME(9,0,0), L2827&lt;TIME(16,0,0)),"Morning",
  AND(L2827&gt;=TIME(16,0,0), L2827&lt;TIME(23,59,0)),"Evening",
  L2827&gt;=TIME(23,59,0),"Night",
  L2827&lt;TIME(9,0,0),"Night"
))</f>
        <v/>
      </c>
      <c r="O2827" t="str">
        <f t="shared" si="266"/>
        <v/>
      </c>
    </row>
    <row r="2828" spans="7:15" x14ac:dyDescent="0.25">
      <c r="G2828" t="str">
        <f t="shared" si="264"/>
        <v/>
      </c>
      <c r="H2828" s="13" t="str">
        <f t="shared" si="267"/>
        <v/>
      </c>
      <c r="I2828" t="str">
        <f>IFERROR(INDEX(Analysis!$D$116:$N$137, MATCH(B2828, Analysis!$C$116:$C$137, 0), MATCH(C2828, Analysis!$D$115:$N$115, 0)), "")</f>
        <v/>
      </c>
      <c r="J2828" t="str">
        <f t="shared" si="268"/>
        <v/>
      </c>
      <c r="K2828" s="28" t="str">
        <f t="shared" si="265"/>
        <v/>
      </c>
      <c r="L2828" s="46" t="str">
        <f t="shared" si="269"/>
        <v/>
      </c>
      <c r="M2828" t="str" cm="1">
        <f t="array" ref="M2828">IF(L2828="","",_xlfn.IFS(
  AND(L2828&gt;=TIME(9,0,0), L2828&lt;TIME(16,0,0)),"Morning",
  AND(L2828&gt;=TIME(16,0,0), L2828&lt;TIME(23,59,0)),"Evening",
  L2828&gt;=TIME(23,59,0),"Night",
  L2828&lt;TIME(9,0,0),"Night"
))</f>
        <v/>
      </c>
      <c r="O2828" t="str">
        <f t="shared" si="266"/>
        <v/>
      </c>
    </row>
    <row r="2829" spans="7:15" x14ac:dyDescent="0.25">
      <c r="G2829" t="str">
        <f t="shared" si="264"/>
        <v/>
      </c>
      <c r="H2829" s="13" t="str">
        <f t="shared" si="267"/>
        <v/>
      </c>
      <c r="I2829" t="str">
        <f>IFERROR(INDEX(Analysis!$D$116:$N$137, MATCH(B2829, Analysis!$C$116:$C$137, 0), MATCH(C2829, Analysis!$D$115:$N$115, 0)), "")</f>
        <v/>
      </c>
      <c r="J2829" t="str">
        <f t="shared" si="268"/>
        <v/>
      </c>
      <c r="K2829" s="28" t="str">
        <f t="shared" si="265"/>
        <v/>
      </c>
      <c r="L2829" s="46" t="str">
        <f t="shared" si="269"/>
        <v/>
      </c>
      <c r="M2829" t="str" cm="1">
        <f t="array" ref="M2829">IF(L2829="","",_xlfn.IFS(
  AND(L2829&gt;=TIME(9,0,0), L2829&lt;TIME(16,0,0)),"Morning",
  AND(L2829&gt;=TIME(16,0,0), L2829&lt;TIME(23,59,0)),"Evening",
  L2829&gt;=TIME(23,59,0),"Night",
  L2829&lt;TIME(9,0,0),"Night"
))</f>
        <v/>
      </c>
      <c r="O2829" t="str">
        <f t="shared" si="266"/>
        <v/>
      </c>
    </row>
    <row r="2830" spans="7:15" x14ac:dyDescent="0.25">
      <c r="G2830" t="str">
        <f t="shared" si="264"/>
        <v/>
      </c>
      <c r="H2830" s="13" t="str">
        <f t="shared" si="267"/>
        <v/>
      </c>
      <c r="I2830" t="str">
        <f>IFERROR(INDEX(Analysis!$D$116:$N$137, MATCH(B2830, Analysis!$C$116:$C$137, 0), MATCH(C2830, Analysis!$D$115:$N$115, 0)), "")</f>
        <v/>
      </c>
      <c r="J2830" t="str">
        <f t="shared" si="268"/>
        <v/>
      </c>
      <c r="K2830" s="28" t="str">
        <f t="shared" si="265"/>
        <v/>
      </c>
      <c r="L2830" s="46" t="str">
        <f t="shared" si="269"/>
        <v/>
      </c>
      <c r="M2830" t="str" cm="1">
        <f t="array" ref="M2830">IF(L2830="","",_xlfn.IFS(
  AND(L2830&gt;=TIME(9,0,0), L2830&lt;TIME(16,0,0)),"Morning",
  AND(L2830&gt;=TIME(16,0,0), L2830&lt;TIME(23,59,0)),"Evening",
  L2830&gt;=TIME(23,59,0),"Night",
  L2830&lt;TIME(9,0,0),"Night"
))</f>
        <v/>
      </c>
      <c r="O2830" t="str">
        <f t="shared" si="266"/>
        <v/>
      </c>
    </row>
    <row r="2831" spans="7:15" x14ac:dyDescent="0.25">
      <c r="G2831" t="str">
        <f t="shared" si="264"/>
        <v/>
      </c>
      <c r="H2831" s="13" t="str">
        <f t="shared" si="267"/>
        <v/>
      </c>
      <c r="I2831" t="str">
        <f>IFERROR(INDEX(Analysis!$D$116:$N$137, MATCH(B2831, Analysis!$C$116:$C$137, 0), MATCH(C2831, Analysis!$D$115:$N$115, 0)), "")</f>
        <v/>
      </c>
      <c r="J2831" t="str">
        <f t="shared" si="268"/>
        <v/>
      </c>
      <c r="K2831" s="28" t="str">
        <f t="shared" si="265"/>
        <v/>
      </c>
      <c r="L2831" s="46" t="str">
        <f t="shared" si="269"/>
        <v/>
      </c>
      <c r="M2831" t="str" cm="1">
        <f t="array" ref="M2831">IF(L2831="","",_xlfn.IFS(
  AND(L2831&gt;=TIME(9,0,0), L2831&lt;TIME(16,0,0)),"Morning",
  AND(L2831&gt;=TIME(16,0,0), L2831&lt;TIME(23,59,0)),"Evening",
  L2831&gt;=TIME(23,59,0),"Night",
  L2831&lt;TIME(9,0,0),"Night"
))</f>
        <v/>
      </c>
      <c r="O2831" t="str">
        <f t="shared" si="266"/>
        <v/>
      </c>
    </row>
    <row r="2832" spans="7:15" x14ac:dyDescent="0.25">
      <c r="G2832" t="str">
        <f t="shared" si="264"/>
        <v/>
      </c>
      <c r="H2832" s="13" t="str">
        <f t="shared" si="267"/>
        <v/>
      </c>
      <c r="I2832" t="str">
        <f>IFERROR(INDEX(Analysis!$D$116:$N$137, MATCH(B2832, Analysis!$C$116:$C$137, 0), MATCH(C2832, Analysis!$D$115:$N$115, 0)), "")</f>
        <v/>
      </c>
      <c r="J2832" t="str">
        <f t="shared" si="268"/>
        <v/>
      </c>
      <c r="K2832" s="28" t="str">
        <f t="shared" si="265"/>
        <v/>
      </c>
      <c r="L2832" s="46" t="str">
        <f t="shared" si="269"/>
        <v/>
      </c>
      <c r="M2832" t="str" cm="1">
        <f t="array" ref="M2832">IF(L2832="","",_xlfn.IFS(
  AND(L2832&gt;=TIME(9,0,0), L2832&lt;TIME(16,0,0)),"Morning",
  AND(L2832&gt;=TIME(16,0,0), L2832&lt;TIME(23,59,0)),"Evening",
  L2832&gt;=TIME(23,59,0),"Night",
  L2832&lt;TIME(9,0,0),"Night"
))</f>
        <v/>
      </c>
      <c r="O2832" t="str">
        <f t="shared" si="266"/>
        <v/>
      </c>
    </row>
    <row r="2833" spans="7:15" x14ac:dyDescent="0.25">
      <c r="G2833" t="str">
        <f t="shared" si="264"/>
        <v/>
      </c>
      <c r="H2833" s="13" t="str">
        <f t="shared" si="267"/>
        <v/>
      </c>
      <c r="I2833" t="str">
        <f>IFERROR(INDEX(Analysis!$D$116:$N$137, MATCH(B2833, Analysis!$C$116:$C$137, 0), MATCH(C2833, Analysis!$D$115:$N$115, 0)), "")</f>
        <v/>
      </c>
      <c r="J2833" t="str">
        <f t="shared" si="268"/>
        <v/>
      </c>
      <c r="K2833" s="28" t="str">
        <f t="shared" si="265"/>
        <v/>
      </c>
      <c r="L2833" s="46" t="str">
        <f t="shared" si="269"/>
        <v/>
      </c>
      <c r="M2833" t="str" cm="1">
        <f t="array" ref="M2833">IF(L2833="","",_xlfn.IFS(
  AND(L2833&gt;=TIME(9,0,0), L2833&lt;TIME(16,0,0)),"Morning",
  AND(L2833&gt;=TIME(16,0,0), L2833&lt;TIME(23,59,0)),"Evening",
  L2833&gt;=TIME(23,59,0),"Night",
  L2833&lt;TIME(9,0,0),"Night"
))</f>
        <v/>
      </c>
      <c r="O2833" t="str">
        <f t="shared" si="266"/>
        <v/>
      </c>
    </row>
    <row r="2834" spans="7:15" x14ac:dyDescent="0.25">
      <c r="G2834" t="str">
        <f t="shared" si="264"/>
        <v/>
      </c>
      <c r="H2834" s="13" t="str">
        <f t="shared" si="267"/>
        <v/>
      </c>
      <c r="I2834" t="str">
        <f>IFERROR(INDEX(Analysis!$D$116:$N$137, MATCH(B2834, Analysis!$C$116:$C$137, 0), MATCH(C2834, Analysis!$D$115:$N$115, 0)), "")</f>
        <v/>
      </c>
      <c r="J2834" t="str">
        <f t="shared" si="268"/>
        <v/>
      </c>
      <c r="K2834" s="28" t="str">
        <f t="shared" si="265"/>
        <v/>
      </c>
      <c r="L2834" s="46" t="str">
        <f t="shared" si="269"/>
        <v/>
      </c>
      <c r="M2834" t="str" cm="1">
        <f t="array" ref="M2834">IF(L2834="","",_xlfn.IFS(
  AND(L2834&gt;=TIME(9,0,0), L2834&lt;TIME(16,0,0)),"Morning",
  AND(L2834&gt;=TIME(16,0,0), L2834&lt;TIME(23,59,0)),"Evening",
  L2834&gt;=TIME(23,59,0),"Night",
  L2834&lt;TIME(9,0,0),"Night"
))</f>
        <v/>
      </c>
      <c r="O2834" t="str">
        <f t="shared" si="266"/>
        <v/>
      </c>
    </row>
    <row r="2835" spans="7:15" x14ac:dyDescent="0.25">
      <c r="G2835" t="str">
        <f t="shared" si="264"/>
        <v/>
      </c>
      <c r="H2835" s="13" t="str">
        <f t="shared" si="267"/>
        <v/>
      </c>
      <c r="I2835" t="str">
        <f>IFERROR(INDEX(Analysis!$D$116:$N$137, MATCH(B2835, Analysis!$C$116:$C$137, 0), MATCH(C2835, Analysis!$D$115:$N$115, 0)), "")</f>
        <v/>
      </c>
      <c r="J2835" t="str">
        <f t="shared" si="268"/>
        <v/>
      </c>
      <c r="K2835" s="28" t="str">
        <f t="shared" si="265"/>
        <v/>
      </c>
      <c r="L2835" s="46" t="str">
        <f t="shared" si="269"/>
        <v/>
      </c>
      <c r="M2835" t="str" cm="1">
        <f t="array" ref="M2835">IF(L2835="","",_xlfn.IFS(
  AND(L2835&gt;=TIME(9,0,0), L2835&lt;TIME(16,0,0)),"Morning",
  AND(L2835&gt;=TIME(16,0,0), L2835&lt;TIME(23,59,0)),"Evening",
  L2835&gt;=TIME(23,59,0),"Night",
  L2835&lt;TIME(9,0,0),"Night"
))</f>
        <v/>
      </c>
      <c r="O2835" t="str">
        <f t="shared" si="266"/>
        <v/>
      </c>
    </row>
    <row r="2836" spans="7:15" x14ac:dyDescent="0.25">
      <c r="G2836" t="str">
        <f t="shared" si="264"/>
        <v/>
      </c>
      <c r="H2836" s="13" t="str">
        <f t="shared" si="267"/>
        <v/>
      </c>
      <c r="I2836" t="str">
        <f>IFERROR(INDEX(Analysis!$D$116:$N$137, MATCH(B2836, Analysis!$C$116:$C$137, 0), MATCH(C2836, Analysis!$D$115:$N$115, 0)), "")</f>
        <v/>
      </c>
      <c r="J2836" t="str">
        <f t="shared" si="268"/>
        <v/>
      </c>
      <c r="K2836" s="28" t="str">
        <f t="shared" si="265"/>
        <v/>
      </c>
      <c r="L2836" s="46" t="str">
        <f t="shared" si="269"/>
        <v/>
      </c>
      <c r="M2836" t="str" cm="1">
        <f t="array" ref="M2836">IF(L2836="","",_xlfn.IFS(
  AND(L2836&gt;=TIME(9,0,0), L2836&lt;TIME(16,0,0)),"Morning",
  AND(L2836&gt;=TIME(16,0,0), L2836&lt;TIME(23,59,0)),"Evening",
  L2836&gt;=TIME(23,59,0),"Night",
  L2836&lt;TIME(9,0,0),"Night"
))</f>
        <v/>
      </c>
      <c r="O2836" t="str">
        <f t="shared" si="266"/>
        <v/>
      </c>
    </row>
    <row r="2837" spans="7:15" x14ac:dyDescent="0.25">
      <c r="G2837" t="str">
        <f t="shared" si="264"/>
        <v/>
      </c>
      <c r="H2837" s="13" t="str">
        <f t="shared" si="267"/>
        <v/>
      </c>
      <c r="I2837" t="str">
        <f>IFERROR(INDEX(Analysis!$D$116:$N$137, MATCH(B2837, Analysis!$C$116:$C$137, 0), MATCH(C2837, Analysis!$D$115:$N$115, 0)), "")</f>
        <v/>
      </c>
      <c r="J2837" t="str">
        <f t="shared" si="268"/>
        <v/>
      </c>
      <c r="K2837" s="28" t="str">
        <f t="shared" si="265"/>
        <v/>
      </c>
      <c r="L2837" s="46" t="str">
        <f t="shared" si="269"/>
        <v/>
      </c>
      <c r="M2837" t="str" cm="1">
        <f t="array" ref="M2837">IF(L2837="","",_xlfn.IFS(
  AND(L2837&gt;=TIME(9,0,0), L2837&lt;TIME(16,0,0)),"Morning",
  AND(L2837&gt;=TIME(16,0,0), L2837&lt;TIME(23,59,0)),"Evening",
  L2837&gt;=TIME(23,59,0),"Night",
  L2837&lt;TIME(9,0,0),"Night"
))</f>
        <v/>
      </c>
      <c r="O2837" t="str">
        <f t="shared" si="266"/>
        <v/>
      </c>
    </row>
    <row r="2838" spans="7:15" x14ac:dyDescent="0.25">
      <c r="G2838" t="str">
        <f t="shared" si="264"/>
        <v/>
      </c>
      <c r="H2838" s="13" t="str">
        <f t="shared" si="267"/>
        <v/>
      </c>
      <c r="I2838" t="str">
        <f>IFERROR(INDEX(Analysis!$D$116:$N$137, MATCH(B2838, Analysis!$C$116:$C$137, 0), MATCH(C2838, Analysis!$D$115:$N$115, 0)), "")</f>
        <v/>
      </c>
      <c r="J2838" t="str">
        <f t="shared" si="268"/>
        <v/>
      </c>
      <c r="K2838" s="28" t="str">
        <f t="shared" si="265"/>
        <v/>
      </c>
      <c r="L2838" s="46" t="str">
        <f t="shared" si="269"/>
        <v/>
      </c>
      <c r="M2838" t="str" cm="1">
        <f t="array" ref="M2838">IF(L2838="","",_xlfn.IFS(
  AND(L2838&gt;=TIME(9,0,0), L2838&lt;TIME(16,0,0)),"Morning",
  AND(L2838&gt;=TIME(16,0,0), L2838&lt;TIME(23,59,0)),"Evening",
  L2838&gt;=TIME(23,59,0),"Night",
  L2838&lt;TIME(9,0,0),"Night"
))</f>
        <v/>
      </c>
      <c r="O2838" t="str">
        <f t="shared" si="266"/>
        <v/>
      </c>
    </row>
    <row r="2839" spans="7:15" x14ac:dyDescent="0.25">
      <c r="G2839" t="str">
        <f t="shared" si="264"/>
        <v/>
      </c>
      <c r="H2839" s="13" t="str">
        <f t="shared" si="267"/>
        <v/>
      </c>
      <c r="I2839" t="str">
        <f>IFERROR(INDEX(Analysis!$D$116:$N$137, MATCH(B2839, Analysis!$C$116:$C$137, 0), MATCH(C2839, Analysis!$D$115:$N$115, 0)), "")</f>
        <v/>
      </c>
      <c r="J2839" t="str">
        <f t="shared" si="268"/>
        <v/>
      </c>
      <c r="K2839" s="28" t="str">
        <f t="shared" si="265"/>
        <v/>
      </c>
      <c r="L2839" s="46" t="str">
        <f t="shared" si="269"/>
        <v/>
      </c>
      <c r="M2839" t="str" cm="1">
        <f t="array" ref="M2839">IF(L2839="","",_xlfn.IFS(
  AND(L2839&gt;=TIME(9,0,0), L2839&lt;TIME(16,0,0)),"Morning",
  AND(L2839&gt;=TIME(16,0,0), L2839&lt;TIME(23,59,0)),"Evening",
  L2839&gt;=TIME(23,59,0),"Night",
  L2839&lt;TIME(9,0,0),"Night"
))</f>
        <v/>
      </c>
      <c r="O2839" t="str">
        <f t="shared" si="266"/>
        <v/>
      </c>
    </row>
    <row r="2840" spans="7:15" x14ac:dyDescent="0.25">
      <c r="G2840" t="str">
        <f t="shared" si="264"/>
        <v/>
      </c>
      <c r="H2840" s="13" t="str">
        <f t="shared" si="267"/>
        <v/>
      </c>
      <c r="I2840" t="str">
        <f>IFERROR(INDEX(Analysis!$D$116:$N$137, MATCH(B2840, Analysis!$C$116:$C$137, 0), MATCH(C2840, Analysis!$D$115:$N$115, 0)), "")</f>
        <v/>
      </c>
      <c r="J2840" t="str">
        <f t="shared" si="268"/>
        <v/>
      </c>
      <c r="K2840" s="28" t="str">
        <f t="shared" si="265"/>
        <v/>
      </c>
      <c r="L2840" s="46" t="str">
        <f t="shared" si="269"/>
        <v/>
      </c>
      <c r="M2840" t="str" cm="1">
        <f t="array" ref="M2840">IF(L2840="","",_xlfn.IFS(
  AND(L2840&gt;=TIME(9,0,0), L2840&lt;TIME(16,0,0)),"Morning",
  AND(L2840&gt;=TIME(16,0,0), L2840&lt;TIME(23,59,0)),"Evening",
  L2840&gt;=TIME(23,59,0),"Night",
  L2840&lt;TIME(9,0,0),"Night"
))</f>
        <v/>
      </c>
      <c r="O2840" t="str">
        <f t="shared" si="266"/>
        <v/>
      </c>
    </row>
    <row r="2841" spans="7:15" x14ac:dyDescent="0.25">
      <c r="G2841" t="str">
        <f t="shared" si="264"/>
        <v/>
      </c>
      <c r="H2841" s="13" t="str">
        <f t="shared" si="267"/>
        <v/>
      </c>
      <c r="I2841" t="str">
        <f>IFERROR(INDEX(Analysis!$D$116:$N$137, MATCH(B2841, Analysis!$C$116:$C$137, 0), MATCH(C2841, Analysis!$D$115:$N$115, 0)), "")</f>
        <v/>
      </c>
      <c r="J2841" t="str">
        <f t="shared" si="268"/>
        <v/>
      </c>
      <c r="K2841" s="28" t="str">
        <f t="shared" si="265"/>
        <v/>
      </c>
      <c r="L2841" s="46" t="str">
        <f t="shared" si="269"/>
        <v/>
      </c>
      <c r="M2841" t="str" cm="1">
        <f t="array" ref="M2841">IF(L2841="","",_xlfn.IFS(
  AND(L2841&gt;=TIME(9,0,0), L2841&lt;TIME(16,0,0)),"Morning",
  AND(L2841&gt;=TIME(16,0,0), L2841&lt;TIME(23,59,0)),"Evening",
  L2841&gt;=TIME(23,59,0),"Night",
  L2841&lt;TIME(9,0,0),"Night"
))</f>
        <v/>
      </c>
      <c r="O2841" t="str">
        <f t="shared" si="266"/>
        <v/>
      </c>
    </row>
    <row r="2842" spans="7:15" x14ac:dyDescent="0.25">
      <c r="G2842" t="str">
        <f t="shared" si="264"/>
        <v/>
      </c>
      <c r="H2842" s="13" t="str">
        <f t="shared" si="267"/>
        <v/>
      </c>
      <c r="I2842" t="str">
        <f>IFERROR(INDEX(Analysis!$D$116:$N$137, MATCH(B2842, Analysis!$C$116:$C$137, 0), MATCH(C2842, Analysis!$D$115:$N$115, 0)), "")</f>
        <v/>
      </c>
      <c r="J2842" t="str">
        <f t="shared" si="268"/>
        <v/>
      </c>
      <c r="K2842" s="28" t="str">
        <f t="shared" si="265"/>
        <v/>
      </c>
      <c r="L2842" s="46" t="str">
        <f t="shared" si="269"/>
        <v/>
      </c>
      <c r="M2842" t="str" cm="1">
        <f t="array" ref="M2842">IF(L2842="","",_xlfn.IFS(
  AND(L2842&gt;=TIME(9,0,0), L2842&lt;TIME(16,0,0)),"Morning",
  AND(L2842&gt;=TIME(16,0,0), L2842&lt;TIME(23,59,0)),"Evening",
  L2842&gt;=TIME(23,59,0),"Night",
  L2842&lt;TIME(9,0,0),"Night"
))</f>
        <v/>
      </c>
      <c r="O2842" t="str">
        <f t="shared" si="266"/>
        <v/>
      </c>
    </row>
    <row r="2843" spans="7:15" x14ac:dyDescent="0.25">
      <c r="G2843" t="str">
        <f t="shared" si="264"/>
        <v/>
      </c>
      <c r="H2843" s="13" t="str">
        <f t="shared" si="267"/>
        <v/>
      </c>
      <c r="I2843" t="str">
        <f>IFERROR(INDEX(Analysis!$D$116:$N$137, MATCH(B2843, Analysis!$C$116:$C$137, 0), MATCH(C2843, Analysis!$D$115:$N$115, 0)), "")</f>
        <v/>
      </c>
      <c r="J2843" t="str">
        <f t="shared" si="268"/>
        <v/>
      </c>
      <c r="K2843" s="28" t="str">
        <f t="shared" si="265"/>
        <v/>
      </c>
      <c r="L2843" s="46" t="str">
        <f t="shared" si="269"/>
        <v/>
      </c>
      <c r="M2843" t="str" cm="1">
        <f t="array" ref="M2843">IF(L2843="","",_xlfn.IFS(
  AND(L2843&gt;=TIME(9,0,0), L2843&lt;TIME(16,0,0)),"Morning",
  AND(L2843&gt;=TIME(16,0,0), L2843&lt;TIME(23,59,0)),"Evening",
  L2843&gt;=TIME(23,59,0),"Night",
  L2843&lt;TIME(9,0,0),"Night"
))</f>
        <v/>
      </c>
      <c r="O2843" t="str">
        <f t="shared" si="266"/>
        <v/>
      </c>
    </row>
    <row r="2844" spans="7:15" x14ac:dyDescent="0.25">
      <c r="G2844" t="str">
        <f t="shared" si="264"/>
        <v/>
      </c>
      <c r="H2844" s="13" t="str">
        <f t="shared" si="267"/>
        <v/>
      </c>
      <c r="I2844" t="str">
        <f>IFERROR(INDEX(Analysis!$D$116:$N$137, MATCH(B2844, Analysis!$C$116:$C$137, 0), MATCH(C2844, Analysis!$D$115:$N$115, 0)), "")</f>
        <v/>
      </c>
      <c r="J2844" t="str">
        <f t="shared" si="268"/>
        <v/>
      </c>
      <c r="K2844" s="28" t="str">
        <f t="shared" si="265"/>
        <v/>
      </c>
      <c r="L2844" s="46" t="str">
        <f t="shared" si="269"/>
        <v/>
      </c>
      <c r="M2844" t="str" cm="1">
        <f t="array" ref="M2844">IF(L2844="","",_xlfn.IFS(
  AND(L2844&gt;=TIME(9,0,0), L2844&lt;TIME(16,0,0)),"Morning",
  AND(L2844&gt;=TIME(16,0,0), L2844&lt;TIME(23,59,0)),"Evening",
  L2844&gt;=TIME(23,59,0),"Night",
  L2844&lt;TIME(9,0,0),"Night"
))</f>
        <v/>
      </c>
      <c r="O2844" t="str">
        <f t="shared" si="266"/>
        <v/>
      </c>
    </row>
    <row r="2845" spans="7:15" x14ac:dyDescent="0.25">
      <c r="G2845" t="str">
        <f t="shared" si="264"/>
        <v/>
      </c>
      <c r="H2845" s="13" t="str">
        <f t="shared" si="267"/>
        <v/>
      </c>
      <c r="I2845" t="str">
        <f>IFERROR(INDEX(Analysis!$D$116:$N$137, MATCH(B2845, Analysis!$C$116:$C$137, 0), MATCH(C2845, Analysis!$D$115:$N$115, 0)), "")</f>
        <v/>
      </c>
      <c r="J2845" t="str">
        <f t="shared" si="268"/>
        <v/>
      </c>
      <c r="K2845" s="28" t="str">
        <f t="shared" si="265"/>
        <v/>
      </c>
      <c r="L2845" s="46" t="str">
        <f t="shared" si="269"/>
        <v/>
      </c>
      <c r="M2845" t="str" cm="1">
        <f t="array" ref="M2845">IF(L2845="","",_xlfn.IFS(
  AND(L2845&gt;=TIME(9,0,0), L2845&lt;TIME(16,0,0)),"Morning",
  AND(L2845&gt;=TIME(16,0,0), L2845&lt;TIME(23,59,0)),"Evening",
  L2845&gt;=TIME(23,59,0),"Night",
  L2845&lt;TIME(9,0,0),"Night"
))</f>
        <v/>
      </c>
      <c r="O2845" t="str">
        <f t="shared" si="266"/>
        <v/>
      </c>
    </row>
    <row r="2846" spans="7:15" x14ac:dyDescent="0.25">
      <c r="G2846" t="str">
        <f t="shared" si="264"/>
        <v/>
      </c>
      <c r="H2846" s="13" t="str">
        <f t="shared" si="267"/>
        <v/>
      </c>
      <c r="I2846" t="str">
        <f>IFERROR(INDEX(Analysis!$D$116:$N$137, MATCH(B2846, Analysis!$C$116:$C$137, 0), MATCH(C2846, Analysis!$D$115:$N$115, 0)), "")</f>
        <v/>
      </c>
      <c r="J2846" t="str">
        <f t="shared" si="268"/>
        <v/>
      </c>
      <c r="K2846" s="28" t="str">
        <f t="shared" si="265"/>
        <v/>
      </c>
      <c r="L2846" s="46" t="str">
        <f t="shared" si="269"/>
        <v/>
      </c>
      <c r="M2846" t="str" cm="1">
        <f t="array" ref="M2846">IF(L2846="","",_xlfn.IFS(
  AND(L2846&gt;=TIME(9,0,0), L2846&lt;TIME(16,0,0)),"Morning",
  AND(L2846&gt;=TIME(16,0,0), L2846&lt;TIME(23,59,0)),"Evening",
  L2846&gt;=TIME(23,59,0),"Night",
  L2846&lt;TIME(9,0,0),"Night"
))</f>
        <v/>
      </c>
      <c r="O2846" t="str">
        <f t="shared" si="266"/>
        <v/>
      </c>
    </row>
    <row r="2847" spans="7:15" x14ac:dyDescent="0.25">
      <c r="G2847" t="str">
        <f t="shared" si="264"/>
        <v/>
      </c>
      <c r="H2847" s="13" t="str">
        <f t="shared" si="267"/>
        <v/>
      </c>
      <c r="I2847" t="str">
        <f>IFERROR(INDEX(Analysis!$D$116:$N$137, MATCH(B2847, Analysis!$C$116:$C$137, 0), MATCH(C2847, Analysis!$D$115:$N$115, 0)), "")</f>
        <v/>
      </c>
      <c r="J2847" t="str">
        <f t="shared" si="268"/>
        <v/>
      </c>
      <c r="K2847" s="28" t="str">
        <f t="shared" si="265"/>
        <v/>
      </c>
      <c r="L2847" s="46" t="str">
        <f t="shared" si="269"/>
        <v/>
      </c>
      <c r="M2847" t="str" cm="1">
        <f t="array" ref="M2847">IF(L2847="","",_xlfn.IFS(
  AND(L2847&gt;=TIME(9,0,0), L2847&lt;TIME(16,0,0)),"Morning",
  AND(L2847&gt;=TIME(16,0,0), L2847&lt;TIME(23,59,0)),"Evening",
  L2847&gt;=TIME(23,59,0),"Night",
  L2847&lt;TIME(9,0,0),"Night"
))</f>
        <v/>
      </c>
      <c r="O2847" t="str">
        <f t="shared" si="266"/>
        <v/>
      </c>
    </row>
    <row r="2848" spans="7:15" x14ac:dyDescent="0.25">
      <c r="G2848" t="str">
        <f t="shared" si="264"/>
        <v/>
      </c>
      <c r="H2848" s="13" t="str">
        <f t="shared" si="267"/>
        <v/>
      </c>
      <c r="I2848" t="str">
        <f>IFERROR(INDEX(Analysis!$D$116:$N$137, MATCH(B2848, Analysis!$C$116:$C$137, 0), MATCH(C2848, Analysis!$D$115:$N$115, 0)), "")</f>
        <v/>
      </c>
      <c r="J2848" t="str">
        <f t="shared" si="268"/>
        <v/>
      </c>
      <c r="K2848" s="28" t="str">
        <f t="shared" si="265"/>
        <v/>
      </c>
      <c r="L2848" s="46" t="str">
        <f t="shared" si="269"/>
        <v/>
      </c>
      <c r="M2848" t="str" cm="1">
        <f t="array" ref="M2848">IF(L2848="","",_xlfn.IFS(
  AND(L2848&gt;=TIME(9,0,0), L2848&lt;TIME(16,0,0)),"Morning",
  AND(L2848&gt;=TIME(16,0,0), L2848&lt;TIME(23,59,0)),"Evening",
  L2848&gt;=TIME(23,59,0),"Night",
  L2848&lt;TIME(9,0,0),"Night"
))</f>
        <v/>
      </c>
      <c r="O2848" t="str">
        <f t="shared" si="266"/>
        <v/>
      </c>
    </row>
    <row r="2849" spans="7:15" x14ac:dyDescent="0.25">
      <c r="G2849" t="str">
        <f t="shared" si="264"/>
        <v/>
      </c>
      <c r="H2849" s="13" t="str">
        <f t="shared" si="267"/>
        <v/>
      </c>
      <c r="I2849" t="str">
        <f>IFERROR(INDEX(Analysis!$D$116:$N$137, MATCH(B2849, Analysis!$C$116:$C$137, 0), MATCH(C2849, Analysis!$D$115:$N$115, 0)), "")</f>
        <v/>
      </c>
      <c r="J2849" t="str">
        <f t="shared" si="268"/>
        <v/>
      </c>
      <c r="K2849" s="28" t="str">
        <f t="shared" si="265"/>
        <v/>
      </c>
      <c r="L2849" s="46" t="str">
        <f t="shared" si="269"/>
        <v/>
      </c>
      <c r="M2849" t="str" cm="1">
        <f t="array" ref="M2849">IF(L2849="","",_xlfn.IFS(
  AND(L2849&gt;=TIME(9,0,0), L2849&lt;TIME(16,0,0)),"Morning",
  AND(L2849&gt;=TIME(16,0,0), L2849&lt;TIME(23,59,0)),"Evening",
  L2849&gt;=TIME(23,59,0),"Night",
  L2849&lt;TIME(9,0,0),"Night"
))</f>
        <v/>
      </c>
      <c r="O2849" t="str">
        <f t="shared" si="266"/>
        <v/>
      </c>
    </row>
    <row r="2850" spans="7:15" x14ac:dyDescent="0.25">
      <c r="G2850" t="str">
        <f t="shared" si="264"/>
        <v/>
      </c>
      <c r="H2850" s="13" t="str">
        <f t="shared" si="267"/>
        <v/>
      </c>
      <c r="I2850" t="str">
        <f>IFERROR(INDEX(Analysis!$D$116:$N$137, MATCH(B2850, Analysis!$C$116:$C$137, 0), MATCH(C2850, Analysis!$D$115:$N$115, 0)), "")</f>
        <v/>
      </c>
      <c r="J2850" t="str">
        <f t="shared" si="268"/>
        <v/>
      </c>
      <c r="K2850" s="28" t="str">
        <f t="shared" si="265"/>
        <v/>
      </c>
      <c r="L2850" s="46" t="str">
        <f t="shared" si="269"/>
        <v/>
      </c>
      <c r="M2850" t="str" cm="1">
        <f t="array" ref="M2850">IF(L2850="","",_xlfn.IFS(
  AND(L2850&gt;=TIME(9,0,0), L2850&lt;TIME(16,0,0)),"Morning",
  AND(L2850&gt;=TIME(16,0,0), L2850&lt;TIME(23,59,0)),"Evening",
  L2850&gt;=TIME(23,59,0),"Night",
  L2850&lt;TIME(9,0,0),"Night"
))</f>
        <v/>
      </c>
      <c r="O2850" t="str">
        <f t="shared" si="266"/>
        <v/>
      </c>
    </row>
    <row r="2851" spans="7:15" x14ac:dyDescent="0.25">
      <c r="G2851" t="str">
        <f t="shared" si="264"/>
        <v/>
      </c>
      <c r="H2851" s="13" t="str">
        <f t="shared" si="267"/>
        <v/>
      </c>
      <c r="I2851" t="str">
        <f>IFERROR(INDEX(Analysis!$D$116:$N$137, MATCH(B2851, Analysis!$C$116:$C$137, 0), MATCH(C2851, Analysis!$D$115:$N$115, 0)), "")</f>
        <v/>
      </c>
      <c r="J2851" t="str">
        <f t="shared" si="268"/>
        <v/>
      </c>
      <c r="K2851" s="28" t="str">
        <f t="shared" si="265"/>
        <v/>
      </c>
      <c r="L2851" s="46" t="str">
        <f t="shared" si="269"/>
        <v/>
      </c>
      <c r="M2851" t="str" cm="1">
        <f t="array" ref="M2851">IF(L2851="","",_xlfn.IFS(
  AND(L2851&gt;=TIME(9,0,0), L2851&lt;TIME(16,0,0)),"Morning",
  AND(L2851&gt;=TIME(16,0,0), L2851&lt;TIME(23,59,0)),"Evening",
  L2851&gt;=TIME(23,59,0),"Night",
  L2851&lt;TIME(9,0,0),"Night"
))</f>
        <v/>
      </c>
      <c r="O2851" t="str">
        <f t="shared" si="266"/>
        <v/>
      </c>
    </row>
    <row r="2852" spans="7:15" x14ac:dyDescent="0.25">
      <c r="G2852" t="str">
        <f t="shared" si="264"/>
        <v/>
      </c>
      <c r="H2852" s="13" t="str">
        <f t="shared" si="267"/>
        <v/>
      </c>
      <c r="I2852" t="str">
        <f>IFERROR(INDEX(Analysis!$D$116:$N$137, MATCH(B2852, Analysis!$C$116:$C$137, 0), MATCH(C2852, Analysis!$D$115:$N$115, 0)), "")</f>
        <v/>
      </c>
      <c r="J2852" t="str">
        <f t="shared" si="268"/>
        <v/>
      </c>
      <c r="K2852" s="28" t="str">
        <f t="shared" si="265"/>
        <v/>
      </c>
      <c r="L2852" s="46" t="str">
        <f t="shared" si="269"/>
        <v/>
      </c>
      <c r="M2852" t="str" cm="1">
        <f t="array" ref="M2852">IF(L2852="","",_xlfn.IFS(
  AND(L2852&gt;=TIME(9,0,0), L2852&lt;TIME(16,0,0)),"Morning",
  AND(L2852&gt;=TIME(16,0,0), L2852&lt;TIME(23,59,0)),"Evening",
  L2852&gt;=TIME(23,59,0),"Night",
  L2852&lt;TIME(9,0,0),"Night"
))</f>
        <v/>
      </c>
      <c r="O2852" t="str">
        <f t="shared" si="266"/>
        <v/>
      </c>
    </row>
    <row r="2853" spans="7:15" x14ac:dyDescent="0.25">
      <c r="G2853" t="str">
        <f t="shared" si="264"/>
        <v/>
      </c>
      <c r="H2853" s="13" t="str">
        <f t="shared" si="267"/>
        <v/>
      </c>
      <c r="I2853" t="str">
        <f>IFERROR(INDEX(Analysis!$D$116:$N$137, MATCH(B2853, Analysis!$C$116:$C$137, 0), MATCH(C2853, Analysis!$D$115:$N$115, 0)), "")</f>
        <v/>
      </c>
      <c r="J2853" t="str">
        <f t="shared" si="268"/>
        <v/>
      </c>
      <c r="K2853" s="28" t="str">
        <f t="shared" si="265"/>
        <v/>
      </c>
      <c r="L2853" s="46" t="str">
        <f t="shared" si="269"/>
        <v/>
      </c>
      <c r="M2853" t="str" cm="1">
        <f t="array" ref="M2853">IF(L2853="","",_xlfn.IFS(
  AND(L2853&gt;=TIME(9,0,0), L2853&lt;TIME(16,0,0)),"Morning",
  AND(L2853&gt;=TIME(16,0,0), L2853&lt;TIME(23,59,0)),"Evening",
  L2853&gt;=TIME(23,59,0),"Night",
  L2853&lt;TIME(9,0,0),"Night"
))</f>
        <v/>
      </c>
      <c r="O2853" t="str">
        <f t="shared" si="266"/>
        <v/>
      </c>
    </row>
    <row r="2854" spans="7:15" x14ac:dyDescent="0.25">
      <c r="G2854" t="str">
        <f t="shared" si="264"/>
        <v/>
      </c>
      <c r="H2854" s="13" t="str">
        <f t="shared" si="267"/>
        <v/>
      </c>
      <c r="I2854" t="str">
        <f>IFERROR(INDEX(Analysis!$D$116:$N$137, MATCH(B2854, Analysis!$C$116:$C$137, 0), MATCH(C2854, Analysis!$D$115:$N$115, 0)), "")</f>
        <v/>
      </c>
      <c r="J2854" t="str">
        <f t="shared" si="268"/>
        <v/>
      </c>
      <c r="K2854" s="28" t="str">
        <f t="shared" si="265"/>
        <v/>
      </c>
      <c r="L2854" s="46" t="str">
        <f t="shared" si="269"/>
        <v/>
      </c>
      <c r="M2854" t="str" cm="1">
        <f t="array" ref="M2854">IF(L2854="","",_xlfn.IFS(
  AND(L2854&gt;=TIME(9,0,0), L2854&lt;TIME(16,0,0)),"Morning",
  AND(L2854&gt;=TIME(16,0,0), L2854&lt;TIME(23,59,0)),"Evening",
  L2854&gt;=TIME(23,59,0),"Night",
  L2854&lt;TIME(9,0,0),"Night"
))</f>
        <v/>
      </c>
      <c r="O2854" t="str">
        <f t="shared" si="266"/>
        <v/>
      </c>
    </row>
    <row r="2855" spans="7:15" x14ac:dyDescent="0.25">
      <c r="G2855" t="str">
        <f t="shared" si="264"/>
        <v/>
      </c>
      <c r="H2855" s="13" t="str">
        <f t="shared" si="267"/>
        <v/>
      </c>
      <c r="I2855" t="str">
        <f>IFERROR(INDEX(Analysis!$D$116:$N$137, MATCH(B2855, Analysis!$C$116:$C$137, 0), MATCH(C2855, Analysis!$D$115:$N$115, 0)), "")</f>
        <v/>
      </c>
      <c r="J2855" t="str">
        <f t="shared" si="268"/>
        <v/>
      </c>
      <c r="K2855" s="28" t="str">
        <f t="shared" si="265"/>
        <v/>
      </c>
      <c r="L2855" s="46" t="str">
        <f t="shared" si="269"/>
        <v/>
      </c>
      <c r="M2855" t="str" cm="1">
        <f t="array" ref="M2855">IF(L2855="","",_xlfn.IFS(
  AND(L2855&gt;=TIME(9,0,0), L2855&lt;TIME(16,0,0)),"Morning",
  AND(L2855&gt;=TIME(16,0,0), L2855&lt;TIME(23,59,0)),"Evening",
  L2855&gt;=TIME(23,59,0),"Night",
  L2855&lt;TIME(9,0,0),"Night"
))</f>
        <v/>
      </c>
      <c r="O2855" t="str">
        <f t="shared" si="266"/>
        <v/>
      </c>
    </row>
    <row r="2856" spans="7:15" x14ac:dyDescent="0.25">
      <c r="G2856" t="str">
        <f t="shared" si="264"/>
        <v/>
      </c>
      <c r="H2856" s="13" t="str">
        <f t="shared" si="267"/>
        <v/>
      </c>
      <c r="I2856" t="str">
        <f>IFERROR(INDEX(Analysis!$D$116:$N$137, MATCH(B2856, Analysis!$C$116:$C$137, 0), MATCH(C2856, Analysis!$D$115:$N$115, 0)), "")</f>
        <v/>
      </c>
      <c r="J2856" t="str">
        <f t="shared" si="268"/>
        <v/>
      </c>
      <c r="K2856" s="28" t="str">
        <f t="shared" si="265"/>
        <v/>
      </c>
      <c r="L2856" s="46" t="str">
        <f t="shared" si="269"/>
        <v/>
      </c>
      <c r="M2856" t="str" cm="1">
        <f t="array" ref="M2856">IF(L2856="","",_xlfn.IFS(
  AND(L2856&gt;=TIME(9,0,0), L2856&lt;TIME(16,0,0)),"Morning",
  AND(L2856&gt;=TIME(16,0,0), L2856&lt;TIME(23,59,0)),"Evening",
  L2856&gt;=TIME(23,59,0),"Night",
  L2856&lt;TIME(9,0,0),"Night"
))</f>
        <v/>
      </c>
      <c r="O2856" t="str">
        <f t="shared" si="266"/>
        <v/>
      </c>
    </row>
    <row r="2857" spans="7:15" x14ac:dyDescent="0.25">
      <c r="G2857" t="str">
        <f t="shared" si="264"/>
        <v/>
      </c>
      <c r="H2857" s="13" t="str">
        <f t="shared" si="267"/>
        <v/>
      </c>
      <c r="I2857" t="str">
        <f>IFERROR(INDEX(Analysis!$D$116:$N$137, MATCH(B2857, Analysis!$C$116:$C$137, 0), MATCH(C2857, Analysis!$D$115:$N$115, 0)), "")</f>
        <v/>
      </c>
      <c r="J2857" t="str">
        <f t="shared" si="268"/>
        <v/>
      </c>
      <c r="K2857" s="28" t="str">
        <f t="shared" si="265"/>
        <v/>
      </c>
      <c r="L2857" s="46" t="str">
        <f t="shared" si="269"/>
        <v/>
      </c>
      <c r="M2857" t="str" cm="1">
        <f t="array" ref="M2857">IF(L2857="","",_xlfn.IFS(
  AND(L2857&gt;=TIME(9,0,0), L2857&lt;TIME(16,0,0)),"Morning",
  AND(L2857&gt;=TIME(16,0,0), L2857&lt;TIME(23,59,0)),"Evening",
  L2857&gt;=TIME(23,59,0),"Night",
  L2857&lt;TIME(9,0,0),"Night"
))</f>
        <v/>
      </c>
      <c r="O2857" t="str">
        <f t="shared" si="266"/>
        <v/>
      </c>
    </row>
    <row r="2858" spans="7:15" x14ac:dyDescent="0.25">
      <c r="G2858" t="str">
        <f t="shared" si="264"/>
        <v/>
      </c>
      <c r="H2858" s="13" t="str">
        <f t="shared" si="267"/>
        <v/>
      </c>
      <c r="I2858" t="str">
        <f>IFERROR(INDEX(Analysis!$D$116:$N$137, MATCH(B2858, Analysis!$C$116:$C$137, 0), MATCH(C2858, Analysis!$D$115:$N$115, 0)), "")</f>
        <v/>
      </c>
      <c r="J2858" t="str">
        <f t="shared" si="268"/>
        <v/>
      </c>
      <c r="K2858" s="28" t="str">
        <f t="shared" si="265"/>
        <v/>
      </c>
      <c r="L2858" s="46" t="str">
        <f t="shared" si="269"/>
        <v/>
      </c>
      <c r="M2858" t="str" cm="1">
        <f t="array" ref="M2858">IF(L2858="","",_xlfn.IFS(
  AND(L2858&gt;=TIME(9,0,0), L2858&lt;TIME(16,0,0)),"Morning",
  AND(L2858&gt;=TIME(16,0,0), L2858&lt;TIME(23,59,0)),"Evening",
  L2858&gt;=TIME(23,59,0),"Night",
  L2858&lt;TIME(9,0,0),"Night"
))</f>
        <v/>
      </c>
      <c r="O2858" t="str">
        <f t="shared" si="266"/>
        <v/>
      </c>
    </row>
    <row r="2859" spans="7:15" x14ac:dyDescent="0.25">
      <c r="G2859" t="str">
        <f t="shared" si="264"/>
        <v/>
      </c>
      <c r="H2859" s="13" t="str">
        <f t="shared" si="267"/>
        <v/>
      </c>
      <c r="I2859" t="str">
        <f>IFERROR(INDEX(Analysis!$D$116:$N$137, MATCH(B2859, Analysis!$C$116:$C$137, 0), MATCH(C2859, Analysis!$D$115:$N$115, 0)), "")</f>
        <v/>
      </c>
      <c r="J2859" t="str">
        <f t="shared" si="268"/>
        <v/>
      </c>
      <c r="K2859" s="28" t="str">
        <f t="shared" si="265"/>
        <v/>
      </c>
      <c r="L2859" s="46" t="str">
        <f t="shared" si="269"/>
        <v/>
      </c>
      <c r="M2859" t="str" cm="1">
        <f t="array" ref="M2859">IF(L2859="","",_xlfn.IFS(
  AND(L2859&gt;=TIME(9,0,0), L2859&lt;TIME(16,0,0)),"Morning",
  AND(L2859&gt;=TIME(16,0,0), L2859&lt;TIME(23,59,0)),"Evening",
  L2859&gt;=TIME(23,59,0),"Night",
  L2859&lt;TIME(9,0,0),"Night"
))</f>
        <v/>
      </c>
      <c r="O2859" t="str">
        <f t="shared" si="266"/>
        <v/>
      </c>
    </row>
    <row r="2860" spans="7:15" x14ac:dyDescent="0.25">
      <c r="G2860" t="str">
        <f t="shared" si="264"/>
        <v/>
      </c>
      <c r="H2860" s="13" t="str">
        <f t="shared" si="267"/>
        <v/>
      </c>
      <c r="I2860" t="str">
        <f>IFERROR(INDEX(Analysis!$D$116:$N$137, MATCH(B2860, Analysis!$C$116:$C$137, 0), MATCH(C2860, Analysis!$D$115:$N$115, 0)), "")</f>
        <v/>
      </c>
      <c r="J2860" t="str">
        <f t="shared" si="268"/>
        <v/>
      </c>
      <c r="K2860" s="28" t="str">
        <f t="shared" si="265"/>
        <v/>
      </c>
      <c r="L2860" s="46" t="str">
        <f t="shared" si="269"/>
        <v/>
      </c>
      <c r="M2860" t="str" cm="1">
        <f t="array" ref="M2860">IF(L2860="","",_xlfn.IFS(
  AND(L2860&gt;=TIME(9,0,0), L2860&lt;TIME(16,0,0)),"Morning",
  AND(L2860&gt;=TIME(16,0,0), L2860&lt;TIME(23,59,0)),"Evening",
  L2860&gt;=TIME(23,59,0),"Night",
  L2860&lt;TIME(9,0,0),"Night"
))</f>
        <v/>
      </c>
      <c r="O2860" t="str">
        <f t="shared" si="266"/>
        <v/>
      </c>
    </row>
    <row r="2861" spans="7:15" x14ac:dyDescent="0.25">
      <c r="G2861" t="str">
        <f t="shared" si="264"/>
        <v/>
      </c>
      <c r="H2861" s="13" t="str">
        <f t="shared" si="267"/>
        <v/>
      </c>
      <c r="I2861" t="str">
        <f>IFERROR(INDEX(Analysis!$D$116:$N$137, MATCH(B2861, Analysis!$C$116:$C$137, 0), MATCH(C2861, Analysis!$D$115:$N$115, 0)), "")</f>
        <v/>
      </c>
      <c r="J2861" t="str">
        <f t="shared" si="268"/>
        <v/>
      </c>
      <c r="K2861" s="28" t="str">
        <f t="shared" si="265"/>
        <v/>
      </c>
      <c r="L2861" s="46" t="str">
        <f t="shared" si="269"/>
        <v/>
      </c>
      <c r="M2861" t="str" cm="1">
        <f t="array" ref="M2861">IF(L2861="","",_xlfn.IFS(
  AND(L2861&gt;=TIME(9,0,0), L2861&lt;TIME(16,0,0)),"Morning",
  AND(L2861&gt;=TIME(16,0,0), L2861&lt;TIME(23,59,0)),"Evening",
  L2861&gt;=TIME(23,59,0),"Night",
  L2861&lt;TIME(9,0,0),"Night"
))</f>
        <v/>
      </c>
      <c r="O2861" t="str">
        <f t="shared" si="266"/>
        <v/>
      </c>
    </row>
    <row r="2862" spans="7:15" x14ac:dyDescent="0.25">
      <c r="G2862" t="str">
        <f t="shared" si="264"/>
        <v/>
      </c>
      <c r="H2862" s="13" t="str">
        <f t="shared" si="267"/>
        <v/>
      </c>
      <c r="I2862" t="str">
        <f>IFERROR(INDEX(Analysis!$D$116:$N$137, MATCH(B2862, Analysis!$C$116:$C$137, 0), MATCH(C2862, Analysis!$D$115:$N$115, 0)), "")</f>
        <v/>
      </c>
      <c r="J2862" t="str">
        <f t="shared" si="268"/>
        <v/>
      </c>
      <c r="K2862" s="28" t="str">
        <f t="shared" si="265"/>
        <v/>
      </c>
      <c r="L2862" s="46" t="str">
        <f t="shared" si="269"/>
        <v/>
      </c>
      <c r="M2862" t="str" cm="1">
        <f t="array" ref="M2862">IF(L2862="","",_xlfn.IFS(
  AND(L2862&gt;=TIME(9,0,0), L2862&lt;TIME(16,0,0)),"Morning",
  AND(L2862&gt;=TIME(16,0,0), L2862&lt;TIME(23,59,0)),"Evening",
  L2862&gt;=TIME(23,59,0),"Night",
  L2862&lt;TIME(9,0,0),"Night"
))</f>
        <v/>
      </c>
      <c r="O2862" t="str">
        <f t="shared" si="266"/>
        <v/>
      </c>
    </row>
    <row r="2863" spans="7:15" x14ac:dyDescent="0.25">
      <c r="G2863" t="str">
        <f t="shared" si="264"/>
        <v/>
      </c>
      <c r="H2863" s="13" t="str">
        <f t="shared" si="267"/>
        <v/>
      </c>
      <c r="I2863" t="str">
        <f>IFERROR(INDEX(Analysis!$D$116:$N$137, MATCH(B2863, Analysis!$C$116:$C$137, 0), MATCH(C2863, Analysis!$D$115:$N$115, 0)), "")</f>
        <v/>
      </c>
      <c r="J2863" t="str">
        <f t="shared" si="268"/>
        <v/>
      </c>
      <c r="K2863" s="28" t="str">
        <f t="shared" si="265"/>
        <v/>
      </c>
      <c r="L2863" s="46" t="str">
        <f t="shared" si="269"/>
        <v/>
      </c>
      <c r="M2863" t="str" cm="1">
        <f t="array" ref="M2863">IF(L2863="","",_xlfn.IFS(
  AND(L2863&gt;=TIME(9,0,0), L2863&lt;TIME(16,0,0)),"Morning",
  AND(L2863&gt;=TIME(16,0,0), L2863&lt;TIME(23,59,0)),"Evening",
  L2863&gt;=TIME(23,59,0),"Night",
  L2863&lt;TIME(9,0,0),"Night"
))</f>
        <v/>
      </c>
      <c r="O2863" t="str">
        <f t="shared" si="266"/>
        <v/>
      </c>
    </row>
    <row r="2864" spans="7:15" x14ac:dyDescent="0.25">
      <c r="G2864" t="str">
        <f t="shared" si="264"/>
        <v/>
      </c>
      <c r="H2864" s="13" t="str">
        <f t="shared" si="267"/>
        <v/>
      </c>
      <c r="I2864" t="str">
        <f>IFERROR(INDEX(Analysis!$D$116:$N$137, MATCH(B2864, Analysis!$C$116:$C$137, 0), MATCH(C2864, Analysis!$D$115:$N$115, 0)), "")</f>
        <v/>
      </c>
      <c r="J2864" t="str">
        <f t="shared" si="268"/>
        <v/>
      </c>
      <c r="K2864" s="28" t="str">
        <f t="shared" si="265"/>
        <v/>
      </c>
      <c r="L2864" s="46" t="str">
        <f t="shared" si="269"/>
        <v/>
      </c>
      <c r="M2864" t="str" cm="1">
        <f t="array" ref="M2864">IF(L2864="","",_xlfn.IFS(
  AND(L2864&gt;=TIME(9,0,0), L2864&lt;TIME(16,0,0)),"Morning",
  AND(L2864&gt;=TIME(16,0,0), L2864&lt;TIME(23,59,0)),"Evening",
  L2864&gt;=TIME(23,59,0),"Night",
  L2864&lt;TIME(9,0,0),"Night"
))</f>
        <v/>
      </c>
      <c r="O2864" t="str">
        <f t="shared" si="266"/>
        <v/>
      </c>
    </row>
    <row r="2865" spans="7:15" x14ac:dyDescent="0.25">
      <c r="G2865" t="str">
        <f t="shared" si="264"/>
        <v/>
      </c>
      <c r="H2865" s="13" t="str">
        <f t="shared" si="267"/>
        <v/>
      </c>
      <c r="I2865" t="str">
        <f>IFERROR(INDEX(Analysis!$D$116:$N$137, MATCH(B2865, Analysis!$C$116:$C$137, 0), MATCH(C2865, Analysis!$D$115:$N$115, 0)), "")</f>
        <v/>
      </c>
      <c r="J2865" t="str">
        <f t="shared" si="268"/>
        <v/>
      </c>
      <c r="K2865" s="28" t="str">
        <f t="shared" si="265"/>
        <v/>
      </c>
      <c r="L2865" s="46" t="str">
        <f t="shared" si="269"/>
        <v/>
      </c>
      <c r="M2865" t="str" cm="1">
        <f t="array" ref="M2865">IF(L2865="","",_xlfn.IFS(
  AND(L2865&gt;=TIME(9,0,0), L2865&lt;TIME(16,0,0)),"Morning",
  AND(L2865&gt;=TIME(16,0,0), L2865&lt;TIME(23,59,0)),"Evening",
  L2865&gt;=TIME(23,59,0),"Night",
  L2865&lt;TIME(9,0,0),"Night"
))</f>
        <v/>
      </c>
      <c r="O2865" t="str">
        <f t="shared" si="266"/>
        <v/>
      </c>
    </row>
    <row r="2866" spans="7:15" x14ac:dyDescent="0.25">
      <c r="G2866" t="str">
        <f t="shared" si="264"/>
        <v/>
      </c>
      <c r="H2866" s="13" t="str">
        <f t="shared" si="267"/>
        <v/>
      </c>
      <c r="I2866" t="str">
        <f>IFERROR(INDEX(Analysis!$D$116:$N$137, MATCH(B2866, Analysis!$C$116:$C$137, 0), MATCH(C2866, Analysis!$D$115:$N$115, 0)), "")</f>
        <v/>
      </c>
      <c r="J2866" t="str">
        <f t="shared" si="268"/>
        <v/>
      </c>
      <c r="K2866" s="28" t="str">
        <f t="shared" si="265"/>
        <v/>
      </c>
      <c r="L2866" s="46" t="str">
        <f t="shared" si="269"/>
        <v/>
      </c>
      <c r="M2866" t="str" cm="1">
        <f t="array" ref="M2866">IF(L2866="","",_xlfn.IFS(
  AND(L2866&gt;=TIME(9,0,0), L2866&lt;TIME(16,0,0)),"Morning",
  AND(L2866&gt;=TIME(16,0,0), L2866&lt;TIME(23,59,0)),"Evening",
  L2866&gt;=TIME(23,59,0),"Night",
  L2866&lt;TIME(9,0,0),"Night"
))</f>
        <v/>
      </c>
      <c r="O2866" t="str">
        <f t="shared" si="266"/>
        <v/>
      </c>
    </row>
    <row r="2867" spans="7:15" x14ac:dyDescent="0.25">
      <c r="G2867" t="str">
        <f t="shared" si="264"/>
        <v/>
      </c>
      <c r="H2867" s="13" t="str">
        <f t="shared" si="267"/>
        <v/>
      </c>
      <c r="I2867" t="str">
        <f>IFERROR(INDEX(Analysis!$D$116:$N$137, MATCH(B2867, Analysis!$C$116:$C$137, 0), MATCH(C2867, Analysis!$D$115:$N$115, 0)), "")</f>
        <v/>
      </c>
      <c r="J2867" t="str">
        <f t="shared" si="268"/>
        <v/>
      </c>
      <c r="K2867" s="28" t="str">
        <f t="shared" si="265"/>
        <v/>
      </c>
      <c r="L2867" s="46" t="str">
        <f t="shared" si="269"/>
        <v/>
      </c>
      <c r="M2867" t="str" cm="1">
        <f t="array" ref="M2867">IF(L2867="","",_xlfn.IFS(
  AND(L2867&gt;=TIME(9,0,0), L2867&lt;TIME(16,0,0)),"Morning",
  AND(L2867&gt;=TIME(16,0,0), L2867&lt;TIME(23,59,0)),"Evening",
  L2867&gt;=TIME(23,59,0),"Night",
  L2867&lt;TIME(9,0,0),"Night"
))</f>
        <v/>
      </c>
      <c r="O2867" t="str">
        <f t="shared" si="266"/>
        <v/>
      </c>
    </row>
    <row r="2868" spans="7:15" x14ac:dyDescent="0.25">
      <c r="G2868" t="str">
        <f t="shared" si="264"/>
        <v/>
      </c>
      <c r="H2868" s="13" t="str">
        <f t="shared" si="267"/>
        <v/>
      </c>
      <c r="I2868" t="str">
        <f>IFERROR(INDEX(Analysis!$D$116:$N$137, MATCH(B2868, Analysis!$C$116:$C$137, 0), MATCH(C2868, Analysis!$D$115:$N$115, 0)), "")</f>
        <v/>
      </c>
      <c r="J2868" t="str">
        <f t="shared" si="268"/>
        <v/>
      </c>
      <c r="K2868" s="28" t="str">
        <f t="shared" si="265"/>
        <v/>
      </c>
      <c r="L2868" s="46" t="str">
        <f t="shared" si="269"/>
        <v/>
      </c>
      <c r="M2868" t="str" cm="1">
        <f t="array" ref="M2868">IF(L2868="","",_xlfn.IFS(
  AND(L2868&gt;=TIME(9,0,0), L2868&lt;TIME(16,0,0)),"Morning",
  AND(L2868&gt;=TIME(16,0,0), L2868&lt;TIME(23,59,0)),"Evening",
  L2868&gt;=TIME(23,59,0),"Night",
  L2868&lt;TIME(9,0,0),"Night"
))</f>
        <v/>
      </c>
      <c r="O2868" t="str">
        <f t="shared" si="266"/>
        <v/>
      </c>
    </row>
    <row r="2869" spans="7:15" x14ac:dyDescent="0.25">
      <c r="G2869" t="str">
        <f t="shared" si="264"/>
        <v/>
      </c>
      <c r="H2869" s="13" t="str">
        <f t="shared" si="267"/>
        <v/>
      </c>
      <c r="I2869" t="str">
        <f>IFERROR(INDEX(Analysis!$D$116:$N$137, MATCH(B2869, Analysis!$C$116:$C$137, 0), MATCH(C2869, Analysis!$D$115:$N$115, 0)), "")</f>
        <v/>
      </c>
      <c r="J2869" t="str">
        <f t="shared" si="268"/>
        <v/>
      </c>
      <c r="K2869" s="28" t="str">
        <f t="shared" si="265"/>
        <v/>
      </c>
      <c r="L2869" s="46" t="str">
        <f t="shared" si="269"/>
        <v/>
      </c>
      <c r="M2869" t="str" cm="1">
        <f t="array" ref="M2869">IF(L2869="","",_xlfn.IFS(
  AND(L2869&gt;=TIME(9,0,0), L2869&lt;TIME(16,0,0)),"Morning",
  AND(L2869&gt;=TIME(16,0,0), L2869&lt;TIME(23,59,0)),"Evening",
  L2869&gt;=TIME(23,59,0),"Night",
  L2869&lt;TIME(9,0,0),"Night"
))</f>
        <v/>
      </c>
      <c r="O2869" t="str">
        <f t="shared" si="266"/>
        <v/>
      </c>
    </row>
    <row r="2870" spans="7:15" x14ac:dyDescent="0.25">
      <c r="G2870" t="str">
        <f t="shared" si="264"/>
        <v/>
      </c>
      <c r="H2870" s="13" t="str">
        <f t="shared" si="267"/>
        <v/>
      </c>
      <c r="I2870" t="str">
        <f>IFERROR(INDEX(Analysis!$D$116:$N$137, MATCH(B2870, Analysis!$C$116:$C$137, 0), MATCH(C2870, Analysis!$D$115:$N$115, 0)), "")</f>
        <v/>
      </c>
      <c r="J2870" t="str">
        <f t="shared" si="268"/>
        <v/>
      </c>
      <c r="K2870" s="28" t="str">
        <f t="shared" si="265"/>
        <v/>
      </c>
      <c r="L2870" s="46" t="str">
        <f t="shared" si="269"/>
        <v/>
      </c>
      <c r="M2870" t="str" cm="1">
        <f t="array" ref="M2870">IF(L2870="","",_xlfn.IFS(
  AND(L2870&gt;=TIME(9,0,0), L2870&lt;TIME(16,0,0)),"Morning",
  AND(L2870&gt;=TIME(16,0,0), L2870&lt;TIME(23,59,0)),"Evening",
  L2870&gt;=TIME(23,59,0),"Night",
  L2870&lt;TIME(9,0,0),"Night"
))</f>
        <v/>
      </c>
      <c r="O2870" t="str">
        <f t="shared" si="266"/>
        <v/>
      </c>
    </row>
    <row r="2871" spans="7:15" x14ac:dyDescent="0.25">
      <c r="G2871" t="str">
        <f t="shared" si="264"/>
        <v/>
      </c>
      <c r="H2871" s="13" t="str">
        <f t="shared" si="267"/>
        <v/>
      </c>
      <c r="I2871" t="str">
        <f>IFERROR(INDEX(Analysis!$D$116:$N$137, MATCH(B2871, Analysis!$C$116:$C$137, 0), MATCH(C2871, Analysis!$D$115:$N$115, 0)), "")</f>
        <v/>
      </c>
      <c r="J2871" t="str">
        <f t="shared" si="268"/>
        <v/>
      </c>
      <c r="K2871" s="28" t="str">
        <f t="shared" si="265"/>
        <v/>
      </c>
      <c r="L2871" s="46" t="str">
        <f t="shared" si="269"/>
        <v/>
      </c>
      <c r="M2871" t="str" cm="1">
        <f t="array" ref="M2871">IF(L2871="","",_xlfn.IFS(
  AND(L2871&gt;=TIME(9,0,0), L2871&lt;TIME(16,0,0)),"Morning",
  AND(L2871&gt;=TIME(16,0,0), L2871&lt;TIME(23,59,0)),"Evening",
  L2871&gt;=TIME(23,59,0),"Night",
  L2871&lt;TIME(9,0,0),"Night"
))</f>
        <v/>
      </c>
      <c r="O2871" t="str">
        <f t="shared" si="266"/>
        <v/>
      </c>
    </row>
    <row r="2872" spans="7:15" x14ac:dyDescent="0.25">
      <c r="G2872" t="str">
        <f t="shared" si="264"/>
        <v/>
      </c>
      <c r="H2872" s="13" t="str">
        <f t="shared" si="267"/>
        <v/>
      </c>
      <c r="I2872" t="str">
        <f>IFERROR(INDEX(Analysis!$D$116:$N$137, MATCH(B2872, Analysis!$C$116:$C$137, 0), MATCH(C2872, Analysis!$D$115:$N$115, 0)), "")</f>
        <v/>
      </c>
      <c r="J2872" t="str">
        <f t="shared" si="268"/>
        <v/>
      </c>
      <c r="K2872" s="28" t="str">
        <f t="shared" si="265"/>
        <v/>
      </c>
      <c r="L2872" s="46" t="str">
        <f t="shared" si="269"/>
        <v/>
      </c>
      <c r="M2872" t="str" cm="1">
        <f t="array" ref="M2872">IF(L2872="","",_xlfn.IFS(
  AND(L2872&gt;=TIME(9,0,0), L2872&lt;TIME(16,0,0)),"Morning",
  AND(L2872&gt;=TIME(16,0,0), L2872&lt;TIME(23,59,0)),"Evening",
  L2872&gt;=TIME(23,59,0),"Night",
  L2872&lt;TIME(9,0,0),"Night"
))</f>
        <v/>
      </c>
      <c r="O2872" t="str">
        <f t="shared" si="266"/>
        <v/>
      </c>
    </row>
    <row r="2873" spans="7:15" x14ac:dyDescent="0.25">
      <c r="G2873" t="str">
        <f t="shared" si="264"/>
        <v/>
      </c>
      <c r="H2873" s="13" t="str">
        <f t="shared" si="267"/>
        <v/>
      </c>
      <c r="I2873" t="str">
        <f>IFERROR(INDEX(Analysis!$D$116:$N$137, MATCH(B2873, Analysis!$C$116:$C$137, 0), MATCH(C2873, Analysis!$D$115:$N$115, 0)), "")</f>
        <v/>
      </c>
      <c r="J2873" t="str">
        <f t="shared" si="268"/>
        <v/>
      </c>
      <c r="K2873" s="28" t="str">
        <f t="shared" si="265"/>
        <v/>
      </c>
      <c r="L2873" s="46" t="str">
        <f t="shared" si="269"/>
        <v/>
      </c>
      <c r="M2873" t="str" cm="1">
        <f t="array" ref="M2873">IF(L2873="","",_xlfn.IFS(
  AND(L2873&gt;=TIME(9,0,0), L2873&lt;TIME(16,0,0)),"Morning",
  AND(L2873&gt;=TIME(16,0,0), L2873&lt;TIME(23,59,0)),"Evening",
  L2873&gt;=TIME(23,59,0),"Night",
  L2873&lt;TIME(9,0,0),"Night"
))</f>
        <v/>
      </c>
      <c r="O2873" t="str">
        <f t="shared" si="266"/>
        <v/>
      </c>
    </row>
    <row r="2874" spans="7:15" x14ac:dyDescent="0.25">
      <c r="G2874" t="str">
        <f t="shared" si="264"/>
        <v/>
      </c>
      <c r="H2874" s="13" t="str">
        <f t="shared" si="267"/>
        <v/>
      </c>
      <c r="I2874" t="str">
        <f>IFERROR(INDEX(Analysis!$D$116:$N$137, MATCH(B2874, Analysis!$C$116:$C$137, 0), MATCH(C2874, Analysis!$D$115:$N$115, 0)), "")</f>
        <v/>
      </c>
      <c r="J2874" t="str">
        <f t="shared" si="268"/>
        <v/>
      </c>
      <c r="K2874" s="28" t="str">
        <f t="shared" si="265"/>
        <v/>
      </c>
      <c r="L2874" s="46" t="str">
        <f t="shared" si="269"/>
        <v/>
      </c>
      <c r="M2874" t="str" cm="1">
        <f t="array" ref="M2874">IF(L2874="","",_xlfn.IFS(
  AND(L2874&gt;=TIME(9,0,0), L2874&lt;TIME(16,0,0)),"Morning",
  AND(L2874&gt;=TIME(16,0,0), L2874&lt;TIME(23,59,0)),"Evening",
  L2874&gt;=TIME(23,59,0),"Night",
  L2874&lt;TIME(9,0,0),"Night"
))</f>
        <v/>
      </c>
      <c r="O2874" t="str">
        <f t="shared" si="266"/>
        <v/>
      </c>
    </row>
    <row r="2875" spans="7:15" x14ac:dyDescent="0.25">
      <c r="G2875" t="str">
        <f t="shared" si="264"/>
        <v/>
      </c>
      <c r="H2875" s="13" t="str">
        <f t="shared" si="267"/>
        <v/>
      </c>
      <c r="I2875" t="str">
        <f>IFERROR(INDEX(Analysis!$D$116:$N$137, MATCH(B2875, Analysis!$C$116:$C$137, 0), MATCH(C2875, Analysis!$D$115:$N$115, 0)), "")</f>
        <v/>
      </c>
      <c r="J2875" t="str">
        <f t="shared" si="268"/>
        <v/>
      </c>
      <c r="K2875" s="28" t="str">
        <f t="shared" si="265"/>
        <v/>
      </c>
      <c r="L2875" s="46" t="str">
        <f t="shared" si="269"/>
        <v/>
      </c>
      <c r="M2875" t="str" cm="1">
        <f t="array" ref="M2875">IF(L2875="","",_xlfn.IFS(
  AND(L2875&gt;=TIME(9,0,0), L2875&lt;TIME(16,0,0)),"Morning",
  AND(L2875&gt;=TIME(16,0,0), L2875&lt;TIME(23,59,0)),"Evening",
  L2875&gt;=TIME(23,59,0),"Night",
  L2875&lt;TIME(9,0,0),"Night"
))</f>
        <v/>
      </c>
      <c r="O2875" t="str">
        <f t="shared" si="266"/>
        <v/>
      </c>
    </row>
    <row r="2876" spans="7:15" x14ac:dyDescent="0.25">
      <c r="G2876" t="str">
        <f t="shared" si="264"/>
        <v/>
      </c>
      <c r="H2876" s="13" t="str">
        <f t="shared" si="267"/>
        <v/>
      </c>
      <c r="I2876" t="str">
        <f>IFERROR(INDEX(Analysis!$D$116:$N$137, MATCH(B2876, Analysis!$C$116:$C$137, 0), MATCH(C2876, Analysis!$D$115:$N$115, 0)), "")</f>
        <v/>
      </c>
      <c r="J2876" t="str">
        <f t="shared" si="268"/>
        <v/>
      </c>
      <c r="K2876" s="28" t="str">
        <f t="shared" si="265"/>
        <v/>
      </c>
      <c r="L2876" s="46" t="str">
        <f t="shared" si="269"/>
        <v/>
      </c>
      <c r="M2876" t="str" cm="1">
        <f t="array" ref="M2876">IF(L2876="","",_xlfn.IFS(
  AND(L2876&gt;=TIME(9,0,0), L2876&lt;TIME(16,0,0)),"Morning",
  AND(L2876&gt;=TIME(16,0,0), L2876&lt;TIME(23,59,0)),"Evening",
  L2876&gt;=TIME(23,59,0),"Night",
  L2876&lt;TIME(9,0,0),"Night"
))</f>
        <v/>
      </c>
      <c r="O2876" t="str">
        <f t="shared" si="266"/>
        <v/>
      </c>
    </row>
    <row r="2877" spans="7:15" x14ac:dyDescent="0.25">
      <c r="G2877" t="str">
        <f t="shared" si="264"/>
        <v/>
      </c>
      <c r="H2877" s="13" t="str">
        <f t="shared" si="267"/>
        <v/>
      </c>
      <c r="I2877" t="str">
        <f>IFERROR(INDEX(Analysis!$D$116:$N$137, MATCH(B2877, Analysis!$C$116:$C$137, 0), MATCH(C2877, Analysis!$D$115:$N$115, 0)), "")</f>
        <v/>
      </c>
      <c r="J2877" t="str">
        <f t="shared" si="268"/>
        <v/>
      </c>
      <c r="K2877" s="28" t="str">
        <f t="shared" si="265"/>
        <v/>
      </c>
      <c r="L2877" s="46" t="str">
        <f t="shared" si="269"/>
        <v/>
      </c>
      <c r="M2877" t="str" cm="1">
        <f t="array" ref="M2877">IF(L2877="","",_xlfn.IFS(
  AND(L2877&gt;=TIME(9,0,0), L2877&lt;TIME(16,0,0)),"Morning",
  AND(L2877&gt;=TIME(16,0,0), L2877&lt;TIME(23,59,0)),"Evening",
  L2877&gt;=TIME(23,59,0),"Night",
  L2877&lt;TIME(9,0,0),"Night"
))</f>
        <v/>
      </c>
      <c r="O2877" t="str">
        <f t="shared" si="266"/>
        <v/>
      </c>
    </row>
    <row r="2878" spans="7:15" x14ac:dyDescent="0.25">
      <c r="G2878" t="str">
        <f t="shared" si="264"/>
        <v/>
      </c>
      <c r="H2878" s="13" t="str">
        <f t="shared" si="267"/>
        <v/>
      </c>
      <c r="I2878" t="str">
        <f>IFERROR(INDEX(Analysis!$D$116:$N$137, MATCH(B2878, Analysis!$C$116:$C$137, 0), MATCH(C2878, Analysis!$D$115:$N$115, 0)), "")</f>
        <v/>
      </c>
      <c r="J2878" t="str">
        <f t="shared" si="268"/>
        <v/>
      </c>
      <c r="K2878" s="28" t="str">
        <f t="shared" si="265"/>
        <v/>
      </c>
      <c r="L2878" s="46" t="str">
        <f t="shared" si="269"/>
        <v/>
      </c>
      <c r="M2878" t="str" cm="1">
        <f t="array" ref="M2878">IF(L2878="","",_xlfn.IFS(
  AND(L2878&gt;=TIME(9,0,0), L2878&lt;TIME(16,0,0)),"Morning",
  AND(L2878&gt;=TIME(16,0,0), L2878&lt;TIME(23,59,0)),"Evening",
  L2878&gt;=TIME(23,59,0),"Night",
  L2878&lt;TIME(9,0,0),"Night"
))</f>
        <v/>
      </c>
      <c r="O2878" t="str">
        <f t="shared" si="266"/>
        <v/>
      </c>
    </row>
    <row r="2879" spans="7:15" x14ac:dyDescent="0.25">
      <c r="G2879" t="str">
        <f t="shared" si="264"/>
        <v/>
      </c>
      <c r="H2879" s="13" t="str">
        <f t="shared" si="267"/>
        <v/>
      </c>
      <c r="I2879" t="str">
        <f>IFERROR(INDEX(Analysis!$D$116:$N$137, MATCH(B2879, Analysis!$C$116:$C$137, 0), MATCH(C2879, Analysis!$D$115:$N$115, 0)), "")</f>
        <v/>
      </c>
      <c r="J2879" t="str">
        <f t="shared" si="268"/>
        <v/>
      </c>
      <c r="K2879" s="28" t="str">
        <f t="shared" si="265"/>
        <v/>
      </c>
      <c r="L2879" s="46" t="str">
        <f t="shared" si="269"/>
        <v/>
      </c>
      <c r="M2879" t="str" cm="1">
        <f t="array" ref="M2879">IF(L2879="","",_xlfn.IFS(
  AND(L2879&gt;=TIME(9,0,0), L2879&lt;TIME(16,0,0)),"Morning",
  AND(L2879&gt;=TIME(16,0,0), L2879&lt;TIME(23,59,0)),"Evening",
  L2879&gt;=TIME(23,59,0),"Night",
  L2879&lt;TIME(9,0,0),"Night"
))</f>
        <v/>
      </c>
      <c r="O2879" t="str">
        <f t="shared" si="266"/>
        <v/>
      </c>
    </row>
    <row r="2880" spans="7:15" x14ac:dyDescent="0.25">
      <c r="G2880" t="str">
        <f t="shared" si="264"/>
        <v/>
      </c>
      <c r="H2880" s="13" t="str">
        <f t="shared" si="267"/>
        <v/>
      </c>
      <c r="I2880" t="str">
        <f>IFERROR(INDEX(Analysis!$D$116:$N$137, MATCH(B2880, Analysis!$C$116:$C$137, 0), MATCH(C2880, Analysis!$D$115:$N$115, 0)), "")</f>
        <v/>
      </c>
      <c r="J2880" t="str">
        <f t="shared" si="268"/>
        <v/>
      </c>
      <c r="K2880" s="28" t="str">
        <f t="shared" si="265"/>
        <v/>
      </c>
      <c r="L2880" s="46" t="str">
        <f t="shared" si="269"/>
        <v/>
      </c>
      <c r="M2880" t="str" cm="1">
        <f t="array" ref="M2880">IF(L2880="","",_xlfn.IFS(
  AND(L2880&gt;=TIME(9,0,0), L2880&lt;TIME(16,0,0)),"Morning",
  AND(L2880&gt;=TIME(16,0,0), L2880&lt;TIME(23,59,0)),"Evening",
  L2880&gt;=TIME(23,59,0),"Night",
  L2880&lt;TIME(9,0,0),"Night"
))</f>
        <v/>
      </c>
      <c r="O2880" t="str">
        <f t="shared" si="266"/>
        <v/>
      </c>
    </row>
    <row r="2881" spans="7:15" x14ac:dyDescent="0.25">
      <c r="G2881" t="str">
        <f t="shared" si="264"/>
        <v/>
      </c>
      <c r="H2881" s="13" t="str">
        <f t="shared" si="267"/>
        <v/>
      </c>
      <c r="I2881" t="str">
        <f>IFERROR(INDEX(Analysis!$D$116:$N$137, MATCH(B2881, Analysis!$C$116:$C$137, 0), MATCH(C2881, Analysis!$D$115:$N$115, 0)), "")</f>
        <v/>
      </c>
      <c r="J2881" t="str">
        <f t="shared" si="268"/>
        <v/>
      </c>
      <c r="K2881" s="28" t="str">
        <f t="shared" si="265"/>
        <v/>
      </c>
      <c r="L2881" s="46" t="str">
        <f t="shared" si="269"/>
        <v/>
      </c>
      <c r="M2881" t="str" cm="1">
        <f t="array" ref="M2881">IF(L2881="","",_xlfn.IFS(
  AND(L2881&gt;=TIME(9,0,0), L2881&lt;TIME(16,0,0)),"Morning",
  AND(L2881&gt;=TIME(16,0,0), L2881&lt;TIME(23,59,0)),"Evening",
  L2881&gt;=TIME(23,59,0),"Night",
  L2881&lt;TIME(9,0,0),"Night"
))</f>
        <v/>
      </c>
      <c r="O2881" t="str">
        <f t="shared" si="266"/>
        <v/>
      </c>
    </row>
    <row r="2882" spans="7:15" x14ac:dyDescent="0.25">
      <c r="G2882" t="str">
        <f t="shared" ref="G2882:G2945" si="270">IF(ISBLANK(A2882), "", IF(ISBLANK(F2882), 0, F2882))</f>
        <v/>
      </c>
      <c r="H2882" s="13" t="str">
        <f t="shared" si="267"/>
        <v/>
      </c>
      <c r="I2882" t="str">
        <f>IFERROR(INDEX(Analysis!$D$116:$N$137, MATCH(B2882, Analysis!$C$116:$C$137, 0), MATCH(C2882, Analysis!$D$115:$N$115, 0)), "")</f>
        <v/>
      </c>
      <c r="J2882" t="str">
        <f t="shared" si="268"/>
        <v/>
      </c>
      <c r="K2882" s="28" t="str">
        <f t="shared" ref="K2882:K2945" si="271">IF(ISBLANK(A2882),"",DATE(YEAR(A2882),MONTH(A2882),DAY(A2882)))</f>
        <v/>
      </c>
      <c r="L2882" s="46" t="str">
        <f t="shared" si="269"/>
        <v/>
      </c>
      <c r="M2882" t="str" cm="1">
        <f t="array" ref="M2882">IF(L2882="","",_xlfn.IFS(
  AND(L2882&gt;=TIME(9,0,0), L2882&lt;TIME(16,0,0)),"Morning",
  AND(L2882&gt;=TIME(16,0,0), L2882&lt;TIME(23,59,0)),"Evening",
  L2882&gt;=TIME(23,59,0),"Night",
  L2882&lt;TIME(9,0,0),"Night"
))</f>
        <v/>
      </c>
      <c r="O2882" t="str">
        <f t="shared" ref="O2882:O2945" si="272">IF(N2882="ON", _xlfn.IMAGE(E2882, 1), "")</f>
        <v/>
      </c>
    </row>
    <row r="2883" spans="7:15" x14ac:dyDescent="0.25">
      <c r="G2883" t="str">
        <f t="shared" si="270"/>
        <v/>
      </c>
      <c r="H2883" s="13" t="str">
        <f t="shared" ref="H2883:H2946" si="273">IF(ISBLANK(E2883),"",HYPERLINK(E2883,"Click here"))</f>
        <v/>
      </c>
      <c r="I2883" t="str">
        <f>IFERROR(INDEX(Analysis!$D$116:$N$137, MATCH(B2883, Analysis!$C$116:$C$137, 0), MATCH(C2883, Analysis!$D$115:$N$115, 0)), "")</f>
        <v/>
      </c>
      <c r="J2883" t="str">
        <f t="shared" ref="J2883:J2946" si="274">IF(ISBLANK(A2883),"",WEEKNUM(A2883))</f>
        <v/>
      </c>
      <c r="K2883" s="28" t="str">
        <f t="shared" si="271"/>
        <v/>
      </c>
      <c r="L2883" s="46" t="str">
        <f t="shared" ref="L2883:L2946" si="275">IF(A2883="", "", A2883 - INT(A2883))</f>
        <v/>
      </c>
      <c r="M2883" t="str" cm="1">
        <f t="array" ref="M2883">IF(L2883="","",_xlfn.IFS(
  AND(L2883&gt;=TIME(9,0,0), L2883&lt;TIME(16,0,0)),"Morning",
  AND(L2883&gt;=TIME(16,0,0), L2883&lt;TIME(23,59,0)),"Evening",
  L2883&gt;=TIME(23,59,0),"Night",
  L2883&lt;TIME(9,0,0),"Night"
))</f>
        <v/>
      </c>
      <c r="O2883" t="str">
        <f t="shared" si="272"/>
        <v/>
      </c>
    </row>
    <row r="2884" spans="7:15" x14ac:dyDescent="0.25">
      <c r="G2884" t="str">
        <f t="shared" si="270"/>
        <v/>
      </c>
      <c r="H2884" s="13" t="str">
        <f t="shared" si="273"/>
        <v/>
      </c>
      <c r="I2884" t="str">
        <f>IFERROR(INDEX(Analysis!$D$116:$N$137, MATCH(B2884, Analysis!$C$116:$C$137, 0), MATCH(C2884, Analysis!$D$115:$N$115, 0)), "")</f>
        <v/>
      </c>
      <c r="J2884" t="str">
        <f t="shared" si="274"/>
        <v/>
      </c>
      <c r="K2884" s="28" t="str">
        <f t="shared" si="271"/>
        <v/>
      </c>
      <c r="L2884" s="46" t="str">
        <f t="shared" si="275"/>
        <v/>
      </c>
      <c r="M2884" t="str" cm="1">
        <f t="array" ref="M2884">IF(L2884="","",_xlfn.IFS(
  AND(L2884&gt;=TIME(9,0,0), L2884&lt;TIME(16,0,0)),"Morning",
  AND(L2884&gt;=TIME(16,0,0), L2884&lt;TIME(23,59,0)),"Evening",
  L2884&gt;=TIME(23,59,0),"Night",
  L2884&lt;TIME(9,0,0),"Night"
))</f>
        <v/>
      </c>
      <c r="O2884" t="str">
        <f t="shared" si="272"/>
        <v/>
      </c>
    </row>
    <row r="2885" spans="7:15" x14ac:dyDescent="0.25">
      <c r="G2885" t="str">
        <f t="shared" si="270"/>
        <v/>
      </c>
      <c r="H2885" s="13" t="str">
        <f t="shared" si="273"/>
        <v/>
      </c>
      <c r="I2885" t="str">
        <f>IFERROR(INDEX(Analysis!$D$116:$N$137, MATCH(B2885, Analysis!$C$116:$C$137, 0), MATCH(C2885, Analysis!$D$115:$N$115, 0)), "")</f>
        <v/>
      </c>
      <c r="J2885" t="str">
        <f t="shared" si="274"/>
        <v/>
      </c>
      <c r="K2885" s="28" t="str">
        <f t="shared" si="271"/>
        <v/>
      </c>
      <c r="L2885" s="46" t="str">
        <f t="shared" si="275"/>
        <v/>
      </c>
      <c r="M2885" t="str" cm="1">
        <f t="array" ref="M2885">IF(L2885="","",_xlfn.IFS(
  AND(L2885&gt;=TIME(9,0,0), L2885&lt;TIME(16,0,0)),"Morning",
  AND(L2885&gt;=TIME(16,0,0), L2885&lt;TIME(23,59,0)),"Evening",
  L2885&gt;=TIME(23,59,0),"Night",
  L2885&lt;TIME(9,0,0),"Night"
))</f>
        <v/>
      </c>
      <c r="O2885" t="str">
        <f t="shared" si="272"/>
        <v/>
      </c>
    </row>
    <row r="2886" spans="7:15" x14ac:dyDescent="0.25">
      <c r="G2886" t="str">
        <f t="shared" si="270"/>
        <v/>
      </c>
      <c r="H2886" s="13" t="str">
        <f t="shared" si="273"/>
        <v/>
      </c>
      <c r="I2886" t="str">
        <f>IFERROR(INDEX(Analysis!$D$116:$N$137, MATCH(B2886, Analysis!$C$116:$C$137, 0), MATCH(C2886, Analysis!$D$115:$N$115, 0)), "")</f>
        <v/>
      </c>
      <c r="J2886" t="str">
        <f t="shared" si="274"/>
        <v/>
      </c>
      <c r="K2886" s="28" t="str">
        <f t="shared" si="271"/>
        <v/>
      </c>
      <c r="L2886" s="46" t="str">
        <f t="shared" si="275"/>
        <v/>
      </c>
      <c r="M2886" t="str" cm="1">
        <f t="array" ref="M2886">IF(L2886="","",_xlfn.IFS(
  AND(L2886&gt;=TIME(9,0,0), L2886&lt;TIME(16,0,0)),"Morning",
  AND(L2886&gt;=TIME(16,0,0), L2886&lt;TIME(23,59,0)),"Evening",
  L2886&gt;=TIME(23,59,0),"Night",
  L2886&lt;TIME(9,0,0),"Night"
))</f>
        <v/>
      </c>
      <c r="O2886" t="str">
        <f t="shared" si="272"/>
        <v/>
      </c>
    </row>
    <row r="2887" spans="7:15" x14ac:dyDescent="0.25">
      <c r="G2887" t="str">
        <f t="shared" si="270"/>
        <v/>
      </c>
      <c r="H2887" s="13" t="str">
        <f t="shared" si="273"/>
        <v/>
      </c>
      <c r="I2887" t="str">
        <f>IFERROR(INDEX(Analysis!$D$116:$N$137, MATCH(B2887, Analysis!$C$116:$C$137, 0), MATCH(C2887, Analysis!$D$115:$N$115, 0)), "")</f>
        <v/>
      </c>
      <c r="J2887" t="str">
        <f t="shared" si="274"/>
        <v/>
      </c>
      <c r="K2887" s="28" t="str">
        <f t="shared" si="271"/>
        <v/>
      </c>
      <c r="L2887" s="46" t="str">
        <f t="shared" si="275"/>
        <v/>
      </c>
      <c r="M2887" t="str" cm="1">
        <f t="array" ref="M2887">IF(L2887="","",_xlfn.IFS(
  AND(L2887&gt;=TIME(9,0,0), L2887&lt;TIME(16,0,0)),"Morning",
  AND(L2887&gt;=TIME(16,0,0), L2887&lt;TIME(23,59,0)),"Evening",
  L2887&gt;=TIME(23,59,0),"Night",
  L2887&lt;TIME(9,0,0),"Night"
))</f>
        <v/>
      </c>
      <c r="O2887" t="str">
        <f t="shared" si="272"/>
        <v/>
      </c>
    </row>
    <row r="2888" spans="7:15" x14ac:dyDescent="0.25">
      <c r="G2888" t="str">
        <f t="shared" si="270"/>
        <v/>
      </c>
      <c r="H2888" s="13" t="str">
        <f t="shared" si="273"/>
        <v/>
      </c>
      <c r="I2888" t="str">
        <f>IFERROR(INDEX(Analysis!$D$116:$N$137, MATCH(B2888, Analysis!$C$116:$C$137, 0), MATCH(C2888, Analysis!$D$115:$N$115, 0)), "")</f>
        <v/>
      </c>
      <c r="J2888" t="str">
        <f t="shared" si="274"/>
        <v/>
      </c>
      <c r="K2888" s="28" t="str">
        <f t="shared" si="271"/>
        <v/>
      </c>
      <c r="L2888" s="46" t="str">
        <f t="shared" si="275"/>
        <v/>
      </c>
      <c r="M2888" t="str" cm="1">
        <f t="array" ref="M2888">IF(L2888="","",_xlfn.IFS(
  AND(L2888&gt;=TIME(9,0,0), L2888&lt;TIME(16,0,0)),"Morning",
  AND(L2888&gt;=TIME(16,0,0), L2888&lt;TIME(23,59,0)),"Evening",
  L2888&gt;=TIME(23,59,0),"Night",
  L2888&lt;TIME(9,0,0),"Night"
))</f>
        <v/>
      </c>
      <c r="O2888" t="str">
        <f t="shared" si="272"/>
        <v/>
      </c>
    </row>
    <row r="2889" spans="7:15" x14ac:dyDescent="0.25">
      <c r="G2889" t="str">
        <f t="shared" si="270"/>
        <v/>
      </c>
      <c r="H2889" s="13" t="str">
        <f t="shared" si="273"/>
        <v/>
      </c>
      <c r="I2889" t="str">
        <f>IFERROR(INDEX(Analysis!$D$116:$N$137, MATCH(B2889, Analysis!$C$116:$C$137, 0), MATCH(C2889, Analysis!$D$115:$N$115, 0)), "")</f>
        <v/>
      </c>
      <c r="J2889" t="str">
        <f t="shared" si="274"/>
        <v/>
      </c>
      <c r="K2889" s="28" t="str">
        <f t="shared" si="271"/>
        <v/>
      </c>
      <c r="L2889" s="46" t="str">
        <f t="shared" si="275"/>
        <v/>
      </c>
      <c r="M2889" t="str" cm="1">
        <f t="array" ref="M2889">IF(L2889="","",_xlfn.IFS(
  AND(L2889&gt;=TIME(9,0,0), L2889&lt;TIME(16,0,0)),"Morning",
  AND(L2889&gt;=TIME(16,0,0), L2889&lt;TIME(23,59,0)),"Evening",
  L2889&gt;=TIME(23,59,0),"Night",
  L2889&lt;TIME(9,0,0),"Night"
))</f>
        <v/>
      </c>
      <c r="O2889" t="str">
        <f t="shared" si="272"/>
        <v/>
      </c>
    </row>
    <row r="2890" spans="7:15" x14ac:dyDescent="0.25">
      <c r="G2890" t="str">
        <f t="shared" si="270"/>
        <v/>
      </c>
      <c r="H2890" s="13" t="str">
        <f t="shared" si="273"/>
        <v/>
      </c>
      <c r="I2890" t="str">
        <f>IFERROR(INDEX(Analysis!$D$116:$N$137, MATCH(B2890, Analysis!$C$116:$C$137, 0), MATCH(C2890, Analysis!$D$115:$N$115, 0)), "")</f>
        <v/>
      </c>
      <c r="J2890" t="str">
        <f t="shared" si="274"/>
        <v/>
      </c>
      <c r="K2890" s="28" t="str">
        <f t="shared" si="271"/>
        <v/>
      </c>
      <c r="L2890" s="46" t="str">
        <f t="shared" si="275"/>
        <v/>
      </c>
      <c r="M2890" t="str" cm="1">
        <f t="array" ref="M2890">IF(L2890="","",_xlfn.IFS(
  AND(L2890&gt;=TIME(9,0,0), L2890&lt;TIME(16,0,0)),"Morning",
  AND(L2890&gt;=TIME(16,0,0), L2890&lt;TIME(23,59,0)),"Evening",
  L2890&gt;=TIME(23,59,0),"Night",
  L2890&lt;TIME(9,0,0),"Night"
))</f>
        <v/>
      </c>
      <c r="O2890" t="str">
        <f t="shared" si="272"/>
        <v/>
      </c>
    </row>
    <row r="2891" spans="7:15" x14ac:dyDescent="0.25">
      <c r="G2891" t="str">
        <f t="shared" si="270"/>
        <v/>
      </c>
      <c r="H2891" s="13" t="str">
        <f t="shared" si="273"/>
        <v/>
      </c>
      <c r="I2891" t="str">
        <f>IFERROR(INDEX(Analysis!$D$116:$N$137, MATCH(B2891, Analysis!$C$116:$C$137, 0), MATCH(C2891, Analysis!$D$115:$N$115, 0)), "")</f>
        <v/>
      </c>
      <c r="J2891" t="str">
        <f t="shared" si="274"/>
        <v/>
      </c>
      <c r="K2891" s="28" t="str">
        <f t="shared" si="271"/>
        <v/>
      </c>
      <c r="L2891" s="46" t="str">
        <f t="shared" si="275"/>
        <v/>
      </c>
      <c r="M2891" t="str" cm="1">
        <f t="array" ref="M2891">IF(L2891="","",_xlfn.IFS(
  AND(L2891&gt;=TIME(9,0,0), L2891&lt;TIME(16,0,0)),"Morning",
  AND(L2891&gt;=TIME(16,0,0), L2891&lt;TIME(23,59,0)),"Evening",
  L2891&gt;=TIME(23,59,0),"Night",
  L2891&lt;TIME(9,0,0),"Night"
))</f>
        <v/>
      </c>
      <c r="O2891" t="str">
        <f t="shared" si="272"/>
        <v/>
      </c>
    </row>
    <row r="2892" spans="7:15" x14ac:dyDescent="0.25">
      <c r="G2892" t="str">
        <f t="shared" si="270"/>
        <v/>
      </c>
      <c r="H2892" s="13" t="str">
        <f t="shared" si="273"/>
        <v/>
      </c>
      <c r="I2892" t="str">
        <f>IFERROR(INDEX(Analysis!$D$116:$N$137, MATCH(B2892, Analysis!$C$116:$C$137, 0), MATCH(C2892, Analysis!$D$115:$N$115, 0)), "")</f>
        <v/>
      </c>
      <c r="J2892" t="str">
        <f t="shared" si="274"/>
        <v/>
      </c>
      <c r="K2892" s="28" t="str">
        <f t="shared" si="271"/>
        <v/>
      </c>
      <c r="L2892" s="46" t="str">
        <f t="shared" si="275"/>
        <v/>
      </c>
      <c r="M2892" t="str" cm="1">
        <f t="array" ref="M2892">IF(L2892="","",_xlfn.IFS(
  AND(L2892&gt;=TIME(9,0,0), L2892&lt;TIME(16,0,0)),"Morning",
  AND(L2892&gt;=TIME(16,0,0), L2892&lt;TIME(23,59,0)),"Evening",
  L2892&gt;=TIME(23,59,0),"Night",
  L2892&lt;TIME(9,0,0),"Night"
))</f>
        <v/>
      </c>
      <c r="O2892" t="str">
        <f t="shared" si="272"/>
        <v/>
      </c>
    </row>
    <row r="2893" spans="7:15" x14ac:dyDescent="0.25">
      <c r="G2893" t="str">
        <f t="shared" si="270"/>
        <v/>
      </c>
      <c r="H2893" s="13" t="str">
        <f t="shared" si="273"/>
        <v/>
      </c>
      <c r="I2893" t="str">
        <f>IFERROR(INDEX(Analysis!$D$116:$N$137, MATCH(B2893, Analysis!$C$116:$C$137, 0), MATCH(C2893, Analysis!$D$115:$N$115, 0)), "")</f>
        <v/>
      </c>
      <c r="J2893" t="str">
        <f t="shared" si="274"/>
        <v/>
      </c>
      <c r="K2893" s="28" t="str">
        <f t="shared" si="271"/>
        <v/>
      </c>
      <c r="L2893" s="46" t="str">
        <f t="shared" si="275"/>
        <v/>
      </c>
      <c r="M2893" t="str" cm="1">
        <f t="array" ref="M2893">IF(L2893="","",_xlfn.IFS(
  AND(L2893&gt;=TIME(9,0,0), L2893&lt;TIME(16,0,0)),"Morning",
  AND(L2893&gt;=TIME(16,0,0), L2893&lt;TIME(23,59,0)),"Evening",
  L2893&gt;=TIME(23,59,0),"Night",
  L2893&lt;TIME(9,0,0),"Night"
))</f>
        <v/>
      </c>
      <c r="O2893" t="str">
        <f t="shared" si="272"/>
        <v/>
      </c>
    </row>
    <row r="2894" spans="7:15" x14ac:dyDescent="0.25">
      <c r="G2894" t="str">
        <f t="shared" si="270"/>
        <v/>
      </c>
      <c r="H2894" s="13" t="str">
        <f t="shared" si="273"/>
        <v/>
      </c>
      <c r="I2894" t="str">
        <f>IFERROR(INDEX(Analysis!$D$116:$N$137, MATCH(B2894, Analysis!$C$116:$C$137, 0), MATCH(C2894, Analysis!$D$115:$N$115, 0)), "")</f>
        <v/>
      </c>
      <c r="J2894" t="str">
        <f t="shared" si="274"/>
        <v/>
      </c>
      <c r="K2894" s="28" t="str">
        <f t="shared" si="271"/>
        <v/>
      </c>
      <c r="L2894" s="46" t="str">
        <f t="shared" si="275"/>
        <v/>
      </c>
      <c r="M2894" t="str" cm="1">
        <f t="array" ref="M2894">IF(L2894="","",_xlfn.IFS(
  AND(L2894&gt;=TIME(9,0,0), L2894&lt;TIME(16,0,0)),"Morning",
  AND(L2894&gt;=TIME(16,0,0), L2894&lt;TIME(23,59,0)),"Evening",
  L2894&gt;=TIME(23,59,0),"Night",
  L2894&lt;TIME(9,0,0),"Night"
))</f>
        <v/>
      </c>
      <c r="O2894" t="str">
        <f t="shared" si="272"/>
        <v/>
      </c>
    </row>
    <row r="2895" spans="7:15" x14ac:dyDescent="0.25">
      <c r="G2895" t="str">
        <f t="shared" si="270"/>
        <v/>
      </c>
      <c r="H2895" s="13" t="str">
        <f t="shared" si="273"/>
        <v/>
      </c>
      <c r="I2895" t="str">
        <f>IFERROR(INDEX(Analysis!$D$116:$N$137, MATCH(B2895, Analysis!$C$116:$C$137, 0), MATCH(C2895, Analysis!$D$115:$N$115, 0)), "")</f>
        <v/>
      </c>
      <c r="J2895" t="str">
        <f t="shared" si="274"/>
        <v/>
      </c>
      <c r="K2895" s="28" t="str">
        <f t="shared" si="271"/>
        <v/>
      </c>
      <c r="L2895" s="46" t="str">
        <f t="shared" si="275"/>
        <v/>
      </c>
      <c r="M2895" t="str" cm="1">
        <f t="array" ref="M2895">IF(L2895="","",_xlfn.IFS(
  AND(L2895&gt;=TIME(9,0,0), L2895&lt;TIME(16,0,0)),"Morning",
  AND(L2895&gt;=TIME(16,0,0), L2895&lt;TIME(23,59,0)),"Evening",
  L2895&gt;=TIME(23,59,0),"Night",
  L2895&lt;TIME(9,0,0),"Night"
))</f>
        <v/>
      </c>
      <c r="O2895" t="str">
        <f t="shared" si="272"/>
        <v/>
      </c>
    </row>
    <row r="2896" spans="7:15" x14ac:dyDescent="0.25">
      <c r="G2896" t="str">
        <f t="shared" si="270"/>
        <v/>
      </c>
      <c r="H2896" s="13" t="str">
        <f t="shared" si="273"/>
        <v/>
      </c>
      <c r="I2896" t="str">
        <f>IFERROR(INDEX(Analysis!$D$116:$N$137, MATCH(B2896, Analysis!$C$116:$C$137, 0), MATCH(C2896, Analysis!$D$115:$N$115, 0)), "")</f>
        <v/>
      </c>
      <c r="J2896" t="str">
        <f t="shared" si="274"/>
        <v/>
      </c>
      <c r="K2896" s="28" t="str">
        <f t="shared" si="271"/>
        <v/>
      </c>
      <c r="L2896" s="46" t="str">
        <f t="shared" si="275"/>
        <v/>
      </c>
      <c r="M2896" t="str" cm="1">
        <f t="array" ref="M2896">IF(L2896="","",_xlfn.IFS(
  AND(L2896&gt;=TIME(9,0,0), L2896&lt;TIME(16,0,0)),"Morning",
  AND(L2896&gt;=TIME(16,0,0), L2896&lt;TIME(23,59,0)),"Evening",
  L2896&gt;=TIME(23,59,0),"Night",
  L2896&lt;TIME(9,0,0),"Night"
))</f>
        <v/>
      </c>
      <c r="O2896" t="str">
        <f t="shared" si="272"/>
        <v/>
      </c>
    </row>
    <row r="2897" spans="7:15" x14ac:dyDescent="0.25">
      <c r="G2897" t="str">
        <f t="shared" si="270"/>
        <v/>
      </c>
      <c r="H2897" s="13" t="str">
        <f t="shared" si="273"/>
        <v/>
      </c>
      <c r="I2897" t="str">
        <f>IFERROR(INDEX(Analysis!$D$116:$N$137, MATCH(B2897, Analysis!$C$116:$C$137, 0), MATCH(C2897, Analysis!$D$115:$N$115, 0)), "")</f>
        <v/>
      </c>
      <c r="J2897" t="str">
        <f t="shared" si="274"/>
        <v/>
      </c>
      <c r="K2897" s="28" t="str">
        <f t="shared" si="271"/>
        <v/>
      </c>
      <c r="L2897" s="46" t="str">
        <f t="shared" si="275"/>
        <v/>
      </c>
      <c r="M2897" t="str" cm="1">
        <f t="array" ref="M2897">IF(L2897="","",_xlfn.IFS(
  AND(L2897&gt;=TIME(9,0,0), L2897&lt;TIME(16,0,0)),"Morning",
  AND(L2897&gt;=TIME(16,0,0), L2897&lt;TIME(23,59,0)),"Evening",
  L2897&gt;=TIME(23,59,0),"Night",
  L2897&lt;TIME(9,0,0),"Night"
))</f>
        <v/>
      </c>
      <c r="O2897" t="str">
        <f t="shared" si="272"/>
        <v/>
      </c>
    </row>
    <row r="2898" spans="7:15" x14ac:dyDescent="0.25">
      <c r="G2898" t="str">
        <f t="shared" si="270"/>
        <v/>
      </c>
      <c r="H2898" s="13" t="str">
        <f t="shared" si="273"/>
        <v/>
      </c>
      <c r="I2898" t="str">
        <f>IFERROR(INDEX(Analysis!$D$116:$N$137, MATCH(B2898, Analysis!$C$116:$C$137, 0), MATCH(C2898, Analysis!$D$115:$N$115, 0)), "")</f>
        <v/>
      </c>
      <c r="J2898" t="str">
        <f t="shared" si="274"/>
        <v/>
      </c>
      <c r="K2898" s="28" t="str">
        <f t="shared" si="271"/>
        <v/>
      </c>
      <c r="L2898" s="46" t="str">
        <f t="shared" si="275"/>
        <v/>
      </c>
      <c r="M2898" t="str" cm="1">
        <f t="array" ref="M2898">IF(L2898="","",_xlfn.IFS(
  AND(L2898&gt;=TIME(9,0,0), L2898&lt;TIME(16,0,0)),"Morning",
  AND(L2898&gt;=TIME(16,0,0), L2898&lt;TIME(23,59,0)),"Evening",
  L2898&gt;=TIME(23,59,0),"Night",
  L2898&lt;TIME(9,0,0),"Night"
))</f>
        <v/>
      </c>
      <c r="O2898" t="str">
        <f t="shared" si="272"/>
        <v/>
      </c>
    </row>
    <row r="2899" spans="7:15" x14ac:dyDescent="0.25">
      <c r="G2899" t="str">
        <f t="shared" si="270"/>
        <v/>
      </c>
      <c r="H2899" s="13" t="str">
        <f t="shared" si="273"/>
        <v/>
      </c>
      <c r="I2899" t="str">
        <f>IFERROR(INDEX(Analysis!$D$116:$N$137, MATCH(B2899, Analysis!$C$116:$C$137, 0), MATCH(C2899, Analysis!$D$115:$N$115, 0)), "")</f>
        <v/>
      </c>
      <c r="J2899" t="str">
        <f t="shared" si="274"/>
        <v/>
      </c>
      <c r="K2899" s="28" t="str">
        <f t="shared" si="271"/>
        <v/>
      </c>
      <c r="L2899" s="46" t="str">
        <f t="shared" si="275"/>
        <v/>
      </c>
      <c r="M2899" t="str" cm="1">
        <f t="array" ref="M2899">IF(L2899="","",_xlfn.IFS(
  AND(L2899&gt;=TIME(9,0,0), L2899&lt;TIME(16,0,0)),"Morning",
  AND(L2899&gt;=TIME(16,0,0), L2899&lt;TIME(23,59,0)),"Evening",
  L2899&gt;=TIME(23,59,0),"Night",
  L2899&lt;TIME(9,0,0),"Night"
))</f>
        <v/>
      </c>
      <c r="O2899" t="str">
        <f t="shared" si="272"/>
        <v/>
      </c>
    </row>
    <row r="2900" spans="7:15" x14ac:dyDescent="0.25">
      <c r="G2900" t="str">
        <f t="shared" si="270"/>
        <v/>
      </c>
      <c r="H2900" s="13" t="str">
        <f t="shared" si="273"/>
        <v/>
      </c>
      <c r="I2900" t="str">
        <f>IFERROR(INDEX(Analysis!$D$116:$N$137, MATCH(B2900, Analysis!$C$116:$C$137, 0), MATCH(C2900, Analysis!$D$115:$N$115, 0)), "")</f>
        <v/>
      </c>
      <c r="J2900" t="str">
        <f t="shared" si="274"/>
        <v/>
      </c>
      <c r="K2900" s="28" t="str">
        <f t="shared" si="271"/>
        <v/>
      </c>
      <c r="L2900" s="46" t="str">
        <f t="shared" si="275"/>
        <v/>
      </c>
      <c r="M2900" t="str" cm="1">
        <f t="array" ref="M2900">IF(L2900="","",_xlfn.IFS(
  AND(L2900&gt;=TIME(9,0,0), L2900&lt;TIME(16,0,0)),"Morning",
  AND(L2900&gt;=TIME(16,0,0), L2900&lt;TIME(23,59,0)),"Evening",
  L2900&gt;=TIME(23,59,0),"Night",
  L2900&lt;TIME(9,0,0),"Night"
))</f>
        <v/>
      </c>
      <c r="O2900" t="str">
        <f t="shared" si="272"/>
        <v/>
      </c>
    </row>
    <row r="2901" spans="7:15" x14ac:dyDescent="0.25">
      <c r="G2901" t="str">
        <f t="shared" si="270"/>
        <v/>
      </c>
      <c r="H2901" s="13" t="str">
        <f t="shared" si="273"/>
        <v/>
      </c>
      <c r="I2901" t="str">
        <f>IFERROR(INDEX(Analysis!$D$116:$N$137, MATCH(B2901, Analysis!$C$116:$C$137, 0), MATCH(C2901, Analysis!$D$115:$N$115, 0)), "")</f>
        <v/>
      </c>
      <c r="J2901" t="str">
        <f t="shared" si="274"/>
        <v/>
      </c>
      <c r="K2901" s="28" t="str">
        <f t="shared" si="271"/>
        <v/>
      </c>
      <c r="L2901" s="46" t="str">
        <f t="shared" si="275"/>
        <v/>
      </c>
      <c r="M2901" t="str" cm="1">
        <f t="array" ref="M2901">IF(L2901="","",_xlfn.IFS(
  AND(L2901&gt;=TIME(9,0,0), L2901&lt;TIME(16,0,0)),"Morning",
  AND(L2901&gt;=TIME(16,0,0), L2901&lt;TIME(23,59,0)),"Evening",
  L2901&gt;=TIME(23,59,0),"Night",
  L2901&lt;TIME(9,0,0),"Night"
))</f>
        <v/>
      </c>
      <c r="O2901" t="str">
        <f t="shared" si="272"/>
        <v/>
      </c>
    </row>
    <row r="2902" spans="7:15" x14ac:dyDescent="0.25">
      <c r="G2902" t="str">
        <f t="shared" si="270"/>
        <v/>
      </c>
      <c r="H2902" s="13" t="str">
        <f t="shared" si="273"/>
        <v/>
      </c>
      <c r="I2902" t="str">
        <f>IFERROR(INDEX(Analysis!$D$116:$N$137, MATCH(B2902, Analysis!$C$116:$C$137, 0), MATCH(C2902, Analysis!$D$115:$N$115, 0)), "")</f>
        <v/>
      </c>
      <c r="J2902" t="str">
        <f t="shared" si="274"/>
        <v/>
      </c>
      <c r="K2902" s="28" t="str">
        <f t="shared" si="271"/>
        <v/>
      </c>
      <c r="L2902" s="46" t="str">
        <f t="shared" si="275"/>
        <v/>
      </c>
      <c r="M2902" t="str" cm="1">
        <f t="array" ref="M2902">IF(L2902="","",_xlfn.IFS(
  AND(L2902&gt;=TIME(9,0,0), L2902&lt;TIME(16,0,0)),"Morning",
  AND(L2902&gt;=TIME(16,0,0), L2902&lt;TIME(23,59,0)),"Evening",
  L2902&gt;=TIME(23,59,0),"Night",
  L2902&lt;TIME(9,0,0),"Night"
))</f>
        <v/>
      </c>
      <c r="O2902" t="str">
        <f t="shared" si="272"/>
        <v/>
      </c>
    </row>
    <row r="2903" spans="7:15" x14ac:dyDescent="0.25">
      <c r="G2903" t="str">
        <f t="shared" si="270"/>
        <v/>
      </c>
      <c r="H2903" s="13" t="str">
        <f t="shared" si="273"/>
        <v/>
      </c>
      <c r="I2903" t="str">
        <f>IFERROR(INDEX(Analysis!$D$116:$N$137, MATCH(B2903, Analysis!$C$116:$C$137, 0), MATCH(C2903, Analysis!$D$115:$N$115, 0)), "")</f>
        <v/>
      </c>
      <c r="J2903" t="str">
        <f t="shared" si="274"/>
        <v/>
      </c>
      <c r="K2903" s="28" t="str">
        <f t="shared" si="271"/>
        <v/>
      </c>
      <c r="L2903" s="46" t="str">
        <f t="shared" si="275"/>
        <v/>
      </c>
      <c r="M2903" t="str" cm="1">
        <f t="array" ref="M2903">IF(L2903="","",_xlfn.IFS(
  AND(L2903&gt;=TIME(9,0,0), L2903&lt;TIME(16,0,0)),"Morning",
  AND(L2903&gt;=TIME(16,0,0), L2903&lt;TIME(23,59,0)),"Evening",
  L2903&gt;=TIME(23,59,0),"Night",
  L2903&lt;TIME(9,0,0),"Night"
))</f>
        <v/>
      </c>
      <c r="O2903" t="str">
        <f t="shared" si="272"/>
        <v/>
      </c>
    </row>
    <row r="2904" spans="7:15" x14ac:dyDescent="0.25">
      <c r="G2904" t="str">
        <f t="shared" si="270"/>
        <v/>
      </c>
      <c r="H2904" s="13" t="str">
        <f t="shared" si="273"/>
        <v/>
      </c>
      <c r="I2904" t="str">
        <f>IFERROR(INDEX(Analysis!$D$116:$N$137, MATCH(B2904, Analysis!$C$116:$C$137, 0), MATCH(C2904, Analysis!$D$115:$N$115, 0)), "")</f>
        <v/>
      </c>
      <c r="J2904" t="str">
        <f t="shared" si="274"/>
        <v/>
      </c>
      <c r="K2904" s="28" t="str">
        <f t="shared" si="271"/>
        <v/>
      </c>
      <c r="L2904" s="46" t="str">
        <f t="shared" si="275"/>
        <v/>
      </c>
      <c r="M2904" t="str" cm="1">
        <f t="array" ref="M2904">IF(L2904="","",_xlfn.IFS(
  AND(L2904&gt;=TIME(9,0,0), L2904&lt;TIME(16,0,0)),"Morning",
  AND(L2904&gt;=TIME(16,0,0), L2904&lt;TIME(23,59,0)),"Evening",
  L2904&gt;=TIME(23,59,0),"Night",
  L2904&lt;TIME(9,0,0),"Night"
))</f>
        <v/>
      </c>
      <c r="O2904" t="str">
        <f t="shared" si="272"/>
        <v/>
      </c>
    </row>
    <row r="2905" spans="7:15" x14ac:dyDescent="0.25">
      <c r="G2905" t="str">
        <f t="shared" si="270"/>
        <v/>
      </c>
      <c r="H2905" s="13" t="str">
        <f t="shared" si="273"/>
        <v/>
      </c>
      <c r="I2905" t="str">
        <f>IFERROR(INDEX(Analysis!$D$116:$N$137, MATCH(B2905, Analysis!$C$116:$C$137, 0), MATCH(C2905, Analysis!$D$115:$N$115, 0)), "")</f>
        <v/>
      </c>
      <c r="J2905" t="str">
        <f t="shared" si="274"/>
        <v/>
      </c>
      <c r="K2905" s="28" t="str">
        <f t="shared" si="271"/>
        <v/>
      </c>
      <c r="L2905" s="46" t="str">
        <f t="shared" si="275"/>
        <v/>
      </c>
      <c r="M2905" t="str" cm="1">
        <f t="array" ref="M2905">IF(L2905="","",_xlfn.IFS(
  AND(L2905&gt;=TIME(9,0,0), L2905&lt;TIME(16,0,0)),"Morning",
  AND(L2905&gt;=TIME(16,0,0), L2905&lt;TIME(23,59,0)),"Evening",
  L2905&gt;=TIME(23,59,0),"Night",
  L2905&lt;TIME(9,0,0),"Night"
))</f>
        <v/>
      </c>
      <c r="O2905" t="str">
        <f t="shared" si="272"/>
        <v/>
      </c>
    </row>
    <row r="2906" spans="7:15" x14ac:dyDescent="0.25">
      <c r="G2906" t="str">
        <f t="shared" si="270"/>
        <v/>
      </c>
      <c r="H2906" s="13" t="str">
        <f t="shared" si="273"/>
        <v/>
      </c>
      <c r="I2906" t="str">
        <f>IFERROR(INDEX(Analysis!$D$116:$N$137, MATCH(B2906, Analysis!$C$116:$C$137, 0), MATCH(C2906, Analysis!$D$115:$N$115, 0)), "")</f>
        <v/>
      </c>
      <c r="J2906" t="str">
        <f t="shared" si="274"/>
        <v/>
      </c>
      <c r="K2906" s="28" t="str">
        <f t="shared" si="271"/>
        <v/>
      </c>
      <c r="L2906" s="46" t="str">
        <f t="shared" si="275"/>
        <v/>
      </c>
      <c r="M2906" t="str" cm="1">
        <f t="array" ref="M2906">IF(L2906="","",_xlfn.IFS(
  AND(L2906&gt;=TIME(9,0,0), L2906&lt;TIME(16,0,0)),"Morning",
  AND(L2906&gt;=TIME(16,0,0), L2906&lt;TIME(23,59,0)),"Evening",
  L2906&gt;=TIME(23,59,0),"Night",
  L2906&lt;TIME(9,0,0),"Night"
))</f>
        <v/>
      </c>
      <c r="O2906" t="str">
        <f t="shared" si="272"/>
        <v/>
      </c>
    </row>
    <row r="2907" spans="7:15" x14ac:dyDescent="0.25">
      <c r="G2907" t="str">
        <f t="shared" si="270"/>
        <v/>
      </c>
      <c r="H2907" s="13" t="str">
        <f t="shared" si="273"/>
        <v/>
      </c>
      <c r="I2907" t="str">
        <f>IFERROR(INDEX(Analysis!$D$116:$N$137, MATCH(B2907, Analysis!$C$116:$C$137, 0), MATCH(C2907, Analysis!$D$115:$N$115, 0)), "")</f>
        <v/>
      </c>
      <c r="J2907" t="str">
        <f t="shared" si="274"/>
        <v/>
      </c>
      <c r="K2907" s="28" t="str">
        <f t="shared" si="271"/>
        <v/>
      </c>
      <c r="L2907" s="46" t="str">
        <f t="shared" si="275"/>
        <v/>
      </c>
      <c r="M2907" t="str" cm="1">
        <f t="array" ref="M2907">IF(L2907="","",_xlfn.IFS(
  AND(L2907&gt;=TIME(9,0,0), L2907&lt;TIME(16,0,0)),"Morning",
  AND(L2907&gt;=TIME(16,0,0), L2907&lt;TIME(23,59,0)),"Evening",
  L2907&gt;=TIME(23,59,0),"Night",
  L2907&lt;TIME(9,0,0),"Night"
))</f>
        <v/>
      </c>
      <c r="O2907" t="str">
        <f t="shared" si="272"/>
        <v/>
      </c>
    </row>
    <row r="2908" spans="7:15" x14ac:dyDescent="0.25">
      <c r="G2908" t="str">
        <f t="shared" si="270"/>
        <v/>
      </c>
      <c r="H2908" s="13" t="str">
        <f t="shared" si="273"/>
        <v/>
      </c>
      <c r="I2908" t="str">
        <f>IFERROR(INDEX(Analysis!$D$116:$N$137, MATCH(B2908, Analysis!$C$116:$C$137, 0), MATCH(C2908, Analysis!$D$115:$N$115, 0)), "")</f>
        <v/>
      </c>
      <c r="J2908" t="str">
        <f t="shared" si="274"/>
        <v/>
      </c>
      <c r="K2908" s="28" t="str">
        <f t="shared" si="271"/>
        <v/>
      </c>
      <c r="L2908" s="46" t="str">
        <f t="shared" si="275"/>
        <v/>
      </c>
      <c r="M2908" t="str" cm="1">
        <f t="array" ref="M2908">IF(L2908="","",_xlfn.IFS(
  AND(L2908&gt;=TIME(9,0,0), L2908&lt;TIME(16,0,0)),"Morning",
  AND(L2908&gt;=TIME(16,0,0), L2908&lt;TIME(23,59,0)),"Evening",
  L2908&gt;=TIME(23,59,0),"Night",
  L2908&lt;TIME(9,0,0),"Night"
))</f>
        <v/>
      </c>
      <c r="O2908" t="str">
        <f t="shared" si="272"/>
        <v/>
      </c>
    </row>
    <row r="2909" spans="7:15" x14ac:dyDescent="0.25">
      <c r="G2909" t="str">
        <f t="shared" si="270"/>
        <v/>
      </c>
      <c r="H2909" s="13" t="str">
        <f t="shared" si="273"/>
        <v/>
      </c>
      <c r="I2909" t="str">
        <f>IFERROR(INDEX(Analysis!$D$116:$N$137, MATCH(B2909, Analysis!$C$116:$C$137, 0), MATCH(C2909, Analysis!$D$115:$N$115, 0)), "")</f>
        <v/>
      </c>
      <c r="J2909" t="str">
        <f t="shared" si="274"/>
        <v/>
      </c>
      <c r="K2909" s="28" t="str">
        <f t="shared" si="271"/>
        <v/>
      </c>
      <c r="L2909" s="46" t="str">
        <f t="shared" si="275"/>
        <v/>
      </c>
      <c r="M2909" t="str" cm="1">
        <f t="array" ref="M2909">IF(L2909="","",_xlfn.IFS(
  AND(L2909&gt;=TIME(9,0,0), L2909&lt;TIME(16,0,0)),"Morning",
  AND(L2909&gt;=TIME(16,0,0), L2909&lt;TIME(23,59,0)),"Evening",
  L2909&gt;=TIME(23,59,0),"Night",
  L2909&lt;TIME(9,0,0),"Night"
))</f>
        <v/>
      </c>
      <c r="O2909" t="str">
        <f t="shared" si="272"/>
        <v/>
      </c>
    </row>
    <row r="2910" spans="7:15" x14ac:dyDescent="0.25">
      <c r="G2910" t="str">
        <f t="shared" si="270"/>
        <v/>
      </c>
      <c r="H2910" s="13" t="str">
        <f t="shared" si="273"/>
        <v/>
      </c>
      <c r="I2910" t="str">
        <f>IFERROR(INDEX(Analysis!$D$116:$N$137, MATCH(B2910, Analysis!$C$116:$C$137, 0), MATCH(C2910, Analysis!$D$115:$N$115, 0)), "")</f>
        <v/>
      </c>
      <c r="J2910" t="str">
        <f t="shared" si="274"/>
        <v/>
      </c>
      <c r="K2910" s="28" t="str">
        <f t="shared" si="271"/>
        <v/>
      </c>
      <c r="L2910" s="46" t="str">
        <f t="shared" si="275"/>
        <v/>
      </c>
      <c r="M2910" t="str" cm="1">
        <f t="array" ref="M2910">IF(L2910="","",_xlfn.IFS(
  AND(L2910&gt;=TIME(9,0,0), L2910&lt;TIME(16,0,0)),"Morning",
  AND(L2910&gt;=TIME(16,0,0), L2910&lt;TIME(23,59,0)),"Evening",
  L2910&gt;=TIME(23,59,0),"Night",
  L2910&lt;TIME(9,0,0),"Night"
))</f>
        <v/>
      </c>
      <c r="O2910" t="str">
        <f t="shared" si="272"/>
        <v/>
      </c>
    </row>
    <row r="2911" spans="7:15" x14ac:dyDescent="0.25">
      <c r="G2911" t="str">
        <f t="shared" si="270"/>
        <v/>
      </c>
      <c r="H2911" s="13" t="str">
        <f t="shared" si="273"/>
        <v/>
      </c>
      <c r="I2911" t="str">
        <f>IFERROR(INDEX(Analysis!$D$116:$N$137, MATCH(B2911, Analysis!$C$116:$C$137, 0), MATCH(C2911, Analysis!$D$115:$N$115, 0)), "")</f>
        <v/>
      </c>
      <c r="J2911" t="str">
        <f t="shared" si="274"/>
        <v/>
      </c>
      <c r="K2911" s="28" t="str">
        <f t="shared" si="271"/>
        <v/>
      </c>
      <c r="L2911" s="46" t="str">
        <f t="shared" si="275"/>
        <v/>
      </c>
      <c r="M2911" t="str" cm="1">
        <f t="array" ref="M2911">IF(L2911="","",_xlfn.IFS(
  AND(L2911&gt;=TIME(9,0,0), L2911&lt;TIME(16,0,0)),"Morning",
  AND(L2911&gt;=TIME(16,0,0), L2911&lt;TIME(23,59,0)),"Evening",
  L2911&gt;=TIME(23,59,0),"Night",
  L2911&lt;TIME(9,0,0),"Night"
))</f>
        <v/>
      </c>
      <c r="O2911" t="str">
        <f t="shared" si="272"/>
        <v/>
      </c>
    </row>
    <row r="2912" spans="7:15" x14ac:dyDescent="0.25">
      <c r="G2912" t="str">
        <f t="shared" si="270"/>
        <v/>
      </c>
      <c r="H2912" s="13" t="str">
        <f t="shared" si="273"/>
        <v/>
      </c>
      <c r="I2912" t="str">
        <f>IFERROR(INDEX(Analysis!$D$116:$N$137, MATCH(B2912, Analysis!$C$116:$C$137, 0), MATCH(C2912, Analysis!$D$115:$N$115, 0)), "")</f>
        <v/>
      </c>
      <c r="J2912" t="str">
        <f t="shared" si="274"/>
        <v/>
      </c>
      <c r="K2912" s="28" t="str">
        <f t="shared" si="271"/>
        <v/>
      </c>
      <c r="L2912" s="46" t="str">
        <f t="shared" si="275"/>
        <v/>
      </c>
      <c r="M2912" t="str" cm="1">
        <f t="array" ref="M2912">IF(L2912="","",_xlfn.IFS(
  AND(L2912&gt;=TIME(9,0,0), L2912&lt;TIME(16,0,0)),"Morning",
  AND(L2912&gt;=TIME(16,0,0), L2912&lt;TIME(23,59,0)),"Evening",
  L2912&gt;=TIME(23,59,0),"Night",
  L2912&lt;TIME(9,0,0),"Night"
))</f>
        <v/>
      </c>
      <c r="O2912" t="str">
        <f t="shared" si="272"/>
        <v/>
      </c>
    </row>
    <row r="2913" spans="7:15" x14ac:dyDescent="0.25">
      <c r="G2913" t="str">
        <f t="shared" si="270"/>
        <v/>
      </c>
      <c r="H2913" s="13" t="str">
        <f t="shared" si="273"/>
        <v/>
      </c>
      <c r="I2913" t="str">
        <f>IFERROR(INDEX(Analysis!$D$116:$N$137, MATCH(B2913, Analysis!$C$116:$C$137, 0), MATCH(C2913, Analysis!$D$115:$N$115, 0)), "")</f>
        <v/>
      </c>
      <c r="J2913" t="str">
        <f t="shared" si="274"/>
        <v/>
      </c>
      <c r="K2913" s="28" t="str">
        <f t="shared" si="271"/>
        <v/>
      </c>
      <c r="L2913" s="46" t="str">
        <f t="shared" si="275"/>
        <v/>
      </c>
      <c r="M2913" t="str" cm="1">
        <f t="array" ref="M2913">IF(L2913="","",_xlfn.IFS(
  AND(L2913&gt;=TIME(9,0,0), L2913&lt;TIME(16,0,0)),"Morning",
  AND(L2913&gt;=TIME(16,0,0), L2913&lt;TIME(23,59,0)),"Evening",
  L2913&gt;=TIME(23,59,0),"Night",
  L2913&lt;TIME(9,0,0),"Night"
))</f>
        <v/>
      </c>
      <c r="O2913" t="str">
        <f t="shared" si="272"/>
        <v/>
      </c>
    </row>
    <row r="2914" spans="7:15" x14ac:dyDescent="0.25">
      <c r="G2914" t="str">
        <f t="shared" si="270"/>
        <v/>
      </c>
      <c r="H2914" s="13" t="str">
        <f t="shared" si="273"/>
        <v/>
      </c>
      <c r="I2914" t="str">
        <f>IFERROR(INDEX(Analysis!$D$116:$N$137, MATCH(B2914, Analysis!$C$116:$C$137, 0), MATCH(C2914, Analysis!$D$115:$N$115, 0)), "")</f>
        <v/>
      </c>
      <c r="J2914" t="str">
        <f t="shared" si="274"/>
        <v/>
      </c>
      <c r="K2914" s="28" t="str">
        <f t="shared" si="271"/>
        <v/>
      </c>
      <c r="L2914" s="46" t="str">
        <f t="shared" si="275"/>
        <v/>
      </c>
      <c r="M2914" t="str" cm="1">
        <f t="array" ref="M2914">IF(L2914="","",_xlfn.IFS(
  AND(L2914&gt;=TIME(9,0,0), L2914&lt;TIME(16,0,0)),"Morning",
  AND(L2914&gt;=TIME(16,0,0), L2914&lt;TIME(23,59,0)),"Evening",
  L2914&gt;=TIME(23,59,0),"Night",
  L2914&lt;TIME(9,0,0),"Night"
))</f>
        <v/>
      </c>
      <c r="O2914" t="str">
        <f t="shared" si="272"/>
        <v/>
      </c>
    </row>
    <row r="2915" spans="7:15" x14ac:dyDescent="0.25">
      <c r="G2915" t="str">
        <f t="shared" si="270"/>
        <v/>
      </c>
      <c r="H2915" s="13" t="str">
        <f t="shared" si="273"/>
        <v/>
      </c>
      <c r="I2915" t="str">
        <f>IFERROR(INDEX(Analysis!$D$116:$N$137, MATCH(B2915, Analysis!$C$116:$C$137, 0), MATCH(C2915, Analysis!$D$115:$N$115, 0)), "")</f>
        <v/>
      </c>
      <c r="J2915" t="str">
        <f t="shared" si="274"/>
        <v/>
      </c>
      <c r="K2915" s="28" t="str">
        <f t="shared" si="271"/>
        <v/>
      </c>
      <c r="L2915" s="46" t="str">
        <f t="shared" si="275"/>
        <v/>
      </c>
      <c r="M2915" t="str" cm="1">
        <f t="array" ref="M2915">IF(L2915="","",_xlfn.IFS(
  AND(L2915&gt;=TIME(9,0,0), L2915&lt;TIME(16,0,0)),"Morning",
  AND(L2915&gt;=TIME(16,0,0), L2915&lt;TIME(23,59,0)),"Evening",
  L2915&gt;=TIME(23,59,0),"Night",
  L2915&lt;TIME(9,0,0),"Night"
))</f>
        <v/>
      </c>
      <c r="O2915" t="str">
        <f t="shared" si="272"/>
        <v/>
      </c>
    </row>
    <row r="2916" spans="7:15" x14ac:dyDescent="0.25">
      <c r="G2916" t="str">
        <f t="shared" si="270"/>
        <v/>
      </c>
      <c r="H2916" s="13" t="str">
        <f t="shared" si="273"/>
        <v/>
      </c>
      <c r="I2916" t="str">
        <f>IFERROR(INDEX(Analysis!$D$116:$N$137, MATCH(B2916, Analysis!$C$116:$C$137, 0), MATCH(C2916, Analysis!$D$115:$N$115, 0)), "")</f>
        <v/>
      </c>
      <c r="J2916" t="str">
        <f t="shared" si="274"/>
        <v/>
      </c>
      <c r="K2916" s="28" t="str">
        <f t="shared" si="271"/>
        <v/>
      </c>
      <c r="L2916" s="46" t="str">
        <f t="shared" si="275"/>
        <v/>
      </c>
      <c r="M2916" t="str" cm="1">
        <f t="array" ref="M2916">IF(L2916="","",_xlfn.IFS(
  AND(L2916&gt;=TIME(9,0,0), L2916&lt;TIME(16,0,0)),"Morning",
  AND(L2916&gt;=TIME(16,0,0), L2916&lt;TIME(23,59,0)),"Evening",
  L2916&gt;=TIME(23,59,0),"Night",
  L2916&lt;TIME(9,0,0),"Night"
))</f>
        <v/>
      </c>
      <c r="O2916" t="str">
        <f t="shared" si="272"/>
        <v/>
      </c>
    </row>
    <row r="2917" spans="7:15" x14ac:dyDescent="0.25">
      <c r="G2917" t="str">
        <f t="shared" si="270"/>
        <v/>
      </c>
      <c r="H2917" s="13" t="str">
        <f t="shared" si="273"/>
        <v/>
      </c>
      <c r="I2917" t="str">
        <f>IFERROR(INDEX(Analysis!$D$116:$N$137, MATCH(B2917, Analysis!$C$116:$C$137, 0), MATCH(C2917, Analysis!$D$115:$N$115, 0)), "")</f>
        <v/>
      </c>
      <c r="J2917" t="str">
        <f t="shared" si="274"/>
        <v/>
      </c>
      <c r="K2917" s="28" t="str">
        <f t="shared" si="271"/>
        <v/>
      </c>
      <c r="L2917" s="46" t="str">
        <f t="shared" si="275"/>
        <v/>
      </c>
      <c r="M2917" t="str" cm="1">
        <f t="array" ref="M2917">IF(L2917="","",_xlfn.IFS(
  AND(L2917&gt;=TIME(9,0,0), L2917&lt;TIME(16,0,0)),"Morning",
  AND(L2917&gt;=TIME(16,0,0), L2917&lt;TIME(23,59,0)),"Evening",
  L2917&gt;=TIME(23,59,0),"Night",
  L2917&lt;TIME(9,0,0),"Night"
))</f>
        <v/>
      </c>
      <c r="O2917" t="str">
        <f t="shared" si="272"/>
        <v/>
      </c>
    </row>
    <row r="2918" spans="7:15" x14ac:dyDescent="0.25">
      <c r="G2918" t="str">
        <f t="shared" si="270"/>
        <v/>
      </c>
      <c r="H2918" s="13" t="str">
        <f t="shared" si="273"/>
        <v/>
      </c>
      <c r="I2918" t="str">
        <f>IFERROR(INDEX(Analysis!$D$116:$N$137, MATCH(B2918, Analysis!$C$116:$C$137, 0), MATCH(C2918, Analysis!$D$115:$N$115, 0)), "")</f>
        <v/>
      </c>
      <c r="J2918" t="str">
        <f t="shared" si="274"/>
        <v/>
      </c>
      <c r="K2918" s="28" t="str">
        <f t="shared" si="271"/>
        <v/>
      </c>
      <c r="L2918" s="46" t="str">
        <f t="shared" si="275"/>
        <v/>
      </c>
      <c r="M2918" t="str" cm="1">
        <f t="array" ref="M2918">IF(L2918="","",_xlfn.IFS(
  AND(L2918&gt;=TIME(9,0,0), L2918&lt;TIME(16,0,0)),"Morning",
  AND(L2918&gt;=TIME(16,0,0), L2918&lt;TIME(23,59,0)),"Evening",
  L2918&gt;=TIME(23,59,0),"Night",
  L2918&lt;TIME(9,0,0),"Night"
))</f>
        <v/>
      </c>
      <c r="O2918" t="str">
        <f t="shared" si="272"/>
        <v/>
      </c>
    </row>
    <row r="2919" spans="7:15" x14ac:dyDescent="0.25">
      <c r="G2919" t="str">
        <f t="shared" si="270"/>
        <v/>
      </c>
      <c r="H2919" s="13" t="str">
        <f t="shared" si="273"/>
        <v/>
      </c>
      <c r="I2919" t="str">
        <f>IFERROR(INDEX(Analysis!$D$116:$N$137, MATCH(B2919, Analysis!$C$116:$C$137, 0), MATCH(C2919, Analysis!$D$115:$N$115, 0)), "")</f>
        <v/>
      </c>
      <c r="J2919" t="str">
        <f t="shared" si="274"/>
        <v/>
      </c>
      <c r="K2919" s="28" t="str">
        <f t="shared" si="271"/>
        <v/>
      </c>
      <c r="L2919" s="46" t="str">
        <f t="shared" si="275"/>
        <v/>
      </c>
      <c r="M2919" t="str" cm="1">
        <f t="array" ref="M2919">IF(L2919="","",_xlfn.IFS(
  AND(L2919&gt;=TIME(9,0,0), L2919&lt;TIME(16,0,0)),"Morning",
  AND(L2919&gt;=TIME(16,0,0), L2919&lt;TIME(23,59,0)),"Evening",
  L2919&gt;=TIME(23,59,0),"Night",
  L2919&lt;TIME(9,0,0),"Night"
))</f>
        <v/>
      </c>
      <c r="O2919" t="str">
        <f t="shared" si="272"/>
        <v/>
      </c>
    </row>
    <row r="2920" spans="7:15" x14ac:dyDescent="0.25">
      <c r="G2920" t="str">
        <f t="shared" si="270"/>
        <v/>
      </c>
      <c r="H2920" s="13" t="str">
        <f t="shared" si="273"/>
        <v/>
      </c>
      <c r="I2920" t="str">
        <f>IFERROR(INDEX(Analysis!$D$116:$N$137, MATCH(B2920, Analysis!$C$116:$C$137, 0), MATCH(C2920, Analysis!$D$115:$N$115, 0)), "")</f>
        <v/>
      </c>
      <c r="J2920" t="str">
        <f t="shared" si="274"/>
        <v/>
      </c>
      <c r="K2920" s="28" t="str">
        <f t="shared" si="271"/>
        <v/>
      </c>
      <c r="L2920" s="46" t="str">
        <f t="shared" si="275"/>
        <v/>
      </c>
      <c r="M2920" t="str" cm="1">
        <f t="array" ref="M2920">IF(L2920="","",_xlfn.IFS(
  AND(L2920&gt;=TIME(9,0,0), L2920&lt;TIME(16,0,0)),"Morning",
  AND(L2920&gt;=TIME(16,0,0), L2920&lt;TIME(23,59,0)),"Evening",
  L2920&gt;=TIME(23,59,0),"Night",
  L2920&lt;TIME(9,0,0),"Night"
))</f>
        <v/>
      </c>
      <c r="O2920" t="str">
        <f t="shared" si="272"/>
        <v/>
      </c>
    </row>
    <row r="2921" spans="7:15" x14ac:dyDescent="0.25">
      <c r="G2921" t="str">
        <f t="shared" si="270"/>
        <v/>
      </c>
      <c r="H2921" s="13" t="str">
        <f t="shared" si="273"/>
        <v/>
      </c>
      <c r="I2921" t="str">
        <f>IFERROR(INDEX(Analysis!$D$116:$N$137, MATCH(B2921, Analysis!$C$116:$C$137, 0), MATCH(C2921, Analysis!$D$115:$N$115, 0)), "")</f>
        <v/>
      </c>
      <c r="J2921" t="str">
        <f t="shared" si="274"/>
        <v/>
      </c>
      <c r="K2921" s="28" t="str">
        <f t="shared" si="271"/>
        <v/>
      </c>
      <c r="L2921" s="46" t="str">
        <f t="shared" si="275"/>
        <v/>
      </c>
      <c r="M2921" t="str" cm="1">
        <f t="array" ref="M2921">IF(L2921="","",_xlfn.IFS(
  AND(L2921&gt;=TIME(9,0,0), L2921&lt;TIME(16,0,0)),"Morning",
  AND(L2921&gt;=TIME(16,0,0), L2921&lt;TIME(23,59,0)),"Evening",
  L2921&gt;=TIME(23,59,0),"Night",
  L2921&lt;TIME(9,0,0),"Night"
))</f>
        <v/>
      </c>
      <c r="O2921" t="str">
        <f t="shared" si="272"/>
        <v/>
      </c>
    </row>
    <row r="2922" spans="7:15" x14ac:dyDescent="0.25">
      <c r="G2922" t="str">
        <f t="shared" si="270"/>
        <v/>
      </c>
      <c r="H2922" s="13" t="str">
        <f t="shared" si="273"/>
        <v/>
      </c>
      <c r="I2922" t="str">
        <f>IFERROR(INDEX(Analysis!$D$116:$N$137, MATCH(B2922, Analysis!$C$116:$C$137, 0), MATCH(C2922, Analysis!$D$115:$N$115, 0)), "")</f>
        <v/>
      </c>
      <c r="J2922" t="str">
        <f t="shared" si="274"/>
        <v/>
      </c>
      <c r="K2922" s="28" t="str">
        <f t="shared" si="271"/>
        <v/>
      </c>
      <c r="L2922" s="46" t="str">
        <f t="shared" si="275"/>
        <v/>
      </c>
      <c r="M2922" t="str" cm="1">
        <f t="array" ref="M2922">IF(L2922="","",_xlfn.IFS(
  AND(L2922&gt;=TIME(9,0,0), L2922&lt;TIME(16,0,0)),"Morning",
  AND(L2922&gt;=TIME(16,0,0), L2922&lt;TIME(23,59,0)),"Evening",
  L2922&gt;=TIME(23,59,0),"Night",
  L2922&lt;TIME(9,0,0),"Night"
))</f>
        <v/>
      </c>
      <c r="O2922" t="str">
        <f t="shared" si="272"/>
        <v/>
      </c>
    </row>
    <row r="2923" spans="7:15" x14ac:dyDescent="0.25">
      <c r="G2923" t="str">
        <f t="shared" si="270"/>
        <v/>
      </c>
      <c r="H2923" s="13" t="str">
        <f t="shared" si="273"/>
        <v/>
      </c>
      <c r="I2923" t="str">
        <f>IFERROR(INDEX(Analysis!$D$116:$N$137, MATCH(B2923, Analysis!$C$116:$C$137, 0), MATCH(C2923, Analysis!$D$115:$N$115, 0)), "")</f>
        <v/>
      </c>
      <c r="J2923" t="str">
        <f t="shared" si="274"/>
        <v/>
      </c>
      <c r="K2923" s="28" t="str">
        <f t="shared" si="271"/>
        <v/>
      </c>
      <c r="L2923" s="46" t="str">
        <f t="shared" si="275"/>
        <v/>
      </c>
      <c r="M2923" t="str" cm="1">
        <f t="array" ref="M2923">IF(L2923="","",_xlfn.IFS(
  AND(L2923&gt;=TIME(9,0,0), L2923&lt;TIME(16,0,0)),"Morning",
  AND(L2923&gt;=TIME(16,0,0), L2923&lt;TIME(23,59,0)),"Evening",
  L2923&gt;=TIME(23,59,0),"Night",
  L2923&lt;TIME(9,0,0),"Night"
))</f>
        <v/>
      </c>
      <c r="O2923" t="str">
        <f t="shared" si="272"/>
        <v/>
      </c>
    </row>
    <row r="2924" spans="7:15" x14ac:dyDescent="0.25">
      <c r="G2924" t="str">
        <f t="shared" si="270"/>
        <v/>
      </c>
      <c r="H2924" s="13" t="str">
        <f t="shared" si="273"/>
        <v/>
      </c>
      <c r="I2924" t="str">
        <f>IFERROR(INDEX(Analysis!$D$116:$N$137, MATCH(B2924, Analysis!$C$116:$C$137, 0), MATCH(C2924, Analysis!$D$115:$N$115, 0)), "")</f>
        <v/>
      </c>
      <c r="J2924" t="str">
        <f t="shared" si="274"/>
        <v/>
      </c>
      <c r="K2924" s="28" t="str">
        <f t="shared" si="271"/>
        <v/>
      </c>
      <c r="L2924" s="46" t="str">
        <f t="shared" si="275"/>
        <v/>
      </c>
      <c r="M2924" t="str" cm="1">
        <f t="array" ref="M2924">IF(L2924="","",_xlfn.IFS(
  AND(L2924&gt;=TIME(9,0,0), L2924&lt;TIME(16,0,0)),"Morning",
  AND(L2924&gt;=TIME(16,0,0), L2924&lt;TIME(23,59,0)),"Evening",
  L2924&gt;=TIME(23,59,0),"Night",
  L2924&lt;TIME(9,0,0),"Night"
))</f>
        <v/>
      </c>
      <c r="O2924" t="str">
        <f t="shared" si="272"/>
        <v/>
      </c>
    </row>
    <row r="2925" spans="7:15" x14ac:dyDescent="0.25">
      <c r="G2925" t="str">
        <f t="shared" si="270"/>
        <v/>
      </c>
      <c r="H2925" s="13" t="str">
        <f t="shared" si="273"/>
        <v/>
      </c>
      <c r="I2925" t="str">
        <f>IFERROR(INDEX(Analysis!$D$116:$N$137, MATCH(B2925, Analysis!$C$116:$C$137, 0), MATCH(C2925, Analysis!$D$115:$N$115, 0)), "")</f>
        <v/>
      </c>
      <c r="J2925" t="str">
        <f t="shared" si="274"/>
        <v/>
      </c>
      <c r="K2925" s="28" t="str">
        <f t="shared" si="271"/>
        <v/>
      </c>
      <c r="L2925" s="46" t="str">
        <f t="shared" si="275"/>
        <v/>
      </c>
      <c r="M2925" t="str" cm="1">
        <f t="array" ref="M2925">IF(L2925="","",_xlfn.IFS(
  AND(L2925&gt;=TIME(9,0,0), L2925&lt;TIME(16,0,0)),"Morning",
  AND(L2925&gt;=TIME(16,0,0), L2925&lt;TIME(23,59,0)),"Evening",
  L2925&gt;=TIME(23,59,0),"Night",
  L2925&lt;TIME(9,0,0),"Night"
))</f>
        <v/>
      </c>
      <c r="O2925" t="str">
        <f t="shared" si="272"/>
        <v/>
      </c>
    </row>
    <row r="2926" spans="7:15" x14ac:dyDescent="0.25">
      <c r="G2926" t="str">
        <f t="shared" si="270"/>
        <v/>
      </c>
      <c r="H2926" s="13" t="str">
        <f t="shared" si="273"/>
        <v/>
      </c>
      <c r="I2926" t="str">
        <f>IFERROR(INDEX(Analysis!$D$116:$N$137, MATCH(B2926, Analysis!$C$116:$C$137, 0), MATCH(C2926, Analysis!$D$115:$N$115, 0)), "")</f>
        <v/>
      </c>
      <c r="J2926" t="str">
        <f t="shared" si="274"/>
        <v/>
      </c>
      <c r="K2926" s="28" t="str">
        <f t="shared" si="271"/>
        <v/>
      </c>
      <c r="L2926" s="46" t="str">
        <f t="shared" si="275"/>
        <v/>
      </c>
      <c r="M2926" t="str" cm="1">
        <f t="array" ref="M2926">IF(L2926="","",_xlfn.IFS(
  AND(L2926&gt;=TIME(9,0,0), L2926&lt;TIME(16,0,0)),"Morning",
  AND(L2926&gt;=TIME(16,0,0), L2926&lt;TIME(23,59,0)),"Evening",
  L2926&gt;=TIME(23,59,0),"Night",
  L2926&lt;TIME(9,0,0),"Night"
))</f>
        <v/>
      </c>
      <c r="O2926" t="str">
        <f t="shared" si="272"/>
        <v/>
      </c>
    </row>
    <row r="2927" spans="7:15" x14ac:dyDescent="0.25">
      <c r="G2927" t="str">
        <f t="shared" si="270"/>
        <v/>
      </c>
      <c r="H2927" s="13" t="str">
        <f t="shared" si="273"/>
        <v/>
      </c>
      <c r="I2927" t="str">
        <f>IFERROR(INDEX(Analysis!$D$116:$N$137, MATCH(B2927, Analysis!$C$116:$C$137, 0), MATCH(C2927, Analysis!$D$115:$N$115, 0)), "")</f>
        <v/>
      </c>
      <c r="J2927" t="str">
        <f t="shared" si="274"/>
        <v/>
      </c>
      <c r="K2927" s="28" t="str">
        <f t="shared" si="271"/>
        <v/>
      </c>
      <c r="L2927" s="46" t="str">
        <f t="shared" si="275"/>
        <v/>
      </c>
      <c r="M2927" t="str" cm="1">
        <f t="array" ref="M2927">IF(L2927="","",_xlfn.IFS(
  AND(L2927&gt;=TIME(9,0,0), L2927&lt;TIME(16,0,0)),"Morning",
  AND(L2927&gt;=TIME(16,0,0), L2927&lt;TIME(23,59,0)),"Evening",
  L2927&gt;=TIME(23,59,0),"Night",
  L2927&lt;TIME(9,0,0),"Night"
))</f>
        <v/>
      </c>
      <c r="O2927" t="str">
        <f t="shared" si="272"/>
        <v/>
      </c>
    </row>
    <row r="2928" spans="7:15" x14ac:dyDescent="0.25">
      <c r="G2928" t="str">
        <f t="shared" si="270"/>
        <v/>
      </c>
      <c r="H2928" s="13" t="str">
        <f t="shared" si="273"/>
        <v/>
      </c>
      <c r="I2928" t="str">
        <f>IFERROR(INDEX(Analysis!$D$116:$N$137, MATCH(B2928, Analysis!$C$116:$C$137, 0), MATCH(C2928, Analysis!$D$115:$N$115, 0)), "")</f>
        <v/>
      </c>
      <c r="J2928" t="str">
        <f t="shared" si="274"/>
        <v/>
      </c>
      <c r="K2928" s="28" t="str">
        <f t="shared" si="271"/>
        <v/>
      </c>
      <c r="L2928" s="46" t="str">
        <f t="shared" si="275"/>
        <v/>
      </c>
      <c r="M2928" t="str" cm="1">
        <f t="array" ref="M2928">IF(L2928="","",_xlfn.IFS(
  AND(L2928&gt;=TIME(9,0,0), L2928&lt;TIME(16,0,0)),"Morning",
  AND(L2928&gt;=TIME(16,0,0), L2928&lt;TIME(23,59,0)),"Evening",
  L2928&gt;=TIME(23,59,0),"Night",
  L2928&lt;TIME(9,0,0),"Night"
))</f>
        <v/>
      </c>
      <c r="O2928" t="str">
        <f t="shared" si="272"/>
        <v/>
      </c>
    </row>
    <row r="2929" spans="7:15" x14ac:dyDescent="0.25">
      <c r="G2929" t="str">
        <f t="shared" si="270"/>
        <v/>
      </c>
      <c r="H2929" s="13" t="str">
        <f t="shared" si="273"/>
        <v/>
      </c>
      <c r="I2929" t="str">
        <f>IFERROR(INDEX(Analysis!$D$116:$N$137, MATCH(B2929, Analysis!$C$116:$C$137, 0), MATCH(C2929, Analysis!$D$115:$N$115, 0)), "")</f>
        <v/>
      </c>
      <c r="J2929" t="str">
        <f t="shared" si="274"/>
        <v/>
      </c>
      <c r="K2929" s="28" t="str">
        <f t="shared" si="271"/>
        <v/>
      </c>
      <c r="L2929" s="46" t="str">
        <f t="shared" si="275"/>
        <v/>
      </c>
      <c r="M2929" t="str" cm="1">
        <f t="array" ref="M2929">IF(L2929="","",_xlfn.IFS(
  AND(L2929&gt;=TIME(9,0,0), L2929&lt;TIME(16,0,0)),"Morning",
  AND(L2929&gt;=TIME(16,0,0), L2929&lt;TIME(23,59,0)),"Evening",
  L2929&gt;=TIME(23,59,0),"Night",
  L2929&lt;TIME(9,0,0),"Night"
))</f>
        <v/>
      </c>
      <c r="O2929" t="str">
        <f t="shared" si="272"/>
        <v/>
      </c>
    </row>
    <row r="2930" spans="7:15" x14ac:dyDescent="0.25">
      <c r="G2930" t="str">
        <f t="shared" si="270"/>
        <v/>
      </c>
      <c r="H2930" s="13" t="str">
        <f t="shared" si="273"/>
        <v/>
      </c>
      <c r="I2930" t="str">
        <f>IFERROR(INDEX(Analysis!$D$116:$N$137, MATCH(B2930, Analysis!$C$116:$C$137, 0), MATCH(C2930, Analysis!$D$115:$N$115, 0)), "")</f>
        <v/>
      </c>
      <c r="J2930" t="str">
        <f t="shared" si="274"/>
        <v/>
      </c>
      <c r="K2930" s="28" t="str">
        <f t="shared" si="271"/>
        <v/>
      </c>
      <c r="L2930" s="46" t="str">
        <f t="shared" si="275"/>
        <v/>
      </c>
      <c r="M2930" t="str" cm="1">
        <f t="array" ref="M2930">IF(L2930="","",_xlfn.IFS(
  AND(L2930&gt;=TIME(9,0,0), L2930&lt;TIME(16,0,0)),"Morning",
  AND(L2930&gt;=TIME(16,0,0), L2930&lt;TIME(23,59,0)),"Evening",
  L2930&gt;=TIME(23,59,0),"Night",
  L2930&lt;TIME(9,0,0),"Night"
))</f>
        <v/>
      </c>
      <c r="O2930" t="str">
        <f t="shared" si="272"/>
        <v/>
      </c>
    </row>
    <row r="2931" spans="7:15" x14ac:dyDescent="0.25">
      <c r="G2931" t="str">
        <f t="shared" si="270"/>
        <v/>
      </c>
      <c r="H2931" s="13" t="str">
        <f t="shared" si="273"/>
        <v/>
      </c>
      <c r="I2931" t="str">
        <f>IFERROR(INDEX(Analysis!$D$116:$N$137, MATCH(B2931, Analysis!$C$116:$C$137, 0), MATCH(C2931, Analysis!$D$115:$N$115, 0)), "")</f>
        <v/>
      </c>
      <c r="J2931" t="str">
        <f t="shared" si="274"/>
        <v/>
      </c>
      <c r="K2931" s="28" t="str">
        <f t="shared" si="271"/>
        <v/>
      </c>
      <c r="L2931" s="46" t="str">
        <f t="shared" si="275"/>
        <v/>
      </c>
      <c r="M2931" t="str" cm="1">
        <f t="array" ref="M2931">IF(L2931="","",_xlfn.IFS(
  AND(L2931&gt;=TIME(9,0,0), L2931&lt;TIME(16,0,0)),"Morning",
  AND(L2931&gt;=TIME(16,0,0), L2931&lt;TIME(23,59,0)),"Evening",
  L2931&gt;=TIME(23,59,0),"Night",
  L2931&lt;TIME(9,0,0),"Night"
))</f>
        <v/>
      </c>
      <c r="O2931" t="str">
        <f t="shared" si="272"/>
        <v/>
      </c>
    </row>
    <row r="2932" spans="7:15" x14ac:dyDescent="0.25">
      <c r="G2932" t="str">
        <f t="shared" si="270"/>
        <v/>
      </c>
      <c r="H2932" s="13" t="str">
        <f t="shared" si="273"/>
        <v/>
      </c>
      <c r="I2932" t="str">
        <f>IFERROR(INDEX(Analysis!$D$116:$N$137, MATCH(B2932, Analysis!$C$116:$C$137, 0), MATCH(C2932, Analysis!$D$115:$N$115, 0)), "")</f>
        <v/>
      </c>
      <c r="J2932" t="str">
        <f t="shared" si="274"/>
        <v/>
      </c>
      <c r="K2932" s="28" t="str">
        <f t="shared" si="271"/>
        <v/>
      </c>
      <c r="L2932" s="46" t="str">
        <f t="shared" si="275"/>
        <v/>
      </c>
      <c r="M2932" t="str" cm="1">
        <f t="array" ref="M2932">IF(L2932="","",_xlfn.IFS(
  AND(L2932&gt;=TIME(9,0,0), L2932&lt;TIME(16,0,0)),"Morning",
  AND(L2932&gt;=TIME(16,0,0), L2932&lt;TIME(23,59,0)),"Evening",
  L2932&gt;=TIME(23,59,0),"Night",
  L2932&lt;TIME(9,0,0),"Night"
))</f>
        <v/>
      </c>
      <c r="O2932" t="str">
        <f t="shared" si="272"/>
        <v/>
      </c>
    </row>
    <row r="2933" spans="7:15" x14ac:dyDescent="0.25">
      <c r="G2933" t="str">
        <f t="shared" si="270"/>
        <v/>
      </c>
      <c r="H2933" s="13" t="str">
        <f t="shared" si="273"/>
        <v/>
      </c>
      <c r="I2933" t="str">
        <f>IFERROR(INDEX(Analysis!$D$116:$N$137, MATCH(B2933, Analysis!$C$116:$C$137, 0), MATCH(C2933, Analysis!$D$115:$N$115, 0)), "")</f>
        <v/>
      </c>
      <c r="J2933" t="str">
        <f t="shared" si="274"/>
        <v/>
      </c>
      <c r="K2933" s="28" t="str">
        <f t="shared" si="271"/>
        <v/>
      </c>
      <c r="L2933" s="46" t="str">
        <f t="shared" si="275"/>
        <v/>
      </c>
      <c r="M2933" t="str" cm="1">
        <f t="array" ref="M2933">IF(L2933="","",_xlfn.IFS(
  AND(L2933&gt;=TIME(9,0,0), L2933&lt;TIME(16,0,0)),"Morning",
  AND(L2933&gt;=TIME(16,0,0), L2933&lt;TIME(23,59,0)),"Evening",
  L2933&gt;=TIME(23,59,0),"Night",
  L2933&lt;TIME(9,0,0),"Night"
))</f>
        <v/>
      </c>
      <c r="O2933" t="str">
        <f t="shared" si="272"/>
        <v/>
      </c>
    </row>
    <row r="2934" spans="7:15" x14ac:dyDescent="0.25">
      <c r="G2934" t="str">
        <f t="shared" si="270"/>
        <v/>
      </c>
      <c r="H2934" s="13" t="str">
        <f t="shared" si="273"/>
        <v/>
      </c>
      <c r="I2934" t="str">
        <f>IFERROR(INDEX(Analysis!$D$116:$N$137, MATCH(B2934, Analysis!$C$116:$C$137, 0), MATCH(C2934, Analysis!$D$115:$N$115, 0)), "")</f>
        <v/>
      </c>
      <c r="J2934" t="str">
        <f t="shared" si="274"/>
        <v/>
      </c>
      <c r="K2934" s="28" t="str">
        <f t="shared" si="271"/>
        <v/>
      </c>
      <c r="L2934" s="46" t="str">
        <f t="shared" si="275"/>
        <v/>
      </c>
      <c r="M2934" t="str" cm="1">
        <f t="array" ref="M2934">IF(L2934="","",_xlfn.IFS(
  AND(L2934&gt;=TIME(9,0,0), L2934&lt;TIME(16,0,0)),"Morning",
  AND(L2934&gt;=TIME(16,0,0), L2934&lt;TIME(23,59,0)),"Evening",
  L2934&gt;=TIME(23,59,0),"Night",
  L2934&lt;TIME(9,0,0),"Night"
))</f>
        <v/>
      </c>
      <c r="O2934" t="str">
        <f t="shared" si="272"/>
        <v/>
      </c>
    </row>
    <row r="2935" spans="7:15" x14ac:dyDescent="0.25">
      <c r="G2935" t="str">
        <f t="shared" si="270"/>
        <v/>
      </c>
      <c r="H2935" s="13" t="str">
        <f t="shared" si="273"/>
        <v/>
      </c>
      <c r="I2935" t="str">
        <f>IFERROR(INDEX(Analysis!$D$116:$N$137, MATCH(B2935, Analysis!$C$116:$C$137, 0), MATCH(C2935, Analysis!$D$115:$N$115, 0)), "")</f>
        <v/>
      </c>
      <c r="J2935" t="str">
        <f t="shared" si="274"/>
        <v/>
      </c>
      <c r="K2935" s="28" t="str">
        <f t="shared" si="271"/>
        <v/>
      </c>
      <c r="L2935" s="46" t="str">
        <f t="shared" si="275"/>
        <v/>
      </c>
      <c r="M2935" t="str" cm="1">
        <f t="array" ref="M2935">IF(L2935="","",_xlfn.IFS(
  AND(L2935&gt;=TIME(9,0,0), L2935&lt;TIME(16,0,0)),"Morning",
  AND(L2935&gt;=TIME(16,0,0), L2935&lt;TIME(23,59,0)),"Evening",
  L2935&gt;=TIME(23,59,0),"Night",
  L2935&lt;TIME(9,0,0),"Night"
))</f>
        <v/>
      </c>
      <c r="O2935" t="str">
        <f t="shared" si="272"/>
        <v/>
      </c>
    </row>
    <row r="2936" spans="7:15" x14ac:dyDescent="0.25">
      <c r="G2936" t="str">
        <f t="shared" si="270"/>
        <v/>
      </c>
      <c r="H2936" s="13" t="str">
        <f t="shared" si="273"/>
        <v/>
      </c>
      <c r="I2936" t="str">
        <f>IFERROR(INDEX(Analysis!$D$116:$N$137, MATCH(B2936, Analysis!$C$116:$C$137, 0), MATCH(C2936, Analysis!$D$115:$N$115, 0)), "")</f>
        <v/>
      </c>
      <c r="J2936" t="str">
        <f t="shared" si="274"/>
        <v/>
      </c>
      <c r="K2936" s="28" t="str">
        <f t="shared" si="271"/>
        <v/>
      </c>
      <c r="L2936" s="46" t="str">
        <f t="shared" si="275"/>
        <v/>
      </c>
      <c r="M2936" t="str" cm="1">
        <f t="array" ref="M2936">IF(L2936="","",_xlfn.IFS(
  AND(L2936&gt;=TIME(9,0,0), L2936&lt;TIME(16,0,0)),"Morning",
  AND(L2936&gt;=TIME(16,0,0), L2936&lt;TIME(23,59,0)),"Evening",
  L2936&gt;=TIME(23,59,0),"Night",
  L2936&lt;TIME(9,0,0),"Night"
))</f>
        <v/>
      </c>
      <c r="O2936" t="str">
        <f t="shared" si="272"/>
        <v/>
      </c>
    </row>
    <row r="2937" spans="7:15" x14ac:dyDescent="0.25">
      <c r="G2937" t="str">
        <f t="shared" si="270"/>
        <v/>
      </c>
      <c r="H2937" s="13" t="str">
        <f t="shared" si="273"/>
        <v/>
      </c>
      <c r="I2937" t="str">
        <f>IFERROR(INDEX(Analysis!$D$116:$N$137, MATCH(B2937, Analysis!$C$116:$C$137, 0), MATCH(C2937, Analysis!$D$115:$N$115, 0)), "")</f>
        <v/>
      </c>
      <c r="J2937" t="str">
        <f t="shared" si="274"/>
        <v/>
      </c>
      <c r="K2937" s="28" t="str">
        <f t="shared" si="271"/>
        <v/>
      </c>
      <c r="L2937" s="46" t="str">
        <f t="shared" si="275"/>
        <v/>
      </c>
      <c r="M2937" t="str" cm="1">
        <f t="array" ref="M2937">IF(L2937="","",_xlfn.IFS(
  AND(L2937&gt;=TIME(9,0,0), L2937&lt;TIME(16,0,0)),"Morning",
  AND(L2937&gt;=TIME(16,0,0), L2937&lt;TIME(23,59,0)),"Evening",
  L2937&gt;=TIME(23,59,0),"Night",
  L2937&lt;TIME(9,0,0),"Night"
))</f>
        <v/>
      </c>
      <c r="O2937" t="str">
        <f t="shared" si="272"/>
        <v/>
      </c>
    </row>
    <row r="2938" spans="7:15" x14ac:dyDescent="0.25">
      <c r="G2938" t="str">
        <f t="shared" si="270"/>
        <v/>
      </c>
      <c r="H2938" s="13" t="str">
        <f t="shared" si="273"/>
        <v/>
      </c>
      <c r="I2938" t="str">
        <f>IFERROR(INDEX(Analysis!$D$116:$N$137, MATCH(B2938, Analysis!$C$116:$C$137, 0), MATCH(C2938, Analysis!$D$115:$N$115, 0)), "")</f>
        <v/>
      </c>
      <c r="J2938" t="str">
        <f t="shared" si="274"/>
        <v/>
      </c>
      <c r="K2938" s="28" t="str">
        <f t="shared" si="271"/>
        <v/>
      </c>
      <c r="L2938" s="46" t="str">
        <f t="shared" si="275"/>
        <v/>
      </c>
      <c r="M2938" t="str" cm="1">
        <f t="array" ref="M2938">IF(L2938="","",_xlfn.IFS(
  AND(L2938&gt;=TIME(9,0,0), L2938&lt;TIME(16,0,0)),"Morning",
  AND(L2938&gt;=TIME(16,0,0), L2938&lt;TIME(23,59,0)),"Evening",
  L2938&gt;=TIME(23,59,0),"Night",
  L2938&lt;TIME(9,0,0),"Night"
))</f>
        <v/>
      </c>
      <c r="O2938" t="str">
        <f t="shared" si="272"/>
        <v/>
      </c>
    </row>
    <row r="2939" spans="7:15" x14ac:dyDescent="0.25">
      <c r="G2939" t="str">
        <f t="shared" si="270"/>
        <v/>
      </c>
      <c r="H2939" s="13" t="str">
        <f t="shared" si="273"/>
        <v/>
      </c>
      <c r="I2939" t="str">
        <f>IFERROR(INDEX(Analysis!$D$116:$N$137, MATCH(B2939, Analysis!$C$116:$C$137, 0), MATCH(C2939, Analysis!$D$115:$N$115, 0)), "")</f>
        <v/>
      </c>
      <c r="J2939" t="str">
        <f t="shared" si="274"/>
        <v/>
      </c>
      <c r="K2939" s="28" t="str">
        <f t="shared" si="271"/>
        <v/>
      </c>
      <c r="L2939" s="46" t="str">
        <f t="shared" si="275"/>
        <v/>
      </c>
      <c r="M2939" t="str" cm="1">
        <f t="array" ref="M2939">IF(L2939="","",_xlfn.IFS(
  AND(L2939&gt;=TIME(9,0,0), L2939&lt;TIME(16,0,0)),"Morning",
  AND(L2939&gt;=TIME(16,0,0), L2939&lt;TIME(23,59,0)),"Evening",
  L2939&gt;=TIME(23,59,0),"Night",
  L2939&lt;TIME(9,0,0),"Night"
))</f>
        <v/>
      </c>
      <c r="O2939" t="str">
        <f t="shared" si="272"/>
        <v/>
      </c>
    </row>
    <row r="2940" spans="7:15" x14ac:dyDescent="0.25">
      <c r="G2940" t="str">
        <f t="shared" si="270"/>
        <v/>
      </c>
      <c r="H2940" s="13" t="str">
        <f t="shared" si="273"/>
        <v/>
      </c>
      <c r="I2940" t="str">
        <f>IFERROR(INDEX(Analysis!$D$116:$N$137, MATCH(B2940, Analysis!$C$116:$C$137, 0), MATCH(C2940, Analysis!$D$115:$N$115, 0)), "")</f>
        <v/>
      </c>
      <c r="J2940" t="str">
        <f t="shared" si="274"/>
        <v/>
      </c>
      <c r="K2940" s="28" t="str">
        <f t="shared" si="271"/>
        <v/>
      </c>
      <c r="L2940" s="46" t="str">
        <f t="shared" si="275"/>
        <v/>
      </c>
      <c r="M2940" t="str" cm="1">
        <f t="array" ref="M2940">IF(L2940="","",_xlfn.IFS(
  AND(L2940&gt;=TIME(9,0,0), L2940&lt;TIME(16,0,0)),"Morning",
  AND(L2940&gt;=TIME(16,0,0), L2940&lt;TIME(23,59,0)),"Evening",
  L2940&gt;=TIME(23,59,0),"Night",
  L2940&lt;TIME(9,0,0),"Night"
))</f>
        <v/>
      </c>
      <c r="O2940" t="str">
        <f t="shared" si="272"/>
        <v/>
      </c>
    </row>
    <row r="2941" spans="7:15" x14ac:dyDescent="0.25">
      <c r="G2941" t="str">
        <f t="shared" si="270"/>
        <v/>
      </c>
      <c r="H2941" s="13" t="str">
        <f t="shared" si="273"/>
        <v/>
      </c>
      <c r="I2941" t="str">
        <f>IFERROR(INDEX(Analysis!$D$116:$N$137, MATCH(B2941, Analysis!$C$116:$C$137, 0), MATCH(C2941, Analysis!$D$115:$N$115, 0)), "")</f>
        <v/>
      </c>
      <c r="J2941" t="str">
        <f t="shared" si="274"/>
        <v/>
      </c>
      <c r="K2941" s="28" t="str">
        <f t="shared" si="271"/>
        <v/>
      </c>
      <c r="L2941" s="46" t="str">
        <f t="shared" si="275"/>
        <v/>
      </c>
      <c r="M2941" t="str" cm="1">
        <f t="array" ref="M2941">IF(L2941="","",_xlfn.IFS(
  AND(L2941&gt;=TIME(9,0,0), L2941&lt;TIME(16,0,0)),"Morning",
  AND(L2941&gt;=TIME(16,0,0), L2941&lt;TIME(23,59,0)),"Evening",
  L2941&gt;=TIME(23,59,0),"Night",
  L2941&lt;TIME(9,0,0),"Night"
))</f>
        <v/>
      </c>
      <c r="O2941" t="str">
        <f t="shared" si="272"/>
        <v/>
      </c>
    </row>
    <row r="2942" spans="7:15" x14ac:dyDescent="0.25">
      <c r="G2942" t="str">
        <f t="shared" si="270"/>
        <v/>
      </c>
      <c r="H2942" s="13" t="str">
        <f t="shared" si="273"/>
        <v/>
      </c>
      <c r="I2942" t="str">
        <f>IFERROR(INDEX(Analysis!$D$116:$N$137, MATCH(B2942, Analysis!$C$116:$C$137, 0), MATCH(C2942, Analysis!$D$115:$N$115, 0)), "")</f>
        <v/>
      </c>
      <c r="J2942" t="str">
        <f t="shared" si="274"/>
        <v/>
      </c>
      <c r="K2942" s="28" t="str">
        <f t="shared" si="271"/>
        <v/>
      </c>
      <c r="L2942" s="46" t="str">
        <f t="shared" si="275"/>
        <v/>
      </c>
      <c r="M2942" t="str" cm="1">
        <f t="array" ref="M2942">IF(L2942="","",_xlfn.IFS(
  AND(L2942&gt;=TIME(9,0,0), L2942&lt;TIME(16,0,0)),"Morning",
  AND(L2942&gt;=TIME(16,0,0), L2942&lt;TIME(23,59,0)),"Evening",
  L2942&gt;=TIME(23,59,0),"Night",
  L2942&lt;TIME(9,0,0),"Night"
))</f>
        <v/>
      </c>
      <c r="O2942" t="str">
        <f t="shared" si="272"/>
        <v/>
      </c>
    </row>
    <row r="2943" spans="7:15" x14ac:dyDescent="0.25">
      <c r="G2943" t="str">
        <f t="shared" si="270"/>
        <v/>
      </c>
      <c r="H2943" s="13" t="str">
        <f t="shared" si="273"/>
        <v/>
      </c>
      <c r="I2943" t="str">
        <f>IFERROR(INDEX(Analysis!$D$116:$N$137, MATCH(B2943, Analysis!$C$116:$C$137, 0), MATCH(C2943, Analysis!$D$115:$N$115, 0)), "")</f>
        <v/>
      </c>
      <c r="J2943" t="str">
        <f t="shared" si="274"/>
        <v/>
      </c>
      <c r="K2943" s="28" t="str">
        <f t="shared" si="271"/>
        <v/>
      </c>
      <c r="L2943" s="46" t="str">
        <f t="shared" si="275"/>
        <v/>
      </c>
      <c r="M2943" t="str" cm="1">
        <f t="array" ref="M2943">IF(L2943="","",_xlfn.IFS(
  AND(L2943&gt;=TIME(9,0,0), L2943&lt;TIME(16,0,0)),"Morning",
  AND(L2943&gt;=TIME(16,0,0), L2943&lt;TIME(23,59,0)),"Evening",
  L2943&gt;=TIME(23,59,0),"Night",
  L2943&lt;TIME(9,0,0),"Night"
))</f>
        <v/>
      </c>
      <c r="O2943" t="str">
        <f t="shared" si="272"/>
        <v/>
      </c>
    </row>
    <row r="2944" spans="7:15" x14ac:dyDescent="0.25">
      <c r="G2944" t="str">
        <f t="shared" si="270"/>
        <v/>
      </c>
      <c r="H2944" s="13" t="str">
        <f t="shared" si="273"/>
        <v/>
      </c>
      <c r="I2944" t="str">
        <f>IFERROR(INDEX(Analysis!$D$116:$N$137, MATCH(B2944, Analysis!$C$116:$C$137, 0), MATCH(C2944, Analysis!$D$115:$N$115, 0)), "")</f>
        <v/>
      </c>
      <c r="J2944" t="str">
        <f t="shared" si="274"/>
        <v/>
      </c>
      <c r="K2944" s="28" t="str">
        <f t="shared" si="271"/>
        <v/>
      </c>
      <c r="L2944" s="46" t="str">
        <f t="shared" si="275"/>
        <v/>
      </c>
      <c r="M2944" t="str" cm="1">
        <f t="array" ref="M2944">IF(L2944="","",_xlfn.IFS(
  AND(L2944&gt;=TIME(9,0,0), L2944&lt;TIME(16,0,0)),"Morning",
  AND(L2944&gt;=TIME(16,0,0), L2944&lt;TIME(23,59,0)),"Evening",
  L2944&gt;=TIME(23,59,0),"Night",
  L2944&lt;TIME(9,0,0),"Night"
))</f>
        <v/>
      </c>
      <c r="O2944" t="str">
        <f t="shared" si="272"/>
        <v/>
      </c>
    </row>
    <row r="2945" spans="7:15" x14ac:dyDescent="0.25">
      <c r="G2945" t="str">
        <f t="shared" si="270"/>
        <v/>
      </c>
      <c r="H2945" s="13" t="str">
        <f t="shared" si="273"/>
        <v/>
      </c>
      <c r="I2945" t="str">
        <f>IFERROR(INDEX(Analysis!$D$116:$N$137, MATCH(B2945, Analysis!$C$116:$C$137, 0), MATCH(C2945, Analysis!$D$115:$N$115, 0)), "")</f>
        <v/>
      </c>
      <c r="J2945" t="str">
        <f t="shared" si="274"/>
        <v/>
      </c>
      <c r="K2945" s="28" t="str">
        <f t="shared" si="271"/>
        <v/>
      </c>
      <c r="L2945" s="46" t="str">
        <f t="shared" si="275"/>
        <v/>
      </c>
      <c r="M2945" t="str" cm="1">
        <f t="array" ref="M2945">IF(L2945="","",_xlfn.IFS(
  AND(L2945&gt;=TIME(9,0,0), L2945&lt;TIME(16,0,0)),"Morning",
  AND(L2945&gt;=TIME(16,0,0), L2945&lt;TIME(23,59,0)),"Evening",
  L2945&gt;=TIME(23,59,0),"Night",
  L2945&lt;TIME(9,0,0),"Night"
))</f>
        <v/>
      </c>
      <c r="O2945" t="str">
        <f t="shared" si="272"/>
        <v/>
      </c>
    </row>
    <row r="2946" spans="7:15" x14ac:dyDescent="0.25">
      <c r="G2946" t="str">
        <f t="shared" ref="G2946:G3009" si="276">IF(ISBLANK(A2946), "", IF(ISBLANK(F2946), 0, F2946))</f>
        <v/>
      </c>
      <c r="H2946" s="13" t="str">
        <f t="shared" si="273"/>
        <v/>
      </c>
      <c r="I2946" t="str">
        <f>IFERROR(INDEX(Analysis!$D$116:$N$137, MATCH(B2946, Analysis!$C$116:$C$137, 0), MATCH(C2946, Analysis!$D$115:$N$115, 0)), "")</f>
        <v/>
      </c>
      <c r="J2946" t="str">
        <f t="shared" si="274"/>
        <v/>
      </c>
      <c r="K2946" s="28" t="str">
        <f t="shared" ref="K2946:K3009" si="277">IF(ISBLANK(A2946),"",DATE(YEAR(A2946),MONTH(A2946),DAY(A2946)))</f>
        <v/>
      </c>
      <c r="L2946" s="46" t="str">
        <f t="shared" si="275"/>
        <v/>
      </c>
      <c r="M2946" t="str" cm="1">
        <f t="array" ref="M2946">IF(L2946="","",_xlfn.IFS(
  AND(L2946&gt;=TIME(9,0,0), L2946&lt;TIME(16,0,0)),"Morning",
  AND(L2946&gt;=TIME(16,0,0), L2946&lt;TIME(23,59,0)),"Evening",
  L2946&gt;=TIME(23,59,0),"Night",
  L2946&lt;TIME(9,0,0),"Night"
))</f>
        <v/>
      </c>
      <c r="O2946" t="str">
        <f t="shared" ref="O2946:O3009" si="278">IF(N2946="ON", _xlfn.IMAGE(E2946, 1), "")</f>
        <v/>
      </c>
    </row>
    <row r="2947" spans="7:15" x14ac:dyDescent="0.25">
      <c r="G2947" t="str">
        <f t="shared" si="276"/>
        <v/>
      </c>
      <c r="H2947" s="13" t="str">
        <f t="shared" ref="H2947:H3010" si="279">IF(ISBLANK(E2947),"",HYPERLINK(E2947,"Click here"))</f>
        <v/>
      </c>
      <c r="I2947" t="str">
        <f>IFERROR(INDEX(Analysis!$D$116:$N$137, MATCH(B2947, Analysis!$C$116:$C$137, 0), MATCH(C2947, Analysis!$D$115:$N$115, 0)), "")</f>
        <v/>
      </c>
      <c r="J2947" t="str">
        <f t="shared" ref="J2947:J3010" si="280">IF(ISBLANK(A2947),"",WEEKNUM(A2947))</f>
        <v/>
      </c>
      <c r="K2947" s="28" t="str">
        <f t="shared" si="277"/>
        <v/>
      </c>
      <c r="L2947" s="46" t="str">
        <f t="shared" ref="L2947:L3010" si="281">IF(A2947="", "", A2947 - INT(A2947))</f>
        <v/>
      </c>
      <c r="M2947" t="str" cm="1">
        <f t="array" ref="M2947">IF(L2947="","",_xlfn.IFS(
  AND(L2947&gt;=TIME(9,0,0), L2947&lt;TIME(16,0,0)),"Morning",
  AND(L2947&gt;=TIME(16,0,0), L2947&lt;TIME(23,59,0)),"Evening",
  L2947&gt;=TIME(23,59,0),"Night",
  L2947&lt;TIME(9,0,0),"Night"
))</f>
        <v/>
      </c>
      <c r="O2947" t="str">
        <f t="shared" si="278"/>
        <v/>
      </c>
    </row>
    <row r="2948" spans="7:15" x14ac:dyDescent="0.25">
      <c r="G2948" t="str">
        <f t="shared" si="276"/>
        <v/>
      </c>
      <c r="H2948" s="13" t="str">
        <f t="shared" si="279"/>
        <v/>
      </c>
      <c r="I2948" t="str">
        <f>IFERROR(INDEX(Analysis!$D$116:$N$137, MATCH(B2948, Analysis!$C$116:$C$137, 0), MATCH(C2948, Analysis!$D$115:$N$115, 0)), "")</f>
        <v/>
      </c>
      <c r="J2948" t="str">
        <f t="shared" si="280"/>
        <v/>
      </c>
      <c r="K2948" s="28" t="str">
        <f t="shared" si="277"/>
        <v/>
      </c>
      <c r="L2948" s="46" t="str">
        <f t="shared" si="281"/>
        <v/>
      </c>
      <c r="M2948" t="str" cm="1">
        <f t="array" ref="M2948">IF(L2948="","",_xlfn.IFS(
  AND(L2948&gt;=TIME(9,0,0), L2948&lt;TIME(16,0,0)),"Morning",
  AND(L2948&gt;=TIME(16,0,0), L2948&lt;TIME(23,59,0)),"Evening",
  L2948&gt;=TIME(23,59,0),"Night",
  L2948&lt;TIME(9,0,0),"Night"
))</f>
        <v/>
      </c>
      <c r="O2948" t="str">
        <f t="shared" si="278"/>
        <v/>
      </c>
    </row>
    <row r="2949" spans="7:15" x14ac:dyDescent="0.25">
      <c r="G2949" t="str">
        <f t="shared" si="276"/>
        <v/>
      </c>
      <c r="H2949" s="13" t="str">
        <f t="shared" si="279"/>
        <v/>
      </c>
      <c r="I2949" t="str">
        <f>IFERROR(INDEX(Analysis!$D$116:$N$137, MATCH(B2949, Analysis!$C$116:$C$137, 0), MATCH(C2949, Analysis!$D$115:$N$115, 0)), "")</f>
        <v/>
      </c>
      <c r="J2949" t="str">
        <f t="shared" si="280"/>
        <v/>
      </c>
      <c r="K2949" s="28" t="str">
        <f t="shared" si="277"/>
        <v/>
      </c>
      <c r="L2949" s="46" t="str">
        <f t="shared" si="281"/>
        <v/>
      </c>
      <c r="M2949" t="str" cm="1">
        <f t="array" ref="M2949">IF(L2949="","",_xlfn.IFS(
  AND(L2949&gt;=TIME(9,0,0), L2949&lt;TIME(16,0,0)),"Morning",
  AND(L2949&gt;=TIME(16,0,0), L2949&lt;TIME(23,59,0)),"Evening",
  L2949&gt;=TIME(23,59,0),"Night",
  L2949&lt;TIME(9,0,0),"Night"
))</f>
        <v/>
      </c>
      <c r="O2949" t="str">
        <f t="shared" si="278"/>
        <v/>
      </c>
    </row>
    <row r="2950" spans="7:15" x14ac:dyDescent="0.25">
      <c r="G2950" t="str">
        <f t="shared" si="276"/>
        <v/>
      </c>
      <c r="H2950" s="13" t="str">
        <f t="shared" si="279"/>
        <v/>
      </c>
      <c r="I2950" t="str">
        <f>IFERROR(INDEX(Analysis!$D$116:$N$137, MATCH(B2950, Analysis!$C$116:$C$137, 0), MATCH(C2950, Analysis!$D$115:$N$115, 0)), "")</f>
        <v/>
      </c>
      <c r="J2950" t="str">
        <f t="shared" si="280"/>
        <v/>
      </c>
      <c r="K2950" s="28" t="str">
        <f t="shared" si="277"/>
        <v/>
      </c>
      <c r="L2950" s="46" t="str">
        <f t="shared" si="281"/>
        <v/>
      </c>
      <c r="M2950" t="str" cm="1">
        <f t="array" ref="M2950">IF(L2950="","",_xlfn.IFS(
  AND(L2950&gt;=TIME(9,0,0), L2950&lt;TIME(16,0,0)),"Morning",
  AND(L2950&gt;=TIME(16,0,0), L2950&lt;TIME(23,59,0)),"Evening",
  L2950&gt;=TIME(23,59,0),"Night",
  L2950&lt;TIME(9,0,0),"Night"
))</f>
        <v/>
      </c>
      <c r="O2950" t="str">
        <f t="shared" si="278"/>
        <v/>
      </c>
    </row>
    <row r="2951" spans="7:15" x14ac:dyDescent="0.25">
      <c r="G2951" t="str">
        <f t="shared" si="276"/>
        <v/>
      </c>
      <c r="H2951" s="13" t="str">
        <f t="shared" si="279"/>
        <v/>
      </c>
      <c r="I2951" t="str">
        <f>IFERROR(INDEX(Analysis!$D$116:$N$137, MATCH(B2951, Analysis!$C$116:$C$137, 0), MATCH(C2951, Analysis!$D$115:$N$115, 0)), "")</f>
        <v/>
      </c>
      <c r="J2951" t="str">
        <f t="shared" si="280"/>
        <v/>
      </c>
      <c r="K2951" s="28" t="str">
        <f t="shared" si="277"/>
        <v/>
      </c>
      <c r="L2951" s="46" t="str">
        <f t="shared" si="281"/>
        <v/>
      </c>
      <c r="M2951" t="str" cm="1">
        <f t="array" ref="M2951">IF(L2951="","",_xlfn.IFS(
  AND(L2951&gt;=TIME(9,0,0), L2951&lt;TIME(16,0,0)),"Morning",
  AND(L2951&gt;=TIME(16,0,0), L2951&lt;TIME(23,59,0)),"Evening",
  L2951&gt;=TIME(23,59,0),"Night",
  L2951&lt;TIME(9,0,0),"Night"
))</f>
        <v/>
      </c>
      <c r="O2951" t="str">
        <f t="shared" si="278"/>
        <v/>
      </c>
    </row>
    <row r="2952" spans="7:15" x14ac:dyDescent="0.25">
      <c r="G2952" t="str">
        <f t="shared" si="276"/>
        <v/>
      </c>
      <c r="H2952" s="13" t="str">
        <f t="shared" si="279"/>
        <v/>
      </c>
      <c r="I2952" t="str">
        <f>IFERROR(INDEX(Analysis!$D$116:$N$137, MATCH(B2952, Analysis!$C$116:$C$137, 0), MATCH(C2952, Analysis!$D$115:$N$115, 0)), "")</f>
        <v/>
      </c>
      <c r="J2952" t="str">
        <f t="shared" si="280"/>
        <v/>
      </c>
      <c r="K2952" s="28" t="str">
        <f t="shared" si="277"/>
        <v/>
      </c>
      <c r="L2952" s="46" t="str">
        <f t="shared" si="281"/>
        <v/>
      </c>
      <c r="M2952" t="str" cm="1">
        <f t="array" ref="M2952">IF(L2952="","",_xlfn.IFS(
  AND(L2952&gt;=TIME(9,0,0), L2952&lt;TIME(16,0,0)),"Morning",
  AND(L2952&gt;=TIME(16,0,0), L2952&lt;TIME(23,59,0)),"Evening",
  L2952&gt;=TIME(23,59,0),"Night",
  L2952&lt;TIME(9,0,0),"Night"
))</f>
        <v/>
      </c>
      <c r="O2952" t="str">
        <f t="shared" si="278"/>
        <v/>
      </c>
    </row>
    <row r="2953" spans="7:15" x14ac:dyDescent="0.25">
      <c r="G2953" t="str">
        <f t="shared" si="276"/>
        <v/>
      </c>
      <c r="H2953" s="13" t="str">
        <f t="shared" si="279"/>
        <v/>
      </c>
      <c r="I2953" t="str">
        <f>IFERROR(INDEX(Analysis!$D$116:$N$137, MATCH(B2953, Analysis!$C$116:$C$137, 0), MATCH(C2953, Analysis!$D$115:$N$115, 0)), "")</f>
        <v/>
      </c>
      <c r="J2953" t="str">
        <f t="shared" si="280"/>
        <v/>
      </c>
      <c r="K2953" s="28" t="str">
        <f t="shared" si="277"/>
        <v/>
      </c>
      <c r="L2953" s="46" t="str">
        <f t="shared" si="281"/>
        <v/>
      </c>
      <c r="M2953" t="str" cm="1">
        <f t="array" ref="M2953">IF(L2953="","",_xlfn.IFS(
  AND(L2953&gt;=TIME(9,0,0), L2953&lt;TIME(16,0,0)),"Morning",
  AND(L2953&gt;=TIME(16,0,0), L2953&lt;TIME(23,59,0)),"Evening",
  L2953&gt;=TIME(23,59,0),"Night",
  L2953&lt;TIME(9,0,0),"Night"
))</f>
        <v/>
      </c>
      <c r="O2953" t="str">
        <f t="shared" si="278"/>
        <v/>
      </c>
    </row>
    <row r="2954" spans="7:15" x14ac:dyDescent="0.25">
      <c r="G2954" t="str">
        <f t="shared" si="276"/>
        <v/>
      </c>
      <c r="H2954" s="13" t="str">
        <f t="shared" si="279"/>
        <v/>
      </c>
      <c r="I2954" t="str">
        <f>IFERROR(INDEX(Analysis!$D$116:$N$137, MATCH(B2954, Analysis!$C$116:$C$137, 0), MATCH(C2954, Analysis!$D$115:$N$115, 0)), "")</f>
        <v/>
      </c>
      <c r="J2954" t="str">
        <f t="shared" si="280"/>
        <v/>
      </c>
      <c r="K2954" s="28" t="str">
        <f t="shared" si="277"/>
        <v/>
      </c>
      <c r="L2954" s="46" t="str">
        <f t="shared" si="281"/>
        <v/>
      </c>
      <c r="M2954" t="str" cm="1">
        <f t="array" ref="M2954">IF(L2954="","",_xlfn.IFS(
  AND(L2954&gt;=TIME(9,0,0), L2954&lt;TIME(16,0,0)),"Morning",
  AND(L2954&gt;=TIME(16,0,0), L2954&lt;TIME(23,59,0)),"Evening",
  L2954&gt;=TIME(23,59,0),"Night",
  L2954&lt;TIME(9,0,0),"Night"
))</f>
        <v/>
      </c>
      <c r="O2954" t="str">
        <f t="shared" si="278"/>
        <v/>
      </c>
    </row>
    <row r="2955" spans="7:15" x14ac:dyDescent="0.25">
      <c r="G2955" t="str">
        <f t="shared" si="276"/>
        <v/>
      </c>
      <c r="H2955" s="13" t="str">
        <f t="shared" si="279"/>
        <v/>
      </c>
      <c r="I2955" t="str">
        <f>IFERROR(INDEX(Analysis!$D$116:$N$137, MATCH(B2955, Analysis!$C$116:$C$137, 0), MATCH(C2955, Analysis!$D$115:$N$115, 0)), "")</f>
        <v/>
      </c>
      <c r="J2955" t="str">
        <f t="shared" si="280"/>
        <v/>
      </c>
      <c r="K2955" s="28" t="str">
        <f t="shared" si="277"/>
        <v/>
      </c>
      <c r="L2955" s="46" t="str">
        <f t="shared" si="281"/>
        <v/>
      </c>
      <c r="M2955" t="str" cm="1">
        <f t="array" ref="M2955">IF(L2955="","",_xlfn.IFS(
  AND(L2955&gt;=TIME(9,0,0), L2955&lt;TIME(16,0,0)),"Morning",
  AND(L2955&gt;=TIME(16,0,0), L2955&lt;TIME(23,59,0)),"Evening",
  L2955&gt;=TIME(23,59,0),"Night",
  L2955&lt;TIME(9,0,0),"Night"
))</f>
        <v/>
      </c>
      <c r="O2955" t="str">
        <f t="shared" si="278"/>
        <v/>
      </c>
    </row>
    <row r="2956" spans="7:15" x14ac:dyDescent="0.25">
      <c r="G2956" t="str">
        <f t="shared" si="276"/>
        <v/>
      </c>
      <c r="H2956" s="13" t="str">
        <f t="shared" si="279"/>
        <v/>
      </c>
      <c r="I2956" t="str">
        <f>IFERROR(INDEX(Analysis!$D$116:$N$137, MATCH(B2956, Analysis!$C$116:$C$137, 0), MATCH(C2956, Analysis!$D$115:$N$115, 0)), "")</f>
        <v/>
      </c>
      <c r="J2956" t="str">
        <f t="shared" si="280"/>
        <v/>
      </c>
      <c r="K2956" s="28" t="str">
        <f t="shared" si="277"/>
        <v/>
      </c>
      <c r="L2956" s="46" t="str">
        <f t="shared" si="281"/>
        <v/>
      </c>
      <c r="M2956" t="str" cm="1">
        <f t="array" ref="M2956">IF(L2956="","",_xlfn.IFS(
  AND(L2956&gt;=TIME(9,0,0), L2956&lt;TIME(16,0,0)),"Morning",
  AND(L2956&gt;=TIME(16,0,0), L2956&lt;TIME(23,59,0)),"Evening",
  L2956&gt;=TIME(23,59,0),"Night",
  L2956&lt;TIME(9,0,0),"Night"
))</f>
        <v/>
      </c>
      <c r="O2956" t="str">
        <f t="shared" si="278"/>
        <v/>
      </c>
    </row>
    <row r="2957" spans="7:15" x14ac:dyDescent="0.25">
      <c r="G2957" t="str">
        <f t="shared" si="276"/>
        <v/>
      </c>
      <c r="H2957" s="13" t="str">
        <f t="shared" si="279"/>
        <v/>
      </c>
      <c r="I2957" t="str">
        <f>IFERROR(INDEX(Analysis!$D$116:$N$137, MATCH(B2957, Analysis!$C$116:$C$137, 0), MATCH(C2957, Analysis!$D$115:$N$115, 0)), "")</f>
        <v/>
      </c>
      <c r="J2957" t="str">
        <f t="shared" si="280"/>
        <v/>
      </c>
      <c r="K2957" s="28" t="str">
        <f t="shared" si="277"/>
        <v/>
      </c>
      <c r="L2957" s="46" t="str">
        <f t="shared" si="281"/>
        <v/>
      </c>
      <c r="M2957" t="str" cm="1">
        <f t="array" ref="M2957">IF(L2957="","",_xlfn.IFS(
  AND(L2957&gt;=TIME(9,0,0), L2957&lt;TIME(16,0,0)),"Morning",
  AND(L2957&gt;=TIME(16,0,0), L2957&lt;TIME(23,59,0)),"Evening",
  L2957&gt;=TIME(23,59,0),"Night",
  L2957&lt;TIME(9,0,0),"Night"
))</f>
        <v/>
      </c>
      <c r="O2957" t="str">
        <f t="shared" si="278"/>
        <v/>
      </c>
    </row>
    <row r="2958" spans="7:15" x14ac:dyDescent="0.25">
      <c r="G2958" t="str">
        <f t="shared" si="276"/>
        <v/>
      </c>
      <c r="H2958" s="13" t="str">
        <f t="shared" si="279"/>
        <v/>
      </c>
      <c r="I2958" t="str">
        <f>IFERROR(INDEX(Analysis!$D$116:$N$137, MATCH(B2958, Analysis!$C$116:$C$137, 0), MATCH(C2958, Analysis!$D$115:$N$115, 0)), "")</f>
        <v/>
      </c>
      <c r="J2958" t="str">
        <f t="shared" si="280"/>
        <v/>
      </c>
      <c r="K2958" s="28" t="str">
        <f t="shared" si="277"/>
        <v/>
      </c>
      <c r="L2958" s="46" t="str">
        <f t="shared" si="281"/>
        <v/>
      </c>
      <c r="M2958" t="str" cm="1">
        <f t="array" ref="M2958">IF(L2958="","",_xlfn.IFS(
  AND(L2958&gt;=TIME(9,0,0), L2958&lt;TIME(16,0,0)),"Morning",
  AND(L2958&gt;=TIME(16,0,0), L2958&lt;TIME(23,59,0)),"Evening",
  L2958&gt;=TIME(23,59,0),"Night",
  L2958&lt;TIME(9,0,0),"Night"
))</f>
        <v/>
      </c>
      <c r="O2958" t="str">
        <f t="shared" si="278"/>
        <v/>
      </c>
    </row>
    <row r="2959" spans="7:15" x14ac:dyDescent="0.25">
      <c r="G2959" t="str">
        <f t="shared" si="276"/>
        <v/>
      </c>
      <c r="H2959" s="13" t="str">
        <f t="shared" si="279"/>
        <v/>
      </c>
      <c r="I2959" t="str">
        <f>IFERROR(INDEX(Analysis!$D$116:$N$137, MATCH(B2959, Analysis!$C$116:$C$137, 0), MATCH(C2959, Analysis!$D$115:$N$115, 0)), "")</f>
        <v/>
      </c>
      <c r="J2959" t="str">
        <f t="shared" si="280"/>
        <v/>
      </c>
      <c r="K2959" s="28" t="str">
        <f t="shared" si="277"/>
        <v/>
      </c>
      <c r="L2959" s="46" t="str">
        <f t="shared" si="281"/>
        <v/>
      </c>
      <c r="M2959" t="str" cm="1">
        <f t="array" ref="M2959">IF(L2959="","",_xlfn.IFS(
  AND(L2959&gt;=TIME(9,0,0), L2959&lt;TIME(16,0,0)),"Morning",
  AND(L2959&gt;=TIME(16,0,0), L2959&lt;TIME(23,59,0)),"Evening",
  L2959&gt;=TIME(23,59,0),"Night",
  L2959&lt;TIME(9,0,0),"Night"
))</f>
        <v/>
      </c>
      <c r="O2959" t="str">
        <f t="shared" si="278"/>
        <v/>
      </c>
    </row>
    <row r="2960" spans="7:15" x14ac:dyDescent="0.25">
      <c r="G2960" t="str">
        <f t="shared" si="276"/>
        <v/>
      </c>
      <c r="H2960" s="13" t="str">
        <f t="shared" si="279"/>
        <v/>
      </c>
      <c r="I2960" t="str">
        <f>IFERROR(INDEX(Analysis!$D$116:$N$137, MATCH(B2960, Analysis!$C$116:$C$137, 0), MATCH(C2960, Analysis!$D$115:$N$115, 0)), "")</f>
        <v/>
      </c>
      <c r="J2960" t="str">
        <f t="shared" si="280"/>
        <v/>
      </c>
      <c r="K2960" s="28" t="str">
        <f t="shared" si="277"/>
        <v/>
      </c>
      <c r="L2960" s="46" t="str">
        <f t="shared" si="281"/>
        <v/>
      </c>
      <c r="M2960" t="str" cm="1">
        <f t="array" ref="M2960">IF(L2960="","",_xlfn.IFS(
  AND(L2960&gt;=TIME(9,0,0), L2960&lt;TIME(16,0,0)),"Morning",
  AND(L2960&gt;=TIME(16,0,0), L2960&lt;TIME(23,59,0)),"Evening",
  L2960&gt;=TIME(23,59,0),"Night",
  L2960&lt;TIME(9,0,0),"Night"
))</f>
        <v/>
      </c>
      <c r="O2960" t="str">
        <f t="shared" si="278"/>
        <v/>
      </c>
    </row>
    <row r="2961" spans="7:15" x14ac:dyDescent="0.25">
      <c r="G2961" t="str">
        <f t="shared" si="276"/>
        <v/>
      </c>
      <c r="H2961" s="13" t="str">
        <f t="shared" si="279"/>
        <v/>
      </c>
      <c r="I2961" t="str">
        <f>IFERROR(INDEX(Analysis!$D$116:$N$137, MATCH(B2961, Analysis!$C$116:$C$137, 0), MATCH(C2961, Analysis!$D$115:$N$115, 0)), "")</f>
        <v/>
      </c>
      <c r="J2961" t="str">
        <f t="shared" si="280"/>
        <v/>
      </c>
      <c r="K2961" s="28" t="str">
        <f t="shared" si="277"/>
        <v/>
      </c>
      <c r="L2961" s="46" t="str">
        <f t="shared" si="281"/>
        <v/>
      </c>
      <c r="M2961" t="str" cm="1">
        <f t="array" ref="M2961">IF(L2961="","",_xlfn.IFS(
  AND(L2961&gt;=TIME(9,0,0), L2961&lt;TIME(16,0,0)),"Morning",
  AND(L2961&gt;=TIME(16,0,0), L2961&lt;TIME(23,59,0)),"Evening",
  L2961&gt;=TIME(23,59,0),"Night",
  L2961&lt;TIME(9,0,0),"Night"
))</f>
        <v/>
      </c>
      <c r="O2961" t="str">
        <f t="shared" si="278"/>
        <v/>
      </c>
    </row>
    <row r="2962" spans="7:15" x14ac:dyDescent="0.25">
      <c r="G2962" t="str">
        <f t="shared" si="276"/>
        <v/>
      </c>
      <c r="H2962" s="13" t="str">
        <f t="shared" si="279"/>
        <v/>
      </c>
      <c r="I2962" t="str">
        <f>IFERROR(INDEX(Analysis!$D$116:$N$137, MATCH(B2962, Analysis!$C$116:$C$137, 0), MATCH(C2962, Analysis!$D$115:$N$115, 0)), "")</f>
        <v/>
      </c>
      <c r="J2962" t="str">
        <f t="shared" si="280"/>
        <v/>
      </c>
      <c r="K2962" s="28" t="str">
        <f t="shared" si="277"/>
        <v/>
      </c>
      <c r="L2962" s="46" t="str">
        <f t="shared" si="281"/>
        <v/>
      </c>
      <c r="M2962" t="str" cm="1">
        <f t="array" ref="M2962">IF(L2962="","",_xlfn.IFS(
  AND(L2962&gt;=TIME(9,0,0), L2962&lt;TIME(16,0,0)),"Morning",
  AND(L2962&gt;=TIME(16,0,0), L2962&lt;TIME(23,59,0)),"Evening",
  L2962&gt;=TIME(23,59,0),"Night",
  L2962&lt;TIME(9,0,0),"Night"
))</f>
        <v/>
      </c>
      <c r="O2962" t="str">
        <f t="shared" si="278"/>
        <v/>
      </c>
    </row>
    <row r="2963" spans="7:15" x14ac:dyDescent="0.25">
      <c r="G2963" t="str">
        <f t="shared" si="276"/>
        <v/>
      </c>
      <c r="H2963" s="13" t="str">
        <f t="shared" si="279"/>
        <v/>
      </c>
      <c r="I2963" t="str">
        <f>IFERROR(INDEX(Analysis!$D$116:$N$137, MATCH(B2963, Analysis!$C$116:$C$137, 0), MATCH(C2963, Analysis!$D$115:$N$115, 0)), "")</f>
        <v/>
      </c>
      <c r="J2963" t="str">
        <f t="shared" si="280"/>
        <v/>
      </c>
      <c r="K2963" s="28" t="str">
        <f t="shared" si="277"/>
        <v/>
      </c>
      <c r="L2963" s="46" t="str">
        <f t="shared" si="281"/>
        <v/>
      </c>
      <c r="M2963" t="str" cm="1">
        <f t="array" ref="M2963">IF(L2963="","",_xlfn.IFS(
  AND(L2963&gt;=TIME(9,0,0), L2963&lt;TIME(16,0,0)),"Morning",
  AND(L2963&gt;=TIME(16,0,0), L2963&lt;TIME(23,59,0)),"Evening",
  L2963&gt;=TIME(23,59,0),"Night",
  L2963&lt;TIME(9,0,0),"Night"
))</f>
        <v/>
      </c>
      <c r="O2963" t="str">
        <f t="shared" si="278"/>
        <v/>
      </c>
    </row>
    <row r="2964" spans="7:15" x14ac:dyDescent="0.25">
      <c r="G2964" t="str">
        <f t="shared" si="276"/>
        <v/>
      </c>
      <c r="H2964" s="13" t="str">
        <f t="shared" si="279"/>
        <v/>
      </c>
      <c r="I2964" t="str">
        <f>IFERROR(INDEX(Analysis!$D$116:$N$137, MATCH(B2964, Analysis!$C$116:$C$137, 0), MATCH(C2964, Analysis!$D$115:$N$115, 0)), "")</f>
        <v/>
      </c>
      <c r="J2964" t="str">
        <f t="shared" si="280"/>
        <v/>
      </c>
      <c r="K2964" s="28" t="str">
        <f t="shared" si="277"/>
        <v/>
      </c>
      <c r="L2964" s="46" t="str">
        <f t="shared" si="281"/>
        <v/>
      </c>
      <c r="M2964" t="str" cm="1">
        <f t="array" ref="M2964">IF(L2964="","",_xlfn.IFS(
  AND(L2964&gt;=TIME(9,0,0), L2964&lt;TIME(16,0,0)),"Morning",
  AND(L2964&gt;=TIME(16,0,0), L2964&lt;TIME(23,59,0)),"Evening",
  L2964&gt;=TIME(23,59,0),"Night",
  L2964&lt;TIME(9,0,0),"Night"
))</f>
        <v/>
      </c>
      <c r="O2964" t="str">
        <f t="shared" si="278"/>
        <v/>
      </c>
    </row>
    <row r="2965" spans="7:15" x14ac:dyDescent="0.25">
      <c r="G2965" t="str">
        <f t="shared" si="276"/>
        <v/>
      </c>
      <c r="H2965" s="13" t="str">
        <f t="shared" si="279"/>
        <v/>
      </c>
      <c r="I2965" t="str">
        <f>IFERROR(INDEX(Analysis!$D$116:$N$137, MATCH(B2965, Analysis!$C$116:$C$137, 0), MATCH(C2965, Analysis!$D$115:$N$115, 0)), "")</f>
        <v/>
      </c>
      <c r="J2965" t="str">
        <f t="shared" si="280"/>
        <v/>
      </c>
      <c r="K2965" s="28" t="str">
        <f t="shared" si="277"/>
        <v/>
      </c>
      <c r="L2965" s="46" t="str">
        <f t="shared" si="281"/>
        <v/>
      </c>
      <c r="M2965" t="str" cm="1">
        <f t="array" ref="M2965">IF(L2965="","",_xlfn.IFS(
  AND(L2965&gt;=TIME(9,0,0), L2965&lt;TIME(16,0,0)),"Morning",
  AND(L2965&gt;=TIME(16,0,0), L2965&lt;TIME(23,59,0)),"Evening",
  L2965&gt;=TIME(23,59,0),"Night",
  L2965&lt;TIME(9,0,0),"Night"
))</f>
        <v/>
      </c>
      <c r="O2965" t="str">
        <f t="shared" si="278"/>
        <v/>
      </c>
    </row>
    <row r="2966" spans="7:15" x14ac:dyDescent="0.25">
      <c r="G2966" t="str">
        <f t="shared" si="276"/>
        <v/>
      </c>
      <c r="H2966" s="13" t="str">
        <f t="shared" si="279"/>
        <v/>
      </c>
      <c r="I2966" t="str">
        <f>IFERROR(INDEX(Analysis!$D$116:$N$137, MATCH(B2966, Analysis!$C$116:$C$137, 0), MATCH(C2966, Analysis!$D$115:$N$115, 0)), "")</f>
        <v/>
      </c>
      <c r="J2966" t="str">
        <f t="shared" si="280"/>
        <v/>
      </c>
      <c r="K2966" s="28" t="str">
        <f t="shared" si="277"/>
        <v/>
      </c>
      <c r="L2966" s="46" t="str">
        <f t="shared" si="281"/>
        <v/>
      </c>
      <c r="M2966" t="str" cm="1">
        <f t="array" ref="M2966">IF(L2966="","",_xlfn.IFS(
  AND(L2966&gt;=TIME(9,0,0), L2966&lt;TIME(16,0,0)),"Morning",
  AND(L2966&gt;=TIME(16,0,0), L2966&lt;TIME(23,59,0)),"Evening",
  L2966&gt;=TIME(23,59,0),"Night",
  L2966&lt;TIME(9,0,0),"Night"
))</f>
        <v/>
      </c>
      <c r="O2966" t="str">
        <f t="shared" si="278"/>
        <v/>
      </c>
    </row>
    <row r="2967" spans="7:15" x14ac:dyDescent="0.25">
      <c r="G2967" t="str">
        <f t="shared" si="276"/>
        <v/>
      </c>
      <c r="H2967" s="13" t="str">
        <f t="shared" si="279"/>
        <v/>
      </c>
      <c r="I2967" t="str">
        <f>IFERROR(INDEX(Analysis!$D$116:$N$137, MATCH(B2967, Analysis!$C$116:$C$137, 0), MATCH(C2967, Analysis!$D$115:$N$115, 0)), "")</f>
        <v/>
      </c>
      <c r="J2967" t="str">
        <f t="shared" si="280"/>
        <v/>
      </c>
      <c r="K2967" s="28" t="str">
        <f t="shared" si="277"/>
        <v/>
      </c>
      <c r="L2967" s="46" t="str">
        <f t="shared" si="281"/>
        <v/>
      </c>
      <c r="M2967" t="str" cm="1">
        <f t="array" ref="M2967">IF(L2967="","",_xlfn.IFS(
  AND(L2967&gt;=TIME(9,0,0), L2967&lt;TIME(16,0,0)),"Morning",
  AND(L2967&gt;=TIME(16,0,0), L2967&lt;TIME(23,59,0)),"Evening",
  L2967&gt;=TIME(23,59,0),"Night",
  L2967&lt;TIME(9,0,0),"Night"
))</f>
        <v/>
      </c>
      <c r="O2967" t="str">
        <f t="shared" si="278"/>
        <v/>
      </c>
    </row>
    <row r="2968" spans="7:15" x14ac:dyDescent="0.25">
      <c r="G2968" t="str">
        <f t="shared" si="276"/>
        <v/>
      </c>
      <c r="H2968" s="13" t="str">
        <f t="shared" si="279"/>
        <v/>
      </c>
      <c r="I2968" t="str">
        <f>IFERROR(INDEX(Analysis!$D$116:$N$137, MATCH(B2968, Analysis!$C$116:$C$137, 0), MATCH(C2968, Analysis!$D$115:$N$115, 0)), "")</f>
        <v/>
      </c>
      <c r="J2968" t="str">
        <f t="shared" si="280"/>
        <v/>
      </c>
      <c r="K2968" s="28" t="str">
        <f t="shared" si="277"/>
        <v/>
      </c>
      <c r="L2968" s="46" t="str">
        <f t="shared" si="281"/>
        <v/>
      </c>
      <c r="M2968" t="str" cm="1">
        <f t="array" ref="M2968">IF(L2968="","",_xlfn.IFS(
  AND(L2968&gt;=TIME(9,0,0), L2968&lt;TIME(16,0,0)),"Morning",
  AND(L2968&gt;=TIME(16,0,0), L2968&lt;TIME(23,59,0)),"Evening",
  L2968&gt;=TIME(23,59,0),"Night",
  L2968&lt;TIME(9,0,0),"Night"
))</f>
        <v/>
      </c>
      <c r="O2968" t="str">
        <f t="shared" si="278"/>
        <v/>
      </c>
    </row>
    <row r="2969" spans="7:15" x14ac:dyDescent="0.25">
      <c r="G2969" t="str">
        <f t="shared" si="276"/>
        <v/>
      </c>
      <c r="H2969" s="13" t="str">
        <f t="shared" si="279"/>
        <v/>
      </c>
      <c r="I2969" t="str">
        <f>IFERROR(INDEX(Analysis!$D$116:$N$137, MATCH(B2969, Analysis!$C$116:$C$137, 0), MATCH(C2969, Analysis!$D$115:$N$115, 0)), "")</f>
        <v/>
      </c>
      <c r="J2969" t="str">
        <f t="shared" si="280"/>
        <v/>
      </c>
      <c r="K2969" s="28" t="str">
        <f t="shared" si="277"/>
        <v/>
      </c>
      <c r="L2969" s="46" t="str">
        <f t="shared" si="281"/>
        <v/>
      </c>
      <c r="M2969" t="str" cm="1">
        <f t="array" ref="M2969">IF(L2969="","",_xlfn.IFS(
  AND(L2969&gt;=TIME(9,0,0), L2969&lt;TIME(16,0,0)),"Morning",
  AND(L2969&gt;=TIME(16,0,0), L2969&lt;TIME(23,59,0)),"Evening",
  L2969&gt;=TIME(23,59,0),"Night",
  L2969&lt;TIME(9,0,0),"Night"
))</f>
        <v/>
      </c>
      <c r="O2969" t="str">
        <f t="shared" si="278"/>
        <v/>
      </c>
    </row>
    <row r="2970" spans="7:15" x14ac:dyDescent="0.25">
      <c r="G2970" t="str">
        <f t="shared" si="276"/>
        <v/>
      </c>
      <c r="H2970" s="13" t="str">
        <f t="shared" si="279"/>
        <v/>
      </c>
      <c r="I2970" t="str">
        <f>IFERROR(INDEX(Analysis!$D$116:$N$137, MATCH(B2970, Analysis!$C$116:$C$137, 0), MATCH(C2970, Analysis!$D$115:$N$115, 0)), "")</f>
        <v/>
      </c>
      <c r="J2970" t="str">
        <f t="shared" si="280"/>
        <v/>
      </c>
      <c r="K2970" s="28" t="str">
        <f t="shared" si="277"/>
        <v/>
      </c>
      <c r="L2970" s="46" t="str">
        <f t="shared" si="281"/>
        <v/>
      </c>
      <c r="M2970" t="str" cm="1">
        <f t="array" ref="M2970">IF(L2970="","",_xlfn.IFS(
  AND(L2970&gt;=TIME(9,0,0), L2970&lt;TIME(16,0,0)),"Morning",
  AND(L2970&gt;=TIME(16,0,0), L2970&lt;TIME(23,59,0)),"Evening",
  L2970&gt;=TIME(23,59,0),"Night",
  L2970&lt;TIME(9,0,0),"Night"
))</f>
        <v/>
      </c>
      <c r="O2970" t="str">
        <f t="shared" si="278"/>
        <v/>
      </c>
    </row>
    <row r="2971" spans="7:15" x14ac:dyDescent="0.25">
      <c r="G2971" t="str">
        <f t="shared" si="276"/>
        <v/>
      </c>
      <c r="H2971" s="13" t="str">
        <f t="shared" si="279"/>
        <v/>
      </c>
      <c r="I2971" t="str">
        <f>IFERROR(INDEX(Analysis!$D$116:$N$137, MATCH(B2971, Analysis!$C$116:$C$137, 0), MATCH(C2971, Analysis!$D$115:$N$115, 0)), "")</f>
        <v/>
      </c>
      <c r="J2971" t="str">
        <f t="shared" si="280"/>
        <v/>
      </c>
      <c r="K2971" s="28" t="str">
        <f t="shared" si="277"/>
        <v/>
      </c>
      <c r="L2971" s="46" t="str">
        <f t="shared" si="281"/>
        <v/>
      </c>
      <c r="M2971" t="str" cm="1">
        <f t="array" ref="M2971">IF(L2971="","",_xlfn.IFS(
  AND(L2971&gt;=TIME(9,0,0), L2971&lt;TIME(16,0,0)),"Morning",
  AND(L2971&gt;=TIME(16,0,0), L2971&lt;TIME(23,59,0)),"Evening",
  L2971&gt;=TIME(23,59,0),"Night",
  L2971&lt;TIME(9,0,0),"Night"
))</f>
        <v/>
      </c>
      <c r="O2971" t="str">
        <f t="shared" si="278"/>
        <v/>
      </c>
    </row>
    <row r="2972" spans="7:15" x14ac:dyDescent="0.25">
      <c r="G2972" t="str">
        <f t="shared" si="276"/>
        <v/>
      </c>
      <c r="H2972" s="13" t="str">
        <f t="shared" si="279"/>
        <v/>
      </c>
      <c r="I2972" t="str">
        <f>IFERROR(INDEX(Analysis!$D$116:$N$137, MATCH(B2972, Analysis!$C$116:$C$137, 0), MATCH(C2972, Analysis!$D$115:$N$115, 0)), "")</f>
        <v/>
      </c>
      <c r="J2972" t="str">
        <f t="shared" si="280"/>
        <v/>
      </c>
      <c r="K2972" s="28" t="str">
        <f t="shared" si="277"/>
        <v/>
      </c>
      <c r="L2972" s="46" t="str">
        <f t="shared" si="281"/>
        <v/>
      </c>
      <c r="M2972" t="str" cm="1">
        <f t="array" ref="M2972">IF(L2972="","",_xlfn.IFS(
  AND(L2972&gt;=TIME(9,0,0), L2972&lt;TIME(16,0,0)),"Morning",
  AND(L2972&gt;=TIME(16,0,0), L2972&lt;TIME(23,59,0)),"Evening",
  L2972&gt;=TIME(23,59,0),"Night",
  L2972&lt;TIME(9,0,0),"Night"
))</f>
        <v/>
      </c>
      <c r="O2972" t="str">
        <f t="shared" si="278"/>
        <v/>
      </c>
    </row>
    <row r="2973" spans="7:15" x14ac:dyDescent="0.25">
      <c r="G2973" t="str">
        <f t="shared" si="276"/>
        <v/>
      </c>
      <c r="H2973" s="13" t="str">
        <f t="shared" si="279"/>
        <v/>
      </c>
      <c r="I2973" t="str">
        <f>IFERROR(INDEX(Analysis!$D$116:$N$137, MATCH(B2973, Analysis!$C$116:$C$137, 0), MATCH(C2973, Analysis!$D$115:$N$115, 0)), "")</f>
        <v/>
      </c>
      <c r="J2973" t="str">
        <f t="shared" si="280"/>
        <v/>
      </c>
      <c r="K2973" s="28" t="str">
        <f t="shared" si="277"/>
        <v/>
      </c>
      <c r="L2973" s="46" t="str">
        <f t="shared" si="281"/>
        <v/>
      </c>
      <c r="M2973" t="str" cm="1">
        <f t="array" ref="M2973">IF(L2973="","",_xlfn.IFS(
  AND(L2973&gt;=TIME(9,0,0), L2973&lt;TIME(16,0,0)),"Morning",
  AND(L2973&gt;=TIME(16,0,0), L2973&lt;TIME(23,59,0)),"Evening",
  L2973&gt;=TIME(23,59,0),"Night",
  L2973&lt;TIME(9,0,0),"Night"
))</f>
        <v/>
      </c>
      <c r="O2973" t="str">
        <f t="shared" si="278"/>
        <v/>
      </c>
    </row>
    <row r="2974" spans="7:15" x14ac:dyDescent="0.25">
      <c r="G2974" t="str">
        <f t="shared" si="276"/>
        <v/>
      </c>
      <c r="H2974" s="13" t="str">
        <f t="shared" si="279"/>
        <v/>
      </c>
      <c r="I2974" t="str">
        <f>IFERROR(INDEX(Analysis!$D$116:$N$137, MATCH(B2974, Analysis!$C$116:$C$137, 0), MATCH(C2974, Analysis!$D$115:$N$115, 0)), "")</f>
        <v/>
      </c>
      <c r="J2974" t="str">
        <f t="shared" si="280"/>
        <v/>
      </c>
      <c r="K2974" s="28" t="str">
        <f t="shared" si="277"/>
        <v/>
      </c>
      <c r="L2974" s="46" t="str">
        <f t="shared" si="281"/>
        <v/>
      </c>
      <c r="M2974" t="str" cm="1">
        <f t="array" ref="M2974">IF(L2974="","",_xlfn.IFS(
  AND(L2974&gt;=TIME(9,0,0), L2974&lt;TIME(16,0,0)),"Morning",
  AND(L2974&gt;=TIME(16,0,0), L2974&lt;TIME(23,59,0)),"Evening",
  L2974&gt;=TIME(23,59,0),"Night",
  L2974&lt;TIME(9,0,0),"Night"
))</f>
        <v/>
      </c>
      <c r="O2974" t="str">
        <f t="shared" si="278"/>
        <v/>
      </c>
    </row>
    <row r="2975" spans="7:15" x14ac:dyDescent="0.25">
      <c r="G2975" t="str">
        <f t="shared" si="276"/>
        <v/>
      </c>
      <c r="H2975" s="13" t="str">
        <f t="shared" si="279"/>
        <v/>
      </c>
      <c r="I2975" t="str">
        <f>IFERROR(INDEX(Analysis!$D$116:$N$137, MATCH(B2975, Analysis!$C$116:$C$137, 0), MATCH(C2975, Analysis!$D$115:$N$115, 0)), "")</f>
        <v/>
      </c>
      <c r="J2975" t="str">
        <f t="shared" si="280"/>
        <v/>
      </c>
      <c r="K2975" s="28" t="str">
        <f t="shared" si="277"/>
        <v/>
      </c>
      <c r="L2975" s="46" t="str">
        <f t="shared" si="281"/>
        <v/>
      </c>
      <c r="M2975" t="str" cm="1">
        <f t="array" ref="M2975">IF(L2975="","",_xlfn.IFS(
  AND(L2975&gt;=TIME(9,0,0), L2975&lt;TIME(16,0,0)),"Morning",
  AND(L2975&gt;=TIME(16,0,0), L2975&lt;TIME(23,59,0)),"Evening",
  L2975&gt;=TIME(23,59,0),"Night",
  L2975&lt;TIME(9,0,0),"Night"
))</f>
        <v/>
      </c>
      <c r="O2975" t="str">
        <f t="shared" si="278"/>
        <v/>
      </c>
    </row>
    <row r="2976" spans="7:15" x14ac:dyDescent="0.25">
      <c r="G2976" t="str">
        <f t="shared" si="276"/>
        <v/>
      </c>
      <c r="H2976" s="13" t="str">
        <f t="shared" si="279"/>
        <v/>
      </c>
      <c r="I2976" t="str">
        <f>IFERROR(INDEX(Analysis!$D$116:$N$137, MATCH(B2976, Analysis!$C$116:$C$137, 0), MATCH(C2976, Analysis!$D$115:$N$115, 0)), "")</f>
        <v/>
      </c>
      <c r="J2976" t="str">
        <f t="shared" si="280"/>
        <v/>
      </c>
      <c r="K2976" s="28" t="str">
        <f t="shared" si="277"/>
        <v/>
      </c>
      <c r="L2976" s="46" t="str">
        <f t="shared" si="281"/>
        <v/>
      </c>
      <c r="M2976" t="str" cm="1">
        <f t="array" ref="M2976">IF(L2976="","",_xlfn.IFS(
  AND(L2976&gt;=TIME(9,0,0), L2976&lt;TIME(16,0,0)),"Morning",
  AND(L2976&gt;=TIME(16,0,0), L2976&lt;TIME(23,59,0)),"Evening",
  L2976&gt;=TIME(23,59,0),"Night",
  L2976&lt;TIME(9,0,0),"Night"
))</f>
        <v/>
      </c>
      <c r="O2976" t="str">
        <f t="shared" si="278"/>
        <v/>
      </c>
    </row>
    <row r="2977" spans="7:15" x14ac:dyDescent="0.25">
      <c r="G2977" t="str">
        <f t="shared" si="276"/>
        <v/>
      </c>
      <c r="H2977" s="13" t="str">
        <f t="shared" si="279"/>
        <v/>
      </c>
      <c r="I2977" t="str">
        <f>IFERROR(INDEX(Analysis!$D$116:$N$137, MATCH(B2977, Analysis!$C$116:$C$137, 0), MATCH(C2977, Analysis!$D$115:$N$115, 0)), "")</f>
        <v/>
      </c>
      <c r="J2977" t="str">
        <f t="shared" si="280"/>
        <v/>
      </c>
      <c r="K2977" s="28" t="str">
        <f t="shared" si="277"/>
        <v/>
      </c>
      <c r="L2977" s="46" t="str">
        <f t="shared" si="281"/>
        <v/>
      </c>
      <c r="M2977" t="str" cm="1">
        <f t="array" ref="M2977">IF(L2977="","",_xlfn.IFS(
  AND(L2977&gt;=TIME(9,0,0), L2977&lt;TIME(16,0,0)),"Morning",
  AND(L2977&gt;=TIME(16,0,0), L2977&lt;TIME(23,59,0)),"Evening",
  L2977&gt;=TIME(23,59,0),"Night",
  L2977&lt;TIME(9,0,0),"Night"
))</f>
        <v/>
      </c>
      <c r="O2977" t="str">
        <f t="shared" si="278"/>
        <v/>
      </c>
    </row>
    <row r="2978" spans="7:15" x14ac:dyDescent="0.25">
      <c r="G2978" t="str">
        <f t="shared" si="276"/>
        <v/>
      </c>
      <c r="H2978" s="13" t="str">
        <f t="shared" si="279"/>
        <v/>
      </c>
      <c r="I2978" t="str">
        <f>IFERROR(INDEX(Analysis!$D$116:$N$137, MATCH(B2978, Analysis!$C$116:$C$137, 0), MATCH(C2978, Analysis!$D$115:$N$115, 0)), "")</f>
        <v/>
      </c>
      <c r="J2978" t="str">
        <f t="shared" si="280"/>
        <v/>
      </c>
      <c r="K2978" s="28" t="str">
        <f t="shared" si="277"/>
        <v/>
      </c>
      <c r="L2978" s="46" t="str">
        <f t="shared" si="281"/>
        <v/>
      </c>
      <c r="M2978" t="str" cm="1">
        <f t="array" ref="M2978">IF(L2978="","",_xlfn.IFS(
  AND(L2978&gt;=TIME(9,0,0), L2978&lt;TIME(16,0,0)),"Morning",
  AND(L2978&gt;=TIME(16,0,0), L2978&lt;TIME(23,59,0)),"Evening",
  L2978&gt;=TIME(23,59,0),"Night",
  L2978&lt;TIME(9,0,0),"Night"
))</f>
        <v/>
      </c>
      <c r="O2978" t="str">
        <f t="shared" si="278"/>
        <v/>
      </c>
    </row>
    <row r="2979" spans="7:15" x14ac:dyDescent="0.25">
      <c r="G2979" t="str">
        <f t="shared" si="276"/>
        <v/>
      </c>
      <c r="H2979" s="13" t="str">
        <f t="shared" si="279"/>
        <v/>
      </c>
      <c r="I2979" t="str">
        <f>IFERROR(INDEX(Analysis!$D$116:$N$137, MATCH(B2979, Analysis!$C$116:$C$137, 0), MATCH(C2979, Analysis!$D$115:$N$115, 0)), "")</f>
        <v/>
      </c>
      <c r="J2979" t="str">
        <f t="shared" si="280"/>
        <v/>
      </c>
      <c r="K2979" s="28" t="str">
        <f t="shared" si="277"/>
        <v/>
      </c>
      <c r="L2979" s="46" t="str">
        <f t="shared" si="281"/>
        <v/>
      </c>
      <c r="M2979" t="str" cm="1">
        <f t="array" ref="M2979">IF(L2979="","",_xlfn.IFS(
  AND(L2979&gt;=TIME(9,0,0), L2979&lt;TIME(16,0,0)),"Morning",
  AND(L2979&gt;=TIME(16,0,0), L2979&lt;TIME(23,59,0)),"Evening",
  L2979&gt;=TIME(23,59,0),"Night",
  L2979&lt;TIME(9,0,0),"Night"
))</f>
        <v/>
      </c>
      <c r="O2979" t="str">
        <f t="shared" si="278"/>
        <v/>
      </c>
    </row>
    <row r="2980" spans="7:15" x14ac:dyDescent="0.25">
      <c r="G2980" t="str">
        <f t="shared" si="276"/>
        <v/>
      </c>
      <c r="H2980" s="13" t="str">
        <f t="shared" si="279"/>
        <v/>
      </c>
      <c r="I2980" t="str">
        <f>IFERROR(INDEX(Analysis!$D$116:$N$137, MATCH(B2980, Analysis!$C$116:$C$137, 0), MATCH(C2980, Analysis!$D$115:$N$115, 0)), "")</f>
        <v/>
      </c>
      <c r="J2980" t="str">
        <f t="shared" si="280"/>
        <v/>
      </c>
      <c r="K2980" s="28" t="str">
        <f t="shared" si="277"/>
        <v/>
      </c>
      <c r="L2980" s="46" t="str">
        <f t="shared" si="281"/>
        <v/>
      </c>
      <c r="M2980" t="str" cm="1">
        <f t="array" ref="M2980">IF(L2980="","",_xlfn.IFS(
  AND(L2980&gt;=TIME(9,0,0), L2980&lt;TIME(16,0,0)),"Morning",
  AND(L2980&gt;=TIME(16,0,0), L2980&lt;TIME(23,59,0)),"Evening",
  L2980&gt;=TIME(23,59,0),"Night",
  L2980&lt;TIME(9,0,0),"Night"
))</f>
        <v/>
      </c>
      <c r="O2980" t="str">
        <f t="shared" si="278"/>
        <v/>
      </c>
    </row>
    <row r="2981" spans="7:15" x14ac:dyDescent="0.25">
      <c r="G2981" t="str">
        <f t="shared" si="276"/>
        <v/>
      </c>
      <c r="H2981" s="13" t="str">
        <f t="shared" si="279"/>
        <v/>
      </c>
      <c r="I2981" t="str">
        <f>IFERROR(INDEX(Analysis!$D$116:$N$137, MATCH(B2981, Analysis!$C$116:$C$137, 0), MATCH(C2981, Analysis!$D$115:$N$115, 0)), "")</f>
        <v/>
      </c>
      <c r="J2981" t="str">
        <f t="shared" si="280"/>
        <v/>
      </c>
      <c r="K2981" s="28" t="str">
        <f t="shared" si="277"/>
        <v/>
      </c>
      <c r="L2981" s="46" t="str">
        <f t="shared" si="281"/>
        <v/>
      </c>
      <c r="M2981" t="str" cm="1">
        <f t="array" ref="M2981">IF(L2981="","",_xlfn.IFS(
  AND(L2981&gt;=TIME(9,0,0), L2981&lt;TIME(16,0,0)),"Morning",
  AND(L2981&gt;=TIME(16,0,0), L2981&lt;TIME(23,59,0)),"Evening",
  L2981&gt;=TIME(23,59,0),"Night",
  L2981&lt;TIME(9,0,0),"Night"
))</f>
        <v/>
      </c>
      <c r="O2981" t="str">
        <f t="shared" si="278"/>
        <v/>
      </c>
    </row>
    <row r="2982" spans="7:15" x14ac:dyDescent="0.25">
      <c r="G2982" t="str">
        <f t="shared" si="276"/>
        <v/>
      </c>
      <c r="H2982" s="13" t="str">
        <f t="shared" si="279"/>
        <v/>
      </c>
      <c r="I2982" t="str">
        <f>IFERROR(INDEX(Analysis!$D$116:$N$137, MATCH(B2982, Analysis!$C$116:$C$137, 0), MATCH(C2982, Analysis!$D$115:$N$115, 0)), "")</f>
        <v/>
      </c>
      <c r="J2982" t="str">
        <f t="shared" si="280"/>
        <v/>
      </c>
      <c r="K2982" s="28" t="str">
        <f t="shared" si="277"/>
        <v/>
      </c>
      <c r="L2982" s="46" t="str">
        <f t="shared" si="281"/>
        <v/>
      </c>
      <c r="M2982" t="str" cm="1">
        <f t="array" ref="M2982">IF(L2982="","",_xlfn.IFS(
  AND(L2982&gt;=TIME(9,0,0), L2982&lt;TIME(16,0,0)),"Morning",
  AND(L2982&gt;=TIME(16,0,0), L2982&lt;TIME(23,59,0)),"Evening",
  L2982&gt;=TIME(23,59,0),"Night",
  L2982&lt;TIME(9,0,0),"Night"
))</f>
        <v/>
      </c>
      <c r="O2982" t="str">
        <f t="shared" si="278"/>
        <v/>
      </c>
    </row>
    <row r="2983" spans="7:15" x14ac:dyDescent="0.25">
      <c r="G2983" t="str">
        <f t="shared" si="276"/>
        <v/>
      </c>
      <c r="H2983" s="13" t="str">
        <f t="shared" si="279"/>
        <v/>
      </c>
      <c r="I2983" t="str">
        <f>IFERROR(INDEX(Analysis!$D$116:$N$137, MATCH(B2983, Analysis!$C$116:$C$137, 0), MATCH(C2983, Analysis!$D$115:$N$115, 0)), "")</f>
        <v/>
      </c>
      <c r="J2983" t="str">
        <f t="shared" si="280"/>
        <v/>
      </c>
      <c r="K2983" s="28" t="str">
        <f t="shared" si="277"/>
        <v/>
      </c>
      <c r="L2983" s="46" t="str">
        <f t="shared" si="281"/>
        <v/>
      </c>
      <c r="M2983" t="str" cm="1">
        <f t="array" ref="M2983">IF(L2983="","",_xlfn.IFS(
  AND(L2983&gt;=TIME(9,0,0), L2983&lt;TIME(16,0,0)),"Morning",
  AND(L2983&gt;=TIME(16,0,0), L2983&lt;TIME(23,59,0)),"Evening",
  L2983&gt;=TIME(23,59,0),"Night",
  L2983&lt;TIME(9,0,0),"Night"
))</f>
        <v/>
      </c>
      <c r="O2983" t="str">
        <f t="shared" si="278"/>
        <v/>
      </c>
    </row>
    <row r="2984" spans="7:15" x14ac:dyDescent="0.25">
      <c r="G2984" t="str">
        <f t="shared" si="276"/>
        <v/>
      </c>
      <c r="H2984" s="13" t="str">
        <f t="shared" si="279"/>
        <v/>
      </c>
      <c r="I2984" t="str">
        <f>IFERROR(INDEX(Analysis!$D$116:$N$137, MATCH(B2984, Analysis!$C$116:$C$137, 0), MATCH(C2984, Analysis!$D$115:$N$115, 0)), "")</f>
        <v/>
      </c>
      <c r="J2984" t="str">
        <f t="shared" si="280"/>
        <v/>
      </c>
      <c r="K2984" s="28" t="str">
        <f t="shared" si="277"/>
        <v/>
      </c>
      <c r="L2984" s="46" t="str">
        <f t="shared" si="281"/>
        <v/>
      </c>
      <c r="M2984" t="str" cm="1">
        <f t="array" ref="M2984">IF(L2984="","",_xlfn.IFS(
  AND(L2984&gt;=TIME(9,0,0), L2984&lt;TIME(16,0,0)),"Morning",
  AND(L2984&gt;=TIME(16,0,0), L2984&lt;TIME(23,59,0)),"Evening",
  L2984&gt;=TIME(23,59,0),"Night",
  L2984&lt;TIME(9,0,0),"Night"
))</f>
        <v/>
      </c>
      <c r="O2984" t="str">
        <f t="shared" si="278"/>
        <v/>
      </c>
    </row>
    <row r="2985" spans="7:15" x14ac:dyDescent="0.25">
      <c r="G2985" t="str">
        <f t="shared" si="276"/>
        <v/>
      </c>
      <c r="H2985" s="13" t="str">
        <f t="shared" si="279"/>
        <v/>
      </c>
      <c r="I2985" t="str">
        <f>IFERROR(INDEX(Analysis!$D$116:$N$137, MATCH(B2985, Analysis!$C$116:$C$137, 0), MATCH(C2985, Analysis!$D$115:$N$115, 0)), "")</f>
        <v/>
      </c>
      <c r="J2985" t="str">
        <f t="shared" si="280"/>
        <v/>
      </c>
      <c r="K2985" s="28" t="str">
        <f t="shared" si="277"/>
        <v/>
      </c>
      <c r="L2985" s="46" t="str">
        <f t="shared" si="281"/>
        <v/>
      </c>
      <c r="M2985" t="str" cm="1">
        <f t="array" ref="M2985">IF(L2985="","",_xlfn.IFS(
  AND(L2985&gt;=TIME(9,0,0), L2985&lt;TIME(16,0,0)),"Morning",
  AND(L2985&gt;=TIME(16,0,0), L2985&lt;TIME(23,59,0)),"Evening",
  L2985&gt;=TIME(23,59,0),"Night",
  L2985&lt;TIME(9,0,0),"Night"
))</f>
        <v/>
      </c>
      <c r="O2985" t="str">
        <f t="shared" si="278"/>
        <v/>
      </c>
    </row>
    <row r="2986" spans="7:15" x14ac:dyDescent="0.25">
      <c r="G2986" t="str">
        <f t="shared" si="276"/>
        <v/>
      </c>
      <c r="H2986" s="13" t="str">
        <f t="shared" si="279"/>
        <v/>
      </c>
      <c r="I2986" t="str">
        <f>IFERROR(INDEX(Analysis!$D$116:$N$137, MATCH(B2986, Analysis!$C$116:$C$137, 0), MATCH(C2986, Analysis!$D$115:$N$115, 0)), "")</f>
        <v/>
      </c>
      <c r="J2986" t="str">
        <f t="shared" si="280"/>
        <v/>
      </c>
      <c r="K2986" s="28" t="str">
        <f t="shared" si="277"/>
        <v/>
      </c>
      <c r="L2986" s="46" t="str">
        <f t="shared" si="281"/>
        <v/>
      </c>
      <c r="M2986" t="str" cm="1">
        <f t="array" ref="M2986">IF(L2986="","",_xlfn.IFS(
  AND(L2986&gt;=TIME(9,0,0), L2986&lt;TIME(16,0,0)),"Morning",
  AND(L2986&gt;=TIME(16,0,0), L2986&lt;TIME(23,59,0)),"Evening",
  L2986&gt;=TIME(23,59,0),"Night",
  L2986&lt;TIME(9,0,0),"Night"
))</f>
        <v/>
      </c>
      <c r="O2986" t="str">
        <f t="shared" si="278"/>
        <v/>
      </c>
    </row>
    <row r="2987" spans="7:15" x14ac:dyDescent="0.25">
      <c r="G2987" t="str">
        <f t="shared" si="276"/>
        <v/>
      </c>
      <c r="H2987" s="13" t="str">
        <f t="shared" si="279"/>
        <v/>
      </c>
      <c r="I2987" t="str">
        <f>IFERROR(INDEX(Analysis!$D$116:$N$137, MATCH(B2987, Analysis!$C$116:$C$137, 0), MATCH(C2987, Analysis!$D$115:$N$115, 0)), "")</f>
        <v/>
      </c>
      <c r="J2987" t="str">
        <f t="shared" si="280"/>
        <v/>
      </c>
      <c r="K2987" s="28" t="str">
        <f t="shared" si="277"/>
        <v/>
      </c>
      <c r="L2987" s="46" t="str">
        <f t="shared" si="281"/>
        <v/>
      </c>
      <c r="M2987" t="str" cm="1">
        <f t="array" ref="M2987">IF(L2987="","",_xlfn.IFS(
  AND(L2987&gt;=TIME(9,0,0), L2987&lt;TIME(16,0,0)),"Morning",
  AND(L2987&gt;=TIME(16,0,0), L2987&lt;TIME(23,59,0)),"Evening",
  L2987&gt;=TIME(23,59,0),"Night",
  L2987&lt;TIME(9,0,0),"Night"
))</f>
        <v/>
      </c>
      <c r="O2987" t="str">
        <f t="shared" si="278"/>
        <v/>
      </c>
    </row>
    <row r="2988" spans="7:15" x14ac:dyDescent="0.25">
      <c r="G2988" t="str">
        <f t="shared" si="276"/>
        <v/>
      </c>
      <c r="H2988" s="13" t="str">
        <f t="shared" si="279"/>
        <v/>
      </c>
      <c r="I2988" t="str">
        <f>IFERROR(INDEX(Analysis!$D$116:$N$137, MATCH(B2988, Analysis!$C$116:$C$137, 0), MATCH(C2988, Analysis!$D$115:$N$115, 0)), "")</f>
        <v/>
      </c>
      <c r="J2988" t="str">
        <f t="shared" si="280"/>
        <v/>
      </c>
      <c r="K2988" s="28" t="str">
        <f t="shared" si="277"/>
        <v/>
      </c>
      <c r="L2988" s="46" t="str">
        <f t="shared" si="281"/>
        <v/>
      </c>
      <c r="M2988" t="str" cm="1">
        <f t="array" ref="M2988">IF(L2988="","",_xlfn.IFS(
  AND(L2988&gt;=TIME(9,0,0), L2988&lt;TIME(16,0,0)),"Morning",
  AND(L2988&gt;=TIME(16,0,0), L2988&lt;TIME(23,59,0)),"Evening",
  L2988&gt;=TIME(23,59,0),"Night",
  L2988&lt;TIME(9,0,0),"Night"
))</f>
        <v/>
      </c>
      <c r="O2988" t="str">
        <f t="shared" si="278"/>
        <v/>
      </c>
    </row>
    <row r="2989" spans="7:15" x14ac:dyDescent="0.25">
      <c r="G2989" t="str">
        <f t="shared" si="276"/>
        <v/>
      </c>
      <c r="H2989" s="13" t="str">
        <f t="shared" si="279"/>
        <v/>
      </c>
      <c r="I2989" t="str">
        <f>IFERROR(INDEX(Analysis!$D$116:$N$137, MATCH(B2989, Analysis!$C$116:$C$137, 0), MATCH(C2989, Analysis!$D$115:$N$115, 0)), "")</f>
        <v/>
      </c>
      <c r="J2989" t="str">
        <f t="shared" si="280"/>
        <v/>
      </c>
      <c r="K2989" s="28" t="str">
        <f t="shared" si="277"/>
        <v/>
      </c>
      <c r="L2989" s="46" t="str">
        <f t="shared" si="281"/>
        <v/>
      </c>
      <c r="M2989" t="str" cm="1">
        <f t="array" ref="M2989">IF(L2989="","",_xlfn.IFS(
  AND(L2989&gt;=TIME(9,0,0), L2989&lt;TIME(16,0,0)),"Morning",
  AND(L2989&gt;=TIME(16,0,0), L2989&lt;TIME(23,59,0)),"Evening",
  L2989&gt;=TIME(23,59,0),"Night",
  L2989&lt;TIME(9,0,0),"Night"
))</f>
        <v/>
      </c>
      <c r="O2989" t="str">
        <f t="shared" si="278"/>
        <v/>
      </c>
    </row>
    <row r="2990" spans="7:15" x14ac:dyDescent="0.25">
      <c r="G2990" t="str">
        <f t="shared" si="276"/>
        <v/>
      </c>
      <c r="H2990" s="13" t="str">
        <f t="shared" si="279"/>
        <v/>
      </c>
      <c r="I2990" t="str">
        <f>IFERROR(INDEX(Analysis!$D$116:$N$137, MATCH(B2990, Analysis!$C$116:$C$137, 0), MATCH(C2990, Analysis!$D$115:$N$115, 0)), "")</f>
        <v/>
      </c>
      <c r="J2990" t="str">
        <f t="shared" si="280"/>
        <v/>
      </c>
      <c r="K2990" s="28" t="str">
        <f t="shared" si="277"/>
        <v/>
      </c>
      <c r="L2990" s="46" t="str">
        <f t="shared" si="281"/>
        <v/>
      </c>
      <c r="M2990" t="str" cm="1">
        <f t="array" ref="M2990">IF(L2990="","",_xlfn.IFS(
  AND(L2990&gt;=TIME(9,0,0), L2990&lt;TIME(16,0,0)),"Morning",
  AND(L2990&gt;=TIME(16,0,0), L2990&lt;TIME(23,59,0)),"Evening",
  L2990&gt;=TIME(23,59,0),"Night",
  L2990&lt;TIME(9,0,0),"Night"
))</f>
        <v/>
      </c>
      <c r="O2990" t="str">
        <f t="shared" si="278"/>
        <v/>
      </c>
    </row>
    <row r="2991" spans="7:15" x14ac:dyDescent="0.25">
      <c r="G2991" t="str">
        <f t="shared" si="276"/>
        <v/>
      </c>
      <c r="H2991" s="13" t="str">
        <f t="shared" si="279"/>
        <v/>
      </c>
      <c r="I2991" t="str">
        <f>IFERROR(INDEX(Analysis!$D$116:$N$137, MATCH(B2991, Analysis!$C$116:$C$137, 0), MATCH(C2991, Analysis!$D$115:$N$115, 0)), "")</f>
        <v/>
      </c>
      <c r="J2991" t="str">
        <f t="shared" si="280"/>
        <v/>
      </c>
      <c r="K2991" s="28" t="str">
        <f t="shared" si="277"/>
        <v/>
      </c>
      <c r="L2991" s="46" t="str">
        <f t="shared" si="281"/>
        <v/>
      </c>
      <c r="M2991" t="str" cm="1">
        <f t="array" ref="M2991">IF(L2991="","",_xlfn.IFS(
  AND(L2991&gt;=TIME(9,0,0), L2991&lt;TIME(16,0,0)),"Morning",
  AND(L2991&gt;=TIME(16,0,0), L2991&lt;TIME(23,59,0)),"Evening",
  L2991&gt;=TIME(23,59,0),"Night",
  L2991&lt;TIME(9,0,0),"Night"
))</f>
        <v/>
      </c>
      <c r="O2991" t="str">
        <f t="shared" si="278"/>
        <v/>
      </c>
    </row>
    <row r="2992" spans="7:15" x14ac:dyDescent="0.25">
      <c r="G2992" t="str">
        <f t="shared" si="276"/>
        <v/>
      </c>
      <c r="H2992" s="13" t="str">
        <f t="shared" si="279"/>
        <v/>
      </c>
      <c r="I2992" t="str">
        <f>IFERROR(INDEX(Analysis!$D$116:$N$137, MATCH(B2992, Analysis!$C$116:$C$137, 0), MATCH(C2992, Analysis!$D$115:$N$115, 0)), "")</f>
        <v/>
      </c>
      <c r="J2992" t="str">
        <f t="shared" si="280"/>
        <v/>
      </c>
      <c r="K2992" s="28" t="str">
        <f t="shared" si="277"/>
        <v/>
      </c>
      <c r="L2992" s="46" t="str">
        <f t="shared" si="281"/>
        <v/>
      </c>
      <c r="M2992" t="str" cm="1">
        <f t="array" ref="M2992">IF(L2992="","",_xlfn.IFS(
  AND(L2992&gt;=TIME(9,0,0), L2992&lt;TIME(16,0,0)),"Morning",
  AND(L2992&gt;=TIME(16,0,0), L2992&lt;TIME(23,59,0)),"Evening",
  L2992&gt;=TIME(23,59,0),"Night",
  L2992&lt;TIME(9,0,0),"Night"
))</f>
        <v/>
      </c>
      <c r="O2992" t="str">
        <f t="shared" si="278"/>
        <v/>
      </c>
    </row>
    <row r="2993" spans="7:15" x14ac:dyDescent="0.25">
      <c r="G2993" t="str">
        <f t="shared" si="276"/>
        <v/>
      </c>
      <c r="H2993" s="13" t="str">
        <f t="shared" si="279"/>
        <v/>
      </c>
      <c r="I2993" t="str">
        <f>IFERROR(INDEX(Analysis!$D$116:$N$137, MATCH(B2993, Analysis!$C$116:$C$137, 0), MATCH(C2993, Analysis!$D$115:$N$115, 0)), "")</f>
        <v/>
      </c>
      <c r="J2993" t="str">
        <f t="shared" si="280"/>
        <v/>
      </c>
      <c r="K2993" s="28" t="str">
        <f t="shared" si="277"/>
        <v/>
      </c>
      <c r="L2993" s="46" t="str">
        <f t="shared" si="281"/>
        <v/>
      </c>
      <c r="M2993" t="str" cm="1">
        <f t="array" ref="M2993">IF(L2993="","",_xlfn.IFS(
  AND(L2993&gt;=TIME(9,0,0), L2993&lt;TIME(16,0,0)),"Morning",
  AND(L2993&gt;=TIME(16,0,0), L2993&lt;TIME(23,59,0)),"Evening",
  L2993&gt;=TIME(23,59,0),"Night",
  L2993&lt;TIME(9,0,0),"Night"
))</f>
        <v/>
      </c>
      <c r="O2993" t="str">
        <f t="shared" si="278"/>
        <v/>
      </c>
    </row>
    <row r="2994" spans="7:15" x14ac:dyDescent="0.25">
      <c r="G2994" t="str">
        <f t="shared" si="276"/>
        <v/>
      </c>
      <c r="H2994" s="13" t="str">
        <f t="shared" si="279"/>
        <v/>
      </c>
      <c r="I2994" t="str">
        <f>IFERROR(INDEX(Analysis!$D$116:$N$137, MATCH(B2994, Analysis!$C$116:$C$137, 0), MATCH(C2994, Analysis!$D$115:$N$115, 0)), "")</f>
        <v/>
      </c>
      <c r="J2994" t="str">
        <f t="shared" si="280"/>
        <v/>
      </c>
      <c r="K2994" s="28" t="str">
        <f t="shared" si="277"/>
        <v/>
      </c>
      <c r="L2994" s="46" t="str">
        <f t="shared" si="281"/>
        <v/>
      </c>
      <c r="M2994" t="str" cm="1">
        <f t="array" ref="M2994">IF(L2994="","",_xlfn.IFS(
  AND(L2994&gt;=TIME(9,0,0), L2994&lt;TIME(16,0,0)),"Morning",
  AND(L2994&gt;=TIME(16,0,0), L2994&lt;TIME(23,59,0)),"Evening",
  L2994&gt;=TIME(23,59,0),"Night",
  L2994&lt;TIME(9,0,0),"Night"
))</f>
        <v/>
      </c>
      <c r="O2994" t="str">
        <f t="shared" si="278"/>
        <v/>
      </c>
    </row>
    <row r="2995" spans="7:15" x14ac:dyDescent="0.25">
      <c r="G2995" t="str">
        <f t="shared" si="276"/>
        <v/>
      </c>
      <c r="H2995" s="13" t="str">
        <f t="shared" si="279"/>
        <v/>
      </c>
      <c r="I2995" t="str">
        <f>IFERROR(INDEX(Analysis!$D$116:$N$137, MATCH(B2995, Analysis!$C$116:$C$137, 0), MATCH(C2995, Analysis!$D$115:$N$115, 0)), "")</f>
        <v/>
      </c>
      <c r="J2995" t="str">
        <f t="shared" si="280"/>
        <v/>
      </c>
      <c r="K2995" s="28" t="str">
        <f t="shared" si="277"/>
        <v/>
      </c>
      <c r="L2995" s="46" t="str">
        <f t="shared" si="281"/>
        <v/>
      </c>
      <c r="M2995" t="str" cm="1">
        <f t="array" ref="M2995">IF(L2995="","",_xlfn.IFS(
  AND(L2995&gt;=TIME(9,0,0), L2995&lt;TIME(16,0,0)),"Morning",
  AND(L2995&gt;=TIME(16,0,0), L2995&lt;TIME(23,59,0)),"Evening",
  L2995&gt;=TIME(23,59,0),"Night",
  L2995&lt;TIME(9,0,0),"Night"
))</f>
        <v/>
      </c>
      <c r="O2995" t="str">
        <f t="shared" si="278"/>
        <v/>
      </c>
    </row>
    <row r="2996" spans="7:15" x14ac:dyDescent="0.25">
      <c r="G2996" t="str">
        <f t="shared" si="276"/>
        <v/>
      </c>
      <c r="H2996" s="13" t="str">
        <f t="shared" si="279"/>
        <v/>
      </c>
      <c r="I2996" t="str">
        <f>IFERROR(INDEX(Analysis!$D$116:$N$137, MATCH(B2996, Analysis!$C$116:$C$137, 0), MATCH(C2996, Analysis!$D$115:$N$115, 0)), "")</f>
        <v/>
      </c>
      <c r="J2996" t="str">
        <f t="shared" si="280"/>
        <v/>
      </c>
      <c r="K2996" s="28" t="str">
        <f t="shared" si="277"/>
        <v/>
      </c>
      <c r="L2996" s="46" t="str">
        <f t="shared" si="281"/>
        <v/>
      </c>
      <c r="M2996" t="str" cm="1">
        <f t="array" ref="M2996">IF(L2996="","",_xlfn.IFS(
  AND(L2996&gt;=TIME(9,0,0), L2996&lt;TIME(16,0,0)),"Morning",
  AND(L2996&gt;=TIME(16,0,0), L2996&lt;TIME(23,59,0)),"Evening",
  L2996&gt;=TIME(23,59,0),"Night",
  L2996&lt;TIME(9,0,0),"Night"
))</f>
        <v/>
      </c>
      <c r="O2996" t="str">
        <f t="shared" si="278"/>
        <v/>
      </c>
    </row>
    <row r="2997" spans="7:15" x14ac:dyDescent="0.25">
      <c r="G2997" t="str">
        <f t="shared" si="276"/>
        <v/>
      </c>
      <c r="H2997" s="13" t="str">
        <f t="shared" si="279"/>
        <v/>
      </c>
      <c r="I2997" t="str">
        <f>IFERROR(INDEX(Analysis!$D$116:$N$137, MATCH(B2997, Analysis!$C$116:$C$137, 0), MATCH(C2997, Analysis!$D$115:$N$115, 0)), "")</f>
        <v/>
      </c>
      <c r="J2997" t="str">
        <f t="shared" si="280"/>
        <v/>
      </c>
      <c r="K2997" s="28" t="str">
        <f t="shared" si="277"/>
        <v/>
      </c>
      <c r="L2997" s="46" t="str">
        <f t="shared" si="281"/>
        <v/>
      </c>
      <c r="M2997" t="str" cm="1">
        <f t="array" ref="M2997">IF(L2997="","",_xlfn.IFS(
  AND(L2997&gt;=TIME(9,0,0), L2997&lt;TIME(16,0,0)),"Morning",
  AND(L2997&gt;=TIME(16,0,0), L2997&lt;TIME(23,59,0)),"Evening",
  L2997&gt;=TIME(23,59,0),"Night",
  L2997&lt;TIME(9,0,0),"Night"
))</f>
        <v/>
      </c>
      <c r="O2997" t="str">
        <f t="shared" si="278"/>
        <v/>
      </c>
    </row>
    <row r="2998" spans="7:15" x14ac:dyDescent="0.25">
      <c r="G2998" t="str">
        <f t="shared" si="276"/>
        <v/>
      </c>
      <c r="H2998" s="13" t="str">
        <f t="shared" si="279"/>
        <v/>
      </c>
      <c r="I2998" t="str">
        <f>IFERROR(INDEX(Analysis!$D$116:$N$137, MATCH(B2998, Analysis!$C$116:$C$137, 0), MATCH(C2998, Analysis!$D$115:$N$115, 0)), "")</f>
        <v/>
      </c>
      <c r="J2998" t="str">
        <f t="shared" si="280"/>
        <v/>
      </c>
      <c r="K2998" s="28" t="str">
        <f t="shared" si="277"/>
        <v/>
      </c>
      <c r="L2998" s="46" t="str">
        <f t="shared" si="281"/>
        <v/>
      </c>
      <c r="M2998" t="str" cm="1">
        <f t="array" ref="M2998">IF(L2998="","",_xlfn.IFS(
  AND(L2998&gt;=TIME(9,0,0), L2998&lt;TIME(16,0,0)),"Morning",
  AND(L2998&gt;=TIME(16,0,0), L2998&lt;TIME(23,59,0)),"Evening",
  L2998&gt;=TIME(23,59,0),"Night",
  L2998&lt;TIME(9,0,0),"Night"
))</f>
        <v/>
      </c>
      <c r="O2998" t="str">
        <f t="shared" si="278"/>
        <v/>
      </c>
    </row>
    <row r="2999" spans="7:15" x14ac:dyDescent="0.25">
      <c r="G2999" t="str">
        <f t="shared" si="276"/>
        <v/>
      </c>
      <c r="H2999" s="13" t="str">
        <f t="shared" si="279"/>
        <v/>
      </c>
      <c r="I2999" t="str">
        <f>IFERROR(INDEX(Analysis!$D$116:$N$137, MATCH(B2999, Analysis!$C$116:$C$137, 0), MATCH(C2999, Analysis!$D$115:$N$115, 0)), "")</f>
        <v/>
      </c>
      <c r="J2999" t="str">
        <f t="shared" si="280"/>
        <v/>
      </c>
      <c r="K2999" s="28" t="str">
        <f t="shared" si="277"/>
        <v/>
      </c>
      <c r="L2999" s="46" t="str">
        <f t="shared" si="281"/>
        <v/>
      </c>
      <c r="M2999" t="str" cm="1">
        <f t="array" ref="M2999">IF(L2999="","",_xlfn.IFS(
  AND(L2999&gt;=TIME(9,0,0), L2999&lt;TIME(16,0,0)),"Morning",
  AND(L2999&gt;=TIME(16,0,0), L2999&lt;TIME(23,59,0)),"Evening",
  L2999&gt;=TIME(23,59,0),"Night",
  L2999&lt;TIME(9,0,0),"Night"
))</f>
        <v/>
      </c>
      <c r="O2999" t="str">
        <f t="shared" si="278"/>
        <v/>
      </c>
    </row>
    <row r="3000" spans="7:15" x14ac:dyDescent="0.25">
      <c r="G3000" t="str">
        <f t="shared" si="276"/>
        <v/>
      </c>
      <c r="H3000" s="13" t="str">
        <f t="shared" si="279"/>
        <v/>
      </c>
      <c r="I3000" t="str">
        <f>IFERROR(INDEX(Analysis!$D$116:$N$137, MATCH(B3000, Analysis!$C$116:$C$137, 0), MATCH(C3000, Analysis!$D$115:$N$115, 0)), "")</f>
        <v/>
      </c>
      <c r="J3000" t="str">
        <f t="shared" si="280"/>
        <v/>
      </c>
      <c r="K3000" s="28" t="str">
        <f t="shared" si="277"/>
        <v/>
      </c>
      <c r="L3000" s="46" t="str">
        <f t="shared" si="281"/>
        <v/>
      </c>
      <c r="M3000" t="str" cm="1">
        <f t="array" ref="M3000">IF(L3000="","",_xlfn.IFS(
  AND(L3000&gt;=TIME(9,0,0), L3000&lt;TIME(16,0,0)),"Morning",
  AND(L3000&gt;=TIME(16,0,0), L3000&lt;TIME(23,59,0)),"Evening",
  L3000&gt;=TIME(23,59,0),"Night",
  L3000&lt;TIME(9,0,0),"Night"
))</f>
        <v/>
      </c>
      <c r="O3000" t="str">
        <f t="shared" si="278"/>
        <v/>
      </c>
    </row>
    <row r="3001" spans="7:15" x14ac:dyDescent="0.25">
      <c r="G3001" t="str">
        <f t="shared" si="276"/>
        <v/>
      </c>
      <c r="H3001" s="13" t="str">
        <f t="shared" si="279"/>
        <v/>
      </c>
      <c r="I3001" t="str">
        <f>IFERROR(INDEX(Analysis!$D$116:$N$137, MATCH(B3001, Analysis!$C$116:$C$137, 0), MATCH(C3001, Analysis!$D$115:$N$115, 0)), "")</f>
        <v/>
      </c>
      <c r="J3001" t="str">
        <f t="shared" si="280"/>
        <v/>
      </c>
      <c r="K3001" s="28" t="str">
        <f t="shared" si="277"/>
        <v/>
      </c>
      <c r="L3001" s="46" t="str">
        <f t="shared" si="281"/>
        <v/>
      </c>
      <c r="M3001" t="str" cm="1">
        <f t="array" ref="M3001">IF(L3001="","",_xlfn.IFS(
  AND(L3001&gt;=TIME(9,0,0), L3001&lt;TIME(16,0,0)),"Morning",
  AND(L3001&gt;=TIME(16,0,0), L3001&lt;TIME(23,59,0)),"Evening",
  L3001&gt;=TIME(23,59,0),"Night",
  L3001&lt;TIME(9,0,0),"Night"
))</f>
        <v/>
      </c>
      <c r="O3001" t="str">
        <f t="shared" si="278"/>
        <v/>
      </c>
    </row>
    <row r="3002" spans="7:15" x14ac:dyDescent="0.25">
      <c r="G3002" t="str">
        <f t="shared" si="276"/>
        <v/>
      </c>
      <c r="H3002" s="13" t="str">
        <f t="shared" si="279"/>
        <v/>
      </c>
      <c r="I3002" t="str">
        <f>IFERROR(INDEX(Analysis!$D$116:$N$137, MATCH(B3002, Analysis!$C$116:$C$137, 0), MATCH(C3002, Analysis!$D$115:$N$115, 0)), "")</f>
        <v/>
      </c>
      <c r="J3002" t="str">
        <f t="shared" si="280"/>
        <v/>
      </c>
      <c r="K3002" s="28" t="str">
        <f t="shared" si="277"/>
        <v/>
      </c>
      <c r="L3002" s="46" t="str">
        <f t="shared" si="281"/>
        <v/>
      </c>
      <c r="M3002" t="str" cm="1">
        <f t="array" ref="M3002">IF(L3002="","",_xlfn.IFS(
  AND(L3002&gt;=TIME(9,0,0), L3002&lt;TIME(16,0,0)),"Morning",
  AND(L3002&gt;=TIME(16,0,0), L3002&lt;TIME(23,59,0)),"Evening",
  L3002&gt;=TIME(23,59,0),"Night",
  L3002&lt;TIME(9,0,0),"Night"
))</f>
        <v/>
      </c>
      <c r="O3002" t="str">
        <f t="shared" si="278"/>
        <v/>
      </c>
    </row>
    <row r="3003" spans="7:15" x14ac:dyDescent="0.25">
      <c r="G3003" t="str">
        <f t="shared" si="276"/>
        <v/>
      </c>
      <c r="H3003" s="13" t="str">
        <f t="shared" si="279"/>
        <v/>
      </c>
      <c r="I3003" t="str">
        <f>IFERROR(INDEX(Analysis!$D$116:$N$137, MATCH(B3003, Analysis!$C$116:$C$137, 0), MATCH(C3003, Analysis!$D$115:$N$115, 0)), "")</f>
        <v/>
      </c>
      <c r="J3003" t="str">
        <f t="shared" si="280"/>
        <v/>
      </c>
      <c r="K3003" s="28" t="str">
        <f t="shared" si="277"/>
        <v/>
      </c>
      <c r="L3003" s="46" t="str">
        <f t="shared" si="281"/>
        <v/>
      </c>
      <c r="M3003" t="str" cm="1">
        <f t="array" ref="M3003">IF(L3003="","",_xlfn.IFS(
  AND(L3003&gt;=TIME(9,0,0), L3003&lt;TIME(16,0,0)),"Morning",
  AND(L3003&gt;=TIME(16,0,0), L3003&lt;TIME(23,59,0)),"Evening",
  L3003&gt;=TIME(23,59,0),"Night",
  L3003&lt;TIME(9,0,0),"Night"
))</f>
        <v/>
      </c>
      <c r="O3003" t="str">
        <f t="shared" si="278"/>
        <v/>
      </c>
    </row>
    <row r="3004" spans="7:15" x14ac:dyDescent="0.25">
      <c r="G3004" t="str">
        <f t="shared" si="276"/>
        <v/>
      </c>
      <c r="H3004" s="13" t="str">
        <f t="shared" si="279"/>
        <v/>
      </c>
      <c r="I3004" t="str">
        <f>IFERROR(INDEX(Analysis!$D$116:$N$137, MATCH(B3004, Analysis!$C$116:$C$137, 0), MATCH(C3004, Analysis!$D$115:$N$115, 0)), "")</f>
        <v/>
      </c>
      <c r="J3004" t="str">
        <f t="shared" si="280"/>
        <v/>
      </c>
      <c r="K3004" s="28" t="str">
        <f t="shared" si="277"/>
        <v/>
      </c>
      <c r="L3004" s="46" t="str">
        <f t="shared" si="281"/>
        <v/>
      </c>
      <c r="M3004" t="str" cm="1">
        <f t="array" ref="M3004">IF(L3004="","",_xlfn.IFS(
  AND(L3004&gt;=TIME(9,0,0), L3004&lt;TIME(16,0,0)),"Morning",
  AND(L3004&gt;=TIME(16,0,0), L3004&lt;TIME(23,59,0)),"Evening",
  L3004&gt;=TIME(23,59,0),"Night",
  L3004&lt;TIME(9,0,0),"Night"
))</f>
        <v/>
      </c>
      <c r="O3004" t="str">
        <f t="shared" si="278"/>
        <v/>
      </c>
    </row>
    <row r="3005" spans="7:15" x14ac:dyDescent="0.25">
      <c r="G3005" t="str">
        <f t="shared" si="276"/>
        <v/>
      </c>
      <c r="H3005" s="13" t="str">
        <f t="shared" si="279"/>
        <v/>
      </c>
      <c r="I3005" t="str">
        <f>IFERROR(INDEX(Analysis!$D$116:$N$137, MATCH(B3005, Analysis!$C$116:$C$137, 0), MATCH(C3005, Analysis!$D$115:$N$115, 0)), "")</f>
        <v/>
      </c>
      <c r="J3005" t="str">
        <f t="shared" si="280"/>
        <v/>
      </c>
      <c r="K3005" s="28" t="str">
        <f t="shared" si="277"/>
        <v/>
      </c>
      <c r="L3005" s="46" t="str">
        <f t="shared" si="281"/>
        <v/>
      </c>
      <c r="M3005" t="str" cm="1">
        <f t="array" ref="M3005">IF(L3005="","",_xlfn.IFS(
  AND(L3005&gt;=TIME(9,0,0), L3005&lt;TIME(16,0,0)),"Morning",
  AND(L3005&gt;=TIME(16,0,0), L3005&lt;TIME(23,59,0)),"Evening",
  L3005&gt;=TIME(23,59,0),"Night",
  L3005&lt;TIME(9,0,0),"Night"
))</f>
        <v/>
      </c>
      <c r="O3005" t="str">
        <f t="shared" si="278"/>
        <v/>
      </c>
    </row>
    <row r="3006" spans="7:15" x14ac:dyDescent="0.25">
      <c r="G3006" t="str">
        <f t="shared" si="276"/>
        <v/>
      </c>
      <c r="H3006" s="13" t="str">
        <f t="shared" si="279"/>
        <v/>
      </c>
      <c r="I3006" t="str">
        <f>IFERROR(INDEX(Analysis!$D$116:$N$137, MATCH(B3006, Analysis!$C$116:$C$137, 0), MATCH(C3006, Analysis!$D$115:$N$115, 0)), "")</f>
        <v/>
      </c>
      <c r="J3006" t="str">
        <f t="shared" si="280"/>
        <v/>
      </c>
      <c r="K3006" s="28" t="str">
        <f t="shared" si="277"/>
        <v/>
      </c>
      <c r="L3006" s="46" t="str">
        <f t="shared" si="281"/>
        <v/>
      </c>
      <c r="M3006" t="str" cm="1">
        <f t="array" ref="M3006">IF(L3006="","",_xlfn.IFS(
  AND(L3006&gt;=TIME(9,0,0), L3006&lt;TIME(16,0,0)),"Morning",
  AND(L3006&gt;=TIME(16,0,0), L3006&lt;TIME(23,59,0)),"Evening",
  L3006&gt;=TIME(23,59,0),"Night",
  L3006&lt;TIME(9,0,0),"Night"
))</f>
        <v/>
      </c>
      <c r="O3006" t="str">
        <f t="shared" si="278"/>
        <v/>
      </c>
    </row>
    <row r="3007" spans="7:15" x14ac:dyDescent="0.25">
      <c r="G3007" t="str">
        <f t="shared" si="276"/>
        <v/>
      </c>
      <c r="H3007" s="13" t="str">
        <f t="shared" si="279"/>
        <v/>
      </c>
      <c r="I3007" t="str">
        <f>IFERROR(INDEX(Analysis!$D$116:$N$137, MATCH(B3007, Analysis!$C$116:$C$137, 0), MATCH(C3007, Analysis!$D$115:$N$115, 0)), "")</f>
        <v/>
      </c>
      <c r="J3007" t="str">
        <f t="shared" si="280"/>
        <v/>
      </c>
      <c r="K3007" s="28" t="str">
        <f t="shared" si="277"/>
        <v/>
      </c>
      <c r="L3007" s="46" t="str">
        <f t="shared" si="281"/>
        <v/>
      </c>
      <c r="M3007" t="str" cm="1">
        <f t="array" ref="M3007">IF(L3007="","",_xlfn.IFS(
  AND(L3007&gt;=TIME(9,0,0), L3007&lt;TIME(16,0,0)),"Morning",
  AND(L3007&gt;=TIME(16,0,0), L3007&lt;TIME(23,59,0)),"Evening",
  L3007&gt;=TIME(23,59,0),"Night",
  L3007&lt;TIME(9,0,0),"Night"
))</f>
        <v/>
      </c>
      <c r="O3007" t="str">
        <f t="shared" si="278"/>
        <v/>
      </c>
    </row>
    <row r="3008" spans="7:15" x14ac:dyDescent="0.25">
      <c r="G3008" t="str">
        <f t="shared" si="276"/>
        <v/>
      </c>
      <c r="H3008" s="13" t="str">
        <f t="shared" si="279"/>
        <v/>
      </c>
      <c r="I3008" t="str">
        <f>IFERROR(INDEX(Analysis!$D$116:$N$137, MATCH(B3008, Analysis!$C$116:$C$137, 0), MATCH(C3008, Analysis!$D$115:$N$115, 0)), "")</f>
        <v/>
      </c>
      <c r="J3008" t="str">
        <f t="shared" si="280"/>
        <v/>
      </c>
      <c r="K3008" s="28" t="str">
        <f t="shared" si="277"/>
        <v/>
      </c>
      <c r="L3008" s="46" t="str">
        <f t="shared" si="281"/>
        <v/>
      </c>
      <c r="M3008" t="str" cm="1">
        <f t="array" ref="M3008">IF(L3008="","",_xlfn.IFS(
  AND(L3008&gt;=TIME(9,0,0), L3008&lt;TIME(16,0,0)),"Morning",
  AND(L3008&gt;=TIME(16,0,0), L3008&lt;TIME(23,59,0)),"Evening",
  L3008&gt;=TIME(23,59,0),"Night",
  L3008&lt;TIME(9,0,0),"Night"
))</f>
        <v/>
      </c>
      <c r="O3008" t="str">
        <f t="shared" si="278"/>
        <v/>
      </c>
    </row>
    <row r="3009" spans="7:15" x14ac:dyDescent="0.25">
      <c r="G3009" t="str">
        <f t="shared" si="276"/>
        <v/>
      </c>
      <c r="H3009" s="13" t="str">
        <f t="shared" si="279"/>
        <v/>
      </c>
      <c r="I3009" t="str">
        <f>IFERROR(INDEX(Analysis!$D$116:$N$137, MATCH(B3009, Analysis!$C$116:$C$137, 0), MATCH(C3009, Analysis!$D$115:$N$115, 0)), "")</f>
        <v/>
      </c>
      <c r="J3009" t="str">
        <f t="shared" si="280"/>
        <v/>
      </c>
      <c r="K3009" s="28" t="str">
        <f t="shared" si="277"/>
        <v/>
      </c>
      <c r="L3009" s="46" t="str">
        <f t="shared" si="281"/>
        <v/>
      </c>
      <c r="M3009" t="str" cm="1">
        <f t="array" ref="M3009">IF(L3009="","",_xlfn.IFS(
  AND(L3009&gt;=TIME(9,0,0), L3009&lt;TIME(16,0,0)),"Morning",
  AND(L3009&gt;=TIME(16,0,0), L3009&lt;TIME(23,59,0)),"Evening",
  L3009&gt;=TIME(23,59,0),"Night",
  L3009&lt;TIME(9,0,0),"Night"
))</f>
        <v/>
      </c>
      <c r="O3009" t="str">
        <f t="shared" si="278"/>
        <v/>
      </c>
    </row>
    <row r="3010" spans="7:15" x14ac:dyDescent="0.25">
      <c r="G3010" t="str">
        <f t="shared" ref="G3010:G3073" si="282">IF(ISBLANK(A3010), "", IF(ISBLANK(F3010), 0, F3010))</f>
        <v/>
      </c>
      <c r="H3010" s="13" t="str">
        <f t="shared" si="279"/>
        <v/>
      </c>
      <c r="I3010" t="str">
        <f>IFERROR(INDEX(Analysis!$D$116:$N$137, MATCH(B3010, Analysis!$C$116:$C$137, 0), MATCH(C3010, Analysis!$D$115:$N$115, 0)), "")</f>
        <v/>
      </c>
      <c r="J3010" t="str">
        <f t="shared" si="280"/>
        <v/>
      </c>
      <c r="K3010" s="28" t="str">
        <f t="shared" ref="K3010:K3073" si="283">IF(ISBLANK(A3010),"",DATE(YEAR(A3010),MONTH(A3010),DAY(A3010)))</f>
        <v/>
      </c>
      <c r="L3010" s="46" t="str">
        <f t="shared" si="281"/>
        <v/>
      </c>
      <c r="M3010" t="str" cm="1">
        <f t="array" ref="M3010">IF(L3010="","",_xlfn.IFS(
  AND(L3010&gt;=TIME(9,0,0), L3010&lt;TIME(16,0,0)),"Morning",
  AND(L3010&gt;=TIME(16,0,0), L3010&lt;TIME(23,59,0)),"Evening",
  L3010&gt;=TIME(23,59,0),"Night",
  L3010&lt;TIME(9,0,0),"Night"
))</f>
        <v/>
      </c>
      <c r="O3010" t="str">
        <f t="shared" ref="O3010:O3073" si="284">IF(N3010="ON", _xlfn.IMAGE(E3010, 1), "")</f>
        <v/>
      </c>
    </row>
    <row r="3011" spans="7:15" x14ac:dyDescent="0.25">
      <c r="G3011" t="str">
        <f t="shared" si="282"/>
        <v/>
      </c>
      <c r="H3011" s="13" t="str">
        <f t="shared" ref="H3011:H3074" si="285">IF(ISBLANK(E3011),"",HYPERLINK(E3011,"Click here"))</f>
        <v/>
      </c>
      <c r="I3011" t="str">
        <f>IFERROR(INDEX(Analysis!$D$116:$N$137, MATCH(B3011, Analysis!$C$116:$C$137, 0), MATCH(C3011, Analysis!$D$115:$N$115, 0)), "")</f>
        <v/>
      </c>
      <c r="J3011" t="str">
        <f t="shared" ref="J3011:J3074" si="286">IF(ISBLANK(A3011),"",WEEKNUM(A3011))</f>
        <v/>
      </c>
      <c r="K3011" s="28" t="str">
        <f t="shared" si="283"/>
        <v/>
      </c>
      <c r="L3011" s="46" t="str">
        <f t="shared" ref="L3011:L3074" si="287">IF(A3011="", "", A3011 - INT(A3011))</f>
        <v/>
      </c>
      <c r="M3011" t="str" cm="1">
        <f t="array" ref="M3011">IF(L3011="","",_xlfn.IFS(
  AND(L3011&gt;=TIME(9,0,0), L3011&lt;TIME(16,0,0)),"Morning",
  AND(L3011&gt;=TIME(16,0,0), L3011&lt;TIME(23,59,0)),"Evening",
  L3011&gt;=TIME(23,59,0),"Night",
  L3011&lt;TIME(9,0,0),"Night"
))</f>
        <v/>
      </c>
      <c r="O3011" t="str">
        <f t="shared" si="284"/>
        <v/>
      </c>
    </row>
    <row r="3012" spans="7:15" x14ac:dyDescent="0.25">
      <c r="G3012" t="str">
        <f t="shared" si="282"/>
        <v/>
      </c>
      <c r="H3012" s="13" t="str">
        <f t="shared" si="285"/>
        <v/>
      </c>
      <c r="I3012" t="str">
        <f>IFERROR(INDEX(Analysis!$D$116:$N$137, MATCH(B3012, Analysis!$C$116:$C$137, 0), MATCH(C3012, Analysis!$D$115:$N$115, 0)), "")</f>
        <v/>
      </c>
      <c r="J3012" t="str">
        <f t="shared" si="286"/>
        <v/>
      </c>
      <c r="K3012" s="28" t="str">
        <f t="shared" si="283"/>
        <v/>
      </c>
      <c r="L3012" s="46" t="str">
        <f t="shared" si="287"/>
        <v/>
      </c>
      <c r="M3012" t="str" cm="1">
        <f t="array" ref="M3012">IF(L3012="","",_xlfn.IFS(
  AND(L3012&gt;=TIME(9,0,0), L3012&lt;TIME(16,0,0)),"Morning",
  AND(L3012&gt;=TIME(16,0,0), L3012&lt;TIME(23,59,0)),"Evening",
  L3012&gt;=TIME(23,59,0),"Night",
  L3012&lt;TIME(9,0,0),"Night"
))</f>
        <v/>
      </c>
      <c r="O3012" t="str">
        <f t="shared" si="284"/>
        <v/>
      </c>
    </row>
    <row r="3013" spans="7:15" x14ac:dyDescent="0.25">
      <c r="G3013" t="str">
        <f t="shared" si="282"/>
        <v/>
      </c>
      <c r="H3013" s="13" t="str">
        <f t="shared" si="285"/>
        <v/>
      </c>
      <c r="I3013" t="str">
        <f>IFERROR(INDEX(Analysis!$D$116:$N$137, MATCH(B3013, Analysis!$C$116:$C$137, 0), MATCH(C3013, Analysis!$D$115:$N$115, 0)), "")</f>
        <v/>
      </c>
      <c r="J3013" t="str">
        <f t="shared" si="286"/>
        <v/>
      </c>
      <c r="K3013" s="28" t="str">
        <f t="shared" si="283"/>
        <v/>
      </c>
      <c r="L3013" s="46" t="str">
        <f t="shared" si="287"/>
        <v/>
      </c>
      <c r="M3013" t="str" cm="1">
        <f t="array" ref="M3013">IF(L3013="","",_xlfn.IFS(
  AND(L3013&gt;=TIME(9,0,0), L3013&lt;TIME(16,0,0)),"Morning",
  AND(L3013&gt;=TIME(16,0,0), L3013&lt;TIME(23,59,0)),"Evening",
  L3013&gt;=TIME(23,59,0),"Night",
  L3013&lt;TIME(9,0,0),"Night"
))</f>
        <v/>
      </c>
      <c r="O3013" t="str">
        <f t="shared" si="284"/>
        <v/>
      </c>
    </row>
    <row r="3014" spans="7:15" x14ac:dyDescent="0.25">
      <c r="G3014" t="str">
        <f t="shared" si="282"/>
        <v/>
      </c>
      <c r="H3014" s="13" t="str">
        <f t="shared" si="285"/>
        <v/>
      </c>
      <c r="I3014" t="str">
        <f>IFERROR(INDEX(Analysis!$D$116:$N$137, MATCH(B3014, Analysis!$C$116:$C$137, 0), MATCH(C3014, Analysis!$D$115:$N$115, 0)), "")</f>
        <v/>
      </c>
      <c r="J3014" t="str">
        <f t="shared" si="286"/>
        <v/>
      </c>
      <c r="K3014" s="28" t="str">
        <f t="shared" si="283"/>
        <v/>
      </c>
      <c r="L3014" s="46" t="str">
        <f t="shared" si="287"/>
        <v/>
      </c>
      <c r="M3014" t="str" cm="1">
        <f t="array" ref="M3014">IF(L3014="","",_xlfn.IFS(
  AND(L3014&gt;=TIME(9,0,0), L3014&lt;TIME(16,0,0)),"Morning",
  AND(L3014&gt;=TIME(16,0,0), L3014&lt;TIME(23,59,0)),"Evening",
  L3014&gt;=TIME(23,59,0),"Night",
  L3014&lt;TIME(9,0,0),"Night"
))</f>
        <v/>
      </c>
      <c r="O3014" t="str">
        <f t="shared" si="284"/>
        <v/>
      </c>
    </row>
    <row r="3015" spans="7:15" x14ac:dyDescent="0.25">
      <c r="G3015" t="str">
        <f t="shared" si="282"/>
        <v/>
      </c>
      <c r="H3015" s="13" t="str">
        <f t="shared" si="285"/>
        <v/>
      </c>
      <c r="I3015" t="str">
        <f>IFERROR(INDEX(Analysis!$D$116:$N$137, MATCH(B3015, Analysis!$C$116:$C$137, 0), MATCH(C3015, Analysis!$D$115:$N$115, 0)), "")</f>
        <v/>
      </c>
      <c r="J3015" t="str">
        <f t="shared" si="286"/>
        <v/>
      </c>
      <c r="K3015" s="28" t="str">
        <f t="shared" si="283"/>
        <v/>
      </c>
      <c r="L3015" s="46" t="str">
        <f t="shared" si="287"/>
        <v/>
      </c>
      <c r="M3015" t="str" cm="1">
        <f t="array" ref="M3015">IF(L3015="","",_xlfn.IFS(
  AND(L3015&gt;=TIME(9,0,0), L3015&lt;TIME(16,0,0)),"Morning",
  AND(L3015&gt;=TIME(16,0,0), L3015&lt;TIME(23,59,0)),"Evening",
  L3015&gt;=TIME(23,59,0),"Night",
  L3015&lt;TIME(9,0,0),"Night"
))</f>
        <v/>
      </c>
      <c r="O3015" t="str">
        <f t="shared" si="284"/>
        <v/>
      </c>
    </row>
    <row r="3016" spans="7:15" x14ac:dyDescent="0.25">
      <c r="G3016" t="str">
        <f t="shared" si="282"/>
        <v/>
      </c>
      <c r="H3016" s="13" t="str">
        <f t="shared" si="285"/>
        <v/>
      </c>
      <c r="I3016" t="str">
        <f>IFERROR(INDEX(Analysis!$D$116:$N$137, MATCH(B3016, Analysis!$C$116:$C$137, 0), MATCH(C3016, Analysis!$D$115:$N$115, 0)), "")</f>
        <v/>
      </c>
      <c r="J3016" t="str">
        <f t="shared" si="286"/>
        <v/>
      </c>
      <c r="K3016" s="28" t="str">
        <f t="shared" si="283"/>
        <v/>
      </c>
      <c r="L3016" s="46" t="str">
        <f t="shared" si="287"/>
        <v/>
      </c>
      <c r="M3016" t="str" cm="1">
        <f t="array" ref="M3016">IF(L3016="","",_xlfn.IFS(
  AND(L3016&gt;=TIME(9,0,0), L3016&lt;TIME(16,0,0)),"Morning",
  AND(L3016&gt;=TIME(16,0,0), L3016&lt;TIME(23,59,0)),"Evening",
  L3016&gt;=TIME(23,59,0),"Night",
  L3016&lt;TIME(9,0,0),"Night"
))</f>
        <v/>
      </c>
      <c r="O3016" t="str">
        <f t="shared" si="284"/>
        <v/>
      </c>
    </row>
    <row r="3017" spans="7:15" x14ac:dyDescent="0.25">
      <c r="G3017" t="str">
        <f t="shared" si="282"/>
        <v/>
      </c>
      <c r="H3017" s="13" t="str">
        <f t="shared" si="285"/>
        <v/>
      </c>
      <c r="I3017" t="str">
        <f>IFERROR(INDEX(Analysis!$D$116:$N$137, MATCH(B3017, Analysis!$C$116:$C$137, 0), MATCH(C3017, Analysis!$D$115:$N$115, 0)), "")</f>
        <v/>
      </c>
      <c r="J3017" t="str">
        <f t="shared" si="286"/>
        <v/>
      </c>
      <c r="K3017" s="28" t="str">
        <f t="shared" si="283"/>
        <v/>
      </c>
      <c r="L3017" s="46" t="str">
        <f t="shared" si="287"/>
        <v/>
      </c>
      <c r="M3017" t="str" cm="1">
        <f t="array" ref="M3017">IF(L3017="","",_xlfn.IFS(
  AND(L3017&gt;=TIME(9,0,0), L3017&lt;TIME(16,0,0)),"Morning",
  AND(L3017&gt;=TIME(16,0,0), L3017&lt;TIME(23,59,0)),"Evening",
  L3017&gt;=TIME(23,59,0),"Night",
  L3017&lt;TIME(9,0,0),"Night"
))</f>
        <v/>
      </c>
      <c r="O3017" t="str">
        <f t="shared" si="284"/>
        <v/>
      </c>
    </row>
    <row r="3018" spans="7:15" x14ac:dyDescent="0.25">
      <c r="G3018" t="str">
        <f t="shared" si="282"/>
        <v/>
      </c>
      <c r="H3018" s="13" t="str">
        <f t="shared" si="285"/>
        <v/>
      </c>
      <c r="I3018" t="str">
        <f>IFERROR(INDEX(Analysis!$D$116:$N$137, MATCH(B3018, Analysis!$C$116:$C$137, 0), MATCH(C3018, Analysis!$D$115:$N$115, 0)), "")</f>
        <v/>
      </c>
      <c r="J3018" t="str">
        <f t="shared" si="286"/>
        <v/>
      </c>
      <c r="K3018" s="28" t="str">
        <f t="shared" si="283"/>
        <v/>
      </c>
      <c r="L3018" s="46" t="str">
        <f t="shared" si="287"/>
        <v/>
      </c>
      <c r="M3018" t="str" cm="1">
        <f t="array" ref="M3018">IF(L3018="","",_xlfn.IFS(
  AND(L3018&gt;=TIME(9,0,0), L3018&lt;TIME(16,0,0)),"Morning",
  AND(L3018&gt;=TIME(16,0,0), L3018&lt;TIME(23,59,0)),"Evening",
  L3018&gt;=TIME(23,59,0),"Night",
  L3018&lt;TIME(9,0,0),"Night"
))</f>
        <v/>
      </c>
      <c r="O3018" t="str">
        <f t="shared" si="284"/>
        <v/>
      </c>
    </row>
    <row r="3019" spans="7:15" x14ac:dyDescent="0.25">
      <c r="G3019" t="str">
        <f t="shared" si="282"/>
        <v/>
      </c>
      <c r="H3019" s="13" t="str">
        <f t="shared" si="285"/>
        <v/>
      </c>
      <c r="I3019" t="str">
        <f>IFERROR(INDEX(Analysis!$D$116:$N$137, MATCH(B3019, Analysis!$C$116:$C$137, 0), MATCH(C3019, Analysis!$D$115:$N$115, 0)), "")</f>
        <v/>
      </c>
      <c r="J3019" t="str">
        <f t="shared" si="286"/>
        <v/>
      </c>
      <c r="K3019" s="28" t="str">
        <f t="shared" si="283"/>
        <v/>
      </c>
      <c r="L3019" s="46" t="str">
        <f t="shared" si="287"/>
        <v/>
      </c>
      <c r="M3019" t="str" cm="1">
        <f t="array" ref="M3019">IF(L3019="","",_xlfn.IFS(
  AND(L3019&gt;=TIME(9,0,0), L3019&lt;TIME(16,0,0)),"Morning",
  AND(L3019&gt;=TIME(16,0,0), L3019&lt;TIME(23,59,0)),"Evening",
  L3019&gt;=TIME(23,59,0),"Night",
  L3019&lt;TIME(9,0,0),"Night"
))</f>
        <v/>
      </c>
      <c r="O3019" t="str">
        <f t="shared" si="284"/>
        <v/>
      </c>
    </row>
    <row r="3020" spans="7:15" x14ac:dyDescent="0.25">
      <c r="G3020" t="str">
        <f t="shared" si="282"/>
        <v/>
      </c>
      <c r="H3020" s="13" t="str">
        <f t="shared" si="285"/>
        <v/>
      </c>
      <c r="I3020" t="str">
        <f>IFERROR(INDEX(Analysis!$D$116:$N$137, MATCH(B3020, Analysis!$C$116:$C$137, 0), MATCH(C3020, Analysis!$D$115:$N$115, 0)), "")</f>
        <v/>
      </c>
      <c r="J3020" t="str">
        <f t="shared" si="286"/>
        <v/>
      </c>
      <c r="K3020" s="28" t="str">
        <f t="shared" si="283"/>
        <v/>
      </c>
      <c r="L3020" s="46" t="str">
        <f t="shared" si="287"/>
        <v/>
      </c>
      <c r="M3020" t="str" cm="1">
        <f t="array" ref="M3020">IF(L3020="","",_xlfn.IFS(
  AND(L3020&gt;=TIME(9,0,0), L3020&lt;TIME(16,0,0)),"Morning",
  AND(L3020&gt;=TIME(16,0,0), L3020&lt;TIME(23,59,0)),"Evening",
  L3020&gt;=TIME(23,59,0),"Night",
  L3020&lt;TIME(9,0,0),"Night"
))</f>
        <v/>
      </c>
      <c r="O3020" t="str">
        <f t="shared" si="284"/>
        <v/>
      </c>
    </row>
    <row r="3021" spans="7:15" x14ac:dyDescent="0.25">
      <c r="G3021" t="str">
        <f t="shared" si="282"/>
        <v/>
      </c>
      <c r="H3021" s="13" t="str">
        <f t="shared" si="285"/>
        <v/>
      </c>
      <c r="I3021" t="str">
        <f>IFERROR(INDEX(Analysis!$D$116:$N$137, MATCH(B3021, Analysis!$C$116:$C$137, 0), MATCH(C3021, Analysis!$D$115:$N$115, 0)), "")</f>
        <v/>
      </c>
      <c r="J3021" t="str">
        <f t="shared" si="286"/>
        <v/>
      </c>
      <c r="K3021" s="28" t="str">
        <f t="shared" si="283"/>
        <v/>
      </c>
      <c r="L3021" s="46" t="str">
        <f t="shared" si="287"/>
        <v/>
      </c>
      <c r="M3021" t="str" cm="1">
        <f t="array" ref="M3021">IF(L3021="","",_xlfn.IFS(
  AND(L3021&gt;=TIME(9,0,0), L3021&lt;TIME(16,0,0)),"Morning",
  AND(L3021&gt;=TIME(16,0,0), L3021&lt;TIME(23,59,0)),"Evening",
  L3021&gt;=TIME(23,59,0),"Night",
  L3021&lt;TIME(9,0,0),"Night"
))</f>
        <v/>
      </c>
      <c r="O3021" t="str">
        <f t="shared" si="284"/>
        <v/>
      </c>
    </row>
    <row r="3022" spans="7:15" x14ac:dyDescent="0.25">
      <c r="G3022" t="str">
        <f t="shared" si="282"/>
        <v/>
      </c>
      <c r="H3022" s="13" t="str">
        <f t="shared" si="285"/>
        <v/>
      </c>
      <c r="I3022" t="str">
        <f>IFERROR(INDEX(Analysis!$D$116:$N$137, MATCH(B3022, Analysis!$C$116:$C$137, 0), MATCH(C3022, Analysis!$D$115:$N$115, 0)), "")</f>
        <v/>
      </c>
      <c r="J3022" t="str">
        <f t="shared" si="286"/>
        <v/>
      </c>
      <c r="K3022" s="28" t="str">
        <f t="shared" si="283"/>
        <v/>
      </c>
      <c r="L3022" s="46" t="str">
        <f t="shared" si="287"/>
        <v/>
      </c>
      <c r="M3022" t="str" cm="1">
        <f t="array" ref="M3022">IF(L3022="","",_xlfn.IFS(
  AND(L3022&gt;=TIME(9,0,0), L3022&lt;TIME(16,0,0)),"Morning",
  AND(L3022&gt;=TIME(16,0,0), L3022&lt;TIME(23,59,0)),"Evening",
  L3022&gt;=TIME(23,59,0),"Night",
  L3022&lt;TIME(9,0,0),"Night"
))</f>
        <v/>
      </c>
      <c r="O3022" t="str">
        <f t="shared" si="284"/>
        <v/>
      </c>
    </row>
    <row r="3023" spans="7:15" x14ac:dyDescent="0.25">
      <c r="G3023" t="str">
        <f t="shared" si="282"/>
        <v/>
      </c>
      <c r="H3023" s="13" t="str">
        <f t="shared" si="285"/>
        <v/>
      </c>
      <c r="I3023" t="str">
        <f>IFERROR(INDEX(Analysis!$D$116:$N$137, MATCH(B3023, Analysis!$C$116:$C$137, 0), MATCH(C3023, Analysis!$D$115:$N$115, 0)), "")</f>
        <v/>
      </c>
      <c r="J3023" t="str">
        <f t="shared" si="286"/>
        <v/>
      </c>
      <c r="K3023" s="28" t="str">
        <f t="shared" si="283"/>
        <v/>
      </c>
      <c r="L3023" s="46" t="str">
        <f t="shared" si="287"/>
        <v/>
      </c>
      <c r="M3023" t="str" cm="1">
        <f t="array" ref="M3023">IF(L3023="","",_xlfn.IFS(
  AND(L3023&gt;=TIME(9,0,0), L3023&lt;TIME(16,0,0)),"Morning",
  AND(L3023&gt;=TIME(16,0,0), L3023&lt;TIME(23,59,0)),"Evening",
  L3023&gt;=TIME(23,59,0),"Night",
  L3023&lt;TIME(9,0,0),"Night"
))</f>
        <v/>
      </c>
      <c r="O3023" t="str">
        <f t="shared" si="284"/>
        <v/>
      </c>
    </row>
    <row r="3024" spans="7:15" x14ac:dyDescent="0.25">
      <c r="G3024" t="str">
        <f t="shared" si="282"/>
        <v/>
      </c>
      <c r="H3024" s="13" t="str">
        <f t="shared" si="285"/>
        <v/>
      </c>
      <c r="I3024" t="str">
        <f>IFERROR(INDEX(Analysis!$D$116:$N$137, MATCH(B3024, Analysis!$C$116:$C$137, 0), MATCH(C3024, Analysis!$D$115:$N$115, 0)), "")</f>
        <v/>
      </c>
      <c r="J3024" t="str">
        <f t="shared" si="286"/>
        <v/>
      </c>
      <c r="K3024" s="28" t="str">
        <f t="shared" si="283"/>
        <v/>
      </c>
      <c r="L3024" s="46" t="str">
        <f t="shared" si="287"/>
        <v/>
      </c>
      <c r="M3024" t="str" cm="1">
        <f t="array" ref="M3024">IF(L3024="","",_xlfn.IFS(
  AND(L3024&gt;=TIME(9,0,0), L3024&lt;TIME(16,0,0)),"Morning",
  AND(L3024&gt;=TIME(16,0,0), L3024&lt;TIME(23,59,0)),"Evening",
  L3024&gt;=TIME(23,59,0),"Night",
  L3024&lt;TIME(9,0,0),"Night"
))</f>
        <v/>
      </c>
      <c r="O3024" t="str">
        <f t="shared" si="284"/>
        <v/>
      </c>
    </row>
    <row r="3025" spans="7:15" x14ac:dyDescent="0.25">
      <c r="G3025" t="str">
        <f t="shared" si="282"/>
        <v/>
      </c>
      <c r="H3025" s="13" t="str">
        <f t="shared" si="285"/>
        <v/>
      </c>
      <c r="I3025" t="str">
        <f>IFERROR(INDEX(Analysis!$D$116:$N$137, MATCH(B3025, Analysis!$C$116:$C$137, 0), MATCH(C3025, Analysis!$D$115:$N$115, 0)), "")</f>
        <v/>
      </c>
      <c r="J3025" t="str">
        <f t="shared" si="286"/>
        <v/>
      </c>
      <c r="K3025" s="28" t="str">
        <f t="shared" si="283"/>
        <v/>
      </c>
      <c r="L3025" s="46" t="str">
        <f t="shared" si="287"/>
        <v/>
      </c>
      <c r="M3025" t="str" cm="1">
        <f t="array" ref="M3025">IF(L3025="","",_xlfn.IFS(
  AND(L3025&gt;=TIME(9,0,0), L3025&lt;TIME(16,0,0)),"Morning",
  AND(L3025&gt;=TIME(16,0,0), L3025&lt;TIME(23,59,0)),"Evening",
  L3025&gt;=TIME(23,59,0),"Night",
  L3025&lt;TIME(9,0,0),"Night"
))</f>
        <v/>
      </c>
      <c r="O3025" t="str">
        <f t="shared" si="284"/>
        <v/>
      </c>
    </row>
    <row r="3026" spans="7:15" x14ac:dyDescent="0.25">
      <c r="G3026" t="str">
        <f t="shared" si="282"/>
        <v/>
      </c>
      <c r="H3026" s="13" t="str">
        <f t="shared" si="285"/>
        <v/>
      </c>
      <c r="I3026" t="str">
        <f>IFERROR(INDEX(Analysis!$D$116:$N$137, MATCH(B3026, Analysis!$C$116:$C$137, 0), MATCH(C3026, Analysis!$D$115:$N$115, 0)), "")</f>
        <v/>
      </c>
      <c r="J3026" t="str">
        <f t="shared" si="286"/>
        <v/>
      </c>
      <c r="K3026" s="28" t="str">
        <f t="shared" si="283"/>
        <v/>
      </c>
      <c r="L3026" s="46" t="str">
        <f t="shared" si="287"/>
        <v/>
      </c>
      <c r="M3026" t="str" cm="1">
        <f t="array" ref="M3026">IF(L3026="","",_xlfn.IFS(
  AND(L3026&gt;=TIME(9,0,0), L3026&lt;TIME(16,0,0)),"Morning",
  AND(L3026&gt;=TIME(16,0,0), L3026&lt;TIME(23,59,0)),"Evening",
  L3026&gt;=TIME(23,59,0),"Night",
  L3026&lt;TIME(9,0,0),"Night"
))</f>
        <v/>
      </c>
      <c r="O3026" t="str">
        <f t="shared" si="284"/>
        <v/>
      </c>
    </row>
    <row r="3027" spans="7:15" x14ac:dyDescent="0.25">
      <c r="G3027" t="str">
        <f t="shared" si="282"/>
        <v/>
      </c>
      <c r="H3027" s="13" t="str">
        <f t="shared" si="285"/>
        <v/>
      </c>
      <c r="I3027" t="str">
        <f>IFERROR(INDEX(Analysis!$D$116:$N$137, MATCH(B3027, Analysis!$C$116:$C$137, 0), MATCH(C3027, Analysis!$D$115:$N$115, 0)), "")</f>
        <v/>
      </c>
      <c r="J3027" t="str">
        <f t="shared" si="286"/>
        <v/>
      </c>
      <c r="K3027" s="28" t="str">
        <f t="shared" si="283"/>
        <v/>
      </c>
      <c r="L3027" s="46" t="str">
        <f t="shared" si="287"/>
        <v/>
      </c>
      <c r="M3027" t="str" cm="1">
        <f t="array" ref="M3027">IF(L3027="","",_xlfn.IFS(
  AND(L3027&gt;=TIME(9,0,0), L3027&lt;TIME(16,0,0)),"Morning",
  AND(L3027&gt;=TIME(16,0,0), L3027&lt;TIME(23,59,0)),"Evening",
  L3027&gt;=TIME(23,59,0),"Night",
  L3027&lt;TIME(9,0,0),"Night"
))</f>
        <v/>
      </c>
      <c r="O3027" t="str">
        <f t="shared" si="284"/>
        <v/>
      </c>
    </row>
    <row r="3028" spans="7:15" x14ac:dyDescent="0.25">
      <c r="G3028" t="str">
        <f t="shared" si="282"/>
        <v/>
      </c>
      <c r="H3028" s="13" t="str">
        <f t="shared" si="285"/>
        <v/>
      </c>
      <c r="I3028" t="str">
        <f>IFERROR(INDEX(Analysis!$D$116:$N$137, MATCH(B3028, Analysis!$C$116:$C$137, 0), MATCH(C3028, Analysis!$D$115:$N$115, 0)), "")</f>
        <v/>
      </c>
      <c r="J3028" t="str">
        <f t="shared" si="286"/>
        <v/>
      </c>
      <c r="K3028" s="28" t="str">
        <f t="shared" si="283"/>
        <v/>
      </c>
      <c r="L3028" s="46" t="str">
        <f t="shared" si="287"/>
        <v/>
      </c>
      <c r="M3028" t="str" cm="1">
        <f t="array" ref="M3028">IF(L3028="","",_xlfn.IFS(
  AND(L3028&gt;=TIME(9,0,0), L3028&lt;TIME(16,0,0)),"Morning",
  AND(L3028&gt;=TIME(16,0,0), L3028&lt;TIME(23,59,0)),"Evening",
  L3028&gt;=TIME(23,59,0),"Night",
  L3028&lt;TIME(9,0,0),"Night"
))</f>
        <v/>
      </c>
      <c r="O3028" t="str">
        <f t="shared" si="284"/>
        <v/>
      </c>
    </row>
    <row r="3029" spans="7:15" x14ac:dyDescent="0.25">
      <c r="G3029" t="str">
        <f t="shared" si="282"/>
        <v/>
      </c>
      <c r="H3029" s="13" t="str">
        <f t="shared" si="285"/>
        <v/>
      </c>
      <c r="I3029" t="str">
        <f>IFERROR(INDEX(Analysis!$D$116:$N$137, MATCH(B3029, Analysis!$C$116:$C$137, 0), MATCH(C3029, Analysis!$D$115:$N$115, 0)), "")</f>
        <v/>
      </c>
      <c r="J3029" t="str">
        <f t="shared" si="286"/>
        <v/>
      </c>
      <c r="K3029" s="28" t="str">
        <f t="shared" si="283"/>
        <v/>
      </c>
      <c r="L3029" s="46" t="str">
        <f t="shared" si="287"/>
        <v/>
      </c>
      <c r="M3029" t="str" cm="1">
        <f t="array" ref="M3029">IF(L3029="","",_xlfn.IFS(
  AND(L3029&gt;=TIME(9,0,0), L3029&lt;TIME(16,0,0)),"Morning",
  AND(L3029&gt;=TIME(16,0,0), L3029&lt;TIME(23,59,0)),"Evening",
  L3029&gt;=TIME(23,59,0),"Night",
  L3029&lt;TIME(9,0,0),"Night"
))</f>
        <v/>
      </c>
      <c r="O3029" t="str">
        <f t="shared" si="284"/>
        <v/>
      </c>
    </row>
    <row r="3030" spans="7:15" x14ac:dyDescent="0.25">
      <c r="G3030" t="str">
        <f t="shared" si="282"/>
        <v/>
      </c>
      <c r="H3030" s="13" t="str">
        <f t="shared" si="285"/>
        <v/>
      </c>
      <c r="I3030" t="str">
        <f>IFERROR(INDEX(Analysis!$D$116:$N$137, MATCH(B3030, Analysis!$C$116:$C$137, 0), MATCH(C3030, Analysis!$D$115:$N$115, 0)), "")</f>
        <v/>
      </c>
      <c r="J3030" t="str">
        <f t="shared" si="286"/>
        <v/>
      </c>
      <c r="K3030" s="28" t="str">
        <f t="shared" si="283"/>
        <v/>
      </c>
      <c r="L3030" s="46" t="str">
        <f t="shared" si="287"/>
        <v/>
      </c>
      <c r="M3030" t="str" cm="1">
        <f t="array" ref="M3030">IF(L3030="","",_xlfn.IFS(
  AND(L3030&gt;=TIME(9,0,0), L3030&lt;TIME(16,0,0)),"Morning",
  AND(L3030&gt;=TIME(16,0,0), L3030&lt;TIME(23,59,0)),"Evening",
  L3030&gt;=TIME(23,59,0),"Night",
  L3030&lt;TIME(9,0,0),"Night"
))</f>
        <v/>
      </c>
      <c r="O3030" t="str">
        <f t="shared" si="284"/>
        <v/>
      </c>
    </row>
    <row r="3031" spans="7:15" x14ac:dyDescent="0.25">
      <c r="G3031" t="str">
        <f t="shared" si="282"/>
        <v/>
      </c>
      <c r="H3031" s="13" t="str">
        <f t="shared" si="285"/>
        <v/>
      </c>
      <c r="I3031" t="str">
        <f>IFERROR(INDEX(Analysis!$D$116:$N$137, MATCH(B3031, Analysis!$C$116:$C$137, 0), MATCH(C3031, Analysis!$D$115:$N$115, 0)), "")</f>
        <v/>
      </c>
      <c r="J3031" t="str">
        <f t="shared" si="286"/>
        <v/>
      </c>
      <c r="K3031" s="28" t="str">
        <f t="shared" si="283"/>
        <v/>
      </c>
      <c r="L3031" s="46" t="str">
        <f t="shared" si="287"/>
        <v/>
      </c>
      <c r="M3031" t="str" cm="1">
        <f t="array" ref="M3031">IF(L3031="","",_xlfn.IFS(
  AND(L3031&gt;=TIME(9,0,0), L3031&lt;TIME(16,0,0)),"Morning",
  AND(L3031&gt;=TIME(16,0,0), L3031&lt;TIME(23,59,0)),"Evening",
  L3031&gt;=TIME(23,59,0),"Night",
  L3031&lt;TIME(9,0,0),"Night"
))</f>
        <v/>
      </c>
      <c r="O3031" t="str">
        <f t="shared" si="284"/>
        <v/>
      </c>
    </row>
    <row r="3032" spans="7:15" x14ac:dyDescent="0.25">
      <c r="G3032" t="str">
        <f t="shared" si="282"/>
        <v/>
      </c>
      <c r="H3032" s="13" t="str">
        <f t="shared" si="285"/>
        <v/>
      </c>
      <c r="I3032" t="str">
        <f>IFERROR(INDEX(Analysis!$D$116:$N$137, MATCH(B3032, Analysis!$C$116:$C$137, 0), MATCH(C3032, Analysis!$D$115:$N$115, 0)), "")</f>
        <v/>
      </c>
      <c r="J3032" t="str">
        <f t="shared" si="286"/>
        <v/>
      </c>
      <c r="K3032" s="28" t="str">
        <f t="shared" si="283"/>
        <v/>
      </c>
      <c r="L3032" s="46" t="str">
        <f t="shared" si="287"/>
        <v/>
      </c>
      <c r="M3032" t="str" cm="1">
        <f t="array" ref="M3032">IF(L3032="","",_xlfn.IFS(
  AND(L3032&gt;=TIME(9,0,0), L3032&lt;TIME(16,0,0)),"Morning",
  AND(L3032&gt;=TIME(16,0,0), L3032&lt;TIME(23,59,0)),"Evening",
  L3032&gt;=TIME(23,59,0),"Night",
  L3032&lt;TIME(9,0,0),"Night"
))</f>
        <v/>
      </c>
      <c r="O3032" t="str">
        <f t="shared" si="284"/>
        <v/>
      </c>
    </row>
    <row r="3033" spans="7:15" x14ac:dyDescent="0.25">
      <c r="G3033" t="str">
        <f t="shared" si="282"/>
        <v/>
      </c>
      <c r="H3033" s="13" t="str">
        <f t="shared" si="285"/>
        <v/>
      </c>
      <c r="I3033" t="str">
        <f>IFERROR(INDEX(Analysis!$D$116:$N$137, MATCH(B3033, Analysis!$C$116:$C$137, 0), MATCH(C3033, Analysis!$D$115:$N$115, 0)), "")</f>
        <v/>
      </c>
      <c r="J3033" t="str">
        <f t="shared" si="286"/>
        <v/>
      </c>
      <c r="K3033" s="28" t="str">
        <f t="shared" si="283"/>
        <v/>
      </c>
      <c r="L3033" s="46" t="str">
        <f t="shared" si="287"/>
        <v/>
      </c>
      <c r="M3033" t="str" cm="1">
        <f t="array" ref="M3033">IF(L3033="","",_xlfn.IFS(
  AND(L3033&gt;=TIME(9,0,0), L3033&lt;TIME(16,0,0)),"Morning",
  AND(L3033&gt;=TIME(16,0,0), L3033&lt;TIME(23,59,0)),"Evening",
  L3033&gt;=TIME(23,59,0),"Night",
  L3033&lt;TIME(9,0,0),"Night"
))</f>
        <v/>
      </c>
      <c r="O3033" t="str">
        <f t="shared" si="284"/>
        <v/>
      </c>
    </row>
    <row r="3034" spans="7:15" x14ac:dyDescent="0.25">
      <c r="G3034" t="str">
        <f t="shared" si="282"/>
        <v/>
      </c>
      <c r="H3034" s="13" t="str">
        <f t="shared" si="285"/>
        <v/>
      </c>
      <c r="I3034" t="str">
        <f>IFERROR(INDEX(Analysis!$D$116:$N$137, MATCH(B3034, Analysis!$C$116:$C$137, 0), MATCH(C3034, Analysis!$D$115:$N$115, 0)), "")</f>
        <v/>
      </c>
      <c r="J3034" t="str">
        <f t="shared" si="286"/>
        <v/>
      </c>
      <c r="K3034" s="28" t="str">
        <f t="shared" si="283"/>
        <v/>
      </c>
      <c r="L3034" s="46" t="str">
        <f t="shared" si="287"/>
        <v/>
      </c>
      <c r="M3034" t="str" cm="1">
        <f t="array" ref="M3034">IF(L3034="","",_xlfn.IFS(
  AND(L3034&gt;=TIME(9,0,0), L3034&lt;TIME(16,0,0)),"Morning",
  AND(L3034&gt;=TIME(16,0,0), L3034&lt;TIME(23,59,0)),"Evening",
  L3034&gt;=TIME(23,59,0),"Night",
  L3034&lt;TIME(9,0,0),"Night"
))</f>
        <v/>
      </c>
      <c r="O3034" t="str">
        <f t="shared" si="284"/>
        <v/>
      </c>
    </row>
    <row r="3035" spans="7:15" x14ac:dyDescent="0.25">
      <c r="G3035" t="str">
        <f t="shared" si="282"/>
        <v/>
      </c>
      <c r="H3035" s="13" t="str">
        <f t="shared" si="285"/>
        <v/>
      </c>
      <c r="I3035" t="str">
        <f>IFERROR(INDEX(Analysis!$D$116:$N$137, MATCH(B3035, Analysis!$C$116:$C$137, 0), MATCH(C3035, Analysis!$D$115:$N$115, 0)), "")</f>
        <v/>
      </c>
      <c r="J3035" t="str">
        <f t="shared" si="286"/>
        <v/>
      </c>
      <c r="K3035" s="28" t="str">
        <f t="shared" si="283"/>
        <v/>
      </c>
      <c r="L3035" s="46" t="str">
        <f t="shared" si="287"/>
        <v/>
      </c>
      <c r="M3035" t="str" cm="1">
        <f t="array" ref="M3035">IF(L3035="","",_xlfn.IFS(
  AND(L3035&gt;=TIME(9,0,0), L3035&lt;TIME(16,0,0)),"Morning",
  AND(L3035&gt;=TIME(16,0,0), L3035&lt;TIME(23,59,0)),"Evening",
  L3035&gt;=TIME(23,59,0),"Night",
  L3035&lt;TIME(9,0,0),"Night"
))</f>
        <v/>
      </c>
      <c r="O3035" t="str">
        <f t="shared" si="284"/>
        <v/>
      </c>
    </row>
    <row r="3036" spans="7:15" x14ac:dyDescent="0.25">
      <c r="G3036" t="str">
        <f t="shared" si="282"/>
        <v/>
      </c>
      <c r="H3036" s="13" t="str">
        <f t="shared" si="285"/>
        <v/>
      </c>
      <c r="I3036" t="str">
        <f>IFERROR(INDEX(Analysis!$D$116:$N$137, MATCH(B3036, Analysis!$C$116:$C$137, 0), MATCH(C3036, Analysis!$D$115:$N$115, 0)), "")</f>
        <v/>
      </c>
      <c r="J3036" t="str">
        <f t="shared" si="286"/>
        <v/>
      </c>
      <c r="K3036" s="28" t="str">
        <f t="shared" si="283"/>
        <v/>
      </c>
      <c r="L3036" s="46" t="str">
        <f t="shared" si="287"/>
        <v/>
      </c>
      <c r="M3036" t="str" cm="1">
        <f t="array" ref="M3036">IF(L3036="","",_xlfn.IFS(
  AND(L3036&gt;=TIME(9,0,0), L3036&lt;TIME(16,0,0)),"Morning",
  AND(L3036&gt;=TIME(16,0,0), L3036&lt;TIME(23,59,0)),"Evening",
  L3036&gt;=TIME(23,59,0),"Night",
  L3036&lt;TIME(9,0,0),"Night"
))</f>
        <v/>
      </c>
      <c r="O3036" t="str">
        <f t="shared" si="284"/>
        <v/>
      </c>
    </row>
    <row r="3037" spans="7:15" x14ac:dyDescent="0.25">
      <c r="G3037" t="str">
        <f t="shared" si="282"/>
        <v/>
      </c>
      <c r="H3037" s="13" t="str">
        <f t="shared" si="285"/>
        <v/>
      </c>
      <c r="I3037" t="str">
        <f>IFERROR(INDEX(Analysis!$D$116:$N$137, MATCH(B3037, Analysis!$C$116:$C$137, 0), MATCH(C3037, Analysis!$D$115:$N$115, 0)), "")</f>
        <v/>
      </c>
      <c r="J3037" t="str">
        <f t="shared" si="286"/>
        <v/>
      </c>
      <c r="K3037" s="28" t="str">
        <f t="shared" si="283"/>
        <v/>
      </c>
      <c r="L3037" s="46" t="str">
        <f t="shared" si="287"/>
        <v/>
      </c>
      <c r="M3037" t="str" cm="1">
        <f t="array" ref="M3037">IF(L3037="","",_xlfn.IFS(
  AND(L3037&gt;=TIME(9,0,0), L3037&lt;TIME(16,0,0)),"Morning",
  AND(L3037&gt;=TIME(16,0,0), L3037&lt;TIME(23,59,0)),"Evening",
  L3037&gt;=TIME(23,59,0),"Night",
  L3037&lt;TIME(9,0,0),"Night"
))</f>
        <v/>
      </c>
      <c r="O3037" t="str">
        <f t="shared" si="284"/>
        <v/>
      </c>
    </row>
    <row r="3038" spans="7:15" x14ac:dyDescent="0.25">
      <c r="G3038" t="str">
        <f t="shared" si="282"/>
        <v/>
      </c>
      <c r="H3038" s="13" t="str">
        <f t="shared" si="285"/>
        <v/>
      </c>
      <c r="I3038" t="str">
        <f>IFERROR(INDEX(Analysis!$D$116:$N$137, MATCH(B3038, Analysis!$C$116:$C$137, 0), MATCH(C3038, Analysis!$D$115:$N$115, 0)), "")</f>
        <v/>
      </c>
      <c r="J3038" t="str">
        <f t="shared" si="286"/>
        <v/>
      </c>
      <c r="K3038" s="28" t="str">
        <f t="shared" si="283"/>
        <v/>
      </c>
      <c r="L3038" s="46" t="str">
        <f t="shared" si="287"/>
        <v/>
      </c>
      <c r="M3038" t="str" cm="1">
        <f t="array" ref="M3038">IF(L3038="","",_xlfn.IFS(
  AND(L3038&gt;=TIME(9,0,0), L3038&lt;TIME(16,0,0)),"Morning",
  AND(L3038&gt;=TIME(16,0,0), L3038&lt;TIME(23,59,0)),"Evening",
  L3038&gt;=TIME(23,59,0),"Night",
  L3038&lt;TIME(9,0,0),"Night"
))</f>
        <v/>
      </c>
      <c r="O3038" t="str">
        <f t="shared" si="284"/>
        <v/>
      </c>
    </row>
    <row r="3039" spans="7:15" x14ac:dyDescent="0.25">
      <c r="G3039" t="str">
        <f t="shared" si="282"/>
        <v/>
      </c>
      <c r="H3039" s="13" t="str">
        <f t="shared" si="285"/>
        <v/>
      </c>
      <c r="I3039" t="str">
        <f>IFERROR(INDEX(Analysis!$D$116:$N$137, MATCH(B3039, Analysis!$C$116:$C$137, 0), MATCH(C3039, Analysis!$D$115:$N$115, 0)), "")</f>
        <v/>
      </c>
      <c r="J3039" t="str">
        <f t="shared" si="286"/>
        <v/>
      </c>
      <c r="K3039" s="28" t="str">
        <f t="shared" si="283"/>
        <v/>
      </c>
      <c r="L3039" s="46" t="str">
        <f t="shared" si="287"/>
        <v/>
      </c>
      <c r="M3039" t="str" cm="1">
        <f t="array" ref="M3039">IF(L3039="","",_xlfn.IFS(
  AND(L3039&gt;=TIME(9,0,0), L3039&lt;TIME(16,0,0)),"Morning",
  AND(L3039&gt;=TIME(16,0,0), L3039&lt;TIME(23,59,0)),"Evening",
  L3039&gt;=TIME(23,59,0),"Night",
  L3039&lt;TIME(9,0,0),"Night"
))</f>
        <v/>
      </c>
      <c r="O3039" t="str">
        <f t="shared" si="284"/>
        <v/>
      </c>
    </row>
    <row r="3040" spans="7:15" x14ac:dyDescent="0.25">
      <c r="G3040" t="str">
        <f t="shared" si="282"/>
        <v/>
      </c>
      <c r="H3040" s="13" t="str">
        <f t="shared" si="285"/>
        <v/>
      </c>
      <c r="I3040" t="str">
        <f>IFERROR(INDEX(Analysis!$D$116:$N$137, MATCH(B3040, Analysis!$C$116:$C$137, 0), MATCH(C3040, Analysis!$D$115:$N$115, 0)), "")</f>
        <v/>
      </c>
      <c r="J3040" t="str">
        <f t="shared" si="286"/>
        <v/>
      </c>
      <c r="K3040" s="28" t="str">
        <f t="shared" si="283"/>
        <v/>
      </c>
      <c r="L3040" s="46" t="str">
        <f t="shared" si="287"/>
        <v/>
      </c>
      <c r="M3040" t="str" cm="1">
        <f t="array" ref="M3040">IF(L3040="","",_xlfn.IFS(
  AND(L3040&gt;=TIME(9,0,0), L3040&lt;TIME(16,0,0)),"Morning",
  AND(L3040&gt;=TIME(16,0,0), L3040&lt;TIME(23,59,0)),"Evening",
  L3040&gt;=TIME(23,59,0),"Night",
  L3040&lt;TIME(9,0,0),"Night"
))</f>
        <v/>
      </c>
      <c r="O3040" t="str">
        <f t="shared" si="284"/>
        <v/>
      </c>
    </row>
    <row r="3041" spans="7:15" x14ac:dyDescent="0.25">
      <c r="G3041" t="str">
        <f t="shared" si="282"/>
        <v/>
      </c>
      <c r="H3041" s="13" t="str">
        <f t="shared" si="285"/>
        <v/>
      </c>
      <c r="I3041" t="str">
        <f>IFERROR(INDEX(Analysis!$D$116:$N$137, MATCH(B3041, Analysis!$C$116:$C$137, 0), MATCH(C3041, Analysis!$D$115:$N$115, 0)), "")</f>
        <v/>
      </c>
      <c r="J3041" t="str">
        <f t="shared" si="286"/>
        <v/>
      </c>
      <c r="K3041" s="28" t="str">
        <f t="shared" si="283"/>
        <v/>
      </c>
      <c r="L3041" s="46" t="str">
        <f t="shared" si="287"/>
        <v/>
      </c>
      <c r="M3041" t="str" cm="1">
        <f t="array" ref="M3041">IF(L3041="","",_xlfn.IFS(
  AND(L3041&gt;=TIME(9,0,0), L3041&lt;TIME(16,0,0)),"Morning",
  AND(L3041&gt;=TIME(16,0,0), L3041&lt;TIME(23,59,0)),"Evening",
  L3041&gt;=TIME(23,59,0),"Night",
  L3041&lt;TIME(9,0,0),"Night"
))</f>
        <v/>
      </c>
      <c r="O3041" t="str">
        <f t="shared" si="284"/>
        <v/>
      </c>
    </row>
    <row r="3042" spans="7:15" x14ac:dyDescent="0.25">
      <c r="G3042" t="str">
        <f t="shared" si="282"/>
        <v/>
      </c>
      <c r="H3042" s="13" t="str">
        <f t="shared" si="285"/>
        <v/>
      </c>
      <c r="I3042" t="str">
        <f>IFERROR(INDEX(Analysis!$D$116:$N$137, MATCH(B3042, Analysis!$C$116:$C$137, 0), MATCH(C3042, Analysis!$D$115:$N$115, 0)), "")</f>
        <v/>
      </c>
      <c r="J3042" t="str">
        <f t="shared" si="286"/>
        <v/>
      </c>
      <c r="K3042" s="28" t="str">
        <f t="shared" si="283"/>
        <v/>
      </c>
      <c r="L3042" s="46" t="str">
        <f t="shared" si="287"/>
        <v/>
      </c>
      <c r="M3042" t="str" cm="1">
        <f t="array" ref="M3042">IF(L3042="","",_xlfn.IFS(
  AND(L3042&gt;=TIME(9,0,0), L3042&lt;TIME(16,0,0)),"Morning",
  AND(L3042&gt;=TIME(16,0,0), L3042&lt;TIME(23,59,0)),"Evening",
  L3042&gt;=TIME(23,59,0),"Night",
  L3042&lt;TIME(9,0,0),"Night"
))</f>
        <v/>
      </c>
      <c r="O3042" t="str">
        <f t="shared" si="284"/>
        <v/>
      </c>
    </row>
    <row r="3043" spans="7:15" x14ac:dyDescent="0.25">
      <c r="G3043" t="str">
        <f t="shared" si="282"/>
        <v/>
      </c>
      <c r="H3043" s="13" t="str">
        <f t="shared" si="285"/>
        <v/>
      </c>
      <c r="I3043" t="str">
        <f>IFERROR(INDEX(Analysis!$D$116:$N$137, MATCH(B3043, Analysis!$C$116:$C$137, 0), MATCH(C3043, Analysis!$D$115:$N$115, 0)), "")</f>
        <v/>
      </c>
      <c r="J3043" t="str">
        <f t="shared" si="286"/>
        <v/>
      </c>
      <c r="K3043" s="28" t="str">
        <f t="shared" si="283"/>
        <v/>
      </c>
      <c r="L3043" s="46" t="str">
        <f t="shared" si="287"/>
        <v/>
      </c>
      <c r="M3043" t="str" cm="1">
        <f t="array" ref="M3043">IF(L3043="","",_xlfn.IFS(
  AND(L3043&gt;=TIME(9,0,0), L3043&lt;TIME(16,0,0)),"Morning",
  AND(L3043&gt;=TIME(16,0,0), L3043&lt;TIME(23,59,0)),"Evening",
  L3043&gt;=TIME(23,59,0),"Night",
  L3043&lt;TIME(9,0,0),"Night"
))</f>
        <v/>
      </c>
      <c r="O3043" t="str">
        <f t="shared" si="284"/>
        <v/>
      </c>
    </row>
    <row r="3044" spans="7:15" x14ac:dyDescent="0.25">
      <c r="G3044" t="str">
        <f t="shared" si="282"/>
        <v/>
      </c>
      <c r="H3044" s="13" t="str">
        <f t="shared" si="285"/>
        <v/>
      </c>
      <c r="I3044" t="str">
        <f>IFERROR(INDEX(Analysis!$D$116:$N$137, MATCH(B3044, Analysis!$C$116:$C$137, 0), MATCH(C3044, Analysis!$D$115:$N$115, 0)), "")</f>
        <v/>
      </c>
      <c r="J3044" t="str">
        <f t="shared" si="286"/>
        <v/>
      </c>
      <c r="K3044" s="28" t="str">
        <f t="shared" si="283"/>
        <v/>
      </c>
      <c r="L3044" s="46" t="str">
        <f t="shared" si="287"/>
        <v/>
      </c>
      <c r="M3044" t="str" cm="1">
        <f t="array" ref="M3044">IF(L3044="","",_xlfn.IFS(
  AND(L3044&gt;=TIME(9,0,0), L3044&lt;TIME(16,0,0)),"Morning",
  AND(L3044&gt;=TIME(16,0,0), L3044&lt;TIME(23,59,0)),"Evening",
  L3044&gt;=TIME(23,59,0),"Night",
  L3044&lt;TIME(9,0,0),"Night"
))</f>
        <v/>
      </c>
      <c r="O3044" t="str">
        <f t="shared" si="284"/>
        <v/>
      </c>
    </row>
    <row r="3045" spans="7:15" x14ac:dyDescent="0.25">
      <c r="G3045" t="str">
        <f t="shared" si="282"/>
        <v/>
      </c>
      <c r="H3045" s="13" t="str">
        <f t="shared" si="285"/>
        <v/>
      </c>
      <c r="I3045" t="str">
        <f>IFERROR(INDEX(Analysis!$D$116:$N$137, MATCH(B3045, Analysis!$C$116:$C$137, 0), MATCH(C3045, Analysis!$D$115:$N$115, 0)), "")</f>
        <v/>
      </c>
      <c r="J3045" t="str">
        <f t="shared" si="286"/>
        <v/>
      </c>
      <c r="K3045" s="28" t="str">
        <f t="shared" si="283"/>
        <v/>
      </c>
      <c r="L3045" s="46" t="str">
        <f t="shared" si="287"/>
        <v/>
      </c>
      <c r="M3045" t="str" cm="1">
        <f t="array" ref="M3045">IF(L3045="","",_xlfn.IFS(
  AND(L3045&gt;=TIME(9,0,0), L3045&lt;TIME(16,0,0)),"Morning",
  AND(L3045&gt;=TIME(16,0,0), L3045&lt;TIME(23,59,0)),"Evening",
  L3045&gt;=TIME(23,59,0),"Night",
  L3045&lt;TIME(9,0,0),"Night"
))</f>
        <v/>
      </c>
      <c r="O3045" t="str">
        <f t="shared" si="284"/>
        <v/>
      </c>
    </row>
    <row r="3046" spans="7:15" x14ac:dyDescent="0.25">
      <c r="G3046" t="str">
        <f t="shared" si="282"/>
        <v/>
      </c>
      <c r="H3046" s="13" t="str">
        <f t="shared" si="285"/>
        <v/>
      </c>
      <c r="I3046" t="str">
        <f>IFERROR(INDEX(Analysis!$D$116:$N$137, MATCH(B3046, Analysis!$C$116:$C$137, 0), MATCH(C3046, Analysis!$D$115:$N$115, 0)), "")</f>
        <v/>
      </c>
      <c r="J3046" t="str">
        <f t="shared" si="286"/>
        <v/>
      </c>
      <c r="K3046" s="28" t="str">
        <f t="shared" si="283"/>
        <v/>
      </c>
      <c r="L3046" s="46" t="str">
        <f t="shared" si="287"/>
        <v/>
      </c>
      <c r="M3046" t="str" cm="1">
        <f t="array" ref="M3046">IF(L3046="","",_xlfn.IFS(
  AND(L3046&gt;=TIME(9,0,0), L3046&lt;TIME(16,0,0)),"Morning",
  AND(L3046&gt;=TIME(16,0,0), L3046&lt;TIME(23,59,0)),"Evening",
  L3046&gt;=TIME(23,59,0),"Night",
  L3046&lt;TIME(9,0,0),"Night"
))</f>
        <v/>
      </c>
      <c r="O3046" t="str">
        <f t="shared" si="284"/>
        <v/>
      </c>
    </row>
    <row r="3047" spans="7:15" x14ac:dyDescent="0.25">
      <c r="G3047" t="str">
        <f t="shared" si="282"/>
        <v/>
      </c>
      <c r="H3047" s="13" t="str">
        <f t="shared" si="285"/>
        <v/>
      </c>
      <c r="I3047" t="str">
        <f>IFERROR(INDEX(Analysis!$D$116:$N$137, MATCH(B3047, Analysis!$C$116:$C$137, 0), MATCH(C3047, Analysis!$D$115:$N$115, 0)), "")</f>
        <v/>
      </c>
      <c r="J3047" t="str">
        <f t="shared" si="286"/>
        <v/>
      </c>
      <c r="K3047" s="28" t="str">
        <f t="shared" si="283"/>
        <v/>
      </c>
      <c r="L3047" s="46" t="str">
        <f t="shared" si="287"/>
        <v/>
      </c>
      <c r="M3047" t="str" cm="1">
        <f t="array" ref="M3047">IF(L3047="","",_xlfn.IFS(
  AND(L3047&gt;=TIME(9,0,0), L3047&lt;TIME(16,0,0)),"Morning",
  AND(L3047&gt;=TIME(16,0,0), L3047&lt;TIME(23,59,0)),"Evening",
  L3047&gt;=TIME(23,59,0),"Night",
  L3047&lt;TIME(9,0,0),"Night"
))</f>
        <v/>
      </c>
      <c r="O3047" t="str">
        <f t="shared" si="284"/>
        <v/>
      </c>
    </row>
    <row r="3048" spans="7:15" x14ac:dyDescent="0.25">
      <c r="G3048" t="str">
        <f t="shared" si="282"/>
        <v/>
      </c>
      <c r="H3048" s="13" t="str">
        <f t="shared" si="285"/>
        <v/>
      </c>
      <c r="I3048" t="str">
        <f>IFERROR(INDEX(Analysis!$D$116:$N$137, MATCH(B3048, Analysis!$C$116:$C$137, 0), MATCH(C3048, Analysis!$D$115:$N$115, 0)), "")</f>
        <v/>
      </c>
      <c r="J3048" t="str">
        <f t="shared" si="286"/>
        <v/>
      </c>
      <c r="K3048" s="28" t="str">
        <f t="shared" si="283"/>
        <v/>
      </c>
      <c r="L3048" s="46" t="str">
        <f t="shared" si="287"/>
        <v/>
      </c>
      <c r="M3048" t="str" cm="1">
        <f t="array" ref="M3048">IF(L3048="","",_xlfn.IFS(
  AND(L3048&gt;=TIME(9,0,0), L3048&lt;TIME(16,0,0)),"Morning",
  AND(L3048&gt;=TIME(16,0,0), L3048&lt;TIME(23,59,0)),"Evening",
  L3048&gt;=TIME(23,59,0),"Night",
  L3048&lt;TIME(9,0,0),"Night"
))</f>
        <v/>
      </c>
      <c r="O3048" t="str">
        <f t="shared" si="284"/>
        <v/>
      </c>
    </row>
    <row r="3049" spans="7:15" x14ac:dyDescent="0.25">
      <c r="G3049" t="str">
        <f t="shared" si="282"/>
        <v/>
      </c>
      <c r="H3049" s="13" t="str">
        <f t="shared" si="285"/>
        <v/>
      </c>
      <c r="I3049" t="str">
        <f>IFERROR(INDEX(Analysis!$D$116:$N$137, MATCH(B3049, Analysis!$C$116:$C$137, 0), MATCH(C3049, Analysis!$D$115:$N$115, 0)), "")</f>
        <v/>
      </c>
      <c r="J3049" t="str">
        <f t="shared" si="286"/>
        <v/>
      </c>
      <c r="K3049" s="28" t="str">
        <f t="shared" si="283"/>
        <v/>
      </c>
      <c r="L3049" s="46" t="str">
        <f t="shared" si="287"/>
        <v/>
      </c>
      <c r="M3049" t="str" cm="1">
        <f t="array" ref="M3049">IF(L3049="","",_xlfn.IFS(
  AND(L3049&gt;=TIME(9,0,0), L3049&lt;TIME(16,0,0)),"Morning",
  AND(L3049&gt;=TIME(16,0,0), L3049&lt;TIME(23,59,0)),"Evening",
  L3049&gt;=TIME(23,59,0),"Night",
  L3049&lt;TIME(9,0,0),"Night"
))</f>
        <v/>
      </c>
      <c r="O3049" t="str">
        <f t="shared" si="284"/>
        <v/>
      </c>
    </row>
    <row r="3050" spans="7:15" x14ac:dyDescent="0.25">
      <c r="G3050" t="str">
        <f t="shared" si="282"/>
        <v/>
      </c>
      <c r="H3050" s="13" t="str">
        <f t="shared" si="285"/>
        <v/>
      </c>
      <c r="I3050" t="str">
        <f>IFERROR(INDEX(Analysis!$D$116:$N$137, MATCH(B3050, Analysis!$C$116:$C$137, 0), MATCH(C3050, Analysis!$D$115:$N$115, 0)), "")</f>
        <v/>
      </c>
      <c r="J3050" t="str">
        <f t="shared" si="286"/>
        <v/>
      </c>
      <c r="K3050" s="28" t="str">
        <f t="shared" si="283"/>
        <v/>
      </c>
      <c r="L3050" s="46" t="str">
        <f t="shared" si="287"/>
        <v/>
      </c>
      <c r="M3050" t="str" cm="1">
        <f t="array" ref="M3050">IF(L3050="","",_xlfn.IFS(
  AND(L3050&gt;=TIME(9,0,0), L3050&lt;TIME(16,0,0)),"Morning",
  AND(L3050&gt;=TIME(16,0,0), L3050&lt;TIME(23,59,0)),"Evening",
  L3050&gt;=TIME(23,59,0),"Night",
  L3050&lt;TIME(9,0,0),"Night"
))</f>
        <v/>
      </c>
      <c r="O3050" t="str">
        <f t="shared" si="284"/>
        <v/>
      </c>
    </row>
    <row r="3051" spans="7:15" x14ac:dyDescent="0.25">
      <c r="G3051" t="str">
        <f t="shared" si="282"/>
        <v/>
      </c>
      <c r="H3051" s="13" t="str">
        <f t="shared" si="285"/>
        <v/>
      </c>
      <c r="I3051" t="str">
        <f>IFERROR(INDEX(Analysis!$D$116:$N$137, MATCH(B3051, Analysis!$C$116:$C$137, 0), MATCH(C3051, Analysis!$D$115:$N$115, 0)), "")</f>
        <v/>
      </c>
      <c r="J3051" t="str">
        <f t="shared" si="286"/>
        <v/>
      </c>
      <c r="K3051" s="28" t="str">
        <f t="shared" si="283"/>
        <v/>
      </c>
      <c r="L3051" s="46" t="str">
        <f t="shared" si="287"/>
        <v/>
      </c>
      <c r="M3051" t="str" cm="1">
        <f t="array" ref="M3051">IF(L3051="","",_xlfn.IFS(
  AND(L3051&gt;=TIME(9,0,0), L3051&lt;TIME(16,0,0)),"Morning",
  AND(L3051&gt;=TIME(16,0,0), L3051&lt;TIME(23,59,0)),"Evening",
  L3051&gt;=TIME(23,59,0),"Night",
  L3051&lt;TIME(9,0,0),"Night"
))</f>
        <v/>
      </c>
      <c r="O3051" t="str">
        <f t="shared" si="284"/>
        <v/>
      </c>
    </row>
    <row r="3052" spans="7:15" x14ac:dyDescent="0.25">
      <c r="G3052" t="str">
        <f t="shared" si="282"/>
        <v/>
      </c>
      <c r="H3052" s="13" t="str">
        <f t="shared" si="285"/>
        <v/>
      </c>
      <c r="I3052" t="str">
        <f>IFERROR(INDEX(Analysis!$D$116:$N$137, MATCH(B3052, Analysis!$C$116:$C$137, 0), MATCH(C3052, Analysis!$D$115:$N$115, 0)), "")</f>
        <v/>
      </c>
      <c r="J3052" t="str">
        <f t="shared" si="286"/>
        <v/>
      </c>
      <c r="K3052" s="28" t="str">
        <f t="shared" si="283"/>
        <v/>
      </c>
      <c r="L3052" s="46" t="str">
        <f t="shared" si="287"/>
        <v/>
      </c>
      <c r="M3052" t="str" cm="1">
        <f t="array" ref="M3052">IF(L3052="","",_xlfn.IFS(
  AND(L3052&gt;=TIME(9,0,0), L3052&lt;TIME(16,0,0)),"Morning",
  AND(L3052&gt;=TIME(16,0,0), L3052&lt;TIME(23,59,0)),"Evening",
  L3052&gt;=TIME(23,59,0),"Night",
  L3052&lt;TIME(9,0,0),"Night"
))</f>
        <v/>
      </c>
      <c r="O3052" t="str">
        <f t="shared" si="284"/>
        <v/>
      </c>
    </row>
    <row r="3053" spans="7:15" x14ac:dyDescent="0.25">
      <c r="G3053" t="str">
        <f t="shared" si="282"/>
        <v/>
      </c>
      <c r="H3053" s="13" t="str">
        <f t="shared" si="285"/>
        <v/>
      </c>
      <c r="I3053" t="str">
        <f>IFERROR(INDEX(Analysis!$D$116:$N$137, MATCH(B3053, Analysis!$C$116:$C$137, 0), MATCH(C3053, Analysis!$D$115:$N$115, 0)), "")</f>
        <v/>
      </c>
      <c r="J3053" t="str">
        <f t="shared" si="286"/>
        <v/>
      </c>
      <c r="K3053" s="28" t="str">
        <f t="shared" si="283"/>
        <v/>
      </c>
      <c r="L3053" s="46" t="str">
        <f t="shared" si="287"/>
        <v/>
      </c>
      <c r="M3053" t="str" cm="1">
        <f t="array" ref="M3053">IF(L3053="","",_xlfn.IFS(
  AND(L3053&gt;=TIME(9,0,0), L3053&lt;TIME(16,0,0)),"Morning",
  AND(L3053&gt;=TIME(16,0,0), L3053&lt;TIME(23,59,0)),"Evening",
  L3053&gt;=TIME(23,59,0),"Night",
  L3053&lt;TIME(9,0,0),"Night"
))</f>
        <v/>
      </c>
      <c r="O3053" t="str">
        <f t="shared" si="284"/>
        <v/>
      </c>
    </row>
    <row r="3054" spans="7:15" x14ac:dyDescent="0.25">
      <c r="G3054" t="str">
        <f t="shared" si="282"/>
        <v/>
      </c>
      <c r="H3054" s="13" t="str">
        <f t="shared" si="285"/>
        <v/>
      </c>
      <c r="I3054" t="str">
        <f>IFERROR(INDEX(Analysis!$D$116:$N$137, MATCH(B3054, Analysis!$C$116:$C$137, 0), MATCH(C3054, Analysis!$D$115:$N$115, 0)), "")</f>
        <v/>
      </c>
      <c r="J3054" t="str">
        <f t="shared" si="286"/>
        <v/>
      </c>
      <c r="K3054" s="28" t="str">
        <f t="shared" si="283"/>
        <v/>
      </c>
      <c r="L3054" s="46" t="str">
        <f t="shared" si="287"/>
        <v/>
      </c>
      <c r="M3054" t="str" cm="1">
        <f t="array" ref="M3054">IF(L3054="","",_xlfn.IFS(
  AND(L3054&gt;=TIME(9,0,0), L3054&lt;TIME(16,0,0)),"Morning",
  AND(L3054&gt;=TIME(16,0,0), L3054&lt;TIME(23,59,0)),"Evening",
  L3054&gt;=TIME(23,59,0),"Night",
  L3054&lt;TIME(9,0,0),"Night"
))</f>
        <v/>
      </c>
      <c r="O3054" t="str">
        <f t="shared" si="284"/>
        <v/>
      </c>
    </row>
    <row r="3055" spans="7:15" x14ac:dyDescent="0.25">
      <c r="G3055" t="str">
        <f t="shared" si="282"/>
        <v/>
      </c>
      <c r="H3055" s="13" t="str">
        <f t="shared" si="285"/>
        <v/>
      </c>
      <c r="I3055" t="str">
        <f>IFERROR(INDEX(Analysis!$D$116:$N$137, MATCH(B3055, Analysis!$C$116:$C$137, 0), MATCH(C3055, Analysis!$D$115:$N$115, 0)), "")</f>
        <v/>
      </c>
      <c r="J3055" t="str">
        <f t="shared" si="286"/>
        <v/>
      </c>
      <c r="K3055" s="28" t="str">
        <f t="shared" si="283"/>
        <v/>
      </c>
      <c r="L3055" s="46" t="str">
        <f t="shared" si="287"/>
        <v/>
      </c>
      <c r="M3055" t="str" cm="1">
        <f t="array" ref="M3055">IF(L3055="","",_xlfn.IFS(
  AND(L3055&gt;=TIME(9,0,0), L3055&lt;TIME(16,0,0)),"Morning",
  AND(L3055&gt;=TIME(16,0,0), L3055&lt;TIME(23,59,0)),"Evening",
  L3055&gt;=TIME(23,59,0),"Night",
  L3055&lt;TIME(9,0,0),"Night"
))</f>
        <v/>
      </c>
      <c r="O3055" t="str">
        <f t="shared" si="284"/>
        <v/>
      </c>
    </row>
    <row r="3056" spans="7:15" x14ac:dyDescent="0.25">
      <c r="G3056" t="str">
        <f t="shared" si="282"/>
        <v/>
      </c>
      <c r="H3056" s="13" t="str">
        <f t="shared" si="285"/>
        <v/>
      </c>
      <c r="I3056" t="str">
        <f>IFERROR(INDEX(Analysis!$D$116:$N$137, MATCH(B3056, Analysis!$C$116:$C$137, 0), MATCH(C3056, Analysis!$D$115:$N$115, 0)), "")</f>
        <v/>
      </c>
      <c r="J3056" t="str">
        <f t="shared" si="286"/>
        <v/>
      </c>
      <c r="K3056" s="28" t="str">
        <f t="shared" si="283"/>
        <v/>
      </c>
      <c r="L3056" s="46" t="str">
        <f t="shared" si="287"/>
        <v/>
      </c>
      <c r="M3056" t="str" cm="1">
        <f t="array" ref="M3056">IF(L3056="","",_xlfn.IFS(
  AND(L3056&gt;=TIME(9,0,0), L3056&lt;TIME(16,0,0)),"Morning",
  AND(L3056&gt;=TIME(16,0,0), L3056&lt;TIME(23,59,0)),"Evening",
  L3056&gt;=TIME(23,59,0),"Night",
  L3056&lt;TIME(9,0,0),"Night"
))</f>
        <v/>
      </c>
      <c r="O3056" t="str">
        <f t="shared" si="284"/>
        <v/>
      </c>
    </row>
    <row r="3057" spans="7:15" x14ac:dyDescent="0.25">
      <c r="G3057" t="str">
        <f t="shared" si="282"/>
        <v/>
      </c>
      <c r="H3057" s="13" t="str">
        <f t="shared" si="285"/>
        <v/>
      </c>
      <c r="I3057" t="str">
        <f>IFERROR(INDEX(Analysis!$D$116:$N$137, MATCH(B3057, Analysis!$C$116:$C$137, 0), MATCH(C3057, Analysis!$D$115:$N$115, 0)), "")</f>
        <v/>
      </c>
      <c r="J3057" t="str">
        <f t="shared" si="286"/>
        <v/>
      </c>
      <c r="K3057" s="28" t="str">
        <f t="shared" si="283"/>
        <v/>
      </c>
      <c r="L3057" s="46" t="str">
        <f t="shared" si="287"/>
        <v/>
      </c>
      <c r="M3057" t="str" cm="1">
        <f t="array" ref="M3057">IF(L3057="","",_xlfn.IFS(
  AND(L3057&gt;=TIME(9,0,0), L3057&lt;TIME(16,0,0)),"Morning",
  AND(L3057&gt;=TIME(16,0,0), L3057&lt;TIME(23,59,0)),"Evening",
  L3057&gt;=TIME(23,59,0),"Night",
  L3057&lt;TIME(9,0,0),"Night"
))</f>
        <v/>
      </c>
      <c r="O3057" t="str">
        <f t="shared" si="284"/>
        <v/>
      </c>
    </row>
    <row r="3058" spans="7:15" x14ac:dyDescent="0.25">
      <c r="G3058" t="str">
        <f t="shared" si="282"/>
        <v/>
      </c>
      <c r="H3058" s="13" t="str">
        <f t="shared" si="285"/>
        <v/>
      </c>
      <c r="I3058" t="str">
        <f>IFERROR(INDEX(Analysis!$D$116:$N$137, MATCH(B3058, Analysis!$C$116:$C$137, 0), MATCH(C3058, Analysis!$D$115:$N$115, 0)), "")</f>
        <v/>
      </c>
      <c r="J3058" t="str">
        <f t="shared" si="286"/>
        <v/>
      </c>
      <c r="K3058" s="28" t="str">
        <f t="shared" si="283"/>
        <v/>
      </c>
      <c r="L3058" s="46" t="str">
        <f t="shared" si="287"/>
        <v/>
      </c>
      <c r="M3058" t="str" cm="1">
        <f t="array" ref="M3058">IF(L3058="","",_xlfn.IFS(
  AND(L3058&gt;=TIME(9,0,0), L3058&lt;TIME(16,0,0)),"Morning",
  AND(L3058&gt;=TIME(16,0,0), L3058&lt;TIME(23,59,0)),"Evening",
  L3058&gt;=TIME(23,59,0),"Night",
  L3058&lt;TIME(9,0,0),"Night"
))</f>
        <v/>
      </c>
      <c r="O3058" t="str">
        <f t="shared" si="284"/>
        <v/>
      </c>
    </row>
    <row r="3059" spans="7:15" x14ac:dyDescent="0.25">
      <c r="G3059" t="str">
        <f t="shared" si="282"/>
        <v/>
      </c>
      <c r="H3059" s="13" t="str">
        <f t="shared" si="285"/>
        <v/>
      </c>
      <c r="I3059" t="str">
        <f>IFERROR(INDEX(Analysis!$D$116:$N$137, MATCH(B3059, Analysis!$C$116:$C$137, 0), MATCH(C3059, Analysis!$D$115:$N$115, 0)), "")</f>
        <v/>
      </c>
      <c r="J3059" t="str">
        <f t="shared" si="286"/>
        <v/>
      </c>
      <c r="K3059" s="28" t="str">
        <f t="shared" si="283"/>
        <v/>
      </c>
      <c r="L3059" s="46" t="str">
        <f t="shared" si="287"/>
        <v/>
      </c>
      <c r="M3059" t="str" cm="1">
        <f t="array" ref="M3059">IF(L3059="","",_xlfn.IFS(
  AND(L3059&gt;=TIME(9,0,0), L3059&lt;TIME(16,0,0)),"Morning",
  AND(L3059&gt;=TIME(16,0,0), L3059&lt;TIME(23,59,0)),"Evening",
  L3059&gt;=TIME(23,59,0),"Night",
  L3059&lt;TIME(9,0,0),"Night"
))</f>
        <v/>
      </c>
      <c r="O3059" t="str">
        <f t="shared" si="284"/>
        <v/>
      </c>
    </row>
    <row r="3060" spans="7:15" x14ac:dyDescent="0.25">
      <c r="G3060" t="str">
        <f t="shared" si="282"/>
        <v/>
      </c>
      <c r="H3060" s="13" t="str">
        <f t="shared" si="285"/>
        <v/>
      </c>
      <c r="I3060" t="str">
        <f>IFERROR(INDEX(Analysis!$D$116:$N$137, MATCH(B3060, Analysis!$C$116:$C$137, 0), MATCH(C3060, Analysis!$D$115:$N$115, 0)), "")</f>
        <v/>
      </c>
      <c r="J3060" t="str">
        <f t="shared" si="286"/>
        <v/>
      </c>
      <c r="K3060" s="28" t="str">
        <f t="shared" si="283"/>
        <v/>
      </c>
      <c r="L3060" s="46" t="str">
        <f t="shared" si="287"/>
        <v/>
      </c>
      <c r="M3060" t="str" cm="1">
        <f t="array" ref="M3060">IF(L3060="","",_xlfn.IFS(
  AND(L3060&gt;=TIME(9,0,0), L3060&lt;TIME(16,0,0)),"Morning",
  AND(L3060&gt;=TIME(16,0,0), L3060&lt;TIME(23,59,0)),"Evening",
  L3060&gt;=TIME(23,59,0),"Night",
  L3060&lt;TIME(9,0,0),"Night"
))</f>
        <v/>
      </c>
      <c r="O3060" t="str">
        <f t="shared" si="284"/>
        <v/>
      </c>
    </row>
    <row r="3061" spans="7:15" x14ac:dyDescent="0.25">
      <c r="G3061" t="str">
        <f t="shared" si="282"/>
        <v/>
      </c>
      <c r="H3061" s="13" t="str">
        <f t="shared" si="285"/>
        <v/>
      </c>
      <c r="I3061" t="str">
        <f>IFERROR(INDEX(Analysis!$D$116:$N$137, MATCH(B3061, Analysis!$C$116:$C$137, 0), MATCH(C3061, Analysis!$D$115:$N$115, 0)), "")</f>
        <v/>
      </c>
      <c r="J3061" t="str">
        <f t="shared" si="286"/>
        <v/>
      </c>
      <c r="K3061" s="28" t="str">
        <f t="shared" si="283"/>
        <v/>
      </c>
      <c r="L3061" s="46" t="str">
        <f t="shared" si="287"/>
        <v/>
      </c>
      <c r="M3061" t="str" cm="1">
        <f t="array" ref="M3061">IF(L3061="","",_xlfn.IFS(
  AND(L3061&gt;=TIME(9,0,0), L3061&lt;TIME(16,0,0)),"Morning",
  AND(L3061&gt;=TIME(16,0,0), L3061&lt;TIME(23,59,0)),"Evening",
  L3061&gt;=TIME(23,59,0),"Night",
  L3061&lt;TIME(9,0,0),"Night"
))</f>
        <v/>
      </c>
      <c r="O3061" t="str">
        <f t="shared" si="284"/>
        <v/>
      </c>
    </row>
    <row r="3062" spans="7:15" x14ac:dyDescent="0.25">
      <c r="G3062" t="str">
        <f t="shared" si="282"/>
        <v/>
      </c>
      <c r="H3062" s="13" t="str">
        <f t="shared" si="285"/>
        <v/>
      </c>
      <c r="I3062" t="str">
        <f>IFERROR(INDEX(Analysis!$D$116:$N$137, MATCH(B3062, Analysis!$C$116:$C$137, 0), MATCH(C3062, Analysis!$D$115:$N$115, 0)), "")</f>
        <v/>
      </c>
      <c r="J3062" t="str">
        <f t="shared" si="286"/>
        <v/>
      </c>
      <c r="K3062" s="28" t="str">
        <f t="shared" si="283"/>
        <v/>
      </c>
      <c r="L3062" s="46" t="str">
        <f t="shared" si="287"/>
        <v/>
      </c>
      <c r="M3062" t="str" cm="1">
        <f t="array" ref="M3062">IF(L3062="","",_xlfn.IFS(
  AND(L3062&gt;=TIME(9,0,0), L3062&lt;TIME(16,0,0)),"Morning",
  AND(L3062&gt;=TIME(16,0,0), L3062&lt;TIME(23,59,0)),"Evening",
  L3062&gt;=TIME(23,59,0),"Night",
  L3062&lt;TIME(9,0,0),"Night"
))</f>
        <v/>
      </c>
      <c r="O3062" t="str">
        <f t="shared" si="284"/>
        <v/>
      </c>
    </row>
    <row r="3063" spans="7:15" x14ac:dyDescent="0.25">
      <c r="G3063" t="str">
        <f t="shared" si="282"/>
        <v/>
      </c>
      <c r="H3063" s="13" t="str">
        <f t="shared" si="285"/>
        <v/>
      </c>
      <c r="I3063" t="str">
        <f>IFERROR(INDEX(Analysis!$D$116:$N$137, MATCH(B3063, Analysis!$C$116:$C$137, 0), MATCH(C3063, Analysis!$D$115:$N$115, 0)), "")</f>
        <v/>
      </c>
      <c r="J3063" t="str">
        <f t="shared" si="286"/>
        <v/>
      </c>
      <c r="K3063" s="28" t="str">
        <f t="shared" si="283"/>
        <v/>
      </c>
      <c r="L3063" s="46" t="str">
        <f t="shared" si="287"/>
        <v/>
      </c>
      <c r="M3063" t="str" cm="1">
        <f t="array" ref="M3063">IF(L3063="","",_xlfn.IFS(
  AND(L3063&gt;=TIME(9,0,0), L3063&lt;TIME(16,0,0)),"Morning",
  AND(L3063&gt;=TIME(16,0,0), L3063&lt;TIME(23,59,0)),"Evening",
  L3063&gt;=TIME(23,59,0),"Night",
  L3063&lt;TIME(9,0,0),"Night"
))</f>
        <v/>
      </c>
      <c r="O3063" t="str">
        <f t="shared" si="284"/>
        <v/>
      </c>
    </row>
    <row r="3064" spans="7:15" x14ac:dyDescent="0.25">
      <c r="G3064" t="str">
        <f t="shared" si="282"/>
        <v/>
      </c>
      <c r="H3064" s="13" t="str">
        <f t="shared" si="285"/>
        <v/>
      </c>
      <c r="I3064" t="str">
        <f>IFERROR(INDEX(Analysis!$D$116:$N$137, MATCH(B3064, Analysis!$C$116:$C$137, 0), MATCH(C3064, Analysis!$D$115:$N$115, 0)), "")</f>
        <v/>
      </c>
      <c r="J3064" t="str">
        <f t="shared" si="286"/>
        <v/>
      </c>
      <c r="K3064" s="28" t="str">
        <f t="shared" si="283"/>
        <v/>
      </c>
      <c r="L3064" s="46" t="str">
        <f t="shared" si="287"/>
        <v/>
      </c>
      <c r="M3064" t="str" cm="1">
        <f t="array" ref="M3064">IF(L3064="","",_xlfn.IFS(
  AND(L3064&gt;=TIME(9,0,0), L3064&lt;TIME(16,0,0)),"Morning",
  AND(L3064&gt;=TIME(16,0,0), L3064&lt;TIME(23,59,0)),"Evening",
  L3064&gt;=TIME(23,59,0),"Night",
  L3064&lt;TIME(9,0,0),"Night"
))</f>
        <v/>
      </c>
      <c r="O3064" t="str">
        <f t="shared" si="284"/>
        <v/>
      </c>
    </row>
    <row r="3065" spans="7:15" x14ac:dyDescent="0.25">
      <c r="G3065" t="str">
        <f t="shared" si="282"/>
        <v/>
      </c>
      <c r="H3065" s="13" t="str">
        <f t="shared" si="285"/>
        <v/>
      </c>
      <c r="I3065" t="str">
        <f>IFERROR(INDEX(Analysis!$D$116:$N$137, MATCH(B3065, Analysis!$C$116:$C$137, 0), MATCH(C3065, Analysis!$D$115:$N$115, 0)), "")</f>
        <v/>
      </c>
      <c r="J3065" t="str">
        <f t="shared" si="286"/>
        <v/>
      </c>
      <c r="K3065" s="28" t="str">
        <f t="shared" si="283"/>
        <v/>
      </c>
      <c r="L3065" s="46" t="str">
        <f t="shared" si="287"/>
        <v/>
      </c>
      <c r="M3065" t="str" cm="1">
        <f t="array" ref="M3065">IF(L3065="","",_xlfn.IFS(
  AND(L3065&gt;=TIME(9,0,0), L3065&lt;TIME(16,0,0)),"Morning",
  AND(L3065&gt;=TIME(16,0,0), L3065&lt;TIME(23,59,0)),"Evening",
  L3065&gt;=TIME(23,59,0),"Night",
  L3065&lt;TIME(9,0,0),"Night"
))</f>
        <v/>
      </c>
      <c r="O3065" t="str">
        <f t="shared" si="284"/>
        <v/>
      </c>
    </row>
    <row r="3066" spans="7:15" x14ac:dyDescent="0.25">
      <c r="G3066" t="str">
        <f t="shared" si="282"/>
        <v/>
      </c>
      <c r="H3066" s="13" t="str">
        <f t="shared" si="285"/>
        <v/>
      </c>
      <c r="I3066" t="str">
        <f>IFERROR(INDEX(Analysis!$D$116:$N$137, MATCH(B3066, Analysis!$C$116:$C$137, 0), MATCH(C3066, Analysis!$D$115:$N$115, 0)), "")</f>
        <v/>
      </c>
      <c r="J3066" t="str">
        <f t="shared" si="286"/>
        <v/>
      </c>
      <c r="K3066" s="28" t="str">
        <f t="shared" si="283"/>
        <v/>
      </c>
      <c r="L3066" s="46" t="str">
        <f t="shared" si="287"/>
        <v/>
      </c>
      <c r="M3066" t="str" cm="1">
        <f t="array" ref="M3066">IF(L3066="","",_xlfn.IFS(
  AND(L3066&gt;=TIME(9,0,0), L3066&lt;TIME(16,0,0)),"Morning",
  AND(L3066&gt;=TIME(16,0,0), L3066&lt;TIME(23,59,0)),"Evening",
  L3066&gt;=TIME(23,59,0),"Night",
  L3066&lt;TIME(9,0,0),"Night"
))</f>
        <v/>
      </c>
      <c r="O3066" t="str">
        <f t="shared" si="284"/>
        <v/>
      </c>
    </row>
    <row r="3067" spans="7:15" x14ac:dyDescent="0.25">
      <c r="G3067" t="str">
        <f t="shared" si="282"/>
        <v/>
      </c>
      <c r="H3067" s="13" t="str">
        <f t="shared" si="285"/>
        <v/>
      </c>
      <c r="I3067" t="str">
        <f>IFERROR(INDEX(Analysis!$D$116:$N$137, MATCH(B3067, Analysis!$C$116:$C$137, 0), MATCH(C3067, Analysis!$D$115:$N$115, 0)), "")</f>
        <v/>
      </c>
      <c r="J3067" t="str">
        <f t="shared" si="286"/>
        <v/>
      </c>
      <c r="K3067" s="28" t="str">
        <f t="shared" si="283"/>
        <v/>
      </c>
      <c r="L3067" s="46" t="str">
        <f t="shared" si="287"/>
        <v/>
      </c>
      <c r="M3067" t="str" cm="1">
        <f t="array" ref="M3067">IF(L3067="","",_xlfn.IFS(
  AND(L3067&gt;=TIME(9,0,0), L3067&lt;TIME(16,0,0)),"Morning",
  AND(L3067&gt;=TIME(16,0,0), L3067&lt;TIME(23,59,0)),"Evening",
  L3067&gt;=TIME(23,59,0),"Night",
  L3067&lt;TIME(9,0,0),"Night"
))</f>
        <v/>
      </c>
      <c r="O3067" t="str">
        <f t="shared" si="284"/>
        <v/>
      </c>
    </row>
    <row r="3068" spans="7:15" x14ac:dyDescent="0.25">
      <c r="G3068" t="str">
        <f t="shared" si="282"/>
        <v/>
      </c>
      <c r="H3068" s="13" t="str">
        <f t="shared" si="285"/>
        <v/>
      </c>
      <c r="I3068" t="str">
        <f>IFERROR(INDEX(Analysis!$D$116:$N$137, MATCH(B3068, Analysis!$C$116:$C$137, 0), MATCH(C3068, Analysis!$D$115:$N$115, 0)), "")</f>
        <v/>
      </c>
      <c r="J3068" t="str">
        <f t="shared" si="286"/>
        <v/>
      </c>
      <c r="K3068" s="28" t="str">
        <f t="shared" si="283"/>
        <v/>
      </c>
      <c r="L3068" s="46" t="str">
        <f t="shared" si="287"/>
        <v/>
      </c>
      <c r="M3068" t="str" cm="1">
        <f t="array" ref="M3068">IF(L3068="","",_xlfn.IFS(
  AND(L3068&gt;=TIME(9,0,0), L3068&lt;TIME(16,0,0)),"Morning",
  AND(L3068&gt;=TIME(16,0,0), L3068&lt;TIME(23,59,0)),"Evening",
  L3068&gt;=TIME(23,59,0),"Night",
  L3068&lt;TIME(9,0,0),"Night"
))</f>
        <v/>
      </c>
      <c r="O3068" t="str">
        <f t="shared" si="284"/>
        <v/>
      </c>
    </row>
    <row r="3069" spans="7:15" x14ac:dyDescent="0.25">
      <c r="G3069" t="str">
        <f t="shared" si="282"/>
        <v/>
      </c>
      <c r="H3069" s="13" t="str">
        <f t="shared" si="285"/>
        <v/>
      </c>
      <c r="I3069" t="str">
        <f>IFERROR(INDEX(Analysis!$D$116:$N$137, MATCH(B3069, Analysis!$C$116:$C$137, 0), MATCH(C3069, Analysis!$D$115:$N$115, 0)), "")</f>
        <v/>
      </c>
      <c r="J3069" t="str">
        <f t="shared" si="286"/>
        <v/>
      </c>
      <c r="K3069" s="28" t="str">
        <f t="shared" si="283"/>
        <v/>
      </c>
      <c r="L3069" s="46" t="str">
        <f t="shared" si="287"/>
        <v/>
      </c>
      <c r="M3069" t="str" cm="1">
        <f t="array" ref="M3069">IF(L3069="","",_xlfn.IFS(
  AND(L3069&gt;=TIME(9,0,0), L3069&lt;TIME(16,0,0)),"Morning",
  AND(L3069&gt;=TIME(16,0,0), L3069&lt;TIME(23,59,0)),"Evening",
  L3069&gt;=TIME(23,59,0),"Night",
  L3069&lt;TIME(9,0,0),"Night"
))</f>
        <v/>
      </c>
      <c r="O3069" t="str">
        <f t="shared" si="284"/>
        <v/>
      </c>
    </row>
    <row r="3070" spans="7:15" x14ac:dyDescent="0.25">
      <c r="G3070" t="str">
        <f t="shared" si="282"/>
        <v/>
      </c>
      <c r="H3070" s="13" t="str">
        <f t="shared" si="285"/>
        <v/>
      </c>
      <c r="I3070" t="str">
        <f>IFERROR(INDEX(Analysis!$D$116:$N$137, MATCH(B3070, Analysis!$C$116:$C$137, 0), MATCH(C3070, Analysis!$D$115:$N$115, 0)), "")</f>
        <v/>
      </c>
      <c r="J3070" t="str">
        <f t="shared" si="286"/>
        <v/>
      </c>
      <c r="K3070" s="28" t="str">
        <f t="shared" si="283"/>
        <v/>
      </c>
      <c r="L3070" s="46" t="str">
        <f t="shared" si="287"/>
        <v/>
      </c>
      <c r="M3070" t="str" cm="1">
        <f t="array" ref="M3070">IF(L3070="","",_xlfn.IFS(
  AND(L3070&gt;=TIME(9,0,0), L3070&lt;TIME(16,0,0)),"Morning",
  AND(L3070&gt;=TIME(16,0,0), L3070&lt;TIME(23,59,0)),"Evening",
  L3070&gt;=TIME(23,59,0),"Night",
  L3070&lt;TIME(9,0,0),"Night"
))</f>
        <v/>
      </c>
      <c r="O3070" t="str">
        <f t="shared" si="284"/>
        <v/>
      </c>
    </row>
    <row r="3071" spans="7:15" x14ac:dyDescent="0.25">
      <c r="G3071" t="str">
        <f t="shared" si="282"/>
        <v/>
      </c>
      <c r="H3071" s="13" t="str">
        <f t="shared" si="285"/>
        <v/>
      </c>
      <c r="I3071" t="str">
        <f>IFERROR(INDEX(Analysis!$D$116:$N$137, MATCH(B3071, Analysis!$C$116:$C$137, 0), MATCH(C3071, Analysis!$D$115:$N$115, 0)), "")</f>
        <v/>
      </c>
      <c r="J3071" t="str">
        <f t="shared" si="286"/>
        <v/>
      </c>
      <c r="K3071" s="28" t="str">
        <f t="shared" si="283"/>
        <v/>
      </c>
      <c r="L3071" s="46" t="str">
        <f t="shared" si="287"/>
        <v/>
      </c>
      <c r="M3071" t="str" cm="1">
        <f t="array" ref="M3071">IF(L3071="","",_xlfn.IFS(
  AND(L3071&gt;=TIME(9,0,0), L3071&lt;TIME(16,0,0)),"Morning",
  AND(L3071&gt;=TIME(16,0,0), L3071&lt;TIME(23,59,0)),"Evening",
  L3071&gt;=TIME(23,59,0),"Night",
  L3071&lt;TIME(9,0,0),"Night"
))</f>
        <v/>
      </c>
      <c r="O3071" t="str">
        <f t="shared" si="284"/>
        <v/>
      </c>
    </row>
    <row r="3072" spans="7:15" x14ac:dyDescent="0.25">
      <c r="G3072" t="str">
        <f t="shared" si="282"/>
        <v/>
      </c>
      <c r="H3072" s="13" t="str">
        <f t="shared" si="285"/>
        <v/>
      </c>
      <c r="I3072" t="str">
        <f>IFERROR(INDEX(Analysis!$D$116:$N$137, MATCH(B3072, Analysis!$C$116:$C$137, 0), MATCH(C3072, Analysis!$D$115:$N$115, 0)), "")</f>
        <v/>
      </c>
      <c r="J3072" t="str">
        <f t="shared" si="286"/>
        <v/>
      </c>
      <c r="K3072" s="28" t="str">
        <f t="shared" si="283"/>
        <v/>
      </c>
      <c r="L3072" s="46" t="str">
        <f t="shared" si="287"/>
        <v/>
      </c>
      <c r="M3072" t="str" cm="1">
        <f t="array" ref="M3072">IF(L3072="","",_xlfn.IFS(
  AND(L3072&gt;=TIME(9,0,0), L3072&lt;TIME(16,0,0)),"Morning",
  AND(L3072&gt;=TIME(16,0,0), L3072&lt;TIME(23,59,0)),"Evening",
  L3072&gt;=TIME(23,59,0),"Night",
  L3072&lt;TIME(9,0,0),"Night"
))</f>
        <v/>
      </c>
      <c r="O3072" t="str">
        <f t="shared" si="284"/>
        <v/>
      </c>
    </row>
    <row r="3073" spans="7:15" x14ac:dyDescent="0.25">
      <c r="G3073" t="str">
        <f t="shared" si="282"/>
        <v/>
      </c>
      <c r="H3073" s="13" t="str">
        <f t="shared" si="285"/>
        <v/>
      </c>
      <c r="I3073" t="str">
        <f>IFERROR(INDEX(Analysis!$D$116:$N$137, MATCH(B3073, Analysis!$C$116:$C$137, 0), MATCH(C3073, Analysis!$D$115:$N$115, 0)), "")</f>
        <v/>
      </c>
      <c r="J3073" t="str">
        <f t="shared" si="286"/>
        <v/>
      </c>
      <c r="K3073" s="28" t="str">
        <f t="shared" si="283"/>
        <v/>
      </c>
      <c r="L3073" s="46" t="str">
        <f t="shared" si="287"/>
        <v/>
      </c>
      <c r="M3073" t="str" cm="1">
        <f t="array" ref="M3073">IF(L3073="","",_xlfn.IFS(
  AND(L3073&gt;=TIME(9,0,0), L3073&lt;TIME(16,0,0)),"Morning",
  AND(L3073&gt;=TIME(16,0,0), L3073&lt;TIME(23,59,0)),"Evening",
  L3073&gt;=TIME(23,59,0),"Night",
  L3073&lt;TIME(9,0,0),"Night"
))</f>
        <v/>
      </c>
      <c r="O3073" t="str">
        <f t="shared" si="284"/>
        <v/>
      </c>
    </row>
    <row r="3074" spans="7:15" x14ac:dyDescent="0.25">
      <c r="G3074" t="str">
        <f t="shared" ref="G3074:G3137" si="288">IF(ISBLANK(A3074), "", IF(ISBLANK(F3074), 0, F3074))</f>
        <v/>
      </c>
      <c r="H3074" s="13" t="str">
        <f t="shared" si="285"/>
        <v/>
      </c>
      <c r="I3074" t="str">
        <f>IFERROR(INDEX(Analysis!$D$116:$N$137, MATCH(B3074, Analysis!$C$116:$C$137, 0), MATCH(C3074, Analysis!$D$115:$N$115, 0)), "")</f>
        <v/>
      </c>
      <c r="J3074" t="str">
        <f t="shared" si="286"/>
        <v/>
      </c>
      <c r="K3074" s="28" t="str">
        <f t="shared" ref="K3074:K3137" si="289">IF(ISBLANK(A3074),"",DATE(YEAR(A3074),MONTH(A3074),DAY(A3074)))</f>
        <v/>
      </c>
      <c r="L3074" s="46" t="str">
        <f t="shared" si="287"/>
        <v/>
      </c>
      <c r="M3074" t="str" cm="1">
        <f t="array" ref="M3074">IF(L3074="","",_xlfn.IFS(
  AND(L3074&gt;=TIME(9,0,0), L3074&lt;TIME(16,0,0)),"Morning",
  AND(L3074&gt;=TIME(16,0,0), L3074&lt;TIME(23,59,0)),"Evening",
  L3074&gt;=TIME(23,59,0),"Night",
  L3074&lt;TIME(9,0,0),"Night"
))</f>
        <v/>
      </c>
      <c r="O3074" t="str">
        <f t="shared" ref="O3074:O3137" si="290">IF(N3074="ON", _xlfn.IMAGE(E3074, 1), "")</f>
        <v/>
      </c>
    </row>
    <row r="3075" spans="7:15" x14ac:dyDescent="0.25">
      <c r="G3075" t="str">
        <f t="shared" si="288"/>
        <v/>
      </c>
      <c r="H3075" s="13" t="str">
        <f t="shared" ref="H3075:H3138" si="291">IF(ISBLANK(E3075),"",HYPERLINK(E3075,"Click here"))</f>
        <v/>
      </c>
      <c r="I3075" t="str">
        <f>IFERROR(INDEX(Analysis!$D$116:$N$137, MATCH(B3075, Analysis!$C$116:$C$137, 0), MATCH(C3075, Analysis!$D$115:$N$115, 0)), "")</f>
        <v/>
      </c>
      <c r="J3075" t="str">
        <f t="shared" ref="J3075:J3138" si="292">IF(ISBLANK(A3075),"",WEEKNUM(A3075))</f>
        <v/>
      </c>
      <c r="K3075" s="28" t="str">
        <f t="shared" si="289"/>
        <v/>
      </c>
      <c r="L3075" s="46" t="str">
        <f t="shared" ref="L3075:L3138" si="293">IF(A3075="", "", A3075 - INT(A3075))</f>
        <v/>
      </c>
      <c r="M3075" t="str" cm="1">
        <f t="array" ref="M3075">IF(L3075="","",_xlfn.IFS(
  AND(L3075&gt;=TIME(9,0,0), L3075&lt;TIME(16,0,0)),"Morning",
  AND(L3075&gt;=TIME(16,0,0), L3075&lt;TIME(23,59,0)),"Evening",
  L3075&gt;=TIME(23,59,0),"Night",
  L3075&lt;TIME(9,0,0),"Night"
))</f>
        <v/>
      </c>
      <c r="O3075" t="str">
        <f t="shared" si="290"/>
        <v/>
      </c>
    </row>
    <row r="3076" spans="7:15" x14ac:dyDescent="0.25">
      <c r="G3076" t="str">
        <f t="shared" si="288"/>
        <v/>
      </c>
      <c r="H3076" s="13" t="str">
        <f t="shared" si="291"/>
        <v/>
      </c>
      <c r="I3076" t="str">
        <f>IFERROR(INDEX(Analysis!$D$116:$N$137, MATCH(B3076, Analysis!$C$116:$C$137, 0), MATCH(C3076, Analysis!$D$115:$N$115, 0)), "")</f>
        <v/>
      </c>
      <c r="J3076" t="str">
        <f t="shared" si="292"/>
        <v/>
      </c>
      <c r="K3076" s="28" t="str">
        <f t="shared" si="289"/>
        <v/>
      </c>
      <c r="L3076" s="46" t="str">
        <f t="shared" si="293"/>
        <v/>
      </c>
      <c r="M3076" t="str" cm="1">
        <f t="array" ref="M3076">IF(L3076="","",_xlfn.IFS(
  AND(L3076&gt;=TIME(9,0,0), L3076&lt;TIME(16,0,0)),"Morning",
  AND(L3076&gt;=TIME(16,0,0), L3076&lt;TIME(23,59,0)),"Evening",
  L3076&gt;=TIME(23,59,0),"Night",
  L3076&lt;TIME(9,0,0),"Night"
))</f>
        <v/>
      </c>
      <c r="O3076" t="str">
        <f t="shared" si="290"/>
        <v/>
      </c>
    </row>
    <row r="3077" spans="7:15" x14ac:dyDescent="0.25">
      <c r="G3077" t="str">
        <f t="shared" si="288"/>
        <v/>
      </c>
      <c r="H3077" s="13" t="str">
        <f t="shared" si="291"/>
        <v/>
      </c>
      <c r="I3077" t="str">
        <f>IFERROR(INDEX(Analysis!$D$116:$N$137, MATCH(B3077, Analysis!$C$116:$C$137, 0), MATCH(C3077, Analysis!$D$115:$N$115, 0)), "")</f>
        <v/>
      </c>
      <c r="J3077" t="str">
        <f t="shared" si="292"/>
        <v/>
      </c>
      <c r="K3077" s="28" t="str">
        <f t="shared" si="289"/>
        <v/>
      </c>
      <c r="L3077" s="46" t="str">
        <f t="shared" si="293"/>
        <v/>
      </c>
      <c r="M3077" t="str" cm="1">
        <f t="array" ref="M3077">IF(L3077="","",_xlfn.IFS(
  AND(L3077&gt;=TIME(9,0,0), L3077&lt;TIME(16,0,0)),"Morning",
  AND(L3077&gt;=TIME(16,0,0), L3077&lt;TIME(23,59,0)),"Evening",
  L3077&gt;=TIME(23,59,0),"Night",
  L3077&lt;TIME(9,0,0),"Night"
))</f>
        <v/>
      </c>
      <c r="O3077" t="str">
        <f t="shared" si="290"/>
        <v/>
      </c>
    </row>
    <row r="3078" spans="7:15" x14ac:dyDescent="0.25">
      <c r="G3078" t="str">
        <f t="shared" si="288"/>
        <v/>
      </c>
      <c r="H3078" s="13" t="str">
        <f t="shared" si="291"/>
        <v/>
      </c>
      <c r="I3078" t="str">
        <f>IFERROR(INDEX(Analysis!$D$116:$N$137, MATCH(B3078, Analysis!$C$116:$C$137, 0), MATCH(C3078, Analysis!$D$115:$N$115, 0)), "")</f>
        <v/>
      </c>
      <c r="J3078" t="str">
        <f t="shared" si="292"/>
        <v/>
      </c>
      <c r="K3078" s="28" t="str">
        <f t="shared" si="289"/>
        <v/>
      </c>
      <c r="L3078" s="46" t="str">
        <f t="shared" si="293"/>
        <v/>
      </c>
      <c r="M3078" t="str" cm="1">
        <f t="array" ref="M3078">IF(L3078="","",_xlfn.IFS(
  AND(L3078&gt;=TIME(9,0,0), L3078&lt;TIME(16,0,0)),"Morning",
  AND(L3078&gt;=TIME(16,0,0), L3078&lt;TIME(23,59,0)),"Evening",
  L3078&gt;=TIME(23,59,0),"Night",
  L3078&lt;TIME(9,0,0),"Night"
))</f>
        <v/>
      </c>
      <c r="O3078" t="str">
        <f t="shared" si="290"/>
        <v/>
      </c>
    </row>
    <row r="3079" spans="7:15" x14ac:dyDescent="0.25">
      <c r="G3079" t="str">
        <f t="shared" si="288"/>
        <v/>
      </c>
      <c r="H3079" s="13" t="str">
        <f t="shared" si="291"/>
        <v/>
      </c>
      <c r="I3079" t="str">
        <f>IFERROR(INDEX(Analysis!$D$116:$N$137, MATCH(B3079, Analysis!$C$116:$C$137, 0), MATCH(C3079, Analysis!$D$115:$N$115, 0)), "")</f>
        <v/>
      </c>
      <c r="J3079" t="str">
        <f t="shared" si="292"/>
        <v/>
      </c>
      <c r="K3079" s="28" t="str">
        <f t="shared" si="289"/>
        <v/>
      </c>
      <c r="L3079" s="46" t="str">
        <f t="shared" si="293"/>
        <v/>
      </c>
      <c r="M3079" t="str" cm="1">
        <f t="array" ref="M3079">IF(L3079="","",_xlfn.IFS(
  AND(L3079&gt;=TIME(9,0,0), L3079&lt;TIME(16,0,0)),"Morning",
  AND(L3079&gt;=TIME(16,0,0), L3079&lt;TIME(23,59,0)),"Evening",
  L3079&gt;=TIME(23,59,0),"Night",
  L3079&lt;TIME(9,0,0),"Night"
))</f>
        <v/>
      </c>
      <c r="O3079" t="str">
        <f t="shared" si="290"/>
        <v/>
      </c>
    </row>
    <row r="3080" spans="7:15" x14ac:dyDescent="0.25">
      <c r="G3080" t="str">
        <f t="shared" si="288"/>
        <v/>
      </c>
      <c r="H3080" s="13" t="str">
        <f t="shared" si="291"/>
        <v/>
      </c>
      <c r="I3080" t="str">
        <f>IFERROR(INDEX(Analysis!$D$116:$N$137, MATCH(B3080, Analysis!$C$116:$C$137, 0), MATCH(C3080, Analysis!$D$115:$N$115, 0)), "")</f>
        <v/>
      </c>
      <c r="J3080" t="str">
        <f t="shared" si="292"/>
        <v/>
      </c>
      <c r="K3080" s="28" t="str">
        <f t="shared" si="289"/>
        <v/>
      </c>
      <c r="L3080" s="46" t="str">
        <f t="shared" si="293"/>
        <v/>
      </c>
      <c r="M3080" t="str" cm="1">
        <f t="array" ref="M3080">IF(L3080="","",_xlfn.IFS(
  AND(L3080&gt;=TIME(9,0,0), L3080&lt;TIME(16,0,0)),"Morning",
  AND(L3080&gt;=TIME(16,0,0), L3080&lt;TIME(23,59,0)),"Evening",
  L3080&gt;=TIME(23,59,0),"Night",
  L3080&lt;TIME(9,0,0),"Night"
))</f>
        <v/>
      </c>
      <c r="O3080" t="str">
        <f t="shared" si="290"/>
        <v/>
      </c>
    </row>
    <row r="3081" spans="7:15" x14ac:dyDescent="0.25">
      <c r="G3081" t="str">
        <f t="shared" si="288"/>
        <v/>
      </c>
      <c r="H3081" s="13" t="str">
        <f t="shared" si="291"/>
        <v/>
      </c>
      <c r="I3081" t="str">
        <f>IFERROR(INDEX(Analysis!$D$116:$N$137, MATCH(B3081, Analysis!$C$116:$C$137, 0), MATCH(C3081, Analysis!$D$115:$N$115, 0)), "")</f>
        <v/>
      </c>
      <c r="J3081" t="str">
        <f t="shared" si="292"/>
        <v/>
      </c>
      <c r="K3081" s="28" t="str">
        <f t="shared" si="289"/>
        <v/>
      </c>
      <c r="L3081" s="46" t="str">
        <f t="shared" si="293"/>
        <v/>
      </c>
      <c r="M3081" t="str" cm="1">
        <f t="array" ref="M3081">IF(L3081="","",_xlfn.IFS(
  AND(L3081&gt;=TIME(9,0,0), L3081&lt;TIME(16,0,0)),"Morning",
  AND(L3081&gt;=TIME(16,0,0), L3081&lt;TIME(23,59,0)),"Evening",
  L3081&gt;=TIME(23,59,0),"Night",
  L3081&lt;TIME(9,0,0),"Night"
))</f>
        <v/>
      </c>
      <c r="O3081" t="str">
        <f t="shared" si="290"/>
        <v/>
      </c>
    </row>
    <row r="3082" spans="7:15" x14ac:dyDescent="0.25">
      <c r="G3082" t="str">
        <f t="shared" si="288"/>
        <v/>
      </c>
      <c r="H3082" s="13" t="str">
        <f t="shared" si="291"/>
        <v/>
      </c>
      <c r="I3082" t="str">
        <f>IFERROR(INDEX(Analysis!$D$116:$N$137, MATCH(B3082, Analysis!$C$116:$C$137, 0), MATCH(C3082, Analysis!$D$115:$N$115, 0)), "")</f>
        <v/>
      </c>
      <c r="J3082" t="str">
        <f t="shared" si="292"/>
        <v/>
      </c>
      <c r="K3082" s="28" t="str">
        <f t="shared" si="289"/>
        <v/>
      </c>
      <c r="L3082" s="46" t="str">
        <f t="shared" si="293"/>
        <v/>
      </c>
      <c r="M3082" t="str" cm="1">
        <f t="array" ref="M3082">IF(L3082="","",_xlfn.IFS(
  AND(L3082&gt;=TIME(9,0,0), L3082&lt;TIME(16,0,0)),"Morning",
  AND(L3082&gt;=TIME(16,0,0), L3082&lt;TIME(23,59,0)),"Evening",
  L3082&gt;=TIME(23,59,0),"Night",
  L3082&lt;TIME(9,0,0),"Night"
))</f>
        <v/>
      </c>
      <c r="O3082" t="str">
        <f t="shared" si="290"/>
        <v/>
      </c>
    </row>
    <row r="3083" spans="7:15" x14ac:dyDescent="0.25">
      <c r="G3083" t="str">
        <f t="shared" si="288"/>
        <v/>
      </c>
      <c r="H3083" s="13" t="str">
        <f t="shared" si="291"/>
        <v/>
      </c>
      <c r="I3083" t="str">
        <f>IFERROR(INDEX(Analysis!$D$116:$N$137, MATCH(B3083, Analysis!$C$116:$C$137, 0), MATCH(C3083, Analysis!$D$115:$N$115, 0)), "")</f>
        <v/>
      </c>
      <c r="J3083" t="str">
        <f t="shared" si="292"/>
        <v/>
      </c>
      <c r="K3083" s="28" t="str">
        <f t="shared" si="289"/>
        <v/>
      </c>
      <c r="L3083" s="46" t="str">
        <f t="shared" si="293"/>
        <v/>
      </c>
      <c r="M3083" t="str" cm="1">
        <f t="array" ref="M3083">IF(L3083="","",_xlfn.IFS(
  AND(L3083&gt;=TIME(9,0,0), L3083&lt;TIME(16,0,0)),"Morning",
  AND(L3083&gt;=TIME(16,0,0), L3083&lt;TIME(23,59,0)),"Evening",
  L3083&gt;=TIME(23,59,0),"Night",
  L3083&lt;TIME(9,0,0),"Night"
))</f>
        <v/>
      </c>
      <c r="O3083" t="str">
        <f t="shared" si="290"/>
        <v/>
      </c>
    </row>
    <row r="3084" spans="7:15" x14ac:dyDescent="0.25">
      <c r="G3084" t="str">
        <f t="shared" si="288"/>
        <v/>
      </c>
      <c r="H3084" s="13" t="str">
        <f t="shared" si="291"/>
        <v/>
      </c>
      <c r="I3084" t="str">
        <f>IFERROR(INDEX(Analysis!$D$116:$N$137, MATCH(B3084, Analysis!$C$116:$C$137, 0), MATCH(C3084, Analysis!$D$115:$N$115, 0)), "")</f>
        <v/>
      </c>
      <c r="J3084" t="str">
        <f t="shared" si="292"/>
        <v/>
      </c>
      <c r="K3084" s="28" t="str">
        <f t="shared" si="289"/>
        <v/>
      </c>
      <c r="L3084" s="46" t="str">
        <f t="shared" si="293"/>
        <v/>
      </c>
      <c r="M3084" t="str" cm="1">
        <f t="array" ref="M3084">IF(L3084="","",_xlfn.IFS(
  AND(L3084&gt;=TIME(9,0,0), L3084&lt;TIME(16,0,0)),"Morning",
  AND(L3084&gt;=TIME(16,0,0), L3084&lt;TIME(23,59,0)),"Evening",
  L3084&gt;=TIME(23,59,0),"Night",
  L3084&lt;TIME(9,0,0),"Night"
))</f>
        <v/>
      </c>
      <c r="O3084" t="str">
        <f t="shared" si="290"/>
        <v/>
      </c>
    </row>
    <row r="3085" spans="7:15" x14ac:dyDescent="0.25">
      <c r="G3085" t="str">
        <f t="shared" si="288"/>
        <v/>
      </c>
      <c r="H3085" s="13" t="str">
        <f t="shared" si="291"/>
        <v/>
      </c>
      <c r="I3085" t="str">
        <f>IFERROR(INDEX(Analysis!$D$116:$N$137, MATCH(B3085, Analysis!$C$116:$C$137, 0), MATCH(C3085, Analysis!$D$115:$N$115, 0)), "")</f>
        <v/>
      </c>
      <c r="J3085" t="str">
        <f t="shared" si="292"/>
        <v/>
      </c>
      <c r="K3085" s="28" t="str">
        <f t="shared" si="289"/>
        <v/>
      </c>
      <c r="L3085" s="46" t="str">
        <f t="shared" si="293"/>
        <v/>
      </c>
      <c r="M3085" t="str" cm="1">
        <f t="array" ref="M3085">IF(L3085="","",_xlfn.IFS(
  AND(L3085&gt;=TIME(9,0,0), L3085&lt;TIME(16,0,0)),"Morning",
  AND(L3085&gt;=TIME(16,0,0), L3085&lt;TIME(23,59,0)),"Evening",
  L3085&gt;=TIME(23,59,0),"Night",
  L3085&lt;TIME(9,0,0),"Night"
))</f>
        <v/>
      </c>
      <c r="O3085" t="str">
        <f t="shared" si="290"/>
        <v/>
      </c>
    </row>
    <row r="3086" spans="7:15" x14ac:dyDescent="0.25">
      <c r="G3086" t="str">
        <f t="shared" si="288"/>
        <v/>
      </c>
      <c r="H3086" s="13" t="str">
        <f t="shared" si="291"/>
        <v/>
      </c>
      <c r="I3086" t="str">
        <f>IFERROR(INDEX(Analysis!$D$116:$N$137, MATCH(B3086, Analysis!$C$116:$C$137, 0), MATCH(C3086, Analysis!$D$115:$N$115, 0)), "")</f>
        <v/>
      </c>
      <c r="J3086" t="str">
        <f t="shared" si="292"/>
        <v/>
      </c>
      <c r="K3086" s="28" t="str">
        <f t="shared" si="289"/>
        <v/>
      </c>
      <c r="L3086" s="46" t="str">
        <f t="shared" si="293"/>
        <v/>
      </c>
      <c r="M3086" t="str" cm="1">
        <f t="array" ref="M3086">IF(L3086="","",_xlfn.IFS(
  AND(L3086&gt;=TIME(9,0,0), L3086&lt;TIME(16,0,0)),"Morning",
  AND(L3086&gt;=TIME(16,0,0), L3086&lt;TIME(23,59,0)),"Evening",
  L3086&gt;=TIME(23,59,0),"Night",
  L3086&lt;TIME(9,0,0),"Night"
))</f>
        <v/>
      </c>
      <c r="O3086" t="str">
        <f t="shared" si="290"/>
        <v/>
      </c>
    </row>
    <row r="3087" spans="7:15" x14ac:dyDescent="0.25">
      <c r="G3087" t="str">
        <f t="shared" si="288"/>
        <v/>
      </c>
      <c r="H3087" s="13" t="str">
        <f t="shared" si="291"/>
        <v/>
      </c>
      <c r="I3087" t="str">
        <f>IFERROR(INDEX(Analysis!$D$116:$N$137, MATCH(B3087, Analysis!$C$116:$C$137, 0), MATCH(C3087, Analysis!$D$115:$N$115, 0)), "")</f>
        <v/>
      </c>
      <c r="J3087" t="str">
        <f t="shared" si="292"/>
        <v/>
      </c>
      <c r="K3087" s="28" t="str">
        <f t="shared" si="289"/>
        <v/>
      </c>
      <c r="L3087" s="46" t="str">
        <f t="shared" si="293"/>
        <v/>
      </c>
      <c r="M3087" t="str" cm="1">
        <f t="array" ref="M3087">IF(L3087="","",_xlfn.IFS(
  AND(L3087&gt;=TIME(9,0,0), L3087&lt;TIME(16,0,0)),"Morning",
  AND(L3087&gt;=TIME(16,0,0), L3087&lt;TIME(23,59,0)),"Evening",
  L3087&gt;=TIME(23,59,0),"Night",
  L3087&lt;TIME(9,0,0),"Night"
))</f>
        <v/>
      </c>
      <c r="O3087" t="str">
        <f t="shared" si="290"/>
        <v/>
      </c>
    </row>
    <row r="3088" spans="7:15" x14ac:dyDescent="0.25">
      <c r="G3088" t="str">
        <f t="shared" si="288"/>
        <v/>
      </c>
      <c r="H3088" s="13" t="str">
        <f t="shared" si="291"/>
        <v/>
      </c>
      <c r="I3088" t="str">
        <f>IFERROR(INDEX(Analysis!$D$116:$N$137, MATCH(B3088, Analysis!$C$116:$C$137, 0), MATCH(C3088, Analysis!$D$115:$N$115, 0)), "")</f>
        <v/>
      </c>
      <c r="J3088" t="str">
        <f t="shared" si="292"/>
        <v/>
      </c>
      <c r="K3088" s="28" t="str">
        <f t="shared" si="289"/>
        <v/>
      </c>
      <c r="L3088" s="46" t="str">
        <f t="shared" si="293"/>
        <v/>
      </c>
      <c r="M3088" t="str" cm="1">
        <f t="array" ref="M3088">IF(L3088="","",_xlfn.IFS(
  AND(L3088&gt;=TIME(9,0,0), L3088&lt;TIME(16,0,0)),"Morning",
  AND(L3088&gt;=TIME(16,0,0), L3088&lt;TIME(23,59,0)),"Evening",
  L3088&gt;=TIME(23,59,0),"Night",
  L3088&lt;TIME(9,0,0),"Night"
))</f>
        <v/>
      </c>
      <c r="O3088" t="str">
        <f t="shared" si="290"/>
        <v/>
      </c>
    </row>
    <row r="3089" spans="7:15" x14ac:dyDescent="0.25">
      <c r="G3089" t="str">
        <f t="shared" si="288"/>
        <v/>
      </c>
      <c r="H3089" s="13" t="str">
        <f t="shared" si="291"/>
        <v/>
      </c>
      <c r="I3089" t="str">
        <f>IFERROR(INDEX(Analysis!$D$116:$N$137, MATCH(B3089, Analysis!$C$116:$C$137, 0), MATCH(C3089, Analysis!$D$115:$N$115, 0)), "")</f>
        <v/>
      </c>
      <c r="J3089" t="str">
        <f t="shared" si="292"/>
        <v/>
      </c>
      <c r="K3089" s="28" t="str">
        <f t="shared" si="289"/>
        <v/>
      </c>
      <c r="L3089" s="46" t="str">
        <f t="shared" si="293"/>
        <v/>
      </c>
      <c r="M3089" t="str" cm="1">
        <f t="array" ref="M3089">IF(L3089="","",_xlfn.IFS(
  AND(L3089&gt;=TIME(9,0,0), L3089&lt;TIME(16,0,0)),"Morning",
  AND(L3089&gt;=TIME(16,0,0), L3089&lt;TIME(23,59,0)),"Evening",
  L3089&gt;=TIME(23,59,0),"Night",
  L3089&lt;TIME(9,0,0),"Night"
))</f>
        <v/>
      </c>
      <c r="O3089" t="str">
        <f t="shared" si="290"/>
        <v/>
      </c>
    </row>
    <row r="3090" spans="7:15" x14ac:dyDescent="0.25">
      <c r="G3090" t="str">
        <f t="shared" si="288"/>
        <v/>
      </c>
      <c r="H3090" s="13" t="str">
        <f t="shared" si="291"/>
        <v/>
      </c>
      <c r="I3090" t="str">
        <f>IFERROR(INDEX(Analysis!$D$116:$N$137, MATCH(B3090, Analysis!$C$116:$C$137, 0), MATCH(C3090, Analysis!$D$115:$N$115, 0)), "")</f>
        <v/>
      </c>
      <c r="J3090" t="str">
        <f t="shared" si="292"/>
        <v/>
      </c>
      <c r="K3090" s="28" t="str">
        <f t="shared" si="289"/>
        <v/>
      </c>
      <c r="L3090" s="46" t="str">
        <f t="shared" si="293"/>
        <v/>
      </c>
      <c r="M3090" t="str" cm="1">
        <f t="array" ref="M3090">IF(L3090="","",_xlfn.IFS(
  AND(L3090&gt;=TIME(9,0,0), L3090&lt;TIME(16,0,0)),"Morning",
  AND(L3090&gt;=TIME(16,0,0), L3090&lt;TIME(23,59,0)),"Evening",
  L3090&gt;=TIME(23,59,0),"Night",
  L3090&lt;TIME(9,0,0),"Night"
))</f>
        <v/>
      </c>
      <c r="O3090" t="str">
        <f t="shared" si="290"/>
        <v/>
      </c>
    </row>
    <row r="3091" spans="7:15" x14ac:dyDescent="0.25">
      <c r="G3091" t="str">
        <f t="shared" si="288"/>
        <v/>
      </c>
      <c r="H3091" s="13" t="str">
        <f t="shared" si="291"/>
        <v/>
      </c>
      <c r="I3091" t="str">
        <f>IFERROR(INDEX(Analysis!$D$116:$N$137, MATCH(B3091, Analysis!$C$116:$C$137, 0), MATCH(C3091, Analysis!$D$115:$N$115, 0)), "")</f>
        <v/>
      </c>
      <c r="J3091" t="str">
        <f t="shared" si="292"/>
        <v/>
      </c>
      <c r="K3091" s="28" t="str">
        <f t="shared" si="289"/>
        <v/>
      </c>
      <c r="L3091" s="46" t="str">
        <f t="shared" si="293"/>
        <v/>
      </c>
      <c r="M3091" t="str" cm="1">
        <f t="array" ref="M3091">IF(L3091="","",_xlfn.IFS(
  AND(L3091&gt;=TIME(9,0,0), L3091&lt;TIME(16,0,0)),"Morning",
  AND(L3091&gt;=TIME(16,0,0), L3091&lt;TIME(23,59,0)),"Evening",
  L3091&gt;=TIME(23,59,0),"Night",
  L3091&lt;TIME(9,0,0),"Night"
))</f>
        <v/>
      </c>
      <c r="O3091" t="str">
        <f t="shared" si="290"/>
        <v/>
      </c>
    </row>
    <row r="3092" spans="7:15" x14ac:dyDescent="0.25">
      <c r="G3092" t="str">
        <f t="shared" si="288"/>
        <v/>
      </c>
      <c r="H3092" s="13" t="str">
        <f t="shared" si="291"/>
        <v/>
      </c>
      <c r="I3092" t="str">
        <f>IFERROR(INDEX(Analysis!$D$116:$N$137, MATCH(B3092, Analysis!$C$116:$C$137, 0), MATCH(C3092, Analysis!$D$115:$N$115, 0)), "")</f>
        <v/>
      </c>
      <c r="J3092" t="str">
        <f t="shared" si="292"/>
        <v/>
      </c>
      <c r="K3092" s="28" t="str">
        <f t="shared" si="289"/>
        <v/>
      </c>
      <c r="L3092" s="46" t="str">
        <f t="shared" si="293"/>
        <v/>
      </c>
      <c r="M3092" t="str" cm="1">
        <f t="array" ref="M3092">IF(L3092="","",_xlfn.IFS(
  AND(L3092&gt;=TIME(9,0,0), L3092&lt;TIME(16,0,0)),"Morning",
  AND(L3092&gt;=TIME(16,0,0), L3092&lt;TIME(23,59,0)),"Evening",
  L3092&gt;=TIME(23,59,0),"Night",
  L3092&lt;TIME(9,0,0),"Night"
))</f>
        <v/>
      </c>
      <c r="O3092" t="str">
        <f t="shared" si="290"/>
        <v/>
      </c>
    </row>
    <row r="3093" spans="7:15" x14ac:dyDescent="0.25">
      <c r="G3093" t="str">
        <f t="shared" si="288"/>
        <v/>
      </c>
      <c r="H3093" s="13" t="str">
        <f t="shared" si="291"/>
        <v/>
      </c>
      <c r="I3093" t="str">
        <f>IFERROR(INDEX(Analysis!$D$116:$N$137, MATCH(B3093, Analysis!$C$116:$C$137, 0), MATCH(C3093, Analysis!$D$115:$N$115, 0)), "")</f>
        <v/>
      </c>
      <c r="J3093" t="str">
        <f t="shared" si="292"/>
        <v/>
      </c>
      <c r="K3093" s="28" t="str">
        <f t="shared" si="289"/>
        <v/>
      </c>
      <c r="L3093" s="46" t="str">
        <f t="shared" si="293"/>
        <v/>
      </c>
      <c r="M3093" t="str" cm="1">
        <f t="array" ref="M3093">IF(L3093="","",_xlfn.IFS(
  AND(L3093&gt;=TIME(9,0,0), L3093&lt;TIME(16,0,0)),"Morning",
  AND(L3093&gt;=TIME(16,0,0), L3093&lt;TIME(23,59,0)),"Evening",
  L3093&gt;=TIME(23,59,0),"Night",
  L3093&lt;TIME(9,0,0),"Night"
))</f>
        <v/>
      </c>
      <c r="O3093" t="str">
        <f t="shared" si="290"/>
        <v/>
      </c>
    </row>
    <row r="3094" spans="7:15" x14ac:dyDescent="0.25">
      <c r="G3094" t="str">
        <f t="shared" si="288"/>
        <v/>
      </c>
      <c r="H3094" s="13" t="str">
        <f t="shared" si="291"/>
        <v/>
      </c>
      <c r="I3094" t="str">
        <f>IFERROR(INDEX(Analysis!$D$116:$N$137, MATCH(B3094, Analysis!$C$116:$C$137, 0), MATCH(C3094, Analysis!$D$115:$N$115, 0)), "")</f>
        <v/>
      </c>
      <c r="J3094" t="str">
        <f t="shared" si="292"/>
        <v/>
      </c>
      <c r="K3094" s="28" t="str">
        <f t="shared" si="289"/>
        <v/>
      </c>
      <c r="L3094" s="46" t="str">
        <f t="shared" si="293"/>
        <v/>
      </c>
      <c r="M3094" t="str" cm="1">
        <f t="array" ref="M3094">IF(L3094="","",_xlfn.IFS(
  AND(L3094&gt;=TIME(9,0,0), L3094&lt;TIME(16,0,0)),"Morning",
  AND(L3094&gt;=TIME(16,0,0), L3094&lt;TIME(23,59,0)),"Evening",
  L3094&gt;=TIME(23,59,0),"Night",
  L3094&lt;TIME(9,0,0),"Night"
))</f>
        <v/>
      </c>
      <c r="O3094" t="str">
        <f t="shared" si="290"/>
        <v/>
      </c>
    </row>
    <row r="3095" spans="7:15" x14ac:dyDescent="0.25">
      <c r="G3095" t="str">
        <f t="shared" si="288"/>
        <v/>
      </c>
      <c r="H3095" s="13" t="str">
        <f t="shared" si="291"/>
        <v/>
      </c>
      <c r="I3095" t="str">
        <f>IFERROR(INDEX(Analysis!$D$116:$N$137, MATCH(B3095, Analysis!$C$116:$C$137, 0), MATCH(C3095, Analysis!$D$115:$N$115, 0)), "")</f>
        <v/>
      </c>
      <c r="J3095" t="str">
        <f t="shared" si="292"/>
        <v/>
      </c>
      <c r="K3095" s="28" t="str">
        <f t="shared" si="289"/>
        <v/>
      </c>
      <c r="L3095" s="46" t="str">
        <f t="shared" si="293"/>
        <v/>
      </c>
      <c r="M3095" t="str" cm="1">
        <f t="array" ref="M3095">IF(L3095="","",_xlfn.IFS(
  AND(L3095&gt;=TIME(9,0,0), L3095&lt;TIME(16,0,0)),"Morning",
  AND(L3095&gt;=TIME(16,0,0), L3095&lt;TIME(23,59,0)),"Evening",
  L3095&gt;=TIME(23,59,0),"Night",
  L3095&lt;TIME(9,0,0),"Night"
))</f>
        <v/>
      </c>
      <c r="O3095" t="str">
        <f t="shared" si="290"/>
        <v/>
      </c>
    </row>
    <row r="3096" spans="7:15" x14ac:dyDescent="0.25">
      <c r="G3096" t="str">
        <f t="shared" si="288"/>
        <v/>
      </c>
      <c r="H3096" s="13" t="str">
        <f t="shared" si="291"/>
        <v/>
      </c>
      <c r="I3096" t="str">
        <f>IFERROR(INDEX(Analysis!$D$116:$N$137, MATCH(B3096, Analysis!$C$116:$C$137, 0), MATCH(C3096, Analysis!$D$115:$N$115, 0)), "")</f>
        <v/>
      </c>
      <c r="J3096" t="str">
        <f t="shared" si="292"/>
        <v/>
      </c>
      <c r="K3096" s="28" t="str">
        <f t="shared" si="289"/>
        <v/>
      </c>
      <c r="L3096" s="46" t="str">
        <f t="shared" si="293"/>
        <v/>
      </c>
      <c r="M3096" t="str" cm="1">
        <f t="array" ref="M3096">IF(L3096="","",_xlfn.IFS(
  AND(L3096&gt;=TIME(9,0,0), L3096&lt;TIME(16,0,0)),"Morning",
  AND(L3096&gt;=TIME(16,0,0), L3096&lt;TIME(23,59,0)),"Evening",
  L3096&gt;=TIME(23,59,0),"Night",
  L3096&lt;TIME(9,0,0),"Night"
))</f>
        <v/>
      </c>
      <c r="O3096" t="str">
        <f t="shared" si="290"/>
        <v/>
      </c>
    </row>
    <row r="3097" spans="7:15" x14ac:dyDescent="0.25">
      <c r="G3097" t="str">
        <f t="shared" si="288"/>
        <v/>
      </c>
      <c r="H3097" s="13" t="str">
        <f t="shared" si="291"/>
        <v/>
      </c>
      <c r="I3097" t="str">
        <f>IFERROR(INDEX(Analysis!$D$116:$N$137, MATCH(B3097, Analysis!$C$116:$C$137, 0), MATCH(C3097, Analysis!$D$115:$N$115, 0)), "")</f>
        <v/>
      </c>
      <c r="J3097" t="str">
        <f t="shared" si="292"/>
        <v/>
      </c>
      <c r="K3097" s="28" t="str">
        <f t="shared" si="289"/>
        <v/>
      </c>
      <c r="L3097" s="46" t="str">
        <f t="shared" si="293"/>
        <v/>
      </c>
      <c r="M3097" t="str" cm="1">
        <f t="array" ref="M3097">IF(L3097="","",_xlfn.IFS(
  AND(L3097&gt;=TIME(9,0,0), L3097&lt;TIME(16,0,0)),"Morning",
  AND(L3097&gt;=TIME(16,0,0), L3097&lt;TIME(23,59,0)),"Evening",
  L3097&gt;=TIME(23,59,0),"Night",
  L3097&lt;TIME(9,0,0),"Night"
))</f>
        <v/>
      </c>
      <c r="O3097" t="str">
        <f t="shared" si="290"/>
        <v/>
      </c>
    </row>
    <row r="3098" spans="7:15" x14ac:dyDescent="0.25">
      <c r="G3098" t="str">
        <f t="shared" si="288"/>
        <v/>
      </c>
      <c r="H3098" s="13" t="str">
        <f t="shared" si="291"/>
        <v/>
      </c>
      <c r="I3098" t="str">
        <f>IFERROR(INDEX(Analysis!$D$116:$N$137, MATCH(B3098, Analysis!$C$116:$C$137, 0), MATCH(C3098, Analysis!$D$115:$N$115, 0)), "")</f>
        <v/>
      </c>
      <c r="J3098" t="str">
        <f t="shared" si="292"/>
        <v/>
      </c>
      <c r="K3098" s="28" t="str">
        <f t="shared" si="289"/>
        <v/>
      </c>
      <c r="L3098" s="46" t="str">
        <f t="shared" si="293"/>
        <v/>
      </c>
      <c r="M3098" t="str" cm="1">
        <f t="array" ref="M3098">IF(L3098="","",_xlfn.IFS(
  AND(L3098&gt;=TIME(9,0,0), L3098&lt;TIME(16,0,0)),"Morning",
  AND(L3098&gt;=TIME(16,0,0), L3098&lt;TIME(23,59,0)),"Evening",
  L3098&gt;=TIME(23,59,0),"Night",
  L3098&lt;TIME(9,0,0),"Night"
))</f>
        <v/>
      </c>
      <c r="O3098" t="str">
        <f t="shared" si="290"/>
        <v/>
      </c>
    </row>
    <row r="3099" spans="7:15" x14ac:dyDescent="0.25">
      <c r="G3099" t="str">
        <f t="shared" si="288"/>
        <v/>
      </c>
      <c r="H3099" s="13" t="str">
        <f t="shared" si="291"/>
        <v/>
      </c>
      <c r="I3099" t="str">
        <f>IFERROR(INDEX(Analysis!$D$116:$N$137, MATCH(B3099, Analysis!$C$116:$C$137, 0), MATCH(C3099, Analysis!$D$115:$N$115, 0)), "")</f>
        <v/>
      </c>
      <c r="J3099" t="str">
        <f t="shared" si="292"/>
        <v/>
      </c>
      <c r="K3099" s="28" t="str">
        <f t="shared" si="289"/>
        <v/>
      </c>
      <c r="L3099" s="46" t="str">
        <f t="shared" si="293"/>
        <v/>
      </c>
      <c r="M3099" t="str" cm="1">
        <f t="array" ref="M3099">IF(L3099="","",_xlfn.IFS(
  AND(L3099&gt;=TIME(9,0,0), L3099&lt;TIME(16,0,0)),"Morning",
  AND(L3099&gt;=TIME(16,0,0), L3099&lt;TIME(23,59,0)),"Evening",
  L3099&gt;=TIME(23,59,0),"Night",
  L3099&lt;TIME(9,0,0),"Night"
))</f>
        <v/>
      </c>
      <c r="O3099" t="str">
        <f t="shared" si="290"/>
        <v/>
      </c>
    </row>
    <row r="3100" spans="7:15" x14ac:dyDescent="0.25">
      <c r="G3100" t="str">
        <f t="shared" si="288"/>
        <v/>
      </c>
      <c r="H3100" s="13" t="str">
        <f t="shared" si="291"/>
        <v/>
      </c>
      <c r="I3100" t="str">
        <f>IFERROR(INDEX(Analysis!$D$116:$N$137, MATCH(B3100, Analysis!$C$116:$C$137, 0), MATCH(C3100, Analysis!$D$115:$N$115, 0)), "")</f>
        <v/>
      </c>
      <c r="J3100" t="str">
        <f t="shared" si="292"/>
        <v/>
      </c>
      <c r="K3100" s="28" t="str">
        <f t="shared" si="289"/>
        <v/>
      </c>
      <c r="L3100" s="46" t="str">
        <f t="shared" si="293"/>
        <v/>
      </c>
      <c r="M3100" t="str" cm="1">
        <f t="array" ref="M3100">IF(L3100="","",_xlfn.IFS(
  AND(L3100&gt;=TIME(9,0,0), L3100&lt;TIME(16,0,0)),"Morning",
  AND(L3100&gt;=TIME(16,0,0), L3100&lt;TIME(23,59,0)),"Evening",
  L3100&gt;=TIME(23,59,0),"Night",
  L3100&lt;TIME(9,0,0),"Night"
))</f>
        <v/>
      </c>
      <c r="O3100" t="str">
        <f t="shared" si="290"/>
        <v/>
      </c>
    </row>
    <row r="3101" spans="7:15" x14ac:dyDescent="0.25">
      <c r="G3101" t="str">
        <f t="shared" si="288"/>
        <v/>
      </c>
      <c r="H3101" s="13" t="str">
        <f t="shared" si="291"/>
        <v/>
      </c>
      <c r="I3101" t="str">
        <f>IFERROR(INDEX(Analysis!$D$116:$N$137, MATCH(B3101, Analysis!$C$116:$C$137, 0), MATCH(C3101, Analysis!$D$115:$N$115, 0)), "")</f>
        <v/>
      </c>
      <c r="J3101" t="str">
        <f t="shared" si="292"/>
        <v/>
      </c>
      <c r="K3101" s="28" t="str">
        <f t="shared" si="289"/>
        <v/>
      </c>
      <c r="L3101" s="46" t="str">
        <f t="shared" si="293"/>
        <v/>
      </c>
      <c r="M3101" t="str" cm="1">
        <f t="array" ref="M3101">IF(L3101="","",_xlfn.IFS(
  AND(L3101&gt;=TIME(9,0,0), L3101&lt;TIME(16,0,0)),"Morning",
  AND(L3101&gt;=TIME(16,0,0), L3101&lt;TIME(23,59,0)),"Evening",
  L3101&gt;=TIME(23,59,0),"Night",
  L3101&lt;TIME(9,0,0),"Night"
))</f>
        <v/>
      </c>
      <c r="O3101" t="str">
        <f t="shared" si="290"/>
        <v/>
      </c>
    </row>
    <row r="3102" spans="7:15" x14ac:dyDescent="0.25">
      <c r="G3102" t="str">
        <f t="shared" si="288"/>
        <v/>
      </c>
      <c r="H3102" s="13" t="str">
        <f t="shared" si="291"/>
        <v/>
      </c>
      <c r="I3102" t="str">
        <f>IFERROR(INDEX(Analysis!$D$116:$N$137, MATCH(B3102, Analysis!$C$116:$C$137, 0), MATCH(C3102, Analysis!$D$115:$N$115, 0)), "")</f>
        <v/>
      </c>
      <c r="J3102" t="str">
        <f t="shared" si="292"/>
        <v/>
      </c>
      <c r="K3102" s="28" t="str">
        <f t="shared" si="289"/>
        <v/>
      </c>
      <c r="L3102" s="46" t="str">
        <f t="shared" si="293"/>
        <v/>
      </c>
      <c r="M3102" t="str" cm="1">
        <f t="array" ref="M3102">IF(L3102="","",_xlfn.IFS(
  AND(L3102&gt;=TIME(9,0,0), L3102&lt;TIME(16,0,0)),"Morning",
  AND(L3102&gt;=TIME(16,0,0), L3102&lt;TIME(23,59,0)),"Evening",
  L3102&gt;=TIME(23,59,0),"Night",
  L3102&lt;TIME(9,0,0),"Night"
))</f>
        <v/>
      </c>
      <c r="O3102" t="str">
        <f t="shared" si="290"/>
        <v/>
      </c>
    </row>
    <row r="3103" spans="7:15" x14ac:dyDescent="0.25">
      <c r="G3103" t="str">
        <f t="shared" si="288"/>
        <v/>
      </c>
      <c r="H3103" s="13" t="str">
        <f t="shared" si="291"/>
        <v/>
      </c>
      <c r="I3103" t="str">
        <f>IFERROR(INDEX(Analysis!$D$116:$N$137, MATCH(B3103, Analysis!$C$116:$C$137, 0), MATCH(C3103, Analysis!$D$115:$N$115, 0)), "")</f>
        <v/>
      </c>
      <c r="J3103" t="str">
        <f t="shared" si="292"/>
        <v/>
      </c>
      <c r="K3103" s="28" t="str">
        <f t="shared" si="289"/>
        <v/>
      </c>
      <c r="L3103" s="46" t="str">
        <f t="shared" si="293"/>
        <v/>
      </c>
      <c r="M3103" t="str" cm="1">
        <f t="array" ref="M3103">IF(L3103="","",_xlfn.IFS(
  AND(L3103&gt;=TIME(9,0,0), L3103&lt;TIME(16,0,0)),"Morning",
  AND(L3103&gt;=TIME(16,0,0), L3103&lt;TIME(23,59,0)),"Evening",
  L3103&gt;=TIME(23,59,0),"Night",
  L3103&lt;TIME(9,0,0),"Night"
))</f>
        <v/>
      </c>
      <c r="O3103" t="str">
        <f t="shared" si="290"/>
        <v/>
      </c>
    </row>
    <row r="3104" spans="7:15" x14ac:dyDescent="0.25">
      <c r="G3104" t="str">
        <f t="shared" si="288"/>
        <v/>
      </c>
      <c r="H3104" s="13" t="str">
        <f t="shared" si="291"/>
        <v/>
      </c>
      <c r="I3104" t="str">
        <f>IFERROR(INDEX(Analysis!$D$116:$N$137, MATCH(B3104, Analysis!$C$116:$C$137, 0), MATCH(C3104, Analysis!$D$115:$N$115, 0)), "")</f>
        <v/>
      </c>
      <c r="J3104" t="str">
        <f t="shared" si="292"/>
        <v/>
      </c>
      <c r="K3104" s="28" t="str">
        <f t="shared" si="289"/>
        <v/>
      </c>
      <c r="L3104" s="46" t="str">
        <f t="shared" si="293"/>
        <v/>
      </c>
      <c r="M3104" t="str" cm="1">
        <f t="array" ref="M3104">IF(L3104="","",_xlfn.IFS(
  AND(L3104&gt;=TIME(9,0,0), L3104&lt;TIME(16,0,0)),"Morning",
  AND(L3104&gt;=TIME(16,0,0), L3104&lt;TIME(23,59,0)),"Evening",
  L3104&gt;=TIME(23,59,0),"Night",
  L3104&lt;TIME(9,0,0),"Night"
))</f>
        <v/>
      </c>
      <c r="O3104" t="str">
        <f t="shared" si="290"/>
        <v/>
      </c>
    </row>
    <row r="3105" spans="7:15" x14ac:dyDescent="0.25">
      <c r="G3105" t="str">
        <f t="shared" si="288"/>
        <v/>
      </c>
      <c r="H3105" s="13" t="str">
        <f t="shared" si="291"/>
        <v/>
      </c>
      <c r="I3105" t="str">
        <f>IFERROR(INDEX(Analysis!$D$116:$N$137, MATCH(B3105, Analysis!$C$116:$C$137, 0), MATCH(C3105, Analysis!$D$115:$N$115, 0)), "")</f>
        <v/>
      </c>
      <c r="J3105" t="str">
        <f t="shared" si="292"/>
        <v/>
      </c>
      <c r="K3105" s="28" t="str">
        <f t="shared" si="289"/>
        <v/>
      </c>
      <c r="L3105" s="46" t="str">
        <f t="shared" si="293"/>
        <v/>
      </c>
      <c r="M3105" t="str" cm="1">
        <f t="array" ref="M3105">IF(L3105="","",_xlfn.IFS(
  AND(L3105&gt;=TIME(9,0,0), L3105&lt;TIME(16,0,0)),"Morning",
  AND(L3105&gt;=TIME(16,0,0), L3105&lt;TIME(23,59,0)),"Evening",
  L3105&gt;=TIME(23,59,0),"Night",
  L3105&lt;TIME(9,0,0),"Night"
))</f>
        <v/>
      </c>
      <c r="O3105" t="str">
        <f t="shared" si="290"/>
        <v/>
      </c>
    </row>
    <row r="3106" spans="7:15" x14ac:dyDescent="0.25">
      <c r="G3106" t="str">
        <f t="shared" si="288"/>
        <v/>
      </c>
      <c r="H3106" s="13" t="str">
        <f t="shared" si="291"/>
        <v/>
      </c>
      <c r="I3106" t="str">
        <f>IFERROR(INDEX(Analysis!$D$116:$N$137, MATCH(B3106, Analysis!$C$116:$C$137, 0), MATCH(C3106, Analysis!$D$115:$N$115, 0)), "")</f>
        <v/>
      </c>
      <c r="J3106" t="str">
        <f t="shared" si="292"/>
        <v/>
      </c>
      <c r="K3106" s="28" t="str">
        <f t="shared" si="289"/>
        <v/>
      </c>
      <c r="L3106" s="46" t="str">
        <f t="shared" si="293"/>
        <v/>
      </c>
      <c r="M3106" t="str" cm="1">
        <f t="array" ref="M3106">IF(L3106="","",_xlfn.IFS(
  AND(L3106&gt;=TIME(9,0,0), L3106&lt;TIME(16,0,0)),"Morning",
  AND(L3106&gt;=TIME(16,0,0), L3106&lt;TIME(23,59,0)),"Evening",
  L3106&gt;=TIME(23,59,0),"Night",
  L3106&lt;TIME(9,0,0),"Night"
))</f>
        <v/>
      </c>
      <c r="O3106" t="str">
        <f t="shared" si="290"/>
        <v/>
      </c>
    </row>
    <row r="3107" spans="7:15" x14ac:dyDescent="0.25">
      <c r="G3107" t="str">
        <f t="shared" si="288"/>
        <v/>
      </c>
      <c r="H3107" s="13" t="str">
        <f t="shared" si="291"/>
        <v/>
      </c>
      <c r="I3107" t="str">
        <f>IFERROR(INDEX(Analysis!$D$116:$N$137, MATCH(B3107, Analysis!$C$116:$C$137, 0), MATCH(C3107, Analysis!$D$115:$N$115, 0)), "")</f>
        <v/>
      </c>
      <c r="J3107" t="str">
        <f t="shared" si="292"/>
        <v/>
      </c>
      <c r="K3107" s="28" t="str">
        <f t="shared" si="289"/>
        <v/>
      </c>
      <c r="L3107" s="46" t="str">
        <f t="shared" si="293"/>
        <v/>
      </c>
      <c r="M3107" t="str" cm="1">
        <f t="array" ref="M3107">IF(L3107="","",_xlfn.IFS(
  AND(L3107&gt;=TIME(9,0,0), L3107&lt;TIME(16,0,0)),"Morning",
  AND(L3107&gt;=TIME(16,0,0), L3107&lt;TIME(23,59,0)),"Evening",
  L3107&gt;=TIME(23,59,0),"Night",
  L3107&lt;TIME(9,0,0),"Night"
))</f>
        <v/>
      </c>
      <c r="O3107" t="str">
        <f t="shared" si="290"/>
        <v/>
      </c>
    </row>
    <row r="3108" spans="7:15" x14ac:dyDescent="0.25">
      <c r="G3108" t="str">
        <f t="shared" si="288"/>
        <v/>
      </c>
      <c r="H3108" s="13" t="str">
        <f t="shared" si="291"/>
        <v/>
      </c>
      <c r="I3108" t="str">
        <f>IFERROR(INDEX(Analysis!$D$116:$N$137, MATCH(B3108, Analysis!$C$116:$C$137, 0), MATCH(C3108, Analysis!$D$115:$N$115, 0)), "")</f>
        <v/>
      </c>
      <c r="J3108" t="str">
        <f t="shared" si="292"/>
        <v/>
      </c>
      <c r="K3108" s="28" t="str">
        <f t="shared" si="289"/>
        <v/>
      </c>
      <c r="L3108" s="46" t="str">
        <f t="shared" si="293"/>
        <v/>
      </c>
      <c r="M3108" t="str" cm="1">
        <f t="array" ref="M3108">IF(L3108="","",_xlfn.IFS(
  AND(L3108&gt;=TIME(9,0,0), L3108&lt;TIME(16,0,0)),"Morning",
  AND(L3108&gt;=TIME(16,0,0), L3108&lt;TIME(23,59,0)),"Evening",
  L3108&gt;=TIME(23,59,0),"Night",
  L3108&lt;TIME(9,0,0),"Night"
))</f>
        <v/>
      </c>
      <c r="O3108" t="str">
        <f t="shared" si="290"/>
        <v/>
      </c>
    </row>
    <row r="3109" spans="7:15" x14ac:dyDescent="0.25">
      <c r="G3109" t="str">
        <f t="shared" si="288"/>
        <v/>
      </c>
      <c r="H3109" s="13" t="str">
        <f t="shared" si="291"/>
        <v/>
      </c>
      <c r="I3109" t="str">
        <f>IFERROR(INDEX(Analysis!$D$116:$N$137, MATCH(B3109, Analysis!$C$116:$C$137, 0), MATCH(C3109, Analysis!$D$115:$N$115, 0)), "")</f>
        <v/>
      </c>
      <c r="J3109" t="str">
        <f t="shared" si="292"/>
        <v/>
      </c>
      <c r="K3109" s="28" t="str">
        <f t="shared" si="289"/>
        <v/>
      </c>
      <c r="L3109" s="46" t="str">
        <f t="shared" si="293"/>
        <v/>
      </c>
      <c r="M3109" t="str" cm="1">
        <f t="array" ref="M3109">IF(L3109="","",_xlfn.IFS(
  AND(L3109&gt;=TIME(9,0,0), L3109&lt;TIME(16,0,0)),"Morning",
  AND(L3109&gt;=TIME(16,0,0), L3109&lt;TIME(23,59,0)),"Evening",
  L3109&gt;=TIME(23,59,0),"Night",
  L3109&lt;TIME(9,0,0),"Night"
))</f>
        <v/>
      </c>
      <c r="O3109" t="str">
        <f t="shared" si="290"/>
        <v/>
      </c>
    </row>
    <row r="3110" spans="7:15" x14ac:dyDescent="0.25">
      <c r="G3110" t="str">
        <f t="shared" si="288"/>
        <v/>
      </c>
      <c r="H3110" s="13" t="str">
        <f t="shared" si="291"/>
        <v/>
      </c>
      <c r="I3110" t="str">
        <f>IFERROR(INDEX(Analysis!$D$116:$N$137, MATCH(B3110, Analysis!$C$116:$C$137, 0), MATCH(C3110, Analysis!$D$115:$N$115, 0)), "")</f>
        <v/>
      </c>
      <c r="J3110" t="str">
        <f t="shared" si="292"/>
        <v/>
      </c>
      <c r="K3110" s="28" t="str">
        <f t="shared" si="289"/>
        <v/>
      </c>
      <c r="L3110" s="46" t="str">
        <f t="shared" si="293"/>
        <v/>
      </c>
      <c r="M3110" t="str" cm="1">
        <f t="array" ref="M3110">IF(L3110="","",_xlfn.IFS(
  AND(L3110&gt;=TIME(9,0,0), L3110&lt;TIME(16,0,0)),"Morning",
  AND(L3110&gt;=TIME(16,0,0), L3110&lt;TIME(23,59,0)),"Evening",
  L3110&gt;=TIME(23,59,0),"Night",
  L3110&lt;TIME(9,0,0),"Night"
))</f>
        <v/>
      </c>
      <c r="O3110" t="str">
        <f t="shared" si="290"/>
        <v/>
      </c>
    </row>
    <row r="3111" spans="7:15" x14ac:dyDescent="0.25">
      <c r="G3111" t="str">
        <f t="shared" si="288"/>
        <v/>
      </c>
      <c r="H3111" s="13" t="str">
        <f t="shared" si="291"/>
        <v/>
      </c>
      <c r="I3111" t="str">
        <f>IFERROR(INDEX(Analysis!$D$116:$N$137, MATCH(B3111, Analysis!$C$116:$C$137, 0), MATCH(C3111, Analysis!$D$115:$N$115, 0)), "")</f>
        <v/>
      </c>
      <c r="J3111" t="str">
        <f t="shared" si="292"/>
        <v/>
      </c>
      <c r="K3111" s="28" t="str">
        <f t="shared" si="289"/>
        <v/>
      </c>
      <c r="L3111" s="46" t="str">
        <f t="shared" si="293"/>
        <v/>
      </c>
      <c r="M3111" t="str" cm="1">
        <f t="array" ref="M3111">IF(L3111="","",_xlfn.IFS(
  AND(L3111&gt;=TIME(9,0,0), L3111&lt;TIME(16,0,0)),"Morning",
  AND(L3111&gt;=TIME(16,0,0), L3111&lt;TIME(23,59,0)),"Evening",
  L3111&gt;=TIME(23,59,0),"Night",
  L3111&lt;TIME(9,0,0),"Night"
))</f>
        <v/>
      </c>
      <c r="O3111" t="str">
        <f t="shared" si="290"/>
        <v/>
      </c>
    </row>
    <row r="3112" spans="7:15" x14ac:dyDescent="0.25">
      <c r="G3112" t="str">
        <f t="shared" si="288"/>
        <v/>
      </c>
      <c r="H3112" s="13" t="str">
        <f t="shared" si="291"/>
        <v/>
      </c>
      <c r="I3112" t="str">
        <f>IFERROR(INDEX(Analysis!$D$116:$N$137, MATCH(B3112, Analysis!$C$116:$C$137, 0), MATCH(C3112, Analysis!$D$115:$N$115, 0)), "")</f>
        <v/>
      </c>
      <c r="J3112" t="str">
        <f t="shared" si="292"/>
        <v/>
      </c>
      <c r="K3112" s="28" t="str">
        <f t="shared" si="289"/>
        <v/>
      </c>
      <c r="L3112" s="46" t="str">
        <f t="shared" si="293"/>
        <v/>
      </c>
      <c r="M3112" t="str" cm="1">
        <f t="array" ref="M3112">IF(L3112="","",_xlfn.IFS(
  AND(L3112&gt;=TIME(9,0,0), L3112&lt;TIME(16,0,0)),"Morning",
  AND(L3112&gt;=TIME(16,0,0), L3112&lt;TIME(23,59,0)),"Evening",
  L3112&gt;=TIME(23,59,0),"Night",
  L3112&lt;TIME(9,0,0),"Night"
))</f>
        <v/>
      </c>
      <c r="O3112" t="str">
        <f t="shared" si="290"/>
        <v/>
      </c>
    </row>
    <row r="3113" spans="7:15" x14ac:dyDescent="0.25">
      <c r="G3113" t="str">
        <f t="shared" si="288"/>
        <v/>
      </c>
      <c r="H3113" s="13" t="str">
        <f t="shared" si="291"/>
        <v/>
      </c>
      <c r="I3113" t="str">
        <f>IFERROR(INDEX(Analysis!$D$116:$N$137, MATCH(B3113, Analysis!$C$116:$C$137, 0), MATCH(C3113, Analysis!$D$115:$N$115, 0)), "")</f>
        <v/>
      </c>
      <c r="J3113" t="str">
        <f t="shared" si="292"/>
        <v/>
      </c>
      <c r="K3113" s="28" t="str">
        <f t="shared" si="289"/>
        <v/>
      </c>
      <c r="L3113" s="46" t="str">
        <f t="shared" si="293"/>
        <v/>
      </c>
      <c r="M3113" t="str" cm="1">
        <f t="array" ref="M3113">IF(L3113="","",_xlfn.IFS(
  AND(L3113&gt;=TIME(9,0,0), L3113&lt;TIME(16,0,0)),"Morning",
  AND(L3113&gt;=TIME(16,0,0), L3113&lt;TIME(23,59,0)),"Evening",
  L3113&gt;=TIME(23,59,0),"Night",
  L3113&lt;TIME(9,0,0),"Night"
))</f>
        <v/>
      </c>
      <c r="O3113" t="str">
        <f t="shared" si="290"/>
        <v/>
      </c>
    </row>
    <row r="3114" spans="7:15" x14ac:dyDescent="0.25">
      <c r="G3114" t="str">
        <f t="shared" si="288"/>
        <v/>
      </c>
      <c r="H3114" s="13" t="str">
        <f t="shared" si="291"/>
        <v/>
      </c>
      <c r="I3114" t="str">
        <f>IFERROR(INDEX(Analysis!$D$116:$N$137, MATCH(B3114, Analysis!$C$116:$C$137, 0), MATCH(C3114, Analysis!$D$115:$N$115, 0)), "")</f>
        <v/>
      </c>
      <c r="J3114" t="str">
        <f t="shared" si="292"/>
        <v/>
      </c>
      <c r="K3114" s="28" t="str">
        <f t="shared" si="289"/>
        <v/>
      </c>
      <c r="L3114" s="46" t="str">
        <f t="shared" si="293"/>
        <v/>
      </c>
      <c r="M3114" t="str" cm="1">
        <f t="array" ref="M3114">IF(L3114="","",_xlfn.IFS(
  AND(L3114&gt;=TIME(9,0,0), L3114&lt;TIME(16,0,0)),"Morning",
  AND(L3114&gt;=TIME(16,0,0), L3114&lt;TIME(23,59,0)),"Evening",
  L3114&gt;=TIME(23,59,0),"Night",
  L3114&lt;TIME(9,0,0),"Night"
))</f>
        <v/>
      </c>
      <c r="O3114" t="str">
        <f t="shared" si="290"/>
        <v/>
      </c>
    </row>
    <row r="3115" spans="7:15" x14ac:dyDescent="0.25">
      <c r="G3115" t="str">
        <f t="shared" si="288"/>
        <v/>
      </c>
      <c r="H3115" s="13" t="str">
        <f t="shared" si="291"/>
        <v/>
      </c>
      <c r="I3115" t="str">
        <f>IFERROR(INDEX(Analysis!$D$116:$N$137, MATCH(B3115, Analysis!$C$116:$C$137, 0), MATCH(C3115, Analysis!$D$115:$N$115, 0)), "")</f>
        <v/>
      </c>
      <c r="J3115" t="str">
        <f t="shared" si="292"/>
        <v/>
      </c>
      <c r="K3115" s="28" t="str">
        <f t="shared" si="289"/>
        <v/>
      </c>
      <c r="L3115" s="46" t="str">
        <f t="shared" si="293"/>
        <v/>
      </c>
      <c r="M3115" t="str" cm="1">
        <f t="array" ref="M3115">IF(L3115="","",_xlfn.IFS(
  AND(L3115&gt;=TIME(9,0,0), L3115&lt;TIME(16,0,0)),"Morning",
  AND(L3115&gt;=TIME(16,0,0), L3115&lt;TIME(23,59,0)),"Evening",
  L3115&gt;=TIME(23,59,0),"Night",
  L3115&lt;TIME(9,0,0),"Night"
))</f>
        <v/>
      </c>
      <c r="O3115" t="str">
        <f t="shared" si="290"/>
        <v/>
      </c>
    </row>
    <row r="3116" spans="7:15" x14ac:dyDescent="0.25">
      <c r="G3116" t="str">
        <f t="shared" si="288"/>
        <v/>
      </c>
      <c r="H3116" s="13" t="str">
        <f t="shared" si="291"/>
        <v/>
      </c>
      <c r="I3116" t="str">
        <f>IFERROR(INDEX(Analysis!$D$116:$N$137, MATCH(B3116, Analysis!$C$116:$C$137, 0), MATCH(C3116, Analysis!$D$115:$N$115, 0)), "")</f>
        <v/>
      </c>
      <c r="J3116" t="str">
        <f t="shared" si="292"/>
        <v/>
      </c>
      <c r="K3116" s="28" t="str">
        <f t="shared" si="289"/>
        <v/>
      </c>
      <c r="L3116" s="46" t="str">
        <f t="shared" si="293"/>
        <v/>
      </c>
      <c r="M3116" t="str" cm="1">
        <f t="array" ref="M3116">IF(L3116="","",_xlfn.IFS(
  AND(L3116&gt;=TIME(9,0,0), L3116&lt;TIME(16,0,0)),"Morning",
  AND(L3116&gt;=TIME(16,0,0), L3116&lt;TIME(23,59,0)),"Evening",
  L3116&gt;=TIME(23,59,0),"Night",
  L3116&lt;TIME(9,0,0),"Night"
))</f>
        <v/>
      </c>
      <c r="O3116" t="str">
        <f t="shared" si="290"/>
        <v/>
      </c>
    </row>
    <row r="3117" spans="7:15" x14ac:dyDescent="0.25">
      <c r="G3117" t="str">
        <f t="shared" si="288"/>
        <v/>
      </c>
      <c r="H3117" s="13" t="str">
        <f t="shared" si="291"/>
        <v/>
      </c>
      <c r="I3117" t="str">
        <f>IFERROR(INDEX(Analysis!$D$116:$N$137, MATCH(B3117, Analysis!$C$116:$C$137, 0), MATCH(C3117, Analysis!$D$115:$N$115, 0)), "")</f>
        <v/>
      </c>
      <c r="J3117" t="str">
        <f t="shared" si="292"/>
        <v/>
      </c>
      <c r="K3117" s="28" t="str">
        <f t="shared" si="289"/>
        <v/>
      </c>
      <c r="L3117" s="46" t="str">
        <f t="shared" si="293"/>
        <v/>
      </c>
      <c r="M3117" t="str" cm="1">
        <f t="array" ref="M3117">IF(L3117="","",_xlfn.IFS(
  AND(L3117&gt;=TIME(9,0,0), L3117&lt;TIME(16,0,0)),"Morning",
  AND(L3117&gt;=TIME(16,0,0), L3117&lt;TIME(23,59,0)),"Evening",
  L3117&gt;=TIME(23,59,0),"Night",
  L3117&lt;TIME(9,0,0),"Night"
))</f>
        <v/>
      </c>
      <c r="O3117" t="str">
        <f t="shared" si="290"/>
        <v/>
      </c>
    </row>
    <row r="3118" spans="7:15" x14ac:dyDescent="0.25">
      <c r="G3118" t="str">
        <f t="shared" si="288"/>
        <v/>
      </c>
      <c r="H3118" s="13" t="str">
        <f t="shared" si="291"/>
        <v/>
      </c>
      <c r="I3118" t="str">
        <f>IFERROR(INDEX(Analysis!$D$116:$N$137, MATCH(B3118, Analysis!$C$116:$C$137, 0), MATCH(C3118, Analysis!$D$115:$N$115, 0)), "")</f>
        <v/>
      </c>
      <c r="J3118" t="str">
        <f t="shared" si="292"/>
        <v/>
      </c>
      <c r="K3118" s="28" t="str">
        <f t="shared" si="289"/>
        <v/>
      </c>
      <c r="L3118" s="46" t="str">
        <f t="shared" si="293"/>
        <v/>
      </c>
      <c r="M3118" t="str" cm="1">
        <f t="array" ref="M3118">IF(L3118="","",_xlfn.IFS(
  AND(L3118&gt;=TIME(9,0,0), L3118&lt;TIME(16,0,0)),"Morning",
  AND(L3118&gt;=TIME(16,0,0), L3118&lt;TIME(23,59,0)),"Evening",
  L3118&gt;=TIME(23,59,0),"Night",
  L3118&lt;TIME(9,0,0),"Night"
))</f>
        <v/>
      </c>
      <c r="O3118" t="str">
        <f t="shared" si="290"/>
        <v/>
      </c>
    </row>
    <row r="3119" spans="7:15" x14ac:dyDescent="0.25">
      <c r="G3119" t="str">
        <f t="shared" si="288"/>
        <v/>
      </c>
      <c r="H3119" s="13" t="str">
        <f t="shared" si="291"/>
        <v/>
      </c>
      <c r="I3119" t="str">
        <f>IFERROR(INDEX(Analysis!$D$116:$N$137, MATCH(B3119, Analysis!$C$116:$C$137, 0), MATCH(C3119, Analysis!$D$115:$N$115, 0)), "")</f>
        <v/>
      </c>
      <c r="J3119" t="str">
        <f t="shared" si="292"/>
        <v/>
      </c>
      <c r="K3119" s="28" t="str">
        <f t="shared" si="289"/>
        <v/>
      </c>
      <c r="L3119" s="46" t="str">
        <f t="shared" si="293"/>
        <v/>
      </c>
      <c r="M3119" t="str" cm="1">
        <f t="array" ref="M3119">IF(L3119="","",_xlfn.IFS(
  AND(L3119&gt;=TIME(9,0,0), L3119&lt;TIME(16,0,0)),"Morning",
  AND(L3119&gt;=TIME(16,0,0), L3119&lt;TIME(23,59,0)),"Evening",
  L3119&gt;=TIME(23,59,0),"Night",
  L3119&lt;TIME(9,0,0),"Night"
))</f>
        <v/>
      </c>
      <c r="O3119" t="str">
        <f t="shared" si="290"/>
        <v/>
      </c>
    </row>
    <row r="3120" spans="7:15" x14ac:dyDescent="0.25">
      <c r="G3120" t="str">
        <f t="shared" si="288"/>
        <v/>
      </c>
      <c r="H3120" s="13" t="str">
        <f t="shared" si="291"/>
        <v/>
      </c>
      <c r="I3120" t="str">
        <f>IFERROR(INDEX(Analysis!$D$116:$N$137, MATCH(B3120, Analysis!$C$116:$C$137, 0), MATCH(C3120, Analysis!$D$115:$N$115, 0)), "")</f>
        <v/>
      </c>
      <c r="J3120" t="str">
        <f t="shared" si="292"/>
        <v/>
      </c>
      <c r="K3120" s="28" t="str">
        <f t="shared" si="289"/>
        <v/>
      </c>
      <c r="L3120" s="46" t="str">
        <f t="shared" si="293"/>
        <v/>
      </c>
      <c r="M3120" t="str" cm="1">
        <f t="array" ref="M3120">IF(L3120="","",_xlfn.IFS(
  AND(L3120&gt;=TIME(9,0,0), L3120&lt;TIME(16,0,0)),"Morning",
  AND(L3120&gt;=TIME(16,0,0), L3120&lt;TIME(23,59,0)),"Evening",
  L3120&gt;=TIME(23,59,0),"Night",
  L3120&lt;TIME(9,0,0),"Night"
))</f>
        <v/>
      </c>
      <c r="O3120" t="str">
        <f t="shared" si="290"/>
        <v/>
      </c>
    </row>
    <row r="3121" spans="7:15" x14ac:dyDescent="0.25">
      <c r="G3121" t="str">
        <f t="shared" si="288"/>
        <v/>
      </c>
      <c r="H3121" s="13" t="str">
        <f t="shared" si="291"/>
        <v/>
      </c>
      <c r="I3121" t="str">
        <f>IFERROR(INDEX(Analysis!$D$116:$N$137, MATCH(B3121, Analysis!$C$116:$C$137, 0), MATCH(C3121, Analysis!$D$115:$N$115, 0)), "")</f>
        <v/>
      </c>
      <c r="J3121" t="str">
        <f t="shared" si="292"/>
        <v/>
      </c>
      <c r="K3121" s="28" t="str">
        <f t="shared" si="289"/>
        <v/>
      </c>
      <c r="L3121" s="46" t="str">
        <f t="shared" si="293"/>
        <v/>
      </c>
      <c r="M3121" t="str" cm="1">
        <f t="array" ref="M3121">IF(L3121="","",_xlfn.IFS(
  AND(L3121&gt;=TIME(9,0,0), L3121&lt;TIME(16,0,0)),"Morning",
  AND(L3121&gt;=TIME(16,0,0), L3121&lt;TIME(23,59,0)),"Evening",
  L3121&gt;=TIME(23,59,0),"Night",
  L3121&lt;TIME(9,0,0),"Night"
))</f>
        <v/>
      </c>
      <c r="O3121" t="str">
        <f t="shared" si="290"/>
        <v/>
      </c>
    </row>
    <row r="3122" spans="7:15" x14ac:dyDescent="0.25">
      <c r="G3122" t="str">
        <f t="shared" si="288"/>
        <v/>
      </c>
      <c r="H3122" s="13" t="str">
        <f t="shared" si="291"/>
        <v/>
      </c>
      <c r="I3122" t="str">
        <f>IFERROR(INDEX(Analysis!$D$116:$N$137, MATCH(B3122, Analysis!$C$116:$C$137, 0), MATCH(C3122, Analysis!$D$115:$N$115, 0)), "")</f>
        <v/>
      </c>
      <c r="J3122" t="str">
        <f t="shared" si="292"/>
        <v/>
      </c>
      <c r="K3122" s="28" t="str">
        <f t="shared" si="289"/>
        <v/>
      </c>
      <c r="L3122" s="46" t="str">
        <f t="shared" si="293"/>
        <v/>
      </c>
      <c r="M3122" t="str" cm="1">
        <f t="array" ref="M3122">IF(L3122="","",_xlfn.IFS(
  AND(L3122&gt;=TIME(9,0,0), L3122&lt;TIME(16,0,0)),"Morning",
  AND(L3122&gt;=TIME(16,0,0), L3122&lt;TIME(23,59,0)),"Evening",
  L3122&gt;=TIME(23,59,0),"Night",
  L3122&lt;TIME(9,0,0),"Night"
))</f>
        <v/>
      </c>
      <c r="O3122" t="str">
        <f t="shared" si="290"/>
        <v/>
      </c>
    </row>
    <row r="3123" spans="7:15" x14ac:dyDescent="0.25">
      <c r="G3123" t="str">
        <f t="shared" si="288"/>
        <v/>
      </c>
      <c r="H3123" s="13" t="str">
        <f t="shared" si="291"/>
        <v/>
      </c>
      <c r="I3123" t="str">
        <f>IFERROR(INDEX(Analysis!$D$116:$N$137, MATCH(B3123, Analysis!$C$116:$C$137, 0), MATCH(C3123, Analysis!$D$115:$N$115, 0)), "")</f>
        <v/>
      </c>
      <c r="J3123" t="str">
        <f t="shared" si="292"/>
        <v/>
      </c>
      <c r="K3123" s="28" t="str">
        <f t="shared" si="289"/>
        <v/>
      </c>
      <c r="L3123" s="46" t="str">
        <f t="shared" si="293"/>
        <v/>
      </c>
      <c r="M3123" t="str" cm="1">
        <f t="array" ref="M3123">IF(L3123="","",_xlfn.IFS(
  AND(L3123&gt;=TIME(9,0,0), L3123&lt;TIME(16,0,0)),"Morning",
  AND(L3123&gt;=TIME(16,0,0), L3123&lt;TIME(23,59,0)),"Evening",
  L3123&gt;=TIME(23,59,0),"Night",
  L3123&lt;TIME(9,0,0),"Night"
))</f>
        <v/>
      </c>
      <c r="O3123" t="str">
        <f t="shared" si="290"/>
        <v/>
      </c>
    </row>
    <row r="3124" spans="7:15" x14ac:dyDescent="0.25">
      <c r="G3124" t="str">
        <f t="shared" si="288"/>
        <v/>
      </c>
      <c r="H3124" s="13" t="str">
        <f t="shared" si="291"/>
        <v/>
      </c>
      <c r="I3124" t="str">
        <f>IFERROR(INDEX(Analysis!$D$116:$N$137, MATCH(B3124, Analysis!$C$116:$C$137, 0), MATCH(C3124, Analysis!$D$115:$N$115, 0)), "")</f>
        <v/>
      </c>
      <c r="J3124" t="str">
        <f t="shared" si="292"/>
        <v/>
      </c>
      <c r="K3124" s="28" t="str">
        <f t="shared" si="289"/>
        <v/>
      </c>
      <c r="L3124" s="46" t="str">
        <f t="shared" si="293"/>
        <v/>
      </c>
      <c r="M3124" t="str" cm="1">
        <f t="array" ref="M3124">IF(L3124="","",_xlfn.IFS(
  AND(L3124&gt;=TIME(9,0,0), L3124&lt;TIME(16,0,0)),"Morning",
  AND(L3124&gt;=TIME(16,0,0), L3124&lt;TIME(23,59,0)),"Evening",
  L3124&gt;=TIME(23,59,0),"Night",
  L3124&lt;TIME(9,0,0),"Night"
))</f>
        <v/>
      </c>
      <c r="O3124" t="str">
        <f t="shared" si="290"/>
        <v/>
      </c>
    </row>
    <row r="3125" spans="7:15" x14ac:dyDescent="0.25">
      <c r="G3125" t="str">
        <f t="shared" si="288"/>
        <v/>
      </c>
      <c r="H3125" s="13" t="str">
        <f t="shared" si="291"/>
        <v/>
      </c>
      <c r="I3125" t="str">
        <f>IFERROR(INDEX(Analysis!$D$116:$N$137, MATCH(B3125, Analysis!$C$116:$C$137, 0), MATCH(C3125, Analysis!$D$115:$N$115, 0)), "")</f>
        <v/>
      </c>
      <c r="J3125" t="str">
        <f t="shared" si="292"/>
        <v/>
      </c>
      <c r="K3125" s="28" t="str">
        <f t="shared" si="289"/>
        <v/>
      </c>
      <c r="L3125" s="46" t="str">
        <f t="shared" si="293"/>
        <v/>
      </c>
      <c r="M3125" t="str" cm="1">
        <f t="array" ref="M3125">IF(L3125="","",_xlfn.IFS(
  AND(L3125&gt;=TIME(9,0,0), L3125&lt;TIME(16,0,0)),"Morning",
  AND(L3125&gt;=TIME(16,0,0), L3125&lt;TIME(23,59,0)),"Evening",
  L3125&gt;=TIME(23,59,0),"Night",
  L3125&lt;TIME(9,0,0),"Night"
))</f>
        <v/>
      </c>
      <c r="O3125" t="str">
        <f t="shared" si="290"/>
        <v/>
      </c>
    </row>
    <row r="3126" spans="7:15" x14ac:dyDescent="0.25">
      <c r="G3126" t="str">
        <f t="shared" si="288"/>
        <v/>
      </c>
      <c r="H3126" s="13" t="str">
        <f t="shared" si="291"/>
        <v/>
      </c>
      <c r="I3126" t="str">
        <f>IFERROR(INDEX(Analysis!$D$116:$N$137, MATCH(B3126, Analysis!$C$116:$C$137, 0), MATCH(C3126, Analysis!$D$115:$N$115, 0)), "")</f>
        <v/>
      </c>
      <c r="J3126" t="str">
        <f t="shared" si="292"/>
        <v/>
      </c>
      <c r="K3126" s="28" t="str">
        <f t="shared" si="289"/>
        <v/>
      </c>
      <c r="L3126" s="46" t="str">
        <f t="shared" si="293"/>
        <v/>
      </c>
      <c r="M3126" t="str" cm="1">
        <f t="array" ref="M3126">IF(L3126="","",_xlfn.IFS(
  AND(L3126&gt;=TIME(9,0,0), L3126&lt;TIME(16,0,0)),"Morning",
  AND(L3126&gt;=TIME(16,0,0), L3126&lt;TIME(23,59,0)),"Evening",
  L3126&gt;=TIME(23,59,0),"Night",
  L3126&lt;TIME(9,0,0),"Night"
))</f>
        <v/>
      </c>
      <c r="O3126" t="str">
        <f t="shared" si="290"/>
        <v/>
      </c>
    </row>
    <row r="3127" spans="7:15" x14ac:dyDescent="0.25">
      <c r="G3127" t="str">
        <f t="shared" si="288"/>
        <v/>
      </c>
      <c r="H3127" s="13" t="str">
        <f t="shared" si="291"/>
        <v/>
      </c>
      <c r="I3127" t="str">
        <f>IFERROR(INDEX(Analysis!$D$116:$N$137, MATCH(B3127, Analysis!$C$116:$C$137, 0), MATCH(C3127, Analysis!$D$115:$N$115, 0)), "")</f>
        <v/>
      </c>
      <c r="J3127" t="str">
        <f t="shared" si="292"/>
        <v/>
      </c>
      <c r="K3127" s="28" t="str">
        <f t="shared" si="289"/>
        <v/>
      </c>
      <c r="L3127" s="46" t="str">
        <f t="shared" si="293"/>
        <v/>
      </c>
      <c r="M3127" t="str" cm="1">
        <f t="array" ref="M3127">IF(L3127="","",_xlfn.IFS(
  AND(L3127&gt;=TIME(9,0,0), L3127&lt;TIME(16,0,0)),"Morning",
  AND(L3127&gt;=TIME(16,0,0), L3127&lt;TIME(23,59,0)),"Evening",
  L3127&gt;=TIME(23,59,0),"Night",
  L3127&lt;TIME(9,0,0),"Night"
))</f>
        <v/>
      </c>
      <c r="O3127" t="str">
        <f t="shared" si="290"/>
        <v/>
      </c>
    </row>
    <row r="3128" spans="7:15" x14ac:dyDescent="0.25">
      <c r="G3128" t="str">
        <f t="shared" si="288"/>
        <v/>
      </c>
      <c r="H3128" s="13" t="str">
        <f t="shared" si="291"/>
        <v/>
      </c>
      <c r="I3128" t="str">
        <f>IFERROR(INDEX(Analysis!$D$116:$N$137, MATCH(B3128, Analysis!$C$116:$C$137, 0), MATCH(C3128, Analysis!$D$115:$N$115, 0)), "")</f>
        <v/>
      </c>
      <c r="J3128" t="str">
        <f t="shared" si="292"/>
        <v/>
      </c>
      <c r="K3128" s="28" t="str">
        <f t="shared" si="289"/>
        <v/>
      </c>
      <c r="L3128" s="46" t="str">
        <f t="shared" si="293"/>
        <v/>
      </c>
      <c r="M3128" t="str" cm="1">
        <f t="array" ref="M3128">IF(L3128="","",_xlfn.IFS(
  AND(L3128&gt;=TIME(9,0,0), L3128&lt;TIME(16,0,0)),"Morning",
  AND(L3128&gt;=TIME(16,0,0), L3128&lt;TIME(23,59,0)),"Evening",
  L3128&gt;=TIME(23,59,0),"Night",
  L3128&lt;TIME(9,0,0),"Night"
))</f>
        <v/>
      </c>
      <c r="O3128" t="str">
        <f t="shared" si="290"/>
        <v/>
      </c>
    </row>
    <row r="3129" spans="7:15" x14ac:dyDescent="0.25">
      <c r="G3129" t="str">
        <f t="shared" si="288"/>
        <v/>
      </c>
      <c r="H3129" s="13" t="str">
        <f t="shared" si="291"/>
        <v/>
      </c>
      <c r="I3129" t="str">
        <f>IFERROR(INDEX(Analysis!$D$116:$N$137, MATCH(B3129, Analysis!$C$116:$C$137, 0), MATCH(C3129, Analysis!$D$115:$N$115, 0)), "")</f>
        <v/>
      </c>
      <c r="J3129" t="str">
        <f t="shared" si="292"/>
        <v/>
      </c>
      <c r="K3129" s="28" t="str">
        <f t="shared" si="289"/>
        <v/>
      </c>
      <c r="L3129" s="46" t="str">
        <f t="shared" si="293"/>
        <v/>
      </c>
      <c r="M3129" t="str" cm="1">
        <f t="array" ref="M3129">IF(L3129="","",_xlfn.IFS(
  AND(L3129&gt;=TIME(9,0,0), L3129&lt;TIME(16,0,0)),"Morning",
  AND(L3129&gt;=TIME(16,0,0), L3129&lt;TIME(23,59,0)),"Evening",
  L3129&gt;=TIME(23,59,0),"Night",
  L3129&lt;TIME(9,0,0),"Night"
))</f>
        <v/>
      </c>
      <c r="O3129" t="str">
        <f t="shared" si="290"/>
        <v/>
      </c>
    </row>
    <row r="3130" spans="7:15" x14ac:dyDescent="0.25">
      <c r="G3130" t="str">
        <f t="shared" si="288"/>
        <v/>
      </c>
      <c r="H3130" s="13" t="str">
        <f t="shared" si="291"/>
        <v/>
      </c>
      <c r="I3130" t="str">
        <f>IFERROR(INDEX(Analysis!$D$116:$N$137, MATCH(B3130, Analysis!$C$116:$C$137, 0), MATCH(C3130, Analysis!$D$115:$N$115, 0)), "")</f>
        <v/>
      </c>
      <c r="J3130" t="str">
        <f t="shared" si="292"/>
        <v/>
      </c>
      <c r="K3130" s="28" t="str">
        <f t="shared" si="289"/>
        <v/>
      </c>
      <c r="L3130" s="46" t="str">
        <f t="shared" si="293"/>
        <v/>
      </c>
      <c r="M3130" t="str" cm="1">
        <f t="array" ref="M3130">IF(L3130="","",_xlfn.IFS(
  AND(L3130&gt;=TIME(9,0,0), L3130&lt;TIME(16,0,0)),"Morning",
  AND(L3130&gt;=TIME(16,0,0), L3130&lt;TIME(23,59,0)),"Evening",
  L3130&gt;=TIME(23,59,0),"Night",
  L3130&lt;TIME(9,0,0),"Night"
))</f>
        <v/>
      </c>
      <c r="O3130" t="str">
        <f t="shared" si="290"/>
        <v/>
      </c>
    </row>
    <row r="3131" spans="7:15" x14ac:dyDescent="0.25">
      <c r="G3131" t="str">
        <f t="shared" si="288"/>
        <v/>
      </c>
      <c r="H3131" s="13" t="str">
        <f t="shared" si="291"/>
        <v/>
      </c>
      <c r="I3131" t="str">
        <f>IFERROR(INDEX(Analysis!$D$116:$N$137, MATCH(B3131, Analysis!$C$116:$C$137, 0), MATCH(C3131, Analysis!$D$115:$N$115, 0)), "")</f>
        <v/>
      </c>
      <c r="J3131" t="str">
        <f t="shared" si="292"/>
        <v/>
      </c>
      <c r="K3131" s="28" t="str">
        <f t="shared" si="289"/>
        <v/>
      </c>
      <c r="L3131" s="46" t="str">
        <f t="shared" si="293"/>
        <v/>
      </c>
      <c r="M3131" t="str" cm="1">
        <f t="array" ref="M3131">IF(L3131="","",_xlfn.IFS(
  AND(L3131&gt;=TIME(9,0,0), L3131&lt;TIME(16,0,0)),"Morning",
  AND(L3131&gt;=TIME(16,0,0), L3131&lt;TIME(23,59,0)),"Evening",
  L3131&gt;=TIME(23,59,0),"Night",
  L3131&lt;TIME(9,0,0),"Night"
))</f>
        <v/>
      </c>
      <c r="O3131" t="str">
        <f t="shared" si="290"/>
        <v/>
      </c>
    </row>
    <row r="3132" spans="7:15" x14ac:dyDescent="0.25">
      <c r="G3132" t="str">
        <f t="shared" si="288"/>
        <v/>
      </c>
      <c r="H3132" s="13" t="str">
        <f t="shared" si="291"/>
        <v/>
      </c>
      <c r="I3132" t="str">
        <f>IFERROR(INDEX(Analysis!$D$116:$N$137, MATCH(B3132, Analysis!$C$116:$C$137, 0), MATCH(C3132, Analysis!$D$115:$N$115, 0)), "")</f>
        <v/>
      </c>
      <c r="J3132" t="str">
        <f t="shared" si="292"/>
        <v/>
      </c>
      <c r="K3132" s="28" t="str">
        <f t="shared" si="289"/>
        <v/>
      </c>
      <c r="L3132" s="46" t="str">
        <f t="shared" si="293"/>
        <v/>
      </c>
      <c r="M3132" t="str" cm="1">
        <f t="array" ref="M3132">IF(L3132="","",_xlfn.IFS(
  AND(L3132&gt;=TIME(9,0,0), L3132&lt;TIME(16,0,0)),"Morning",
  AND(L3132&gt;=TIME(16,0,0), L3132&lt;TIME(23,59,0)),"Evening",
  L3132&gt;=TIME(23,59,0),"Night",
  L3132&lt;TIME(9,0,0),"Night"
))</f>
        <v/>
      </c>
      <c r="O3132" t="str">
        <f t="shared" si="290"/>
        <v/>
      </c>
    </row>
    <row r="3133" spans="7:15" x14ac:dyDescent="0.25">
      <c r="G3133" t="str">
        <f t="shared" si="288"/>
        <v/>
      </c>
      <c r="H3133" s="13" t="str">
        <f t="shared" si="291"/>
        <v/>
      </c>
      <c r="I3133" t="str">
        <f>IFERROR(INDEX(Analysis!$D$116:$N$137, MATCH(B3133, Analysis!$C$116:$C$137, 0), MATCH(C3133, Analysis!$D$115:$N$115, 0)), "")</f>
        <v/>
      </c>
      <c r="J3133" t="str">
        <f t="shared" si="292"/>
        <v/>
      </c>
      <c r="K3133" s="28" t="str">
        <f t="shared" si="289"/>
        <v/>
      </c>
      <c r="L3133" s="46" t="str">
        <f t="shared" si="293"/>
        <v/>
      </c>
      <c r="M3133" t="str" cm="1">
        <f t="array" ref="M3133">IF(L3133="","",_xlfn.IFS(
  AND(L3133&gt;=TIME(9,0,0), L3133&lt;TIME(16,0,0)),"Morning",
  AND(L3133&gt;=TIME(16,0,0), L3133&lt;TIME(23,59,0)),"Evening",
  L3133&gt;=TIME(23,59,0),"Night",
  L3133&lt;TIME(9,0,0),"Night"
))</f>
        <v/>
      </c>
      <c r="O3133" t="str">
        <f t="shared" si="290"/>
        <v/>
      </c>
    </row>
    <row r="3134" spans="7:15" x14ac:dyDescent="0.25">
      <c r="G3134" t="str">
        <f t="shared" si="288"/>
        <v/>
      </c>
      <c r="H3134" s="13" t="str">
        <f t="shared" si="291"/>
        <v/>
      </c>
      <c r="I3134" t="str">
        <f>IFERROR(INDEX(Analysis!$D$116:$N$137, MATCH(B3134, Analysis!$C$116:$C$137, 0), MATCH(C3134, Analysis!$D$115:$N$115, 0)), "")</f>
        <v/>
      </c>
      <c r="J3134" t="str">
        <f t="shared" si="292"/>
        <v/>
      </c>
      <c r="K3134" s="28" t="str">
        <f t="shared" si="289"/>
        <v/>
      </c>
      <c r="L3134" s="46" t="str">
        <f t="shared" si="293"/>
        <v/>
      </c>
      <c r="M3134" t="str" cm="1">
        <f t="array" ref="M3134">IF(L3134="","",_xlfn.IFS(
  AND(L3134&gt;=TIME(9,0,0), L3134&lt;TIME(16,0,0)),"Morning",
  AND(L3134&gt;=TIME(16,0,0), L3134&lt;TIME(23,59,0)),"Evening",
  L3134&gt;=TIME(23,59,0),"Night",
  L3134&lt;TIME(9,0,0),"Night"
))</f>
        <v/>
      </c>
      <c r="O3134" t="str">
        <f t="shared" si="290"/>
        <v/>
      </c>
    </row>
    <row r="3135" spans="7:15" x14ac:dyDescent="0.25">
      <c r="G3135" t="str">
        <f t="shared" si="288"/>
        <v/>
      </c>
      <c r="H3135" s="13" t="str">
        <f t="shared" si="291"/>
        <v/>
      </c>
      <c r="I3135" t="str">
        <f>IFERROR(INDEX(Analysis!$D$116:$N$137, MATCH(B3135, Analysis!$C$116:$C$137, 0), MATCH(C3135, Analysis!$D$115:$N$115, 0)), "")</f>
        <v/>
      </c>
      <c r="J3135" t="str">
        <f t="shared" si="292"/>
        <v/>
      </c>
      <c r="K3135" s="28" t="str">
        <f t="shared" si="289"/>
        <v/>
      </c>
      <c r="L3135" s="46" t="str">
        <f t="shared" si="293"/>
        <v/>
      </c>
      <c r="M3135" t="str" cm="1">
        <f t="array" ref="M3135">IF(L3135="","",_xlfn.IFS(
  AND(L3135&gt;=TIME(9,0,0), L3135&lt;TIME(16,0,0)),"Morning",
  AND(L3135&gt;=TIME(16,0,0), L3135&lt;TIME(23,59,0)),"Evening",
  L3135&gt;=TIME(23,59,0),"Night",
  L3135&lt;TIME(9,0,0),"Night"
))</f>
        <v/>
      </c>
      <c r="O3135" t="str">
        <f t="shared" si="290"/>
        <v/>
      </c>
    </row>
    <row r="3136" spans="7:15" x14ac:dyDescent="0.25">
      <c r="G3136" t="str">
        <f t="shared" si="288"/>
        <v/>
      </c>
      <c r="H3136" s="13" t="str">
        <f t="shared" si="291"/>
        <v/>
      </c>
      <c r="I3136" t="str">
        <f>IFERROR(INDEX(Analysis!$D$116:$N$137, MATCH(B3136, Analysis!$C$116:$C$137, 0), MATCH(C3136, Analysis!$D$115:$N$115, 0)), "")</f>
        <v/>
      </c>
      <c r="J3136" t="str">
        <f t="shared" si="292"/>
        <v/>
      </c>
      <c r="K3136" s="28" t="str">
        <f t="shared" si="289"/>
        <v/>
      </c>
      <c r="L3136" s="46" t="str">
        <f t="shared" si="293"/>
        <v/>
      </c>
      <c r="M3136" t="str" cm="1">
        <f t="array" ref="M3136">IF(L3136="","",_xlfn.IFS(
  AND(L3136&gt;=TIME(9,0,0), L3136&lt;TIME(16,0,0)),"Morning",
  AND(L3136&gt;=TIME(16,0,0), L3136&lt;TIME(23,59,0)),"Evening",
  L3136&gt;=TIME(23,59,0),"Night",
  L3136&lt;TIME(9,0,0),"Night"
))</f>
        <v/>
      </c>
      <c r="O3136" t="str">
        <f t="shared" si="290"/>
        <v/>
      </c>
    </row>
    <row r="3137" spans="7:15" x14ac:dyDescent="0.25">
      <c r="G3137" t="str">
        <f t="shared" si="288"/>
        <v/>
      </c>
      <c r="H3137" s="13" t="str">
        <f t="shared" si="291"/>
        <v/>
      </c>
      <c r="I3137" t="str">
        <f>IFERROR(INDEX(Analysis!$D$116:$N$137, MATCH(B3137, Analysis!$C$116:$C$137, 0), MATCH(C3137, Analysis!$D$115:$N$115, 0)), "")</f>
        <v/>
      </c>
      <c r="J3137" t="str">
        <f t="shared" si="292"/>
        <v/>
      </c>
      <c r="K3137" s="28" t="str">
        <f t="shared" si="289"/>
        <v/>
      </c>
      <c r="L3137" s="46" t="str">
        <f t="shared" si="293"/>
        <v/>
      </c>
      <c r="M3137" t="str" cm="1">
        <f t="array" ref="M3137">IF(L3137="","",_xlfn.IFS(
  AND(L3137&gt;=TIME(9,0,0), L3137&lt;TIME(16,0,0)),"Morning",
  AND(L3137&gt;=TIME(16,0,0), L3137&lt;TIME(23,59,0)),"Evening",
  L3137&gt;=TIME(23,59,0),"Night",
  L3137&lt;TIME(9,0,0),"Night"
))</f>
        <v/>
      </c>
      <c r="O3137" t="str">
        <f t="shared" si="290"/>
        <v/>
      </c>
    </row>
    <row r="3138" spans="7:15" x14ac:dyDescent="0.25">
      <c r="G3138" t="str">
        <f t="shared" ref="G3138:G3201" si="294">IF(ISBLANK(A3138), "", IF(ISBLANK(F3138), 0, F3138))</f>
        <v/>
      </c>
      <c r="H3138" s="13" t="str">
        <f t="shared" si="291"/>
        <v/>
      </c>
      <c r="I3138" t="str">
        <f>IFERROR(INDEX(Analysis!$D$116:$N$137, MATCH(B3138, Analysis!$C$116:$C$137, 0), MATCH(C3138, Analysis!$D$115:$N$115, 0)), "")</f>
        <v/>
      </c>
      <c r="J3138" t="str">
        <f t="shared" si="292"/>
        <v/>
      </c>
      <c r="K3138" s="28" t="str">
        <f t="shared" ref="K3138:K3201" si="295">IF(ISBLANK(A3138),"",DATE(YEAR(A3138),MONTH(A3138),DAY(A3138)))</f>
        <v/>
      </c>
      <c r="L3138" s="46" t="str">
        <f t="shared" si="293"/>
        <v/>
      </c>
      <c r="M3138" t="str" cm="1">
        <f t="array" ref="M3138">IF(L3138="","",_xlfn.IFS(
  AND(L3138&gt;=TIME(9,0,0), L3138&lt;TIME(16,0,0)),"Morning",
  AND(L3138&gt;=TIME(16,0,0), L3138&lt;TIME(23,59,0)),"Evening",
  L3138&gt;=TIME(23,59,0),"Night",
  L3138&lt;TIME(9,0,0),"Night"
))</f>
        <v/>
      </c>
      <c r="O3138" t="str">
        <f t="shared" ref="O3138:O3201" si="296">IF(N3138="ON", _xlfn.IMAGE(E3138, 1), "")</f>
        <v/>
      </c>
    </row>
    <row r="3139" spans="7:15" x14ac:dyDescent="0.25">
      <c r="G3139" t="str">
        <f t="shared" si="294"/>
        <v/>
      </c>
      <c r="H3139" s="13" t="str">
        <f t="shared" ref="H3139:H3202" si="297">IF(ISBLANK(E3139),"",HYPERLINK(E3139,"Click here"))</f>
        <v/>
      </c>
      <c r="I3139" t="str">
        <f>IFERROR(INDEX(Analysis!$D$116:$N$137, MATCH(B3139, Analysis!$C$116:$C$137, 0), MATCH(C3139, Analysis!$D$115:$N$115, 0)), "")</f>
        <v/>
      </c>
      <c r="J3139" t="str">
        <f t="shared" ref="J3139:J3202" si="298">IF(ISBLANK(A3139),"",WEEKNUM(A3139))</f>
        <v/>
      </c>
      <c r="K3139" s="28" t="str">
        <f t="shared" si="295"/>
        <v/>
      </c>
      <c r="L3139" s="46" t="str">
        <f t="shared" ref="L3139:L3202" si="299">IF(A3139="", "", A3139 - INT(A3139))</f>
        <v/>
      </c>
      <c r="M3139" t="str" cm="1">
        <f t="array" ref="M3139">IF(L3139="","",_xlfn.IFS(
  AND(L3139&gt;=TIME(9,0,0), L3139&lt;TIME(16,0,0)),"Morning",
  AND(L3139&gt;=TIME(16,0,0), L3139&lt;TIME(23,59,0)),"Evening",
  L3139&gt;=TIME(23,59,0),"Night",
  L3139&lt;TIME(9,0,0),"Night"
))</f>
        <v/>
      </c>
      <c r="O3139" t="str">
        <f t="shared" si="296"/>
        <v/>
      </c>
    </row>
    <row r="3140" spans="7:15" x14ac:dyDescent="0.25">
      <c r="G3140" t="str">
        <f t="shared" si="294"/>
        <v/>
      </c>
      <c r="H3140" s="13" t="str">
        <f t="shared" si="297"/>
        <v/>
      </c>
      <c r="I3140" t="str">
        <f>IFERROR(INDEX(Analysis!$D$116:$N$137, MATCH(B3140, Analysis!$C$116:$C$137, 0), MATCH(C3140, Analysis!$D$115:$N$115, 0)), "")</f>
        <v/>
      </c>
      <c r="J3140" t="str">
        <f t="shared" si="298"/>
        <v/>
      </c>
      <c r="K3140" s="28" t="str">
        <f t="shared" si="295"/>
        <v/>
      </c>
      <c r="L3140" s="46" t="str">
        <f t="shared" si="299"/>
        <v/>
      </c>
      <c r="M3140" t="str" cm="1">
        <f t="array" ref="M3140">IF(L3140="","",_xlfn.IFS(
  AND(L3140&gt;=TIME(9,0,0), L3140&lt;TIME(16,0,0)),"Morning",
  AND(L3140&gt;=TIME(16,0,0), L3140&lt;TIME(23,59,0)),"Evening",
  L3140&gt;=TIME(23,59,0),"Night",
  L3140&lt;TIME(9,0,0),"Night"
))</f>
        <v/>
      </c>
      <c r="O3140" t="str">
        <f t="shared" si="296"/>
        <v/>
      </c>
    </row>
    <row r="3141" spans="7:15" x14ac:dyDescent="0.25">
      <c r="G3141" t="str">
        <f t="shared" si="294"/>
        <v/>
      </c>
      <c r="H3141" s="13" t="str">
        <f t="shared" si="297"/>
        <v/>
      </c>
      <c r="I3141" t="str">
        <f>IFERROR(INDEX(Analysis!$D$116:$N$137, MATCH(B3141, Analysis!$C$116:$C$137, 0), MATCH(C3141, Analysis!$D$115:$N$115, 0)), "")</f>
        <v/>
      </c>
      <c r="J3141" t="str">
        <f t="shared" si="298"/>
        <v/>
      </c>
      <c r="K3141" s="28" t="str">
        <f t="shared" si="295"/>
        <v/>
      </c>
      <c r="L3141" s="46" t="str">
        <f t="shared" si="299"/>
        <v/>
      </c>
      <c r="M3141" t="str" cm="1">
        <f t="array" ref="M3141">IF(L3141="","",_xlfn.IFS(
  AND(L3141&gt;=TIME(9,0,0), L3141&lt;TIME(16,0,0)),"Morning",
  AND(L3141&gt;=TIME(16,0,0), L3141&lt;TIME(23,59,0)),"Evening",
  L3141&gt;=TIME(23,59,0),"Night",
  L3141&lt;TIME(9,0,0),"Night"
))</f>
        <v/>
      </c>
      <c r="O3141" t="str">
        <f t="shared" si="296"/>
        <v/>
      </c>
    </row>
    <row r="3142" spans="7:15" x14ac:dyDescent="0.25">
      <c r="G3142" t="str">
        <f t="shared" si="294"/>
        <v/>
      </c>
      <c r="H3142" s="13" t="str">
        <f t="shared" si="297"/>
        <v/>
      </c>
      <c r="I3142" t="str">
        <f>IFERROR(INDEX(Analysis!$D$116:$N$137, MATCH(B3142, Analysis!$C$116:$C$137, 0), MATCH(C3142, Analysis!$D$115:$N$115, 0)), "")</f>
        <v/>
      </c>
      <c r="J3142" t="str">
        <f t="shared" si="298"/>
        <v/>
      </c>
      <c r="K3142" s="28" t="str">
        <f t="shared" si="295"/>
        <v/>
      </c>
      <c r="L3142" s="46" t="str">
        <f t="shared" si="299"/>
        <v/>
      </c>
      <c r="M3142" t="str" cm="1">
        <f t="array" ref="M3142">IF(L3142="","",_xlfn.IFS(
  AND(L3142&gt;=TIME(9,0,0), L3142&lt;TIME(16,0,0)),"Morning",
  AND(L3142&gt;=TIME(16,0,0), L3142&lt;TIME(23,59,0)),"Evening",
  L3142&gt;=TIME(23,59,0),"Night",
  L3142&lt;TIME(9,0,0),"Night"
))</f>
        <v/>
      </c>
      <c r="O3142" t="str">
        <f t="shared" si="296"/>
        <v/>
      </c>
    </row>
    <row r="3143" spans="7:15" x14ac:dyDescent="0.25">
      <c r="G3143" t="str">
        <f t="shared" si="294"/>
        <v/>
      </c>
      <c r="H3143" s="13" t="str">
        <f t="shared" si="297"/>
        <v/>
      </c>
      <c r="I3143" t="str">
        <f>IFERROR(INDEX(Analysis!$D$116:$N$137, MATCH(B3143, Analysis!$C$116:$C$137, 0), MATCH(C3143, Analysis!$D$115:$N$115, 0)), "")</f>
        <v/>
      </c>
      <c r="J3143" t="str">
        <f t="shared" si="298"/>
        <v/>
      </c>
      <c r="K3143" s="28" t="str">
        <f t="shared" si="295"/>
        <v/>
      </c>
      <c r="L3143" s="46" t="str">
        <f t="shared" si="299"/>
        <v/>
      </c>
      <c r="M3143" t="str" cm="1">
        <f t="array" ref="M3143">IF(L3143="","",_xlfn.IFS(
  AND(L3143&gt;=TIME(9,0,0), L3143&lt;TIME(16,0,0)),"Morning",
  AND(L3143&gt;=TIME(16,0,0), L3143&lt;TIME(23,59,0)),"Evening",
  L3143&gt;=TIME(23,59,0),"Night",
  L3143&lt;TIME(9,0,0),"Night"
))</f>
        <v/>
      </c>
      <c r="O3143" t="str">
        <f t="shared" si="296"/>
        <v/>
      </c>
    </row>
    <row r="3144" spans="7:15" x14ac:dyDescent="0.25">
      <c r="G3144" t="str">
        <f t="shared" si="294"/>
        <v/>
      </c>
      <c r="H3144" s="13" t="str">
        <f t="shared" si="297"/>
        <v/>
      </c>
      <c r="I3144" t="str">
        <f>IFERROR(INDEX(Analysis!$D$116:$N$137, MATCH(B3144, Analysis!$C$116:$C$137, 0), MATCH(C3144, Analysis!$D$115:$N$115, 0)), "")</f>
        <v/>
      </c>
      <c r="J3144" t="str">
        <f t="shared" si="298"/>
        <v/>
      </c>
      <c r="K3144" s="28" t="str">
        <f t="shared" si="295"/>
        <v/>
      </c>
      <c r="L3144" s="46" t="str">
        <f t="shared" si="299"/>
        <v/>
      </c>
      <c r="M3144" t="str" cm="1">
        <f t="array" ref="M3144">IF(L3144="","",_xlfn.IFS(
  AND(L3144&gt;=TIME(9,0,0), L3144&lt;TIME(16,0,0)),"Morning",
  AND(L3144&gt;=TIME(16,0,0), L3144&lt;TIME(23,59,0)),"Evening",
  L3144&gt;=TIME(23,59,0),"Night",
  L3144&lt;TIME(9,0,0),"Night"
))</f>
        <v/>
      </c>
      <c r="O3144" t="str">
        <f t="shared" si="296"/>
        <v/>
      </c>
    </row>
    <row r="3145" spans="7:15" x14ac:dyDescent="0.25">
      <c r="G3145" t="str">
        <f t="shared" si="294"/>
        <v/>
      </c>
      <c r="H3145" s="13" t="str">
        <f t="shared" si="297"/>
        <v/>
      </c>
      <c r="I3145" t="str">
        <f>IFERROR(INDEX(Analysis!$D$116:$N$137, MATCH(B3145, Analysis!$C$116:$C$137, 0), MATCH(C3145, Analysis!$D$115:$N$115, 0)), "")</f>
        <v/>
      </c>
      <c r="J3145" t="str">
        <f t="shared" si="298"/>
        <v/>
      </c>
      <c r="K3145" s="28" t="str">
        <f t="shared" si="295"/>
        <v/>
      </c>
      <c r="L3145" s="46" t="str">
        <f t="shared" si="299"/>
        <v/>
      </c>
      <c r="M3145" t="str" cm="1">
        <f t="array" ref="M3145">IF(L3145="","",_xlfn.IFS(
  AND(L3145&gt;=TIME(9,0,0), L3145&lt;TIME(16,0,0)),"Morning",
  AND(L3145&gt;=TIME(16,0,0), L3145&lt;TIME(23,59,0)),"Evening",
  L3145&gt;=TIME(23,59,0),"Night",
  L3145&lt;TIME(9,0,0),"Night"
))</f>
        <v/>
      </c>
      <c r="O3145" t="str">
        <f t="shared" si="296"/>
        <v/>
      </c>
    </row>
    <row r="3146" spans="7:15" x14ac:dyDescent="0.25">
      <c r="G3146" t="str">
        <f t="shared" si="294"/>
        <v/>
      </c>
      <c r="H3146" s="13" t="str">
        <f t="shared" si="297"/>
        <v/>
      </c>
      <c r="I3146" t="str">
        <f>IFERROR(INDEX(Analysis!$D$116:$N$137, MATCH(B3146, Analysis!$C$116:$C$137, 0), MATCH(C3146, Analysis!$D$115:$N$115, 0)), "")</f>
        <v/>
      </c>
      <c r="J3146" t="str">
        <f t="shared" si="298"/>
        <v/>
      </c>
      <c r="K3146" s="28" t="str">
        <f t="shared" si="295"/>
        <v/>
      </c>
      <c r="L3146" s="46" t="str">
        <f t="shared" si="299"/>
        <v/>
      </c>
      <c r="M3146" t="str" cm="1">
        <f t="array" ref="M3146">IF(L3146="","",_xlfn.IFS(
  AND(L3146&gt;=TIME(9,0,0), L3146&lt;TIME(16,0,0)),"Morning",
  AND(L3146&gt;=TIME(16,0,0), L3146&lt;TIME(23,59,0)),"Evening",
  L3146&gt;=TIME(23,59,0),"Night",
  L3146&lt;TIME(9,0,0),"Night"
))</f>
        <v/>
      </c>
      <c r="O3146" t="str">
        <f t="shared" si="296"/>
        <v/>
      </c>
    </row>
    <row r="3147" spans="7:15" x14ac:dyDescent="0.25">
      <c r="G3147" t="str">
        <f t="shared" si="294"/>
        <v/>
      </c>
      <c r="H3147" s="13" t="str">
        <f t="shared" si="297"/>
        <v/>
      </c>
      <c r="I3147" t="str">
        <f>IFERROR(INDEX(Analysis!$D$116:$N$137, MATCH(B3147, Analysis!$C$116:$C$137, 0), MATCH(C3147, Analysis!$D$115:$N$115, 0)), "")</f>
        <v/>
      </c>
      <c r="J3147" t="str">
        <f t="shared" si="298"/>
        <v/>
      </c>
      <c r="K3147" s="28" t="str">
        <f t="shared" si="295"/>
        <v/>
      </c>
      <c r="L3147" s="46" t="str">
        <f t="shared" si="299"/>
        <v/>
      </c>
      <c r="M3147" t="str" cm="1">
        <f t="array" ref="M3147">IF(L3147="","",_xlfn.IFS(
  AND(L3147&gt;=TIME(9,0,0), L3147&lt;TIME(16,0,0)),"Morning",
  AND(L3147&gt;=TIME(16,0,0), L3147&lt;TIME(23,59,0)),"Evening",
  L3147&gt;=TIME(23,59,0),"Night",
  L3147&lt;TIME(9,0,0),"Night"
))</f>
        <v/>
      </c>
      <c r="O3147" t="str">
        <f t="shared" si="296"/>
        <v/>
      </c>
    </row>
    <row r="3148" spans="7:15" x14ac:dyDescent="0.25">
      <c r="G3148" t="str">
        <f t="shared" si="294"/>
        <v/>
      </c>
      <c r="H3148" s="13" t="str">
        <f t="shared" si="297"/>
        <v/>
      </c>
      <c r="I3148" t="str">
        <f>IFERROR(INDEX(Analysis!$D$116:$N$137, MATCH(B3148, Analysis!$C$116:$C$137, 0), MATCH(C3148, Analysis!$D$115:$N$115, 0)), "")</f>
        <v/>
      </c>
      <c r="J3148" t="str">
        <f t="shared" si="298"/>
        <v/>
      </c>
      <c r="K3148" s="28" t="str">
        <f t="shared" si="295"/>
        <v/>
      </c>
      <c r="L3148" s="46" t="str">
        <f t="shared" si="299"/>
        <v/>
      </c>
      <c r="M3148" t="str" cm="1">
        <f t="array" ref="M3148">IF(L3148="","",_xlfn.IFS(
  AND(L3148&gt;=TIME(9,0,0), L3148&lt;TIME(16,0,0)),"Morning",
  AND(L3148&gt;=TIME(16,0,0), L3148&lt;TIME(23,59,0)),"Evening",
  L3148&gt;=TIME(23,59,0),"Night",
  L3148&lt;TIME(9,0,0),"Night"
))</f>
        <v/>
      </c>
      <c r="O3148" t="str">
        <f t="shared" si="296"/>
        <v/>
      </c>
    </row>
    <row r="3149" spans="7:15" x14ac:dyDescent="0.25">
      <c r="G3149" t="str">
        <f t="shared" si="294"/>
        <v/>
      </c>
      <c r="H3149" s="13" t="str">
        <f t="shared" si="297"/>
        <v/>
      </c>
      <c r="I3149" t="str">
        <f>IFERROR(INDEX(Analysis!$D$116:$N$137, MATCH(B3149, Analysis!$C$116:$C$137, 0), MATCH(C3149, Analysis!$D$115:$N$115, 0)), "")</f>
        <v/>
      </c>
      <c r="J3149" t="str">
        <f t="shared" si="298"/>
        <v/>
      </c>
      <c r="K3149" s="28" t="str">
        <f t="shared" si="295"/>
        <v/>
      </c>
      <c r="L3149" s="46" t="str">
        <f t="shared" si="299"/>
        <v/>
      </c>
      <c r="M3149" t="str" cm="1">
        <f t="array" ref="M3149">IF(L3149="","",_xlfn.IFS(
  AND(L3149&gt;=TIME(9,0,0), L3149&lt;TIME(16,0,0)),"Morning",
  AND(L3149&gt;=TIME(16,0,0), L3149&lt;TIME(23,59,0)),"Evening",
  L3149&gt;=TIME(23,59,0),"Night",
  L3149&lt;TIME(9,0,0),"Night"
))</f>
        <v/>
      </c>
      <c r="O3149" t="str">
        <f t="shared" si="296"/>
        <v/>
      </c>
    </row>
    <row r="3150" spans="7:15" x14ac:dyDescent="0.25">
      <c r="G3150" t="str">
        <f t="shared" si="294"/>
        <v/>
      </c>
      <c r="H3150" s="13" t="str">
        <f t="shared" si="297"/>
        <v/>
      </c>
      <c r="I3150" t="str">
        <f>IFERROR(INDEX(Analysis!$D$116:$N$137, MATCH(B3150, Analysis!$C$116:$C$137, 0), MATCH(C3150, Analysis!$D$115:$N$115, 0)), "")</f>
        <v/>
      </c>
      <c r="J3150" t="str">
        <f t="shared" si="298"/>
        <v/>
      </c>
      <c r="K3150" s="28" t="str">
        <f t="shared" si="295"/>
        <v/>
      </c>
      <c r="L3150" s="46" t="str">
        <f t="shared" si="299"/>
        <v/>
      </c>
      <c r="M3150" t="str" cm="1">
        <f t="array" ref="M3150">IF(L3150="","",_xlfn.IFS(
  AND(L3150&gt;=TIME(9,0,0), L3150&lt;TIME(16,0,0)),"Morning",
  AND(L3150&gt;=TIME(16,0,0), L3150&lt;TIME(23,59,0)),"Evening",
  L3150&gt;=TIME(23,59,0),"Night",
  L3150&lt;TIME(9,0,0),"Night"
))</f>
        <v/>
      </c>
      <c r="O3150" t="str">
        <f t="shared" si="296"/>
        <v/>
      </c>
    </row>
    <row r="3151" spans="7:15" x14ac:dyDescent="0.25">
      <c r="G3151" t="str">
        <f t="shared" si="294"/>
        <v/>
      </c>
      <c r="H3151" s="13" t="str">
        <f t="shared" si="297"/>
        <v/>
      </c>
      <c r="I3151" t="str">
        <f>IFERROR(INDEX(Analysis!$D$116:$N$137, MATCH(B3151, Analysis!$C$116:$C$137, 0), MATCH(C3151, Analysis!$D$115:$N$115, 0)), "")</f>
        <v/>
      </c>
      <c r="J3151" t="str">
        <f t="shared" si="298"/>
        <v/>
      </c>
      <c r="K3151" s="28" t="str">
        <f t="shared" si="295"/>
        <v/>
      </c>
      <c r="L3151" s="46" t="str">
        <f t="shared" si="299"/>
        <v/>
      </c>
      <c r="M3151" t="str" cm="1">
        <f t="array" ref="M3151">IF(L3151="","",_xlfn.IFS(
  AND(L3151&gt;=TIME(9,0,0), L3151&lt;TIME(16,0,0)),"Morning",
  AND(L3151&gt;=TIME(16,0,0), L3151&lt;TIME(23,59,0)),"Evening",
  L3151&gt;=TIME(23,59,0),"Night",
  L3151&lt;TIME(9,0,0),"Night"
))</f>
        <v/>
      </c>
      <c r="O3151" t="str">
        <f t="shared" si="296"/>
        <v/>
      </c>
    </row>
    <row r="3152" spans="7:15" x14ac:dyDescent="0.25">
      <c r="G3152" t="str">
        <f t="shared" si="294"/>
        <v/>
      </c>
      <c r="H3152" s="13" t="str">
        <f t="shared" si="297"/>
        <v/>
      </c>
      <c r="I3152" t="str">
        <f>IFERROR(INDEX(Analysis!$D$116:$N$137, MATCH(B3152, Analysis!$C$116:$C$137, 0), MATCH(C3152, Analysis!$D$115:$N$115, 0)), "")</f>
        <v/>
      </c>
      <c r="J3152" t="str">
        <f t="shared" si="298"/>
        <v/>
      </c>
      <c r="K3152" s="28" t="str">
        <f t="shared" si="295"/>
        <v/>
      </c>
      <c r="L3152" s="46" t="str">
        <f t="shared" si="299"/>
        <v/>
      </c>
      <c r="M3152" t="str" cm="1">
        <f t="array" ref="M3152">IF(L3152="","",_xlfn.IFS(
  AND(L3152&gt;=TIME(9,0,0), L3152&lt;TIME(16,0,0)),"Morning",
  AND(L3152&gt;=TIME(16,0,0), L3152&lt;TIME(23,59,0)),"Evening",
  L3152&gt;=TIME(23,59,0),"Night",
  L3152&lt;TIME(9,0,0),"Night"
))</f>
        <v/>
      </c>
      <c r="O3152" t="str">
        <f t="shared" si="296"/>
        <v/>
      </c>
    </row>
    <row r="3153" spans="7:15" x14ac:dyDescent="0.25">
      <c r="G3153" t="str">
        <f t="shared" si="294"/>
        <v/>
      </c>
      <c r="H3153" s="13" t="str">
        <f t="shared" si="297"/>
        <v/>
      </c>
      <c r="I3153" t="str">
        <f>IFERROR(INDEX(Analysis!$D$116:$N$137, MATCH(B3153, Analysis!$C$116:$C$137, 0), MATCH(C3153, Analysis!$D$115:$N$115, 0)), "")</f>
        <v/>
      </c>
      <c r="J3153" t="str">
        <f t="shared" si="298"/>
        <v/>
      </c>
      <c r="K3153" s="28" t="str">
        <f t="shared" si="295"/>
        <v/>
      </c>
      <c r="L3153" s="46" t="str">
        <f t="shared" si="299"/>
        <v/>
      </c>
      <c r="M3153" t="str" cm="1">
        <f t="array" ref="M3153">IF(L3153="","",_xlfn.IFS(
  AND(L3153&gt;=TIME(9,0,0), L3153&lt;TIME(16,0,0)),"Morning",
  AND(L3153&gt;=TIME(16,0,0), L3153&lt;TIME(23,59,0)),"Evening",
  L3153&gt;=TIME(23,59,0),"Night",
  L3153&lt;TIME(9,0,0),"Night"
))</f>
        <v/>
      </c>
      <c r="O3153" t="str">
        <f t="shared" si="296"/>
        <v/>
      </c>
    </row>
    <row r="3154" spans="7:15" x14ac:dyDescent="0.25">
      <c r="G3154" t="str">
        <f t="shared" si="294"/>
        <v/>
      </c>
      <c r="H3154" s="13" t="str">
        <f t="shared" si="297"/>
        <v/>
      </c>
      <c r="I3154" t="str">
        <f>IFERROR(INDEX(Analysis!$D$116:$N$137, MATCH(B3154, Analysis!$C$116:$C$137, 0), MATCH(C3154, Analysis!$D$115:$N$115, 0)), "")</f>
        <v/>
      </c>
      <c r="J3154" t="str">
        <f t="shared" si="298"/>
        <v/>
      </c>
      <c r="K3154" s="28" t="str">
        <f t="shared" si="295"/>
        <v/>
      </c>
      <c r="L3154" s="46" t="str">
        <f t="shared" si="299"/>
        <v/>
      </c>
      <c r="M3154" t="str" cm="1">
        <f t="array" ref="M3154">IF(L3154="","",_xlfn.IFS(
  AND(L3154&gt;=TIME(9,0,0), L3154&lt;TIME(16,0,0)),"Morning",
  AND(L3154&gt;=TIME(16,0,0), L3154&lt;TIME(23,59,0)),"Evening",
  L3154&gt;=TIME(23,59,0),"Night",
  L3154&lt;TIME(9,0,0),"Night"
))</f>
        <v/>
      </c>
      <c r="O3154" t="str">
        <f t="shared" si="296"/>
        <v/>
      </c>
    </row>
    <row r="3155" spans="7:15" x14ac:dyDescent="0.25">
      <c r="G3155" t="str">
        <f t="shared" si="294"/>
        <v/>
      </c>
      <c r="H3155" s="13" t="str">
        <f t="shared" si="297"/>
        <v/>
      </c>
      <c r="I3155" t="str">
        <f>IFERROR(INDEX(Analysis!$D$116:$N$137, MATCH(B3155, Analysis!$C$116:$C$137, 0), MATCH(C3155, Analysis!$D$115:$N$115, 0)), "")</f>
        <v/>
      </c>
      <c r="J3155" t="str">
        <f t="shared" si="298"/>
        <v/>
      </c>
      <c r="K3155" s="28" t="str">
        <f t="shared" si="295"/>
        <v/>
      </c>
      <c r="L3155" s="46" t="str">
        <f t="shared" si="299"/>
        <v/>
      </c>
      <c r="M3155" t="str" cm="1">
        <f t="array" ref="M3155">IF(L3155="","",_xlfn.IFS(
  AND(L3155&gt;=TIME(9,0,0), L3155&lt;TIME(16,0,0)),"Morning",
  AND(L3155&gt;=TIME(16,0,0), L3155&lt;TIME(23,59,0)),"Evening",
  L3155&gt;=TIME(23,59,0),"Night",
  L3155&lt;TIME(9,0,0),"Night"
))</f>
        <v/>
      </c>
      <c r="O3155" t="str">
        <f t="shared" si="296"/>
        <v/>
      </c>
    </row>
    <row r="3156" spans="7:15" x14ac:dyDescent="0.25">
      <c r="G3156" t="str">
        <f t="shared" si="294"/>
        <v/>
      </c>
      <c r="H3156" s="13" t="str">
        <f t="shared" si="297"/>
        <v/>
      </c>
      <c r="I3156" t="str">
        <f>IFERROR(INDEX(Analysis!$D$116:$N$137, MATCH(B3156, Analysis!$C$116:$C$137, 0), MATCH(C3156, Analysis!$D$115:$N$115, 0)), "")</f>
        <v/>
      </c>
      <c r="J3156" t="str">
        <f t="shared" si="298"/>
        <v/>
      </c>
      <c r="K3156" s="28" t="str">
        <f t="shared" si="295"/>
        <v/>
      </c>
      <c r="L3156" s="46" t="str">
        <f t="shared" si="299"/>
        <v/>
      </c>
      <c r="M3156" t="str" cm="1">
        <f t="array" ref="M3156">IF(L3156="","",_xlfn.IFS(
  AND(L3156&gt;=TIME(9,0,0), L3156&lt;TIME(16,0,0)),"Morning",
  AND(L3156&gt;=TIME(16,0,0), L3156&lt;TIME(23,59,0)),"Evening",
  L3156&gt;=TIME(23,59,0),"Night",
  L3156&lt;TIME(9,0,0),"Night"
))</f>
        <v/>
      </c>
      <c r="O3156" t="str">
        <f t="shared" si="296"/>
        <v/>
      </c>
    </row>
    <row r="3157" spans="7:15" x14ac:dyDescent="0.25">
      <c r="G3157" t="str">
        <f t="shared" si="294"/>
        <v/>
      </c>
      <c r="H3157" s="13" t="str">
        <f t="shared" si="297"/>
        <v/>
      </c>
      <c r="I3157" t="str">
        <f>IFERROR(INDEX(Analysis!$D$116:$N$137, MATCH(B3157, Analysis!$C$116:$C$137, 0), MATCH(C3157, Analysis!$D$115:$N$115, 0)), "")</f>
        <v/>
      </c>
      <c r="J3157" t="str">
        <f t="shared" si="298"/>
        <v/>
      </c>
      <c r="K3157" s="28" t="str">
        <f t="shared" si="295"/>
        <v/>
      </c>
      <c r="L3157" s="46" t="str">
        <f t="shared" si="299"/>
        <v/>
      </c>
      <c r="M3157" t="str" cm="1">
        <f t="array" ref="M3157">IF(L3157="","",_xlfn.IFS(
  AND(L3157&gt;=TIME(9,0,0), L3157&lt;TIME(16,0,0)),"Morning",
  AND(L3157&gt;=TIME(16,0,0), L3157&lt;TIME(23,59,0)),"Evening",
  L3157&gt;=TIME(23,59,0),"Night",
  L3157&lt;TIME(9,0,0),"Night"
))</f>
        <v/>
      </c>
      <c r="O3157" t="str">
        <f t="shared" si="296"/>
        <v/>
      </c>
    </row>
    <row r="3158" spans="7:15" x14ac:dyDescent="0.25">
      <c r="G3158" t="str">
        <f t="shared" si="294"/>
        <v/>
      </c>
      <c r="H3158" s="13" t="str">
        <f t="shared" si="297"/>
        <v/>
      </c>
      <c r="I3158" t="str">
        <f>IFERROR(INDEX(Analysis!$D$116:$N$137, MATCH(B3158, Analysis!$C$116:$C$137, 0), MATCH(C3158, Analysis!$D$115:$N$115, 0)), "")</f>
        <v/>
      </c>
      <c r="J3158" t="str">
        <f t="shared" si="298"/>
        <v/>
      </c>
      <c r="K3158" s="28" t="str">
        <f t="shared" si="295"/>
        <v/>
      </c>
      <c r="L3158" s="46" t="str">
        <f t="shared" si="299"/>
        <v/>
      </c>
      <c r="M3158" t="str" cm="1">
        <f t="array" ref="M3158">IF(L3158="","",_xlfn.IFS(
  AND(L3158&gt;=TIME(9,0,0), L3158&lt;TIME(16,0,0)),"Morning",
  AND(L3158&gt;=TIME(16,0,0), L3158&lt;TIME(23,59,0)),"Evening",
  L3158&gt;=TIME(23,59,0),"Night",
  L3158&lt;TIME(9,0,0),"Night"
))</f>
        <v/>
      </c>
      <c r="O3158" t="str">
        <f t="shared" si="296"/>
        <v/>
      </c>
    </row>
    <row r="3159" spans="7:15" x14ac:dyDescent="0.25">
      <c r="G3159" t="str">
        <f t="shared" si="294"/>
        <v/>
      </c>
      <c r="H3159" s="13" t="str">
        <f t="shared" si="297"/>
        <v/>
      </c>
      <c r="I3159" t="str">
        <f>IFERROR(INDEX(Analysis!$D$116:$N$137, MATCH(B3159, Analysis!$C$116:$C$137, 0), MATCH(C3159, Analysis!$D$115:$N$115, 0)), "")</f>
        <v/>
      </c>
      <c r="J3159" t="str">
        <f t="shared" si="298"/>
        <v/>
      </c>
      <c r="K3159" s="28" t="str">
        <f t="shared" si="295"/>
        <v/>
      </c>
      <c r="L3159" s="46" t="str">
        <f t="shared" si="299"/>
        <v/>
      </c>
      <c r="M3159" t="str" cm="1">
        <f t="array" ref="M3159">IF(L3159="","",_xlfn.IFS(
  AND(L3159&gt;=TIME(9,0,0), L3159&lt;TIME(16,0,0)),"Morning",
  AND(L3159&gt;=TIME(16,0,0), L3159&lt;TIME(23,59,0)),"Evening",
  L3159&gt;=TIME(23,59,0),"Night",
  L3159&lt;TIME(9,0,0),"Night"
))</f>
        <v/>
      </c>
      <c r="O3159" t="str">
        <f t="shared" si="296"/>
        <v/>
      </c>
    </row>
    <row r="3160" spans="7:15" x14ac:dyDescent="0.25">
      <c r="G3160" t="str">
        <f t="shared" si="294"/>
        <v/>
      </c>
      <c r="H3160" s="13" t="str">
        <f t="shared" si="297"/>
        <v/>
      </c>
      <c r="I3160" t="str">
        <f>IFERROR(INDEX(Analysis!$D$116:$N$137, MATCH(B3160, Analysis!$C$116:$C$137, 0), MATCH(C3160, Analysis!$D$115:$N$115, 0)), "")</f>
        <v/>
      </c>
      <c r="J3160" t="str">
        <f t="shared" si="298"/>
        <v/>
      </c>
      <c r="K3160" s="28" t="str">
        <f t="shared" si="295"/>
        <v/>
      </c>
      <c r="L3160" s="46" t="str">
        <f t="shared" si="299"/>
        <v/>
      </c>
      <c r="M3160" t="str" cm="1">
        <f t="array" ref="M3160">IF(L3160="","",_xlfn.IFS(
  AND(L3160&gt;=TIME(9,0,0), L3160&lt;TIME(16,0,0)),"Morning",
  AND(L3160&gt;=TIME(16,0,0), L3160&lt;TIME(23,59,0)),"Evening",
  L3160&gt;=TIME(23,59,0),"Night",
  L3160&lt;TIME(9,0,0),"Night"
))</f>
        <v/>
      </c>
      <c r="O3160" t="str">
        <f t="shared" si="296"/>
        <v/>
      </c>
    </row>
    <row r="3161" spans="7:15" x14ac:dyDescent="0.25">
      <c r="G3161" t="str">
        <f t="shared" si="294"/>
        <v/>
      </c>
      <c r="H3161" s="13" t="str">
        <f t="shared" si="297"/>
        <v/>
      </c>
      <c r="I3161" t="str">
        <f>IFERROR(INDEX(Analysis!$D$116:$N$137, MATCH(B3161, Analysis!$C$116:$C$137, 0), MATCH(C3161, Analysis!$D$115:$N$115, 0)), "")</f>
        <v/>
      </c>
      <c r="J3161" t="str">
        <f t="shared" si="298"/>
        <v/>
      </c>
      <c r="K3161" s="28" t="str">
        <f t="shared" si="295"/>
        <v/>
      </c>
      <c r="L3161" s="46" t="str">
        <f t="shared" si="299"/>
        <v/>
      </c>
      <c r="M3161" t="str" cm="1">
        <f t="array" ref="M3161">IF(L3161="","",_xlfn.IFS(
  AND(L3161&gt;=TIME(9,0,0), L3161&lt;TIME(16,0,0)),"Morning",
  AND(L3161&gt;=TIME(16,0,0), L3161&lt;TIME(23,59,0)),"Evening",
  L3161&gt;=TIME(23,59,0),"Night",
  L3161&lt;TIME(9,0,0),"Night"
))</f>
        <v/>
      </c>
      <c r="O3161" t="str">
        <f t="shared" si="296"/>
        <v/>
      </c>
    </row>
    <row r="3162" spans="7:15" x14ac:dyDescent="0.25">
      <c r="G3162" t="str">
        <f t="shared" si="294"/>
        <v/>
      </c>
      <c r="H3162" s="13" t="str">
        <f t="shared" si="297"/>
        <v/>
      </c>
      <c r="I3162" t="str">
        <f>IFERROR(INDEX(Analysis!$D$116:$N$137, MATCH(B3162, Analysis!$C$116:$C$137, 0), MATCH(C3162, Analysis!$D$115:$N$115, 0)), "")</f>
        <v/>
      </c>
      <c r="J3162" t="str">
        <f t="shared" si="298"/>
        <v/>
      </c>
      <c r="K3162" s="28" t="str">
        <f t="shared" si="295"/>
        <v/>
      </c>
      <c r="L3162" s="46" t="str">
        <f t="shared" si="299"/>
        <v/>
      </c>
      <c r="M3162" t="str" cm="1">
        <f t="array" ref="M3162">IF(L3162="","",_xlfn.IFS(
  AND(L3162&gt;=TIME(9,0,0), L3162&lt;TIME(16,0,0)),"Morning",
  AND(L3162&gt;=TIME(16,0,0), L3162&lt;TIME(23,59,0)),"Evening",
  L3162&gt;=TIME(23,59,0),"Night",
  L3162&lt;TIME(9,0,0),"Night"
))</f>
        <v/>
      </c>
      <c r="O3162" t="str">
        <f t="shared" si="296"/>
        <v/>
      </c>
    </row>
    <row r="3163" spans="7:15" x14ac:dyDescent="0.25">
      <c r="G3163" t="str">
        <f t="shared" si="294"/>
        <v/>
      </c>
      <c r="H3163" s="13" t="str">
        <f t="shared" si="297"/>
        <v/>
      </c>
      <c r="I3163" t="str">
        <f>IFERROR(INDEX(Analysis!$D$116:$N$137, MATCH(B3163, Analysis!$C$116:$C$137, 0), MATCH(C3163, Analysis!$D$115:$N$115, 0)), "")</f>
        <v/>
      </c>
      <c r="J3163" t="str">
        <f t="shared" si="298"/>
        <v/>
      </c>
      <c r="K3163" s="28" t="str">
        <f t="shared" si="295"/>
        <v/>
      </c>
      <c r="L3163" s="46" t="str">
        <f t="shared" si="299"/>
        <v/>
      </c>
      <c r="M3163" t="str" cm="1">
        <f t="array" ref="M3163">IF(L3163="","",_xlfn.IFS(
  AND(L3163&gt;=TIME(9,0,0), L3163&lt;TIME(16,0,0)),"Morning",
  AND(L3163&gt;=TIME(16,0,0), L3163&lt;TIME(23,59,0)),"Evening",
  L3163&gt;=TIME(23,59,0),"Night",
  L3163&lt;TIME(9,0,0),"Night"
))</f>
        <v/>
      </c>
      <c r="O3163" t="str">
        <f t="shared" si="296"/>
        <v/>
      </c>
    </row>
    <row r="3164" spans="7:15" x14ac:dyDescent="0.25">
      <c r="G3164" t="str">
        <f t="shared" si="294"/>
        <v/>
      </c>
      <c r="H3164" s="13" t="str">
        <f t="shared" si="297"/>
        <v/>
      </c>
      <c r="I3164" t="str">
        <f>IFERROR(INDEX(Analysis!$D$116:$N$137, MATCH(B3164, Analysis!$C$116:$C$137, 0), MATCH(C3164, Analysis!$D$115:$N$115, 0)), "")</f>
        <v/>
      </c>
      <c r="J3164" t="str">
        <f t="shared" si="298"/>
        <v/>
      </c>
      <c r="K3164" s="28" t="str">
        <f t="shared" si="295"/>
        <v/>
      </c>
      <c r="L3164" s="46" t="str">
        <f t="shared" si="299"/>
        <v/>
      </c>
      <c r="M3164" t="str" cm="1">
        <f t="array" ref="M3164">IF(L3164="","",_xlfn.IFS(
  AND(L3164&gt;=TIME(9,0,0), L3164&lt;TIME(16,0,0)),"Morning",
  AND(L3164&gt;=TIME(16,0,0), L3164&lt;TIME(23,59,0)),"Evening",
  L3164&gt;=TIME(23,59,0),"Night",
  L3164&lt;TIME(9,0,0),"Night"
))</f>
        <v/>
      </c>
      <c r="O3164" t="str">
        <f t="shared" si="296"/>
        <v/>
      </c>
    </row>
    <row r="3165" spans="7:15" x14ac:dyDescent="0.25">
      <c r="G3165" t="str">
        <f t="shared" si="294"/>
        <v/>
      </c>
      <c r="H3165" s="13" t="str">
        <f t="shared" si="297"/>
        <v/>
      </c>
      <c r="I3165" t="str">
        <f>IFERROR(INDEX(Analysis!$D$116:$N$137, MATCH(B3165, Analysis!$C$116:$C$137, 0), MATCH(C3165, Analysis!$D$115:$N$115, 0)), "")</f>
        <v/>
      </c>
      <c r="J3165" t="str">
        <f t="shared" si="298"/>
        <v/>
      </c>
      <c r="K3165" s="28" t="str">
        <f t="shared" si="295"/>
        <v/>
      </c>
      <c r="L3165" s="46" t="str">
        <f t="shared" si="299"/>
        <v/>
      </c>
      <c r="M3165" t="str" cm="1">
        <f t="array" ref="M3165">IF(L3165="","",_xlfn.IFS(
  AND(L3165&gt;=TIME(9,0,0), L3165&lt;TIME(16,0,0)),"Morning",
  AND(L3165&gt;=TIME(16,0,0), L3165&lt;TIME(23,59,0)),"Evening",
  L3165&gt;=TIME(23,59,0),"Night",
  L3165&lt;TIME(9,0,0),"Night"
))</f>
        <v/>
      </c>
      <c r="O3165" t="str">
        <f t="shared" si="296"/>
        <v/>
      </c>
    </row>
    <row r="3166" spans="7:15" x14ac:dyDescent="0.25">
      <c r="G3166" t="str">
        <f t="shared" si="294"/>
        <v/>
      </c>
      <c r="H3166" s="13" t="str">
        <f t="shared" si="297"/>
        <v/>
      </c>
      <c r="I3166" t="str">
        <f>IFERROR(INDEX(Analysis!$D$116:$N$137, MATCH(B3166, Analysis!$C$116:$C$137, 0), MATCH(C3166, Analysis!$D$115:$N$115, 0)), "")</f>
        <v/>
      </c>
      <c r="J3166" t="str">
        <f t="shared" si="298"/>
        <v/>
      </c>
      <c r="K3166" s="28" t="str">
        <f t="shared" si="295"/>
        <v/>
      </c>
      <c r="L3166" s="46" t="str">
        <f t="shared" si="299"/>
        <v/>
      </c>
      <c r="M3166" t="str" cm="1">
        <f t="array" ref="M3166">IF(L3166="","",_xlfn.IFS(
  AND(L3166&gt;=TIME(9,0,0), L3166&lt;TIME(16,0,0)),"Morning",
  AND(L3166&gt;=TIME(16,0,0), L3166&lt;TIME(23,59,0)),"Evening",
  L3166&gt;=TIME(23,59,0),"Night",
  L3166&lt;TIME(9,0,0),"Night"
))</f>
        <v/>
      </c>
      <c r="O3166" t="str">
        <f t="shared" si="296"/>
        <v/>
      </c>
    </row>
    <row r="3167" spans="7:15" x14ac:dyDescent="0.25">
      <c r="G3167" t="str">
        <f t="shared" si="294"/>
        <v/>
      </c>
      <c r="H3167" s="13" t="str">
        <f t="shared" si="297"/>
        <v/>
      </c>
      <c r="I3167" t="str">
        <f>IFERROR(INDEX(Analysis!$D$116:$N$137, MATCH(B3167, Analysis!$C$116:$C$137, 0), MATCH(C3167, Analysis!$D$115:$N$115, 0)), "")</f>
        <v/>
      </c>
      <c r="J3167" t="str">
        <f t="shared" si="298"/>
        <v/>
      </c>
      <c r="K3167" s="28" t="str">
        <f t="shared" si="295"/>
        <v/>
      </c>
      <c r="L3167" s="46" t="str">
        <f t="shared" si="299"/>
        <v/>
      </c>
      <c r="M3167" t="str" cm="1">
        <f t="array" ref="M3167">IF(L3167="","",_xlfn.IFS(
  AND(L3167&gt;=TIME(9,0,0), L3167&lt;TIME(16,0,0)),"Morning",
  AND(L3167&gt;=TIME(16,0,0), L3167&lt;TIME(23,59,0)),"Evening",
  L3167&gt;=TIME(23,59,0),"Night",
  L3167&lt;TIME(9,0,0),"Night"
))</f>
        <v/>
      </c>
      <c r="O3167" t="str">
        <f t="shared" si="296"/>
        <v/>
      </c>
    </row>
    <row r="3168" spans="7:15" x14ac:dyDescent="0.25">
      <c r="G3168" t="str">
        <f t="shared" si="294"/>
        <v/>
      </c>
      <c r="H3168" s="13" t="str">
        <f t="shared" si="297"/>
        <v/>
      </c>
      <c r="I3168" t="str">
        <f>IFERROR(INDEX(Analysis!$D$116:$N$137, MATCH(B3168, Analysis!$C$116:$C$137, 0), MATCH(C3168, Analysis!$D$115:$N$115, 0)), "")</f>
        <v/>
      </c>
      <c r="J3168" t="str">
        <f t="shared" si="298"/>
        <v/>
      </c>
      <c r="K3168" s="28" t="str">
        <f t="shared" si="295"/>
        <v/>
      </c>
      <c r="L3168" s="46" t="str">
        <f t="shared" si="299"/>
        <v/>
      </c>
      <c r="M3168" t="str" cm="1">
        <f t="array" ref="M3168">IF(L3168="","",_xlfn.IFS(
  AND(L3168&gt;=TIME(9,0,0), L3168&lt;TIME(16,0,0)),"Morning",
  AND(L3168&gt;=TIME(16,0,0), L3168&lt;TIME(23,59,0)),"Evening",
  L3168&gt;=TIME(23,59,0),"Night",
  L3168&lt;TIME(9,0,0),"Night"
))</f>
        <v/>
      </c>
      <c r="O3168" t="str">
        <f t="shared" si="296"/>
        <v/>
      </c>
    </row>
    <row r="3169" spans="7:15" x14ac:dyDescent="0.25">
      <c r="G3169" t="str">
        <f t="shared" si="294"/>
        <v/>
      </c>
      <c r="H3169" s="13" t="str">
        <f t="shared" si="297"/>
        <v/>
      </c>
      <c r="I3169" t="str">
        <f>IFERROR(INDEX(Analysis!$D$116:$N$137, MATCH(B3169, Analysis!$C$116:$C$137, 0), MATCH(C3169, Analysis!$D$115:$N$115, 0)), "")</f>
        <v/>
      </c>
      <c r="J3169" t="str">
        <f t="shared" si="298"/>
        <v/>
      </c>
      <c r="K3169" s="28" t="str">
        <f t="shared" si="295"/>
        <v/>
      </c>
      <c r="L3169" s="46" t="str">
        <f t="shared" si="299"/>
        <v/>
      </c>
      <c r="M3169" t="str" cm="1">
        <f t="array" ref="M3169">IF(L3169="","",_xlfn.IFS(
  AND(L3169&gt;=TIME(9,0,0), L3169&lt;TIME(16,0,0)),"Morning",
  AND(L3169&gt;=TIME(16,0,0), L3169&lt;TIME(23,59,0)),"Evening",
  L3169&gt;=TIME(23,59,0),"Night",
  L3169&lt;TIME(9,0,0),"Night"
))</f>
        <v/>
      </c>
      <c r="O3169" t="str">
        <f t="shared" si="296"/>
        <v/>
      </c>
    </row>
    <row r="3170" spans="7:15" x14ac:dyDescent="0.25">
      <c r="G3170" t="str">
        <f t="shared" si="294"/>
        <v/>
      </c>
      <c r="H3170" s="13" t="str">
        <f t="shared" si="297"/>
        <v/>
      </c>
      <c r="I3170" t="str">
        <f>IFERROR(INDEX(Analysis!$D$116:$N$137, MATCH(B3170, Analysis!$C$116:$C$137, 0), MATCH(C3170, Analysis!$D$115:$N$115, 0)), "")</f>
        <v/>
      </c>
      <c r="J3170" t="str">
        <f t="shared" si="298"/>
        <v/>
      </c>
      <c r="K3170" s="28" t="str">
        <f t="shared" si="295"/>
        <v/>
      </c>
      <c r="L3170" s="46" t="str">
        <f t="shared" si="299"/>
        <v/>
      </c>
      <c r="M3170" t="str" cm="1">
        <f t="array" ref="M3170">IF(L3170="","",_xlfn.IFS(
  AND(L3170&gt;=TIME(9,0,0), L3170&lt;TIME(16,0,0)),"Morning",
  AND(L3170&gt;=TIME(16,0,0), L3170&lt;TIME(23,59,0)),"Evening",
  L3170&gt;=TIME(23,59,0),"Night",
  L3170&lt;TIME(9,0,0),"Night"
))</f>
        <v/>
      </c>
      <c r="O3170" t="str">
        <f t="shared" si="296"/>
        <v/>
      </c>
    </row>
    <row r="3171" spans="7:15" x14ac:dyDescent="0.25">
      <c r="G3171" t="str">
        <f t="shared" si="294"/>
        <v/>
      </c>
      <c r="H3171" s="13" t="str">
        <f t="shared" si="297"/>
        <v/>
      </c>
      <c r="I3171" t="str">
        <f>IFERROR(INDEX(Analysis!$D$116:$N$137, MATCH(B3171, Analysis!$C$116:$C$137, 0), MATCH(C3171, Analysis!$D$115:$N$115, 0)), "")</f>
        <v/>
      </c>
      <c r="J3171" t="str">
        <f t="shared" si="298"/>
        <v/>
      </c>
      <c r="K3171" s="28" t="str">
        <f t="shared" si="295"/>
        <v/>
      </c>
      <c r="L3171" s="46" t="str">
        <f t="shared" si="299"/>
        <v/>
      </c>
      <c r="M3171" t="str" cm="1">
        <f t="array" ref="M3171">IF(L3171="","",_xlfn.IFS(
  AND(L3171&gt;=TIME(9,0,0), L3171&lt;TIME(16,0,0)),"Morning",
  AND(L3171&gt;=TIME(16,0,0), L3171&lt;TIME(23,59,0)),"Evening",
  L3171&gt;=TIME(23,59,0),"Night",
  L3171&lt;TIME(9,0,0),"Night"
))</f>
        <v/>
      </c>
      <c r="O3171" t="str">
        <f t="shared" si="296"/>
        <v/>
      </c>
    </row>
    <row r="3172" spans="7:15" x14ac:dyDescent="0.25">
      <c r="G3172" t="str">
        <f t="shared" si="294"/>
        <v/>
      </c>
      <c r="H3172" s="13" t="str">
        <f t="shared" si="297"/>
        <v/>
      </c>
      <c r="I3172" t="str">
        <f>IFERROR(INDEX(Analysis!$D$116:$N$137, MATCH(B3172, Analysis!$C$116:$C$137, 0), MATCH(C3172, Analysis!$D$115:$N$115, 0)), "")</f>
        <v/>
      </c>
      <c r="J3172" t="str">
        <f t="shared" si="298"/>
        <v/>
      </c>
      <c r="K3172" s="28" t="str">
        <f t="shared" si="295"/>
        <v/>
      </c>
      <c r="L3172" s="46" t="str">
        <f t="shared" si="299"/>
        <v/>
      </c>
      <c r="M3172" t="str" cm="1">
        <f t="array" ref="M3172">IF(L3172="","",_xlfn.IFS(
  AND(L3172&gt;=TIME(9,0,0), L3172&lt;TIME(16,0,0)),"Morning",
  AND(L3172&gt;=TIME(16,0,0), L3172&lt;TIME(23,59,0)),"Evening",
  L3172&gt;=TIME(23,59,0),"Night",
  L3172&lt;TIME(9,0,0),"Night"
))</f>
        <v/>
      </c>
      <c r="O3172" t="str">
        <f t="shared" si="296"/>
        <v/>
      </c>
    </row>
    <row r="3173" spans="7:15" x14ac:dyDescent="0.25">
      <c r="G3173" t="str">
        <f t="shared" si="294"/>
        <v/>
      </c>
      <c r="H3173" s="13" t="str">
        <f t="shared" si="297"/>
        <v/>
      </c>
      <c r="I3173" t="str">
        <f>IFERROR(INDEX(Analysis!$D$116:$N$137, MATCH(B3173, Analysis!$C$116:$C$137, 0), MATCH(C3173, Analysis!$D$115:$N$115, 0)), "")</f>
        <v/>
      </c>
      <c r="J3173" t="str">
        <f t="shared" si="298"/>
        <v/>
      </c>
      <c r="K3173" s="28" t="str">
        <f t="shared" si="295"/>
        <v/>
      </c>
      <c r="L3173" s="46" t="str">
        <f t="shared" si="299"/>
        <v/>
      </c>
      <c r="M3173" t="str" cm="1">
        <f t="array" ref="M3173">IF(L3173="","",_xlfn.IFS(
  AND(L3173&gt;=TIME(9,0,0), L3173&lt;TIME(16,0,0)),"Morning",
  AND(L3173&gt;=TIME(16,0,0), L3173&lt;TIME(23,59,0)),"Evening",
  L3173&gt;=TIME(23,59,0),"Night",
  L3173&lt;TIME(9,0,0),"Night"
))</f>
        <v/>
      </c>
      <c r="O3173" t="str">
        <f t="shared" si="296"/>
        <v/>
      </c>
    </row>
    <row r="3174" spans="7:15" x14ac:dyDescent="0.25">
      <c r="G3174" t="str">
        <f t="shared" si="294"/>
        <v/>
      </c>
      <c r="H3174" s="13" t="str">
        <f t="shared" si="297"/>
        <v/>
      </c>
      <c r="I3174" t="str">
        <f>IFERROR(INDEX(Analysis!$D$116:$N$137, MATCH(B3174, Analysis!$C$116:$C$137, 0), MATCH(C3174, Analysis!$D$115:$N$115, 0)), "")</f>
        <v/>
      </c>
      <c r="J3174" t="str">
        <f t="shared" si="298"/>
        <v/>
      </c>
      <c r="K3174" s="28" t="str">
        <f t="shared" si="295"/>
        <v/>
      </c>
      <c r="L3174" s="46" t="str">
        <f t="shared" si="299"/>
        <v/>
      </c>
      <c r="M3174" t="str" cm="1">
        <f t="array" ref="M3174">IF(L3174="","",_xlfn.IFS(
  AND(L3174&gt;=TIME(9,0,0), L3174&lt;TIME(16,0,0)),"Morning",
  AND(L3174&gt;=TIME(16,0,0), L3174&lt;TIME(23,59,0)),"Evening",
  L3174&gt;=TIME(23,59,0),"Night",
  L3174&lt;TIME(9,0,0),"Night"
))</f>
        <v/>
      </c>
      <c r="O3174" t="str">
        <f t="shared" si="296"/>
        <v/>
      </c>
    </row>
    <row r="3175" spans="7:15" x14ac:dyDescent="0.25">
      <c r="G3175" t="str">
        <f t="shared" si="294"/>
        <v/>
      </c>
      <c r="H3175" s="13" t="str">
        <f t="shared" si="297"/>
        <v/>
      </c>
      <c r="I3175" t="str">
        <f>IFERROR(INDEX(Analysis!$D$116:$N$137, MATCH(B3175, Analysis!$C$116:$C$137, 0), MATCH(C3175, Analysis!$D$115:$N$115, 0)), "")</f>
        <v/>
      </c>
      <c r="J3175" t="str">
        <f t="shared" si="298"/>
        <v/>
      </c>
      <c r="K3175" s="28" t="str">
        <f t="shared" si="295"/>
        <v/>
      </c>
      <c r="L3175" s="46" t="str">
        <f t="shared" si="299"/>
        <v/>
      </c>
      <c r="M3175" t="str" cm="1">
        <f t="array" ref="M3175">IF(L3175="","",_xlfn.IFS(
  AND(L3175&gt;=TIME(9,0,0), L3175&lt;TIME(16,0,0)),"Morning",
  AND(L3175&gt;=TIME(16,0,0), L3175&lt;TIME(23,59,0)),"Evening",
  L3175&gt;=TIME(23,59,0),"Night",
  L3175&lt;TIME(9,0,0),"Night"
))</f>
        <v/>
      </c>
      <c r="O3175" t="str">
        <f t="shared" si="296"/>
        <v/>
      </c>
    </row>
    <row r="3176" spans="7:15" x14ac:dyDescent="0.25">
      <c r="G3176" t="str">
        <f t="shared" si="294"/>
        <v/>
      </c>
      <c r="H3176" s="13" t="str">
        <f t="shared" si="297"/>
        <v/>
      </c>
      <c r="I3176" t="str">
        <f>IFERROR(INDEX(Analysis!$D$116:$N$137, MATCH(B3176, Analysis!$C$116:$C$137, 0), MATCH(C3176, Analysis!$D$115:$N$115, 0)), "")</f>
        <v/>
      </c>
      <c r="J3176" t="str">
        <f t="shared" si="298"/>
        <v/>
      </c>
      <c r="K3176" s="28" t="str">
        <f t="shared" si="295"/>
        <v/>
      </c>
      <c r="L3176" s="46" t="str">
        <f t="shared" si="299"/>
        <v/>
      </c>
      <c r="M3176" t="str" cm="1">
        <f t="array" ref="M3176">IF(L3176="","",_xlfn.IFS(
  AND(L3176&gt;=TIME(9,0,0), L3176&lt;TIME(16,0,0)),"Morning",
  AND(L3176&gt;=TIME(16,0,0), L3176&lt;TIME(23,59,0)),"Evening",
  L3176&gt;=TIME(23,59,0),"Night",
  L3176&lt;TIME(9,0,0),"Night"
))</f>
        <v/>
      </c>
      <c r="O3176" t="str">
        <f t="shared" si="296"/>
        <v/>
      </c>
    </row>
    <row r="3177" spans="7:15" x14ac:dyDescent="0.25">
      <c r="G3177" t="str">
        <f t="shared" si="294"/>
        <v/>
      </c>
      <c r="H3177" s="13" t="str">
        <f t="shared" si="297"/>
        <v/>
      </c>
      <c r="I3177" t="str">
        <f>IFERROR(INDEX(Analysis!$D$116:$N$137, MATCH(B3177, Analysis!$C$116:$C$137, 0), MATCH(C3177, Analysis!$D$115:$N$115, 0)), "")</f>
        <v/>
      </c>
      <c r="J3177" t="str">
        <f t="shared" si="298"/>
        <v/>
      </c>
      <c r="K3177" s="28" t="str">
        <f t="shared" si="295"/>
        <v/>
      </c>
      <c r="L3177" s="46" t="str">
        <f t="shared" si="299"/>
        <v/>
      </c>
      <c r="M3177" t="str" cm="1">
        <f t="array" ref="M3177">IF(L3177="","",_xlfn.IFS(
  AND(L3177&gt;=TIME(9,0,0), L3177&lt;TIME(16,0,0)),"Morning",
  AND(L3177&gt;=TIME(16,0,0), L3177&lt;TIME(23,59,0)),"Evening",
  L3177&gt;=TIME(23,59,0),"Night",
  L3177&lt;TIME(9,0,0),"Night"
))</f>
        <v/>
      </c>
      <c r="O3177" t="str">
        <f t="shared" si="296"/>
        <v/>
      </c>
    </row>
    <row r="3178" spans="7:15" x14ac:dyDescent="0.25">
      <c r="G3178" t="str">
        <f t="shared" si="294"/>
        <v/>
      </c>
      <c r="H3178" s="13" t="str">
        <f t="shared" si="297"/>
        <v/>
      </c>
      <c r="I3178" t="str">
        <f>IFERROR(INDEX(Analysis!$D$116:$N$137, MATCH(B3178, Analysis!$C$116:$C$137, 0), MATCH(C3178, Analysis!$D$115:$N$115, 0)), "")</f>
        <v/>
      </c>
      <c r="J3178" t="str">
        <f t="shared" si="298"/>
        <v/>
      </c>
      <c r="K3178" s="28" t="str">
        <f t="shared" si="295"/>
        <v/>
      </c>
      <c r="L3178" s="46" t="str">
        <f t="shared" si="299"/>
        <v/>
      </c>
      <c r="M3178" t="str" cm="1">
        <f t="array" ref="M3178">IF(L3178="","",_xlfn.IFS(
  AND(L3178&gt;=TIME(9,0,0), L3178&lt;TIME(16,0,0)),"Morning",
  AND(L3178&gt;=TIME(16,0,0), L3178&lt;TIME(23,59,0)),"Evening",
  L3178&gt;=TIME(23,59,0),"Night",
  L3178&lt;TIME(9,0,0),"Night"
))</f>
        <v/>
      </c>
      <c r="O3178" t="str">
        <f t="shared" si="296"/>
        <v/>
      </c>
    </row>
    <row r="3179" spans="7:15" x14ac:dyDescent="0.25">
      <c r="G3179" t="str">
        <f t="shared" si="294"/>
        <v/>
      </c>
      <c r="H3179" s="13" t="str">
        <f t="shared" si="297"/>
        <v/>
      </c>
      <c r="I3179" t="str">
        <f>IFERROR(INDEX(Analysis!$D$116:$N$137, MATCH(B3179, Analysis!$C$116:$C$137, 0), MATCH(C3179, Analysis!$D$115:$N$115, 0)), "")</f>
        <v/>
      </c>
      <c r="J3179" t="str">
        <f t="shared" si="298"/>
        <v/>
      </c>
      <c r="K3179" s="28" t="str">
        <f t="shared" si="295"/>
        <v/>
      </c>
      <c r="L3179" s="46" t="str">
        <f t="shared" si="299"/>
        <v/>
      </c>
      <c r="M3179" t="str" cm="1">
        <f t="array" ref="M3179">IF(L3179="","",_xlfn.IFS(
  AND(L3179&gt;=TIME(9,0,0), L3179&lt;TIME(16,0,0)),"Morning",
  AND(L3179&gt;=TIME(16,0,0), L3179&lt;TIME(23,59,0)),"Evening",
  L3179&gt;=TIME(23,59,0),"Night",
  L3179&lt;TIME(9,0,0),"Night"
))</f>
        <v/>
      </c>
      <c r="O3179" t="str">
        <f t="shared" si="296"/>
        <v/>
      </c>
    </row>
    <row r="3180" spans="7:15" x14ac:dyDescent="0.25">
      <c r="G3180" t="str">
        <f t="shared" si="294"/>
        <v/>
      </c>
      <c r="H3180" s="13" t="str">
        <f t="shared" si="297"/>
        <v/>
      </c>
      <c r="I3180" t="str">
        <f>IFERROR(INDEX(Analysis!$D$116:$N$137, MATCH(B3180, Analysis!$C$116:$C$137, 0), MATCH(C3180, Analysis!$D$115:$N$115, 0)), "")</f>
        <v/>
      </c>
      <c r="J3180" t="str">
        <f t="shared" si="298"/>
        <v/>
      </c>
      <c r="K3180" s="28" t="str">
        <f t="shared" si="295"/>
        <v/>
      </c>
      <c r="L3180" s="46" t="str">
        <f t="shared" si="299"/>
        <v/>
      </c>
      <c r="M3180" t="str" cm="1">
        <f t="array" ref="M3180">IF(L3180="","",_xlfn.IFS(
  AND(L3180&gt;=TIME(9,0,0), L3180&lt;TIME(16,0,0)),"Morning",
  AND(L3180&gt;=TIME(16,0,0), L3180&lt;TIME(23,59,0)),"Evening",
  L3180&gt;=TIME(23,59,0),"Night",
  L3180&lt;TIME(9,0,0),"Night"
))</f>
        <v/>
      </c>
      <c r="O3180" t="str">
        <f t="shared" si="296"/>
        <v/>
      </c>
    </row>
    <row r="3181" spans="7:15" x14ac:dyDescent="0.25">
      <c r="G3181" t="str">
        <f t="shared" si="294"/>
        <v/>
      </c>
      <c r="H3181" s="13" t="str">
        <f t="shared" si="297"/>
        <v/>
      </c>
      <c r="I3181" t="str">
        <f>IFERROR(INDEX(Analysis!$D$116:$N$137, MATCH(B3181, Analysis!$C$116:$C$137, 0), MATCH(C3181, Analysis!$D$115:$N$115, 0)), "")</f>
        <v/>
      </c>
      <c r="J3181" t="str">
        <f t="shared" si="298"/>
        <v/>
      </c>
      <c r="K3181" s="28" t="str">
        <f t="shared" si="295"/>
        <v/>
      </c>
      <c r="L3181" s="46" t="str">
        <f t="shared" si="299"/>
        <v/>
      </c>
      <c r="M3181" t="str" cm="1">
        <f t="array" ref="M3181">IF(L3181="","",_xlfn.IFS(
  AND(L3181&gt;=TIME(9,0,0), L3181&lt;TIME(16,0,0)),"Morning",
  AND(L3181&gt;=TIME(16,0,0), L3181&lt;TIME(23,59,0)),"Evening",
  L3181&gt;=TIME(23,59,0),"Night",
  L3181&lt;TIME(9,0,0),"Night"
))</f>
        <v/>
      </c>
      <c r="O3181" t="str">
        <f t="shared" si="296"/>
        <v/>
      </c>
    </row>
    <row r="3182" spans="7:15" x14ac:dyDescent="0.25">
      <c r="G3182" t="str">
        <f t="shared" si="294"/>
        <v/>
      </c>
      <c r="H3182" s="13" t="str">
        <f t="shared" si="297"/>
        <v/>
      </c>
      <c r="I3182" t="str">
        <f>IFERROR(INDEX(Analysis!$D$116:$N$137, MATCH(B3182, Analysis!$C$116:$C$137, 0), MATCH(C3182, Analysis!$D$115:$N$115, 0)), "")</f>
        <v/>
      </c>
      <c r="J3182" t="str">
        <f t="shared" si="298"/>
        <v/>
      </c>
      <c r="K3182" s="28" t="str">
        <f t="shared" si="295"/>
        <v/>
      </c>
      <c r="L3182" s="46" t="str">
        <f t="shared" si="299"/>
        <v/>
      </c>
      <c r="M3182" t="str" cm="1">
        <f t="array" ref="M3182">IF(L3182="","",_xlfn.IFS(
  AND(L3182&gt;=TIME(9,0,0), L3182&lt;TIME(16,0,0)),"Morning",
  AND(L3182&gt;=TIME(16,0,0), L3182&lt;TIME(23,59,0)),"Evening",
  L3182&gt;=TIME(23,59,0),"Night",
  L3182&lt;TIME(9,0,0),"Night"
))</f>
        <v/>
      </c>
      <c r="O3182" t="str">
        <f t="shared" si="296"/>
        <v/>
      </c>
    </row>
    <row r="3183" spans="7:15" x14ac:dyDescent="0.25">
      <c r="G3183" t="str">
        <f t="shared" si="294"/>
        <v/>
      </c>
      <c r="H3183" s="13" t="str">
        <f t="shared" si="297"/>
        <v/>
      </c>
      <c r="I3183" t="str">
        <f>IFERROR(INDEX(Analysis!$D$116:$N$137, MATCH(B3183, Analysis!$C$116:$C$137, 0), MATCH(C3183, Analysis!$D$115:$N$115, 0)), "")</f>
        <v/>
      </c>
      <c r="J3183" t="str">
        <f t="shared" si="298"/>
        <v/>
      </c>
      <c r="K3183" s="28" t="str">
        <f t="shared" si="295"/>
        <v/>
      </c>
      <c r="L3183" s="46" t="str">
        <f t="shared" si="299"/>
        <v/>
      </c>
      <c r="M3183" t="str" cm="1">
        <f t="array" ref="M3183">IF(L3183="","",_xlfn.IFS(
  AND(L3183&gt;=TIME(9,0,0), L3183&lt;TIME(16,0,0)),"Morning",
  AND(L3183&gt;=TIME(16,0,0), L3183&lt;TIME(23,59,0)),"Evening",
  L3183&gt;=TIME(23,59,0),"Night",
  L3183&lt;TIME(9,0,0),"Night"
))</f>
        <v/>
      </c>
      <c r="O3183" t="str">
        <f t="shared" si="296"/>
        <v/>
      </c>
    </row>
    <row r="3184" spans="7:15" x14ac:dyDescent="0.25">
      <c r="G3184" t="str">
        <f t="shared" si="294"/>
        <v/>
      </c>
      <c r="H3184" s="13" t="str">
        <f t="shared" si="297"/>
        <v/>
      </c>
      <c r="I3184" t="str">
        <f>IFERROR(INDEX(Analysis!$D$116:$N$137, MATCH(B3184, Analysis!$C$116:$C$137, 0), MATCH(C3184, Analysis!$D$115:$N$115, 0)), "")</f>
        <v/>
      </c>
      <c r="J3184" t="str">
        <f t="shared" si="298"/>
        <v/>
      </c>
      <c r="K3184" s="28" t="str">
        <f t="shared" si="295"/>
        <v/>
      </c>
      <c r="L3184" s="46" t="str">
        <f t="shared" si="299"/>
        <v/>
      </c>
      <c r="M3184" t="str" cm="1">
        <f t="array" ref="M3184">IF(L3184="","",_xlfn.IFS(
  AND(L3184&gt;=TIME(9,0,0), L3184&lt;TIME(16,0,0)),"Morning",
  AND(L3184&gt;=TIME(16,0,0), L3184&lt;TIME(23,59,0)),"Evening",
  L3184&gt;=TIME(23,59,0),"Night",
  L3184&lt;TIME(9,0,0),"Night"
))</f>
        <v/>
      </c>
      <c r="O3184" t="str">
        <f t="shared" si="296"/>
        <v/>
      </c>
    </row>
    <row r="3185" spans="7:15" x14ac:dyDescent="0.25">
      <c r="G3185" t="str">
        <f t="shared" si="294"/>
        <v/>
      </c>
      <c r="H3185" s="13" t="str">
        <f t="shared" si="297"/>
        <v/>
      </c>
      <c r="I3185" t="str">
        <f>IFERROR(INDEX(Analysis!$D$116:$N$137, MATCH(B3185, Analysis!$C$116:$C$137, 0), MATCH(C3185, Analysis!$D$115:$N$115, 0)), "")</f>
        <v/>
      </c>
      <c r="J3185" t="str">
        <f t="shared" si="298"/>
        <v/>
      </c>
      <c r="K3185" s="28" t="str">
        <f t="shared" si="295"/>
        <v/>
      </c>
      <c r="L3185" s="46" t="str">
        <f t="shared" si="299"/>
        <v/>
      </c>
      <c r="M3185" t="str" cm="1">
        <f t="array" ref="M3185">IF(L3185="","",_xlfn.IFS(
  AND(L3185&gt;=TIME(9,0,0), L3185&lt;TIME(16,0,0)),"Morning",
  AND(L3185&gt;=TIME(16,0,0), L3185&lt;TIME(23,59,0)),"Evening",
  L3185&gt;=TIME(23,59,0),"Night",
  L3185&lt;TIME(9,0,0),"Night"
))</f>
        <v/>
      </c>
      <c r="O3185" t="str">
        <f t="shared" si="296"/>
        <v/>
      </c>
    </row>
    <row r="3186" spans="7:15" x14ac:dyDescent="0.25">
      <c r="G3186" t="str">
        <f t="shared" si="294"/>
        <v/>
      </c>
      <c r="H3186" s="13" t="str">
        <f t="shared" si="297"/>
        <v/>
      </c>
      <c r="I3186" t="str">
        <f>IFERROR(INDEX(Analysis!$D$116:$N$137, MATCH(B3186, Analysis!$C$116:$C$137, 0), MATCH(C3186, Analysis!$D$115:$N$115, 0)), "")</f>
        <v/>
      </c>
      <c r="J3186" t="str">
        <f t="shared" si="298"/>
        <v/>
      </c>
      <c r="K3186" s="28" t="str">
        <f t="shared" si="295"/>
        <v/>
      </c>
      <c r="L3186" s="46" t="str">
        <f t="shared" si="299"/>
        <v/>
      </c>
      <c r="M3186" t="str" cm="1">
        <f t="array" ref="M3186">IF(L3186="","",_xlfn.IFS(
  AND(L3186&gt;=TIME(9,0,0), L3186&lt;TIME(16,0,0)),"Morning",
  AND(L3186&gt;=TIME(16,0,0), L3186&lt;TIME(23,59,0)),"Evening",
  L3186&gt;=TIME(23,59,0),"Night",
  L3186&lt;TIME(9,0,0),"Night"
))</f>
        <v/>
      </c>
      <c r="O3186" t="str">
        <f t="shared" si="296"/>
        <v/>
      </c>
    </row>
    <row r="3187" spans="7:15" x14ac:dyDescent="0.25">
      <c r="G3187" t="str">
        <f t="shared" si="294"/>
        <v/>
      </c>
      <c r="H3187" s="13" t="str">
        <f t="shared" si="297"/>
        <v/>
      </c>
      <c r="I3187" t="str">
        <f>IFERROR(INDEX(Analysis!$D$116:$N$137, MATCH(B3187, Analysis!$C$116:$C$137, 0), MATCH(C3187, Analysis!$D$115:$N$115, 0)), "")</f>
        <v/>
      </c>
      <c r="J3187" t="str">
        <f t="shared" si="298"/>
        <v/>
      </c>
      <c r="K3187" s="28" t="str">
        <f t="shared" si="295"/>
        <v/>
      </c>
      <c r="L3187" s="46" t="str">
        <f t="shared" si="299"/>
        <v/>
      </c>
      <c r="M3187" t="str" cm="1">
        <f t="array" ref="M3187">IF(L3187="","",_xlfn.IFS(
  AND(L3187&gt;=TIME(9,0,0), L3187&lt;TIME(16,0,0)),"Morning",
  AND(L3187&gt;=TIME(16,0,0), L3187&lt;TIME(23,59,0)),"Evening",
  L3187&gt;=TIME(23,59,0),"Night",
  L3187&lt;TIME(9,0,0),"Night"
))</f>
        <v/>
      </c>
      <c r="O3187" t="str">
        <f t="shared" si="296"/>
        <v/>
      </c>
    </row>
    <row r="3188" spans="7:15" x14ac:dyDescent="0.25">
      <c r="G3188" t="str">
        <f t="shared" si="294"/>
        <v/>
      </c>
      <c r="H3188" s="13" t="str">
        <f t="shared" si="297"/>
        <v/>
      </c>
      <c r="I3188" t="str">
        <f>IFERROR(INDEX(Analysis!$D$116:$N$137, MATCH(B3188, Analysis!$C$116:$C$137, 0), MATCH(C3188, Analysis!$D$115:$N$115, 0)), "")</f>
        <v/>
      </c>
      <c r="J3188" t="str">
        <f t="shared" si="298"/>
        <v/>
      </c>
      <c r="K3188" s="28" t="str">
        <f t="shared" si="295"/>
        <v/>
      </c>
      <c r="L3188" s="46" t="str">
        <f t="shared" si="299"/>
        <v/>
      </c>
      <c r="M3188" t="str" cm="1">
        <f t="array" ref="M3188">IF(L3188="","",_xlfn.IFS(
  AND(L3188&gt;=TIME(9,0,0), L3188&lt;TIME(16,0,0)),"Morning",
  AND(L3188&gt;=TIME(16,0,0), L3188&lt;TIME(23,59,0)),"Evening",
  L3188&gt;=TIME(23,59,0),"Night",
  L3188&lt;TIME(9,0,0),"Night"
))</f>
        <v/>
      </c>
      <c r="O3188" t="str">
        <f t="shared" si="296"/>
        <v/>
      </c>
    </row>
    <row r="3189" spans="7:15" x14ac:dyDescent="0.25">
      <c r="G3189" t="str">
        <f t="shared" si="294"/>
        <v/>
      </c>
      <c r="H3189" s="13" t="str">
        <f t="shared" si="297"/>
        <v/>
      </c>
      <c r="I3189" t="str">
        <f>IFERROR(INDEX(Analysis!$D$116:$N$137, MATCH(B3189, Analysis!$C$116:$C$137, 0), MATCH(C3189, Analysis!$D$115:$N$115, 0)), "")</f>
        <v/>
      </c>
      <c r="J3189" t="str">
        <f t="shared" si="298"/>
        <v/>
      </c>
      <c r="K3189" s="28" t="str">
        <f t="shared" si="295"/>
        <v/>
      </c>
      <c r="L3189" s="46" t="str">
        <f t="shared" si="299"/>
        <v/>
      </c>
      <c r="M3189" t="str" cm="1">
        <f t="array" ref="M3189">IF(L3189="","",_xlfn.IFS(
  AND(L3189&gt;=TIME(9,0,0), L3189&lt;TIME(16,0,0)),"Morning",
  AND(L3189&gt;=TIME(16,0,0), L3189&lt;TIME(23,59,0)),"Evening",
  L3189&gt;=TIME(23,59,0),"Night",
  L3189&lt;TIME(9,0,0),"Night"
))</f>
        <v/>
      </c>
      <c r="O3189" t="str">
        <f t="shared" si="296"/>
        <v/>
      </c>
    </row>
    <row r="3190" spans="7:15" x14ac:dyDescent="0.25">
      <c r="G3190" t="str">
        <f t="shared" si="294"/>
        <v/>
      </c>
      <c r="H3190" s="13" t="str">
        <f t="shared" si="297"/>
        <v/>
      </c>
      <c r="I3190" t="str">
        <f>IFERROR(INDEX(Analysis!$D$116:$N$137, MATCH(B3190, Analysis!$C$116:$C$137, 0), MATCH(C3190, Analysis!$D$115:$N$115, 0)), "")</f>
        <v/>
      </c>
      <c r="J3190" t="str">
        <f t="shared" si="298"/>
        <v/>
      </c>
      <c r="K3190" s="28" t="str">
        <f t="shared" si="295"/>
        <v/>
      </c>
      <c r="L3190" s="46" t="str">
        <f t="shared" si="299"/>
        <v/>
      </c>
      <c r="M3190" t="str" cm="1">
        <f t="array" ref="M3190">IF(L3190="","",_xlfn.IFS(
  AND(L3190&gt;=TIME(9,0,0), L3190&lt;TIME(16,0,0)),"Morning",
  AND(L3190&gt;=TIME(16,0,0), L3190&lt;TIME(23,59,0)),"Evening",
  L3190&gt;=TIME(23,59,0),"Night",
  L3190&lt;TIME(9,0,0),"Night"
))</f>
        <v/>
      </c>
      <c r="O3190" t="str">
        <f t="shared" si="296"/>
        <v/>
      </c>
    </row>
    <row r="3191" spans="7:15" x14ac:dyDescent="0.25">
      <c r="G3191" t="str">
        <f t="shared" si="294"/>
        <v/>
      </c>
      <c r="H3191" s="13" t="str">
        <f t="shared" si="297"/>
        <v/>
      </c>
      <c r="I3191" t="str">
        <f>IFERROR(INDEX(Analysis!$D$116:$N$137, MATCH(B3191, Analysis!$C$116:$C$137, 0), MATCH(C3191, Analysis!$D$115:$N$115, 0)), "")</f>
        <v/>
      </c>
      <c r="J3191" t="str">
        <f t="shared" si="298"/>
        <v/>
      </c>
      <c r="K3191" s="28" t="str">
        <f t="shared" si="295"/>
        <v/>
      </c>
      <c r="L3191" s="46" t="str">
        <f t="shared" si="299"/>
        <v/>
      </c>
      <c r="M3191" t="str" cm="1">
        <f t="array" ref="M3191">IF(L3191="","",_xlfn.IFS(
  AND(L3191&gt;=TIME(9,0,0), L3191&lt;TIME(16,0,0)),"Morning",
  AND(L3191&gt;=TIME(16,0,0), L3191&lt;TIME(23,59,0)),"Evening",
  L3191&gt;=TIME(23,59,0),"Night",
  L3191&lt;TIME(9,0,0),"Night"
))</f>
        <v/>
      </c>
      <c r="O3191" t="str">
        <f t="shared" si="296"/>
        <v/>
      </c>
    </row>
    <row r="3192" spans="7:15" x14ac:dyDescent="0.25">
      <c r="G3192" t="str">
        <f t="shared" si="294"/>
        <v/>
      </c>
      <c r="H3192" s="13" t="str">
        <f t="shared" si="297"/>
        <v/>
      </c>
      <c r="I3192" t="str">
        <f>IFERROR(INDEX(Analysis!$D$116:$N$137, MATCH(B3192, Analysis!$C$116:$C$137, 0), MATCH(C3192, Analysis!$D$115:$N$115, 0)), "")</f>
        <v/>
      </c>
      <c r="J3192" t="str">
        <f t="shared" si="298"/>
        <v/>
      </c>
      <c r="K3192" s="28" t="str">
        <f t="shared" si="295"/>
        <v/>
      </c>
      <c r="L3192" s="46" t="str">
        <f t="shared" si="299"/>
        <v/>
      </c>
      <c r="M3192" t="str" cm="1">
        <f t="array" ref="M3192">IF(L3192="","",_xlfn.IFS(
  AND(L3192&gt;=TIME(9,0,0), L3192&lt;TIME(16,0,0)),"Morning",
  AND(L3192&gt;=TIME(16,0,0), L3192&lt;TIME(23,59,0)),"Evening",
  L3192&gt;=TIME(23,59,0),"Night",
  L3192&lt;TIME(9,0,0),"Night"
))</f>
        <v/>
      </c>
      <c r="O3192" t="str">
        <f t="shared" si="296"/>
        <v/>
      </c>
    </row>
    <row r="3193" spans="7:15" x14ac:dyDescent="0.25">
      <c r="G3193" t="str">
        <f t="shared" si="294"/>
        <v/>
      </c>
      <c r="H3193" s="13" t="str">
        <f t="shared" si="297"/>
        <v/>
      </c>
      <c r="I3193" t="str">
        <f>IFERROR(INDEX(Analysis!$D$116:$N$137, MATCH(B3193, Analysis!$C$116:$C$137, 0), MATCH(C3193, Analysis!$D$115:$N$115, 0)), "")</f>
        <v/>
      </c>
      <c r="J3193" t="str">
        <f t="shared" si="298"/>
        <v/>
      </c>
      <c r="K3193" s="28" t="str">
        <f t="shared" si="295"/>
        <v/>
      </c>
      <c r="L3193" s="46" t="str">
        <f t="shared" si="299"/>
        <v/>
      </c>
      <c r="M3193" t="str" cm="1">
        <f t="array" ref="M3193">IF(L3193="","",_xlfn.IFS(
  AND(L3193&gt;=TIME(9,0,0), L3193&lt;TIME(16,0,0)),"Morning",
  AND(L3193&gt;=TIME(16,0,0), L3193&lt;TIME(23,59,0)),"Evening",
  L3193&gt;=TIME(23,59,0),"Night",
  L3193&lt;TIME(9,0,0),"Night"
))</f>
        <v/>
      </c>
      <c r="O3193" t="str">
        <f t="shared" si="296"/>
        <v/>
      </c>
    </row>
    <row r="3194" spans="7:15" x14ac:dyDescent="0.25">
      <c r="G3194" t="str">
        <f t="shared" si="294"/>
        <v/>
      </c>
      <c r="H3194" s="13" t="str">
        <f t="shared" si="297"/>
        <v/>
      </c>
      <c r="I3194" t="str">
        <f>IFERROR(INDEX(Analysis!$D$116:$N$137, MATCH(B3194, Analysis!$C$116:$C$137, 0), MATCH(C3194, Analysis!$D$115:$N$115, 0)), "")</f>
        <v/>
      </c>
      <c r="J3194" t="str">
        <f t="shared" si="298"/>
        <v/>
      </c>
      <c r="K3194" s="28" t="str">
        <f t="shared" si="295"/>
        <v/>
      </c>
      <c r="L3194" s="46" t="str">
        <f t="shared" si="299"/>
        <v/>
      </c>
      <c r="M3194" t="str" cm="1">
        <f t="array" ref="M3194">IF(L3194="","",_xlfn.IFS(
  AND(L3194&gt;=TIME(9,0,0), L3194&lt;TIME(16,0,0)),"Morning",
  AND(L3194&gt;=TIME(16,0,0), L3194&lt;TIME(23,59,0)),"Evening",
  L3194&gt;=TIME(23,59,0),"Night",
  L3194&lt;TIME(9,0,0),"Night"
))</f>
        <v/>
      </c>
      <c r="O3194" t="str">
        <f t="shared" si="296"/>
        <v/>
      </c>
    </row>
    <row r="3195" spans="7:15" x14ac:dyDescent="0.25">
      <c r="G3195" t="str">
        <f t="shared" si="294"/>
        <v/>
      </c>
      <c r="H3195" s="13" t="str">
        <f t="shared" si="297"/>
        <v/>
      </c>
      <c r="I3195" t="str">
        <f>IFERROR(INDEX(Analysis!$D$116:$N$137, MATCH(B3195, Analysis!$C$116:$C$137, 0), MATCH(C3195, Analysis!$D$115:$N$115, 0)), "")</f>
        <v/>
      </c>
      <c r="J3195" t="str">
        <f t="shared" si="298"/>
        <v/>
      </c>
      <c r="K3195" s="28" t="str">
        <f t="shared" si="295"/>
        <v/>
      </c>
      <c r="L3195" s="46" t="str">
        <f t="shared" si="299"/>
        <v/>
      </c>
      <c r="M3195" t="str" cm="1">
        <f t="array" ref="M3195">IF(L3195="","",_xlfn.IFS(
  AND(L3195&gt;=TIME(9,0,0), L3195&lt;TIME(16,0,0)),"Morning",
  AND(L3195&gt;=TIME(16,0,0), L3195&lt;TIME(23,59,0)),"Evening",
  L3195&gt;=TIME(23,59,0),"Night",
  L3195&lt;TIME(9,0,0),"Night"
))</f>
        <v/>
      </c>
      <c r="O3195" t="str">
        <f t="shared" si="296"/>
        <v/>
      </c>
    </row>
    <row r="3196" spans="7:15" x14ac:dyDescent="0.25">
      <c r="G3196" t="str">
        <f t="shared" si="294"/>
        <v/>
      </c>
      <c r="H3196" s="13" t="str">
        <f t="shared" si="297"/>
        <v/>
      </c>
      <c r="I3196" t="str">
        <f>IFERROR(INDEX(Analysis!$D$116:$N$137, MATCH(B3196, Analysis!$C$116:$C$137, 0), MATCH(C3196, Analysis!$D$115:$N$115, 0)), "")</f>
        <v/>
      </c>
      <c r="J3196" t="str">
        <f t="shared" si="298"/>
        <v/>
      </c>
      <c r="K3196" s="28" t="str">
        <f t="shared" si="295"/>
        <v/>
      </c>
      <c r="L3196" s="46" t="str">
        <f t="shared" si="299"/>
        <v/>
      </c>
      <c r="M3196" t="str" cm="1">
        <f t="array" ref="M3196">IF(L3196="","",_xlfn.IFS(
  AND(L3196&gt;=TIME(9,0,0), L3196&lt;TIME(16,0,0)),"Morning",
  AND(L3196&gt;=TIME(16,0,0), L3196&lt;TIME(23,59,0)),"Evening",
  L3196&gt;=TIME(23,59,0),"Night",
  L3196&lt;TIME(9,0,0),"Night"
))</f>
        <v/>
      </c>
      <c r="O3196" t="str">
        <f t="shared" si="296"/>
        <v/>
      </c>
    </row>
    <row r="3197" spans="7:15" x14ac:dyDescent="0.25">
      <c r="G3197" t="str">
        <f t="shared" si="294"/>
        <v/>
      </c>
      <c r="H3197" s="13" t="str">
        <f t="shared" si="297"/>
        <v/>
      </c>
      <c r="I3197" t="str">
        <f>IFERROR(INDEX(Analysis!$D$116:$N$137, MATCH(B3197, Analysis!$C$116:$C$137, 0), MATCH(C3197, Analysis!$D$115:$N$115, 0)), "")</f>
        <v/>
      </c>
      <c r="J3197" t="str">
        <f t="shared" si="298"/>
        <v/>
      </c>
      <c r="K3197" s="28" t="str">
        <f t="shared" si="295"/>
        <v/>
      </c>
      <c r="L3197" s="46" t="str">
        <f t="shared" si="299"/>
        <v/>
      </c>
      <c r="M3197" t="str" cm="1">
        <f t="array" ref="M3197">IF(L3197="","",_xlfn.IFS(
  AND(L3197&gt;=TIME(9,0,0), L3197&lt;TIME(16,0,0)),"Morning",
  AND(L3197&gt;=TIME(16,0,0), L3197&lt;TIME(23,59,0)),"Evening",
  L3197&gt;=TIME(23,59,0),"Night",
  L3197&lt;TIME(9,0,0),"Night"
))</f>
        <v/>
      </c>
      <c r="O3197" t="str">
        <f t="shared" si="296"/>
        <v/>
      </c>
    </row>
    <row r="3198" spans="7:15" x14ac:dyDescent="0.25">
      <c r="G3198" t="str">
        <f t="shared" si="294"/>
        <v/>
      </c>
      <c r="H3198" s="13" t="str">
        <f t="shared" si="297"/>
        <v/>
      </c>
      <c r="I3198" t="str">
        <f>IFERROR(INDEX(Analysis!$D$116:$N$137, MATCH(B3198, Analysis!$C$116:$C$137, 0), MATCH(C3198, Analysis!$D$115:$N$115, 0)), "")</f>
        <v/>
      </c>
      <c r="J3198" t="str">
        <f t="shared" si="298"/>
        <v/>
      </c>
      <c r="K3198" s="28" t="str">
        <f t="shared" si="295"/>
        <v/>
      </c>
      <c r="L3198" s="46" t="str">
        <f t="shared" si="299"/>
        <v/>
      </c>
      <c r="M3198" t="str" cm="1">
        <f t="array" ref="M3198">IF(L3198="","",_xlfn.IFS(
  AND(L3198&gt;=TIME(9,0,0), L3198&lt;TIME(16,0,0)),"Morning",
  AND(L3198&gt;=TIME(16,0,0), L3198&lt;TIME(23,59,0)),"Evening",
  L3198&gt;=TIME(23,59,0),"Night",
  L3198&lt;TIME(9,0,0),"Night"
))</f>
        <v/>
      </c>
      <c r="O3198" t="str">
        <f t="shared" si="296"/>
        <v/>
      </c>
    </row>
    <row r="3199" spans="7:15" x14ac:dyDescent="0.25">
      <c r="G3199" t="str">
        <f t="shared" si="294"/>
        <v/>
      </c>
      <c r="H3199" s="13" t="str">
        <f t="shared" si="297"/>
        <v/>
      </c>
      <c r="I3199" t="str">
        <f>IFERROR(INDEX(Analysis!$D$116:$N$137, MATCH(B3199, Analysis!$C$116:$C$137, 0), MATCH(C3199, Analysis!$D$115:$N$115, 0)), "")</f>
        <v/>
      </c>
      <c r="J3199" t="str">
        <f t="shared" si="298"/>
        <v/>
      </c>
      <c r="K3199" s="28" t="str">
        <f t="shared" si="295"/>
        <v/>
      </c>
      <c r="L3199" s="46" t="str">
        <f t="shared" si="299"/>
        <v/>
      </c>
      <c r="M3199" t="str" cm="1">
        <f t="array" ref="M3199">IF(L3199="","",_xlfn.IFS(
  AND(L3199&gt;=TIME(9,0,0), L3199&lt;TIME(16,0,0)),"Morning",
  AND(L3199&gt;=TIME(16,0,0), L3199&lt;TIME(23,59,0)),"Evening",
  L3199&gt;=TIME(23,59,0),"Night",
  L3199&lt;TIME(9,0,0),"Night"
))</f>
        <v/>
      </c>
      <c r="O3199" t="str">
        <f t="shared" si="296"/>
        <v/>
      </c>
    </row>
    <row r="3200" spans="7:15" x14ac:dyDescent="0.25">
      <c r="G3200" t="str">
        <f t="shared" si="294"/>
        <v/>
      </c>
      <c r="H3200" s="13" t="str">
        <f t="shared" si="297"/>
        <v/>
      </c>
      <c r="I3200" t="str">
        <f>IFERROR(INDEX(Analysis!$D$116:$N$137, MATCH(B3200, Analysis!$C$116:$C$137, 0), MATCH(C3200, Analysis!$D$115:$N$115, 0)), "")</f>
        <v/>
      </c>
      <c r="J3200" t="str">
        <f t="shared" si="298"/>
        <v/>
      </c>
      <c r="K3200" s="28" t="str">
        <f t="shared" si="295"/>
        <v/>
      </c>
      <c r="L3200" s="46" t="str">
        <f t="shared" si="299"/>
        <v/>
      </c>
      <c r="M3200" t="str" cm="1">
        <f t="array" ref="M3200">IF(L3200="","",_xlfn.IFS(
  AND(L3200&gt;=TIME(9,0,0), L3200&lt;TIME(16,0,0)),"Morning",
  AND(L3200&gt;=TIME(16,0,0), L3200&lt;TIME(23,59,0)),"Evening",
  L3200&gt;=TIME(23,59,0),"Night",
  L3200&lt;TIME(9,0,0),"Night"
))</f>
        <v/>
      </c>
      <c r="O3200" t="str">
        <f t="shared" si="296"/>
        <v/>
      </c>
    </row>
    <row r="3201" spans="7:15" x14ac:dyDescent="0.25">
      <c r="G3201" t="str">
        <f t="shared" si="294"/>
        <v/>
      </c>
      <c r="H3201" s="13" t="str">
        <f t="shared" si="297"/>
        <v/>
      </c>
      <c r="I3201" t="str">
        <f>IFERROR(INDEX(Analysis!$D$116:$N$137, MATCH(B3201, Analysis!$C$116:$C$137, 0), MATCH(C3201, Analysis!$D$115:$N$115, 0)), "")</f>
        <v/>
      </c>
      <c r="J3201" t="str">
        <f t="shared" si="298"/>
        <v/>
      </c>
      <c r="K3201" s="28" t="str">
        <f t="shared" si="295"/>
        <v/>
      </c>
      <c r="L3201" s="46" t="str">
        <f t="shared" si="299"/>
        <v/>
      </c>
      <c r="M3201" t="str" cm="1">
        <f t="array" ref="M3201">IF(L3201="","",_xlfn.IFS(
  AND(L3201&gt;=TIME(9,0,0), L3201&lt;TIME(16,0,0)),"Morning",
  AND(L3201&gt;=TIME(16,0,0), L3201&lt;TIME(23,59,0)),"Evening",
  L3201&gt;=TIME(23,59,0),"Night",
  L3201&lt;TIME(9,0,0),"Night"
))</f>
        <v/>
      </c>
      <c r="O3201" t="str">
        <f t="shared" si="296"/>
        <v/>
      </c>
    </row>
    <row r="3202" spans="7:15" x14ac:dyDescent="0.25">
      <c r="G3202" t="str">
        <f t="shared" ref="G3202:G3265" si="300">IF(ISBLANK(A3202), "", IF(ISBLANK(F3202), 0, F3202))</f>
        <v/>
      </c>
      <c r="H3202" s="13" t="str">
        <f t="shared" si="297"/>
        <v/>
      </c>
      <c r="I3202" t="str">
        <f>IFERROR(INDEX(Analysis!$D$116:$N$137, MATCH(B3202, Analysis!$C$116:$C$137, 0), MATCH(C3202, Analysis!$D$115:$N$115, 0)), "")</f>
        <v/>
      </c>
      <c r="J3202" t="str">
        <f t="shared" si="298"/>
        <v/>
      </c>
      <c r="K3202" s="28" t="str">
        <f t="shared" ref="K3202:K3265" si="301">IF(ISBLANK(A3202),"",DATE(YEAR(A3202),MONTH(A3202),DAY(A3202)))</f>
        <v/>
      </c>
      <c r="L3202" s="46" t="str">
        <f t="shared" si="299"/>
        <v/>
      </c>
      <c r="M3202" t="str" cm="1">
        <f t="array" ref="M3202">IF(L3202="","",_xlfn.IFS(
  AND(L3202&gt;=TIME(9,0,0), L3202&lt;TIME(16,0,0)),"Morning",
  AND(L3202&gt;=TIME(16,0,0), L3202&lt;TIME(23,59,0)),"Evening",
  L3202&gt;=TIME(23,59,0),"Night",
  L3202&lt;TIME(9,0,0),"Night"
))</f>
        <v/>
      </c>
      <c r="O3202" t="str">
        <f t="shared" ref="O3202:O3265" si="302">IF(N3202="ON", _xlfn.IMAGE(E3202, 1), "")</f>
        <v/>
      </c>
    </row>
    <row r="3203" spans="7:15" x14ac:dyDescent="0.25">
      <c r="G3203" t="str">
        <f t="shared" si="300"/>
        <v/>
      </c>
      <c r="H3203" s="13" t="str">
        <f t="shared" ref="H3203:H3266" si="303">IF(ISBLANK(E3203),"",HYPERLINK(E3203,"Click here"))</f>
        <v/>
      </c>
      <c r="I3203" t="str">
        <f>IFERROR(INDEX(Analysis!$D$116:$N$137, MATCH(B3203, Analysis!$C$116:$C$137, 0), MATCH(C3203, Analysis!$D$115:$N$115, 0)), "")</f>
        <v/>
      </c>
      <c r="J3203" t="str">
        <f t="shared" ref="J3203:J3266" si="304">IF(ISBLANK(A3203),"",WEEKNUM(A3203))</f>
        <v/>
      </c>
      <c r="K3203" s="28" t="str">
        <f t="shared" si="301"/>
        <v/>
      </c>
      <c r="L3203" s="46" t="str">
        <f t="shared" ref="L3203:L3266" si="305">IF(A3203="", "", A3203 - INT(A3203))</f>
        <v/>
      </c>
      <c r="M3203" t="str" cm="1">
        <f t="array" ref="M3203">IF(L3203="","",_xlfn.IFS(
  AND(L3203&gt;=TIME(9,0,0), L3203&lt;TIME(16,0,0)),"Morning",
  AND(L3203&gt;=TIME(16,0,0), L3203&lt;TIME(23,59,0)),"Evening",
  L3203&gt;=TIME(23,59,0),"Night",
  L3203&lt;TIME(9,0,0),"Night"
))</f>
        <v/>
      </c>
      <c r="O3203" t="str">
        <f t="shared" si="302"/>
        <v/>
      </c>
    </row>
    <row r="3204" spans="7:15" x14ac:dyDescent="0.25">
      <c r="G3204" t="str">
        <f t="shared" si="300"/>
        <v/>
      </c>
      <c r="H3204" s="13" t="str">
        <f t="shared" si="303"/>
        <v/>
      </c>
      <c r="I3204" t="str">
        <f>IFERROR(INDEX(Analysis!$D$116:$N$137, MATCH(B3204, Analysis!$C$116:$C$137, 0), MATCH(C3204, Analysis!$D$115:$N$115, 0)), "")</f>
        <v/>
      </c>
      <c r="J3204" t="str">
        <f t="shared" si="304"/>
        <v/>
      </c>
      <c r="K3204" s="28" t="str">
        <f t="shared" si="301"/>
        <v/>
      </c>
      <c r="L3204" s="46" t="str">
        <f t="shared" si="305"/>
        <v/>
      </c>
      <c r="M3204" t="str" cm="1">
        <f t="array" ref="M3204">IF(L3204="","",_xlfn.IFS(
  AND(L3204&gt;=TIME(9,0,0), L3204&lt;TIME(16,0,0)),"Morning",
  AND(L3204&gt;=TIME(16,0,0), L3204&lt;TIME(23,59,0)),"Evening",
  L3204&gt;=TIME(23,59,0),"Night",
  L3204&lt;TIME(9,0,0),"Night"
))</f>
        <v/>
      </c>
      <c r="O3204" t="str">
        <f t="shared" si="302"/>
        <v/>
      </c>
    </row>
    <row r="3205" spans="7:15" x14ac:dyDescent="0.25">
      <c r="G3205" t="str">
        <f t="shared" si="300"/>
        <v/>
      </c>
      <c r="H3205" s="13" t="str">
        <f t="shared" si="303"/>
        <v/>
      </c>
      <c r="I3205" t="str">
        <f>IFERROR(INDEX(Analysis!$D$116:$N$137, MATCH(B3205, Analysis!$C$116:$C$137, 0), MATCH(C3205, Analysis!$D$115:$N$115, 0)), "")</f>
        <v/>
      </c>
      <c r="J3205" t="str">
        <f t="shared" si="304"/>
        <v/>
      </c>
      <c r="K3205" s="28" t="str">
        <f t="shared" si="301"/>
        <v/>
      </c>
      <c r="L3205" s="46" t="str">
        <f t="shared" si="305"/>
        <v/>
      </c>
      <c r="M3205" t="str" cm="1">
        <f t="array" ref="M3205">IF(L3205="","",_xlfn.IFS(
  AND(L3205&gt;=TIME(9,0,0), L3205&lt;TIME(16,0,0)),"Morning",
  AND(L3205&gt;=TIME(16,0,0), L3205&lt;TIME(23,59,0)),"Evening",
  L3205&gt;=TIME(23,59,0),"Night",
  L3205&lt;TIME(9,0,0),"Night"
))</f>
        <v/>
      </c>
      <c r="O3205" t="str">
        <f t="shared" si="302"/>
        <v/>
      </c>
    </row>
    <row r="3206" spans="7:15" x14ac:dyDescent="0.25">
      <c r="G3206" t="str">
        <f t="shared" si="300"/>
        <v/>
      </c>
      <c r="H3206" s="13" t="str">
        <f t="shared" si="303"/>
        <v/>
      </c>
      <c r="I3206" t="str">
        <f>IFERROR(INDEX(Analysis!$D$116:$N$137, MATCH(B3206, Analysis!$C$116:$C$137, 0), MATCH(C3206, Analysis!$D$115:$N$115, 0)), "")</f>
        <v/>
      </c>
      <c r="J3206" t="str">
        <f t="shared" si="304"/>
        <v/>
      </c>
      <c r="K3206" s="28" t="str">
        <f t="shared" si="301"/>
        <v/>
      </c>
      <c r="L3206" s="46" t="str">
        <f t="shared" si="305"/>
        <v/>
      </c>
      <c r="M3206" t="str" cm="1">
        <f t="array" ref="M3206">IF(L3206="","",_xlfn.IFS(
  AND(L3206&gt;=TIME(9,0,0), L3206&lt;TIME(16,0,0)),"Morning",
  AND(L3206&gt;=TIME(16,0,0), L3206&lt;TIME(23,59,0)),"Evening",
  L3206&gt;=TIME(23,59,0),"Night",
  L3206&lt;TIME(9,0,0),"Night"
))</f>
        <v/>
      </c>
      <c r="O3206" t="str">
        <f t="shared" si="302"/>
        <v/>
      </c>
    </row>
    <row r="3207" spans="7:15" x14ac:dyDescent="0.25">
      <c r="G3207" t="str">
        <f t="shared" si="300"/>
        <v/>
      </c>
      <c r="H3207" s="13" t="str">
        <f t="shared" si="303"/>
        <v/>
      </c>
      <c r="I3207" t="str">
        <f>IFERROR(INDEX(Analysis!$D$116:$N$137, MATCH(B3207, Analysis!$C$116:$C$137, 0), MATCH(C3207, Analysis!$D$115:$N$115, 0)), "")</f>
        <v/>
      </c>
      <c r="J3207" t="str">
        <f t="shared" si="304"/>
        <v/>
      </c>
      <c r="K3207" s="28" t="str">
        <f t="shared" si="301"/>
        <v/>
      </c>
      <c r="L3207" s="46" t="str">
        <f t="shared" si="305"/>
        <v/>
      </c>
      <c r="M3207" t="str" cm="1">
        <f t="array" ref="M3207">IF(L3207="","",_xlfn.IFS(
  AND(L3207&gt;=TIME(9,0,0), L3207&lt;TIME(16,0,0)),"Morning",
  AND(L3207&gt;=TIME(16,0,0), L3207&lt;TIME(23,59,0)),"Evening",
  L3207&gt;=TIME(23,59,0),"Night",
  L3207&lt;TIME(9,0,0),"Night"
))</f>
        <v/>
      </c>
      <c r="O3207" t="str">
        <f t="shared" si="302"/>
        <v/>
      </c>
    </row>
    <row r="3208" spans="7:15" x14ac:dyDescent="0.25">
      <c r="G3208" t="str">
        <f t="shared" si="300"/>
        <v/>
      </c>
      <c r="H3208" s="13" t="str">
        <f t="shared" si="303"/>
        <v/>
      </c>
      <c r="I3208" t="str">
        <f>IFERROR(INDEX(Analysis!$D$116:$N$137, MATCH(B3208, Analysis!$C$116:$C$137, 0), MATCH(C3208, Analysis!$D$115:$N$115, 0)), "")</f>
        <v/>
      </c>
      <c r="J3208" t="str">
        <f t="shared" si="304"/>
        <v/>
      </c>
      <c r="K3208" s="28" t="str">
        <f t="shared" si="301"/>
        <v/>
      </c>
      <c r="L3208" s="46" t="str">
        <f t="shared" si="305"/>
        <v/>
      </c>
      <c r="M3208" t="str" cm="1">
        <f t="array" ref="M3208">IF(L3208="","",_xlfn.IFS(
  AND(L3208&gt;=TIME(9,0,0), L3208&lt;TIME(16,0,0)),"Morning",
  AND(L3208&gt;=TIME(16,0,0), L3208&lt;TIME(23,59,0)),"Evening",
  L3208&gt;=TIME(23,59,0),"Night",
  L3208&lt;TIME(9,0,0),"Night"
))</f>
        <v/>
      </c>
      <c r="O3208" t="str">
        <f t="shared" si="302"/>
        <v/>
      </c>
    </row>
    <row r="3209" spans="7:15" x14ac:dyDescent="0.25">
      <c r="G3209" t="str">
        <f t="shared" si="300"/>
        <v/>
      </c>
      <c r="H3209" s="13" t="str">
        <f t="shared" si="303"/>
        <v/>
      </c>
      <c r="I3209" t="str">
        <f>IFERROR(INDEX(Analysis!$D$116:$N$137, MATCH(B3209, Analysis!$C$116:$C$137, 0), MATCH(C3209, Analysis!$D$115:$N$115, 0)), "")</f>
        <v/>
      </c>
      <c r="J3209" t="str">
        <f t="shared" si="304"/>
        <v/>
      </c>
      <c r="K3209" s="28" t="str">
        <f t="shared" si="301"/>
        <v/>
      </c>
      <c r="L3209" s="46" t="str">
        <f t="shared" si="305"/>
        <v/>
      </c>
      <c r="M3209" t="str" cm="1">
        <f t="array" ref="M3209">IF(L3209="","",_xlfn.IFS(
  AND(L3209&gt;=TIME(9,0,0), L3209&lt;TIME(16,0,0)),"Morning",
  AND(L3209&gt;=TIME(16,0,0), L3209&lt;TIME(23,59,0)),"Evening",
  L3209&gt;=TIME(23,59,0),"Night",
  L3209&lt;TIME(9,0,0),"Night"
))</f>
        <v/>
      </c>
      <c r="O3209" t="str">
        <f t="shared" si="302"/>
        <v/>
      </c>
    </row>
    <row r="3210" spans="7:15" x14ac:dyDescent="0.25">
      <c r="G3210" t="str">
        <f t="shared" si="300"/>
        <v/>
      </c>
      <c r="H3210" s="13" t="str">
        <f t="shared" si="303"/>
        <v/>
      </c>
      <c r="I3210" t="str">
        <f>IFERROR(INDEX(Analysis!$D$116:$N$137, MATCH(B3210, Analysis!$C$116:$C$137, 0), MATCH(C3210, Analysis!$D$115:$N$115, 0)), "")</f>
        <v/>
      </c>
      <c r="J3210" t="str">
        <f t="shared" si="304"/>
        <v/>
      </c>
      <c r="K3210" s="28" t="str">
        <f t="shared" si="301"/>
        <v/>
      </c>
      <c r="L3210" s="46" t="str">
        <f t="shared" si="305"/>
        <v/>
      </c>
      <c r="M3210" t="str" cm="1">
        <f t="array" ref="M3210">IF(L3210="","",_xlfn.IFS(
  AND(L3210&gt;=TIME(9,0,0), L3210&lt;TIME(16,0,0)),"Morning",
  AND(L3210&gt;=TIME(16,0,0), L3210&lt;TIME(23,59,0)),"Evening",
  L3210&gt;=TIME(23,59,0),"Night",
  L3210&lt;TIME(9,0,0),"Night"
))</f>
        <v/>
      </c>
      <c r="O3210" t="str">
        <f t="shared" si="302"/>
        <v/>
      </c>
    </row>
    <row r="3211" spans="7:15" x14ac:dyDescent="0.25">
      <c r="G3211" t="str">
        <f t="shared" si="300"/>
        <v/>
      </c>
      <c r="H3211" s="13" t="str">
        <f t="shared" si="303"/>
        <v/>
      </c>
      <c r="I3211" t="str">
        <f>IFERROR(INDEX(Analysis!$D$116:$N$137, MATCH(B3211, Analysis!$C$116:$C$137, 0), MATCH(C3211, Analysis!$D$115:$N$115, 0)), "")</f>
        <v/>
      </c>
      <c r="J3211" t="str">
        <f t="shared" si="304"/>
        <v/>
      </c>
      <c r="K3211" s="28" t="str">
        <f t="shared" si="301"/>
        <v/>
      </c>
      <c r="L3211" s="46" t="str">
        <f t="shared" si="305"/>
        <v/>
      </c>
      <c r="M3211" t="str" cm="1">
        <f t="array" ref="M3211">IF(L3211="","",_xlfn.IFS(
  AND(L3211&gt;=TIME(9,0,0), L3211&lt;TIME(16,0,0)),"Morning",
  AND(L3211&gt;=TIME(16,0,0), L3211&lt;TIME(23,59,0)),"Evening",
  L3211&gt;=TIME(23,59,0),"Night",
  L3211&lt;TIME(9,0,0),"Night"
))</f>
        <v/>
      </c>
      <c r="O3211" t="str">
        <f t="shared" si="302"/>
        <v/>
      </c>
    </row>
    <row r="3212" spans="7:15" x14ac:dyDescent="0.25">
      <c r="G3212" t="str">
        <f t="shared" si="300"/>
        <v/>
      </c>
      <c r="H3212" s="13" t="str">
        <f t="shared" si="303"/>
        <v/>
      </c>
      <c r="I3212" t="str">
        <f>IFERROR(INDEX(Analysis!$D$116:$N$137, MATCH(B3212, Analysis!$C$116:$C$137, 0), MATCH(C3212, Analysis!$D$115:$N$115, 0)), "")</f>
        <v/>
      </c>
      <c r="J3212" t="str">
        <f t="shared" si="304"/>
        <v/>
      </c>
      <c r="K3212" s="28" t="str">
        <f t="shared" si="301"/>
        <v/>
      </c>
      <c r="L3212" s="46" t="str">
        <f t="shared" si="305"/>
        <v/>
      </c>
      <c r="M3212" t="str" cm="1">
        <f t="array" ref="M3212">IF(L3212="","",_xlfn.IFS(
  AND(L3212&gt;=TIME(9,0,0), L3212&lt;TIME(16,0,0)),"Morning",
  AND(L3212&gt;=TIME(16,0,0), L3212&lt;TIME(23,59,0)),"Evening",
  L3212&gt;=TIME(23,59,0),"Night",
  L3212&lt;TIME(9,0,0),"Night"
))</f>
        <v/>
      </c>
      <c r="O3212" t="str">
        <f t="shared" si="302"/>
        <v/>
      </c>
    </row>
    <row r="3213" spans="7:15" x14ac:dyDescent="0.25">
      <c r="G3213" t="str">
        <f t="shared" si="300"/>
        <v/>
      </c>
      <c r="H3213" s="13" t="str">
        <f t="shared" si="303"/>
        <v/>
      </c>
      <c r="I3213" t="str">
        <f>IFERROR(INDEX(Analysis!$D$116:$N$137, MATCH(B3213, Analysis!$C$116:$C$137, 0), MATCH(C3213, Analysis!$D$115:$N$115, 0)), "")</f>
        <v/>
      </c>
      <c r="J3213" t="str">
        <f t="shared" si="304"/>
        <v/>
      </c>
      <c r="K3213" s="28" t="str">
        <f t="shared" si="301"/>
        <v/>
      </c>
      <c r="L3213" s="46" t="str">
        <f t="shared" si="305"/>
        <v/>
      </c>
      <c r="M3213" t="str" cm="1">
        <f t="array" ref="M3213">IF(L3213="","",_xlfn.IFS(
  AND(L3213&gt;=TIME(9,0,0), L3213&lt;TIME(16,0,0)),"Morning",
  AND(L3213&gt;=TIME(16,0,0), L3213&lt;TIME(23,59,0)),"Evening",
  L3213&gt;=TIME(23,59,0),"Night",
  L3213&lt;TIME(9,0,0),"Night"
))</f>
        <v/>
      </c>
      <c r="O3213" t="str">
        <f t="shared" si="302"/>
        <v/>
      </c>
    </row>
    <row r="3214" spans="7:15" x14ac:dyDescent="0.25">
      <c r="G3214" t="str">
        <f t="shared" si="300"/>
        <v/>
      </c>
      <c r="H3214" s="13" t="str">
        <f t="shared" si="303"/>
        <v/>
      </c>
      <c r="I3214" t="str">
        <f>IFERROR(INDEX(Analysis!$D$116:$N$137, MATCH(B3214, Analysis!$C$116:$C$137, 0), MATCH(C3214, Analysis!$D$115:$N$115, 0)), "")</f>
        <v/>
      </c>
      <c r="J3214" t="str">
        <f t="shared" si="304"/>
        <v/>
      </c>
      <c r="K3214" s="28" t="str">
        <f t="shared" si="301"/>
        <v/>
      </c>
      <c r="L3214" s="46" t="str">
        <f t="shared" si="305"/>
        <v/>
      </c>
      <c r="M3214" t="str" cm="1">
        <f t="array" ref="M3214">IF(L3214="","",_xlfn.IFS(
  AND(L3214&gt;=TIME(9,0,0), L3214&lt;TIME(16,0,0)),"Morning",
  AND(L3214&gt;=TIME(16,0,0), L3214&lt;TIME(23,59,0)),"Evening",
  L3214&gt;=TIME(23,59,0),"Night",
  L3214&lt;TIME(9,0,0),"Night"
))</f>
        <v/>
      </c>
      <c r="O3214" t="str">
        <f t="shared" si="302"/>
        <v/>
      </c>
    </row>
    <row r="3215" spans="7:15" x14ac:dyDescent="0.25">
      <c r="G3215" t="str">
        <f t="shared" si="300"/>
        <v/>
      </c>
      <c r="H3215" s="13" t="str">
        <f t="shared" si="303"/>
        <v/>
      </c>
      <c r="I3215" t="str">
        <f>IFERROR(INDEX(Analysis!$D$116:$N$137, MATCH(B3215, Analysis!$C$116:$C$137, 0), MATCH(C3215, Analysis!$D$115:$N$115, 0)), "")</f>
        <v/>
      </c>
      <c r="J3215" t="str">
        <f t="shared" si="304"/>
        <v/>
      </c>
      <c r="K3215" s="28" t="str">
        <f t="shared" si="301"/>
        <v/>
      </c>
      <c r="L3215" s="46" t="str">
        <f t="shared" si="305"/>
        <v/>
      </c>
      <c r="M3215" t="str" cm="1">
        <f t="array" ref="M3215">IF(L3215="","",_xlfn.IFS(
  AND(L3215&gt;=TIME(9,0,0), L3215&lt;TIME(16,0,0)),"Morning",
  AND(L3215&gt;=TIME(16,0,0), L3215&lt;TIME(23,59,0)),"Evening",
  L3215&gt;=TIME(23,59,0),"Night",
  L3215&lt;TIME(9,0,0),"Night"
))</f>
        <v/>
      </c>
      <c r="O3215" t="str">
        <f t="shared" si="302"/>
        <v/>
      </c>
    </row>
    <row r="3216" spans="7:15" x14ac:dyDescent="0.25">
      <c r="G3216" t="str">
        <f t="shared" si="300"/>
        <v/>
      </c>
      <c r="H3216" s="13" t="str">
        <f t="shared" si="303"/>
        <v/>
      </c>
      <c r="I3216" t="str">
        <f>IFERROR(INDEX(Analysis!$D$116:$N$137, MATCH(B3216, Analysis!$C$116:$C$137, 0), MATCH(C3216, Analysis!$D$115:$N$115, 0)), "")</f>
        <v/>
      </c>
      <c r="J3216" t="str">
        <f t="shared" si="304"/>
        <v/>
      </c>
      <c r="K3216" s="28" t="str">
        <f t="shared" si="301"/>
        <v/>
      </c>
      <c r="L3216" s="46" t="str">
        <f t="shared" si="305"/>
        <v/>
      </c>
      <c r="M3216" t="str" cm="1">
        <f t="array" ref="M3216">IF(L3216="","",_xlfn.IFS(
  AND(L3216&gt;=TIME(9,0,0), L3216&lt;TIME(16,0,0)),"Morning",
  AND(L3216&gt;=TIME(16,0,0), L3216&lt;TIME(23,59,0)),"Evening",
  L3216&gt;=TIME(23,59,0),"Night",
  L3216&lt;TIME(9,0,0),"Night"
))</f>
        <v/>
      </c>
      <c r="O3216" t="str">
        <f t="shared" si="302"/>
        <v/>
      </c>
    </row>
    <row r="3217" spans="7:15" x14ac:dyDescent="0.25">
      <c r="G3217" t="str">
        <f t="shared" si="300"/>
        <v/>
      </c>
      <c r="H3217" s="13" t="str">
        <f t="shared" si="303"/>
        <v/>
      </c>
      <c r="I3217" t="str">
        <f>IFERROR(INDEX(Analysis!$D$116:$N$137, MATCH(B3217, Analysis!$C$116:$C$137, 0), MATCH(C3217, Analysis!$D$115:$N$115, 0)), "")</f>
        <v/>
      </c>
      <c r="J3217" t="str">
        <f t="shared" si="304"/>
        <v/>
      </c>
      <c r="K3217" s="28" t="str">
        <f t="shared" si="301"/>
        <v/>
      </c>
      <c r="L3217" s="46" t="str">
        <f t="shared" si="305"/>
        <v/>
      </c>
      <c r="M3217" t="str" cm="1">
        <f t="array" ref="M3217">IF(L3217="","",_xlfn.IFS(
  AND(L3217&gt;=TIME(9,0,0), L3217&lt;TIME(16,0,0)),"Morning",
  AND(L3217&gt;=TIME(16,0,0), L3217&lt;TIME(23,59,0)),"Evening",
  L3217&gt;=TIME(23,59,0),"Night",
  L3217&lt;TIME(9,0,0),"Night"
))</f>
        <v/>
      </c>
      <c r="O3217" t="str">
        <f t="shared" si="302"/>
        <v/>
      </c>
    </row>
    <row r="3218" spans="7:15" x14ac:dyDescent="0.25">
      <c r="G3218" t="str">
        <f t="shared" si="300"/>
        <v/>
      </c>
      <c r="H3218" s="13" t="str">
        <f t="shared" si="303"/>
        <v/>
      </c>
      <c r="I3218" t="str">
        <f>IFERROR(INDEX(Analysis!$D$116:$N$137, MATCH(B3218, Analysis!$C$116:$C$137, 0), MATCH(C3218, Analysis!$D$115:$N$115, 0)), "")</f>
        <v/>
      </c>
      <c r="J3218" t="str">
        <f t="shared" si="304"/>
        <v/>
      </c>
      <c r="K3218" s="28" t="str">
        <f t="shared" si="301"/>
        <v/>
      </c>
      <c r="L3218" s="46" t="str">
        <f t="shared" si="305"/>
        <v/>
      </c>
      <c r="M3218" t="str" cm="1">
        <f t="array" ref="M3218">IF(L3218="","",_xlfn.IFS(
  AND(L3218&gt;=TIME(9,0,0), L3218&lt;TIME(16,0,0)),"Morning",
  AND(L3218&gt;=TIME(16,0,0), L3218&lt;TIME(23,59,0)),"Evening",
  L3218&gt;=TIME(23,59,0),"Night",
  L3218&lt;TIME(9,0,0),"Night"
))</f>
        <v/>
      </c>
      <c r="O3218" t="str">
        <f t="shared" si="302"/>
        <v/>
      </c>
    </row>
    <row r="3219" spans="7:15" x14ac:dyDescent="0.25">
      <c r="G3219" t="str">
        <f t="shared" si="300"/>
        <v/>
      </c>
      <c r="H3219" s="13" t="str">
        <f t="shared" si="303"/>
        <v/>
      </c>
      <c r="I3219" t="str">
        <f>IFERROR(INDEX(Analysis!$D$116:$N$137, MATCH(B3219, Analysis!$C$116:$C$137, 0), MATCH(C3219, Analysis!$D$115:$N$115, 0)), "")</f>
        <v/>
      </c>
      <c r="J3219" t="str">
        <f t="shared" si="304"/>
        <v/>
      </c>
      <c r="K3219" s="28" t="str">
        <f t="shared" si="301"/>
        <v/>
      </c>
      <c r="L3219" s="46" t="str">
        <f t="shared" si="305"/>
        <v/>
      </c>
      <c r="M3219" t="str" cm="1">
        <f t="array" ref="M3219">IF(L3219="","",_xlfn.IFS(
  AND(L3219&gt;=TIME(9,0,0), L3219&lt;TIME(16,0,0)),"Morning",
  AND(L3219&gt;=TIME(16,0,0), L3219&lt;TIME(23,59,0)),"Evening",
  L3219&gt;=TIME(23,59,0),"Night",
  L3219&lt;TIME(9,0,0),"Night"
))</f>
        <v/>
      </c>
      <c r="O3219" t="str">
        <f t="shared" si="302"/>
        <v/>
      </c>
    </row>
    <row r="3220" spans="7:15" x14ac:dyDescent="0.25">
      <c r="G3220" t="str">
        <f t="shared" si="300"/>
        <v/>
      </c>
      <c r="H3220" s="13" t="str">
        <f t="shared" si="303"/>
        <v/>
      </c>
      <c r="I3220" t="str">
        <f>IFERROR(INDEX(Analysis!$D$116:$N$137, MATCH(B3220, Analysis!$C$116:$C$137, 0), MATCH(C3220, Analysis!$D$115:$N$115, 0)), "")</f>
        <v/>
      </c>
      <c r="J3220" t="str">
        <f t="shared" si="304"/>
        <v/>
      </c>
      <c r="K3220" s="28" t="str">
        <f t="shared" si="301"/>
        <v/>
      </c>
      <c r="L3220" s="46" t="str">
        <f t="shared" si="305"/>
        <v/>
      </c>
      <c r="M3220" t="str" cm="1">
        <f t="array" ref="M3220">IF(L3220="","",_xlfn.IFS(
  AND(L3220&gt;=TIME(9,0,0), L3220&lt;TIME(16,0,0)),"Morning",
  AND(L3220&gt;=TIME(16,0,0), L3220&lt;TIME(23,59,0)),"Evening",
  L3220&gt;=TIME(23,59,0),"Night",
  L3220&lt;TIME(9,0,0),"Night"
))</f>
        <v/>
      </c>
      <c r="O3220" t="str">
        <f t="shared" si="302"/>
        <v/>
      </c>
    </row>
    <row r="3221" spans="7:15" x14ac:dyDescent="0.25">
      <c r="G3221" t="str">
        <f t="shared" si="300"/>
        <v/>
      </c>
      <c r="H3221" s="13" t="str">
        <f t="shared" si="303"/>
        <v/>
      </c>
      <c r="I3221" t="str">
        <f>IFERROR(INDEX(Analysis!$D$116:$N$137, MATCH(B3221, Analysis!$C$116:$C$137, 0), MATCH(C3221, Analysis!$D$115:$N$115, 0)), "")</f>
        <v/>
      </c>
      <c r="J3221" t="str">
        <f t="shared" si="304"/>
        <v/>
      </c>
      <c r="K3221" s="28" t="str">
        <f t="shared" si="301"/>
        <v/>
      </c>
      <c r="L3221" s="46" t="str">
        <f t="shared" si="305"/>
        <v/>
      </c>
      <c r="M3221" t="str" cm="1">
        <f t="array" ref="M3221">IF(L3221="","",_xlfn.IFS(
  AND(L3221&gt;=TIME(9,0,0), L3221&lt;TIME(16,0,0)),"Morning",
  AND(L3221&gt;=TIME(16,0,0), L3221&lt;TIME(23,59,0)),"Evening",
  L3221&gt;=TIME(23,59,0),"Night",
  L3221&lt;TIME(9,0,0),"Night"
))</f>
        <v/>
      </c>
      <c r="O3221" t="str">
        <f t="shared" si="302"/>
        <v/>
      </c>
    </row>
    <row r="3222" spans="7:15" x14ac:dyDescent="0.25">
      <c r="G3222" t="str">
        <f t="shared" si="300"/>
        <v/>
      </c>
      <c r="H3222" s="13" t="str">
        <f t="shared" si="303"/>
        <v/>
      </c>
      <c r="I3222" t="str">
        <f>IFERROR(INDEX(Analysis!$D$116:$N$137, MATCH(B3222, Analysis!$C$116:$C$137, 0), MATCH(C3222, Analysis!$D$115:$N$115, 0)), "")</f>
        <v/>
      </c>
      <c r="J3222" t="str">
        <f t="shared" si="304"/>
        <v/>
      </c>
      <c r="K3222" s="28" t="str">
        <f t="shared" si="301"/>
        <v/>
      </c>
      <c r="L3222" s="46" t="str">
        <f t="shared" si="305"/>
        <v/>
      </c>
      <c r="M3222" t="str" cm="1">
        <f t="array" ref="M3222">IF(L3222="","",_xlfn.IFS(
  AND(L3222&gt;=TIME(9,0,0), L3222&lt;TIME(16,0,0)),"Morning",
  AND(L3222&gt;=TIME(16,0,0), L3222&lt;TIME(23,59,0)),"Evening",
  L3222&gt;=TIME(23,59,0),"Night",
  L3222&lt;TIME(9,0,0),"Night"
))</f>
        <v/>
      </c>
      <c r="O3222" t="str">
        <f t="shared" si="302"/>
        <v/>
      </c>
    </row>
    <row r="3223" spans="7:15" x14ac:dyDescent="0.25">
      <c r="G3223" t="str">
        <f t="shared" si="300"/>
        <v/>
      </c>
      <c r="H3223" s="13" t="str">
        <f t="shared" si="303"/>
        <v/>
      </c>
      <c r="I3223" t="str">
        <f>IFERROR(INDEX(Analysis!$D$116:$N$137, MATCH(B3223, Analysis!$C$116:$C$137, 0), MATCH(C3223, Analysis!$D$115:$N$115, 0)), "")</f>
        <v/>
      </c>
      <c r="J3223" t="str">
        <f t="shared" si="304"/>
        <v/>
      </c>
      <c r="K3223" s="28" t="str">
        <f t="shared" si="301"/>
        <v/>
      </c>
      <c r="L3223" s="46" t="str">
        <f t="shared" si="305"/>
        <v/>
      </c>
      <c r="M3223" t="str" cm="1">
        <f t="array" ref="M3223">IF(L3223="","",_xlfn.IFS(
  AND(L3223&gt;=TIME(9,0,0), L3223&lt;TIME(16,0,0)),"Morning",
  AND(L3223&gt;=TIME(16,0,0), L3223&lt;TIME(23,59,0)),"Evening",
  L3223&gt;=TIME(23,59,0),"Night",
  L3223&lt;TIME(9,0,0),"Night"
))</f>
        <v/>
      </c>
      <c r="O3223" t="str">
        <f t="shared" si="302"/>
        <v/>
      </c>
    </row>
    <row r="3224" spans="7:15" x14ac:dyDescent="0.25">
      <c r="G3224" t="str">
        <f t="shared" si="300"/>
        <v/>
      </c>
      <c r="H3224" s="13" t="str">
        <f t="shared" si="303"/>
        <v/>
      </c>
      <c r="I3224" t="str">
        <f>IFERROR(INDEX(Analysis!$D$116:$N$137, MATCH(B3224, Analysis!$C$116:$C$137, 0), MATCH(C3224, Analysis!$D$115:$N$115, 0)), "")</f>
        <v/>
      </c>
      <c r="J3224" t="str">
        <f t="shared" si="304"/>
        <v/>
      </c>
      <c r="K3224" s="28" t="str">
        <f t="shared" si="301"/>
        <v/>
      </c>
      <c r="L3224" s="46" t="str">
        <f t="shared" si="305"/>
        <v/>
      </c>
      <c r="M3224" t="str" cm="1">
        <f t="array" ref="M3224">IF(L3224="","",_xlfn.IFS(
  AND(L3224&gt;=TIME(9,0,0), L3224&lt;TIME(16,0,0)),"Morning",
  AND(L3224&gt;=TIME(16,0,0), L3224&lt;TIME(23,59,0)),"Evening",
  L3224&gt;=TIME(23,59,0),"Night",
  L3224&lt;TIME(9,0,0),"Night"
))</f>
        <v/>
      </c>
      <c r="O3224" t="str">
        <f t="shared" si="302"/>
        <v/>
      </c>
    </row>
    <row r="3225" spans="7:15" x14ac:dyDescent="0.25">
      <c r="G3225" t="str">
        <f t="shared" si="300"/>
        <v/>
      </c>
      <c r="H3225" s="13" t="str">
        <f t="shared" si="303"/>
        <v/>
      </c>
      <c r="I3225" t="str">
        <f>IFERROR(INDEX(Analysis!$D$116:$N$137, MATCH(B3225, Analysis!$C$116:$C$137, 0), MATCH(C3225, Analysis!$D$115:$N$115, 0)), "")</f>
        <v/>
      </c>
      <c r="J3225" t="str">
        <f t="shared" si="304"/>
        <v/>
      </c>
      <c r="K3225" s="28" t="str">
        <f t="shared" si="301"/>
        <v/>
      </c>
      <c r="L3225" s="46" t="str">
        <f t="shared" si="305"/>
        <v/>
      </c>
      <c r="M3225" t="str" cm="1">
        <f t="array" ref="M3225">IF(L3225="","",_xlfn.IFS(
  AND(L3225&gt;=TIME(9,0,0), L3225&lt;TIME(16,0,0)),"Morning",
  AND(L3225&gt;=TIME(16,0,0), L3225&lt;TIME(23,59,0)),"Evening",
  L3225&gt;=TIME(23,59,0),"Night",
  L3225&lt;TIME(9,0,0),"Night"
))</f>
        <v/>
      </c>
      <c r="O3225" t="str">
        <f t="shared" si="302"/>
        <v/>
      </c>
    </row>
    <row r="3226" spans="7:15" x14ac:dyDescent="0.25">
      <c r="G3226" t="str">
        <f t="shared" si="300"/>
        <v/>
      </c>
      <c r="H3226" s="13" t="str">
        <f t="shared" si="303"/>
        <v/>
      </c>
      <c r="I3226" t="str">
        <f>IFERROR(INDEX(Analysis!$D$116:$N$137, MATCH(B3226, Analysis!$C$116:$C$137, 0), MATCH(C3226, Analysis!$D$115:$N$115, 0)), "")</f>
        <v/>
      </c>
      <c r="J3226" t="str">
        <f t="shared" si="304"/>
        <v/>
      </c>
      <c r="K3226" s="28" t="str">
        <f t="shared" si="301"/>
        <v/>
      </c>
      <c r="L3226" s="46" t="str">
        <f t="shared" si="305"/>
        <v/>
      </c>
      <c r="M3226" t="str" cm="1">
        <f t="array" ref="M3226">IF(L3226="","",_xlfn.IFS(
  AND(L3226&gt;=TIME(9,0,0), L3226&lt;TIME(16,0,0)),"Morning",
  AND(L3226&gt;=TIME(16,0,0), L3226&lt;TIME(23,59,0)),"Evening",
  L3226&gt;=TIME(23,59,0),"Night",
  L3226&lt;TIME(9,0,0),"Night"
))</f>
        <v/>
      </c>
      <c r="O3226" t="str">
        <f t="shared" si="302"/>
        <v/>
      </c>
    </row>
    <row r="3227" spans="7:15" x14ac:dyDescent="0.25">
      <c r="G3227" t="str">
        <f t="shared" si="300"/>
        <v/>
      </c>
      <c r="H3227" s="13" t="str">
        <f t="shared" si="303"/>
        <v/>
      </c>
      <c r="I3227" t="str">
        <f>IFERROR(INDEX(Analysis!$D$116:$N$137, MATCH(B3227, Analysis!$C$116:$C$137, 0), MATCH(C3227, Analysis!$D$115:$N$115, 0)), "")</f>
        <v/>
      </c>
      <c r="J3227" t="str">
        <f t="shared" si="304"/>
        <v/>
      </c>
      <c r="K3227" s="28" t="str">
        <f t="shared" si="301"/>
        <v/>
      </c>
      <c r="L3227" s="46" t="str">
        <f t="shared" si="305"/>
        <v/>
      </c>
      <c r="M3227" t="str" cm="1">
        <f t="array" ref="M3227">IF(L3227="","",_xlfn.IFS(
  AND(L3227&gt;=TIME(9,0,0), L3227&lt;TIME(16,0,0)),"Morning",
  AND(L3227&gt;=TIME(16,0,0), L3227&lt;TIME(23,59,0)),"Evening",
  L3227&gt;=TIME(23,59,0),"Night",
  L3227&lt;TIME(9,0,0),"Night"
))</f>
        <v/>
      </c>
      <c r="O3227" t="str">
        <f t="shared" si="302"/>
        <v/>
      </c>
    </row>
    <row r="3228" spans="7:15" x14ac:dyDescent="0.25">
      <c r="G3228" t="str">
        <f t="shared" si="300"/>
        <v/>
      </c>
      <c r="H3228" s="13" t="str">
        <f t="shared" si="303"/>
        <v/>
      </c>
      <c r="I3228" t="str">
        <f>IFERROR(INDEX(Analysis!$D$116:$N$137, MATCH(B3228, Analysis!$C$116:$C$137, 0), MATCH(C3228, Analysis!$D$115:$N$115, 0)), "")</f>
        <v/>
      </c>
      <c r="J3228" t="str">
        <f t="shared" si="304"/>
        <v/>
      </c>
      <c r="K3228" s="28" t="str">
        <f t="shared" si="301"/>
        <v/>
      </c>
      <c r="L3228" s="46" t="str">
        <f t="shared" si="305"/>
        <v/>
      </c>
      <c r="M3228" t="str" cm="1">
        <f t="array" ref="M3228">IF(L3228="","",_xlfn.IFS(
  AND(L3228&gt;=TIME(9,0,0), L3228&lt;TIME(16,0,0)),"Morning",
  AND(L3228&gt;=TIME(16,0,0), L3228&lt;TIME(23,59,0)),"Evening",
  L3228&gt;=TIME(23,59,0),"Night",
  L3228&lt;TIME(9,0,0),"Night"
))</f>
        <v/>
      </c>
      <c r="O3228" t="str">
        <f t="shared" si="302"/>
        <v/>
      </c>
    </row>
    <row r="3229" spans="7:15" x14ac:dyDescent="0.25">
      <c r="G3229" t="str">
        <f t="shared" si="300"/>
        <v/>
      </c>
      <c r="H3229" s="13" t="str">
        <f t="shared" si="303"/>
        <v/>
      </c>
      <c r="I3229" t="str">
        <f>IFERROR(INDEX(Analysis!$D$116:$N$137, MATCH(B3229, Analysis!$C$116:$C$137, 0), MATCH(C3229, Analysis!$D$115:$N$115, 0)), "")</f>
        <v/>
      </c>
      <c r="J3229" t="str">
        <f t="shared" si="304"/>
        <v/>
      </c>
      <c r="K3229" s="28" t="str">
        <f t="shared" si="301"/>
        <v/>
      </c>
      <c r="L3229" s="46" t="str">
        <f t="shared" si="305"/>
        <v/>
      </c>
      <c r="M3229" t="str" cm="1">
        <f t="array" ref="M3229">IF(L3229="","",_xlfn.IFS(
  AND(L3229&gt;=TIME(9,0,0), L3229&lt;TIME(16,0,0)),"Morning",
  AND(L3229&gt;=TIME(16,0,0), L3229&lt;TIME(23,59,0)),"Evening",
  L3229&gt;=TIME(23,59,0),"Night",
  L3229&lt;TIME(9,0,0),"Night"
))</f>
        <v/>
      </c>
      <c r="O3229" t="str">
        <f t="shared" si="302"/>
        <v/>
      </c>
    </row>
    <row r="3230" spans="7:15" x14ac:dyDescent="0.25">
      <c r="G3230" t="str">
        <f t="shared" si="300"/>
        <v/>
      </c>
      <c r="H3230" s="13" t="str">
        <f t="shared" si="303"/>
        <v/>
      </c>
      <c r="I3230" t="str">
        <f>IFERROR(INDEX(Analysis!$D$116:$N$137, MATCH(B3230, Analysis!$C$116:$C$137, 0), MATCH(C3230, Analysis!$D$115:$N$115, 0)), "")</f>
        <v/>
      </c>
      <c r="J3230" t="str">
        <f t="shared" si="304"/>
        <v/>
      </c>
      <c r="K3230" s="28" t="str">
        <f t="shared" si="301"/>
        <v/>
      </c>
      <c r="L3230" s="46" t="str">
        <f t="shared" si="305"/>
        <v/>
      </c>
      <c r="M3230" t="str" cm="1">
        <f t="array" ref="M3230">IF(L3230="","",_xlfn.IFS(
  AND(L3230&gt;=TIME(9,0,0), L3230&lt;TIME(16,0,0)),"Morning",
  AND(L3230&gt;=TIME(16,0,0), L3230&lt;TIME(23,59,0)),"Evening",
  L3230&gt;=TIME(23,59,0),"Night",
  L3230&lt;TIME(9,0,0),"Night"
))</f>
        <v/>
      </c>
      <c r="O3230" t="str">
        <f t="shared" si="302"/>
        <v/>
      </c>
    </row>
    <row r="3231" spans="7:15" x14ac:dyDescent="0.25">
      <c r="G3231" t="str">
        <f t="shared" si="300"/>
        <v/>
      </c>
      <c r="H3231" s="13" t="str">
        <f t="shared" si="303"/>
        <v/>
      </c>
      <c r="I3231" t="str">
        <f>IFERROR(INDEX(Analysis!$D$116:$N$137, MATCH(B3231, Analysis!$C$116:$C$137, 0), MATCH(C3231, Analysis!$D$115:$N$115, 0)), "")</f>
        <v/>
      </c>
      <c r="J3231" t="str">
        <f t="shared" si="304"/>
        <v/>
      </c>
      <c r="K3231" s="28" t="str">
        <f t="shared" si="301"/>
        <v/>
      </c>
      <c r="L3231" s="46" t="str">
        <f t="shared" si="305"/>
        <v/>
      </c>
      <c r="M3231" t="str" cm="1">
        <f t="array" ref="M3231">IF(L3231="","",_xlfn.IFS(
  AND(L3231&gt;=TIME(9,0,0), L3231&lt;TIME(16,0,0)),"Morning",
  AND(L3231&gt;=TIME(16,0,0), L3231&lt;TIME(23,59,0)),"Evening",
  L3231&gt;=TIME(23,59,0),"Night",
  L3231&lt;TIME(9,0,0),"Night"
))</f>
        <v/>
      </c>
      <c r="O3231" t="str">
        <f t="shared" si="302"/>
        <v/>
      </c>
    </row>
    <row r="3232" spans="7:15" x14ac:dyDescent="0.25">
      <c r="G3232" t="str">
        <f t="shared" si="300"/>
        <v/>
      </c>
      <c r="H3232" s="13" t="str">
        <f t="shared" si="303"/>
        <v/>
      </c>
      <c r="I3232" t="str">
        <f>IFERROR(INDEX(Analysis!$D$116:$N$137, MATCH(B3232, Analysis!$C$116:$C$137, 0), MATCH(C3232, Analysis!$D$115:$N$115, 0)), "")</f>
        <v/>
      </c>
      <c r="J3232" t="str">
        <f t="shared" si="304"/>
        <v/>
      </c>
      <c r="K3232" s="28" t="str">
        <f t="shared" si="301"/>
        <v/>
      </c>
      <c r="L3232" s="46" t="str">
        <f t="shared" si="305"/>
        <v/>
      </c>
      <c r="M3232" t="str" cm="1">
        <f t="array" ref="M3232">IF(L3232="","",_xlfn.IFS(
  AND(L3232&gt;=TIME(9,0,0), L3232&lt;TIME(16,0,0)),"Morning",
  AND(L3232&gt;=TIME(16,0,0), L3232&lt;TIME(23,59,0)),"Evening",
  L3232&gt;=TIME(23,59,0),"Night",
  L3232&lt;TIME(9,0,0),"Night"
))</f>
        <v/>
      </c>
      <c r="O3232" t="str">
        <f t="shared" si="302"/>
        <v/>
      </c>
    </row>
    <row r="3233" spans="7:15" x14ac:dyDescent="0.25">
      <c r="G3233" t="str">
        <f t="shared" si="300"/>
        <v/>
      </c>
      <c r="H3233" s="13" t="str">
        <f t="shared" si="303"/>
        <v/>
      </c>
      <c r="I3233" t="str">
        <f>IFERROR(INDEX(Analysis!$D$116:$N$137, MATCH(B3233, Analysis!$C$116:$C$137, 0), MATCH(C3233, Analysis!$D$115:$N$115, 0)), "")</f>
        <v/>
      </c>
      <c r="J3233" t="str">
        <f t="shared" si="304"/>
        <v/>
      </c>
      <c r="K3233" s="28" t="str">
        <f t="shared" si="301"/>
        <v/>
      </c>
      <c r="L3233" s="46" t="str">
        <f t="shared" si="305"/>
        <v/>
      </c>
      <c r="M3233" t="str" cm="1">
        <f t="array" ref="M3233">IF(L3233="","",_xlfn.IFS(
  AND(L3233&gt;=TIME(9,0,0), L3233&lt;TIME(16,0,0)),"Morning",
  AND(L3233&gt;=TIME(16,0,0), L3233&lt;TIME(23,59,0)),"Evening",
  L3233&gt;=TIME(23,59,0),"Night",
  L3233&lt;TIME(9,0,0),"Night"
))</f>
        <v/>
      </c>
      <c r="O3233" t="str">
        <f t="shared" si="302"/>
        <v/>
      </c>
    </row>
    <row r="3234" spans="7:15" x14ac:dyDescent="0.25">
      <c r="G3234" t="str">
        <f t="shared" si="300"/>
        <v/>
      </c>
      <c r="H3234" s="13" t="str">
        <f t="shared" si="303"/>
        <v/>
      </c>
      <c r="I3234" t="str">
        <f>IFERROR(INDEX(Analysis!$D$116:$N$137, MATCH(B3234, Analysis!$C$116:$C$137, 0), MATCH(C3234, Analysis!$D$115:$N$115, 0)), "")</f>
        <v/>
      </c>
      <c r="J3234" t="str">
        <f t="shared" si="304"/>
        <v/>
      </c>
      <c r="K3234" s="28" t="str">
        <f t="shared" si="301"/>
        <v/>
      </c>
      <c r="L3234" s="46" t="str">
        <f t="shared" si="305"/>
        <v/>
      </c>
      <c r="M3234" t="str" cm="1">
        <f t="array" ref="M3234">IF(L3234="","",_xlfn.IFS(
  AND(L3234&gt;=TIME(9,0,0), L3234&lt;TIME(16,0,0)),"Morning",
  AND(L3234&gt;=TIME(16,0,0), L3234&lt;TIME(23,59,0)),"Evening",
  L3234&gt;=TIME(23,59,0),"Night",
  L3234&lt;TIME(9,0,0),"Night"
))</f>
        <v/>
      </c>
      <c r="O3234" t="str">
        <f t="shared" si="302"/>
        <v/>
      </c>
    </row>
    <row r="3235" spans="7:15" x14ac:dyDescent="0.25">
      <c r="G3235" t="str">
        <f t="shared" si="300"/>
        <v/>
      </c>
      <c r="H3235" s="13" t="str">
        <f t="shared" si="303"/>
        <v/>
      </c>
      <c r="I3235" t="str">
        <f>IFERROR(INDEX(Analysis!$D$116:$N$137, MATCH(B3235, Analysis!$C$116:$C$137, 0), MATCH(C3235, Analysis!$D$115:$N$115, 0)), "")</f>
        <v/>
      </c>
      <c r="J3235" t="str">
        <f t="shared" si="304"/>
        <v/>
      </c>
      <c r="K3235" s="28" t="str">
        <f t="shared" si="301"/>
        <v/>
      </c>
      <c r="L3235" s="46" t="str">
        <f t="shared" si="305"/>
        <v/>
      </c>
      <c r="M3235" t="str" cm="1">
        <f t="array" ref="M3235">IF(L3235="","",_xlfn.IFS(
  AND(L3235&gt;=TIME(9,0,0), L3235&lt;TIME(16,0,0)),"Morning",
  AND(L3235&gt;=TIME(16,0,0), L3235&lt;TIME(23,59,0)),"Evening",
  L3235&gt;=TIME(23,59,0),"Night",
  L3235&lt;TIME(9,0,0),"Night"
))</f>
        <v/>
      </c>
      <c r="O3235" t="str">
        <f t="shared" si="302"/>
        <v/>
      </c>
    </row>
    <row r="3236" spans="7:15" x14ac:dyDescent="0.25">
      <c r="G3236" t="str">
        <f t="shared" si="300"/>
        <v/>
      </c>
      <c r="H3236" s="13" t="str">
        <f t="shared" si="303"/>
        <v/>
      </c>
      <c r="I3236" t="str">
        <f>IFERROR(INDEX(Analysis!$D$116:$N$137, MATCH(B3236, Analysis!$C$116:$C$137, 0), MATCH(C3236, Analysis!$D$115:$N$115, 0)), "")</f>
        <v/>
      </c>
      <c r="J3236" t="str">
        <f t="shared" si="304"/>
        <v/>
      </c>
      <c r="K3236" s="28" t="str">
        <f t="shared" si="301"/>
        <v/>
      </c>
      <c r="L3236" s="46" t="str">
        <f t="shared" si="305"/>
        <v/>
      </c>
      <c r="M3236" t="str" cm="1">
        <f t="array" ref="M3236">IF(L3236="","",_xlfn.IFS(
  AND(L3236&gt;=TIME(9,0,0), L3236&lt;TIME(16,0,0)),"Morning",
  AND(L3236&gt;=TIME(16,0,0), L3236&lt;TIME(23,59,0)),"Evening",
  L3236&gt;=TIME(23,59,0),"Night",
  L3236&lt;TIME(9,0,0),"Night"
))</f>
        <v/>
      </c>
      <c r="O3236" t="str">
        <f t="shared" si="302"/>
        <v/>
      </c>
    </row>
    <row r="3237" spans="7:15" x14ac:dyDescent="0.25">
      <c r="G3237" t="str">
        <f t="shared" si="300"/>
        <v/>
      </c>
      <c r="H3237" s="13" t="str">
        <f t="shared" si="303"/>
        <v/>
      </c>
      <c r="I3237" t="str">
        <f>IFERROR(INDEX(Analysis!$D$116:$N$137, MATCH(B3237, Analysis!$C$116:$C$137, 0), MATCH(C3237, Analysis!$D$115:$N$115, 0)), "")</f>
        <v/>
      </c>
      <c r="J3237" t="str">
        <f t="shared" si="304"/>
        <v/>
      </c>
      <c r="K3237" s="28" t="str">
        <f t="shared" si="301"/>
        <v/>
      </c>
      <c r="L3237" s="46" t="str">
        <f t="shared" si="305"/>
        <v/>
      </c>
      <c r="M3237" t="str" cm="1">
        <f t="array" ref="M3237">IF(L3237="","",_xlfn.IFS(
  AND(L3237&gt;=TIME(9,0,0), L3237&lt;TIME(16,0,0)),"Morning",
  AND(L3237&gt;=TIME(16,0,0), L3237&lt;TIME(23,59,0)),"Evening",
  L3237&gt;=TIME(23,59,0),"Night",
  L3237&lt;TIME(9,0,0),"Night"
))</f>
        <v/>
      </c>
      <c r="O3237" t="str">
        <f t="shared" si="302"/>
        <v/>
      </c>
    </row>
    <row r="3238" spans="7:15" x14ac:dyDescent="0.25">
      <c r="G3238" t="str">
        <f t="shared" si="300"/>
        <v/>
      </c>
      <c r="H3238" s="13" t="str">
        <f t="shared" si="303"/>
        <v/>
      </c>
      <c r="I3238" t="str">
        <f>IFERROR(INDEX(Analysis!$D$116:$N$137, MATCH(B3238, Analysis!$C$116:$C$137, 0), MATCH(C3238, Analysis!$D$115:$N$115, 0)), "")</f>
        <v/>
      </c>
      <c r="J3238" t="str">
        <f t="shared" si="304"/>
        <v/>
      </c>
      <c r="K3238" s="28" t="str">
        <f t="shared" si="301"/>
        <v/>
      </c>
      <c r="L3238" s="46" t="str">
        <f t="shared" si="305"/>
        <v/>
      </c>
      <c r="M3238" t="str" cm="1">
        <f t="array" ref="M3238">IF(L3238="","",_xlfn.IFS(
  AND(L3238&gt;=TIME(9,0,0), L3238&lt;TIME(16,0,0)),"Morning",
  AND(L3238&gt;=TIME(16,0,0), L3238&lt;TIME(23,59,0)),"Evening",
  L3238&gt;=TIME(23,59,0),"Night",
  L3238&lt;TIME(9,0,0),"Night"
))</f>
        <v/>
      </c>
      <c r="O3238" t="str">
        <f t="shared" si="302"/>
        <v/>
      </c>
    </row>
    <row r="3239" spans="7:15" x14ac:dyDescent="0.25">
      <c r="G3239" t="str">
        <f t="shared" si="300"/>
        <v/>
      </c>
      <c r="H3239" s="13" t="str">
        <f t="shared" si="303"/>
        <v/>
      </c>
      <c r="I3239" t="str">
        <f>IFERROR(INDEX(Analysis!$D$116:$N$137, MATCH(B3239, Analysis!$C$116:$C$137, 0), MATCH(C3239, Analysis!$D$115:$N$115, 0)), "")</f>
        <v/>
      </c>
      <c r="J3239" t="str">
        <f t="shared" si="304"/>
        <v/>
      </c>
      <c r="K3239" s="28" t="str">
        <f t="shared" si="301"/>
        <v/>
      </c>
      <c r="L3239" s="46" t="str">
        <f t="shared" si="305"/>
        <v/>
      </c>
      <c r="M3239" t="str" cm="1">
        <f t="array" ref="M3239">IF(L3239="","",_xlfn.IFS(
  AND(L3239&gt;=TIME(9,0,0), L3239&lt;TIME(16,0,0)),"Morning",
  AND(L3239&gt;=TIME(16,0,0), L3239&lt;TIME(23,59,0)),"Evening",
  L3239&gt;=TIME(23,59,0),"Night",
  L3239&lt;TIME(9,0,0),"Night"
))</f>
        <v/>
      </c>
      <c r="O3239" t="str">
        <f t="shared" si="302"/>
        <v/>
      </c>
    </row>
    <row r="3240" spans="7:15" x14ac:dyDescent="0.25">
      <c r="G3240" t="str">
        <f t="shared" si="300"/>
        <v/>
      </c>
      <c r="H3240" s="13" t="str">
        <f t="shared" si="303"/>
        <v/>
      </c>
      <c r="I3240" t="str">
        <f>IFERROR(INDEX(Analysis!$D$116:$N$137, MATCH(B3240, Analysis!$C$116:$C$137, 0), MATCH(C3240, Analysis!$D$115:$N$115, 0)), "")</f>
        <v/>
      </c>
      <c r="J3240" t="str">
        <f t="shared" si="304"/>
        <v/>
      </c>
      <c r="K3240" s="28" t="str">
        <f t="shared" si="301"/>
        <v/>
      </c>
      <c r="L3240" s="46" t="str">
        <f t="shared" si="305"/>
        <v/>
      </c>
      <c r="M3240" t="str" cm="1">
        <f t="array" ref="M3240">IF(L3240="","",_xlfn.IFS(
  AND(L3240&gt;=TIME(9,0,0), L3240&lt;TIME(16,0,0)),"Morning",
  AND(L3240&gt;=TIME(16,0,0), L3240&lt;TIME(23,59,0)),"Evening",
  L3240&gt;=TIME(23,59,0),"Night",
  L3240&lt;TIME(9,0,0),"Night"
))</f>
        <v/>
      </c>
      <c r="O3240" t="str">
        <f t="shared" si="302"/>
        <v/>
      </c>
    </row>
    <row r="3241" spans="7:15" x14ac:dyDescent="0.25">
      <c r="G3241" t="str">
        <f t="shared" si="300"/>
        <v/>
      </c>
      <c r="H3241" s="13" t="str">
        <f t="shared" si="303"/>
        <v/>
      </c>
      <c r="I3241" t="str">
        <f>IFERROR(INDEX(Analysis!$D$116:$N$137, MATCH(B3241, Analysis!$C$116:$C$137, 0), MATCH(C3241, Analysis!$D$115:$N$115, 0)), "")</f>
        <v/>
      </c>
      <c r="J3241" t="str">
        <f t="shared" si="304"/>
        <v/>
      </c>
      <c r="K3241" s="28" t="str">
        <f t="shared" si="301"/>
        <v/>
      </c>
      <c r="L3241" s="46" t="str">
        <f t="shared" si="305"/>
        <v/>
      </c>
      <c r="M3241" t="str" cm="1">
        <f t="array" ref="M3241">IF(L3241="","",_xlfn.IFS(
  AND(L3241&gt;=TIME(9,0,0), L3241&lt;TIME(16,0,0)),"Morning",
  AND(L3241&gt;=TIME(16,0,0), L3241&lt;TIME(23,59,0)),"Evening",
  L3241&gt;=TIME(23,59,0),"Night",
  L3241&lt;TIME(9,0,0),"Night"
))</f>
        <v/>
      </c>
      <c r="O3241" t="str">
        <f t="shared" si="302"/>
        <v/>
      </c>
    </row>
    <row r="3242" spans="7:15" x14ac:dyDescent="0.25">
      <c r="G3242" t="str">
        <f t="shared" si="300"/>
        <v/>
      </c>
      <c r="H3242" s="13" t="str">
        <f t="shared" si="303"/>
        <v/>
      </c>
      <c r="I3242" t="str">
        <f>IFERROR(INDEX(Analysis!$D$116:$N$137, MATCH(B3242, Analysis!$C$116:$C$137, 0), MATCH(C3242, Analysis!$D$115:$N$115, 0)), "")</f>
        <v/>
      </c>
      <c r="J3242" t="str">
        <f t="shared" si="304"/>
        <v/>
      </c>
      <c r="K3242" s="28" t="str">
        <f t="shared" si="301"/>
        <v/>
      </c>
      <c r="L3242" s="46" t="str">
        <f t="shared" si="305"/>
        <v/>
      </c>
      <c r="M3242" t="str" cm="1">
        <f t="array" ref="M3242">IF(L3242="","",_xlfn.IFS(
  AND(L3242&gt;=TIME(9,0,0), L3242&lt;TIME(16,0,0)),"Morning",
  AND(L3242&gt;=TIME(16,0,0), L3242&lt;TIME(23,59,0)),"Evening",
  L3242&gt;=TIME(23,59,0),"Night",
  L3242&lt;TIME(9,0,0),"Night"
))</f>
        <v/>
      </c>
      <c r="O3242" t="str">
        <f t="shared" si="302"/>
        <v/>
      </c>
    </row>
    <row r="3243" spans="7:15" x14ac:dyDescent="0.25">
      <c r="G3243" t="str">
        <f t="shared" si="300"/>
        <v/>
      </c>
      <c r="H3243" s="13" t="str">
        <f t="shared" si="303"/>
        <v/>
      </c>
      <c r="I3243" t="str">
        <f>IFERROR(INDEX(Analysis!$D$116:$N$137, MATCH(B3243, Analysis!$C$116:$C$137, 0), MATCH(C3243, Analysis!$D$115:$N$115, 0)), "")</f>
        <v/>
      </c>
      <c r="J3243" t="str">
        <f t="shared" si="304"/>
        <v/>
      </c>
      <c r="K3243" s="28" t="str">
        <f t="shared" si="301"/>
        <v/>
      </c>
      <c r="L3243" s="46" t="str">
        <f t="shared" si="305"/>
        <v/>
      </c>
      <c r="M3243" t="str" cm="1">
        <f t="array" ref="M3243">IF(L3243="","",_xlfn.IFS(
  AND(L3243&gt;=TIME(9,0,0), L3243&lt;TIME(16,0,0)),"Morning",
  AND(L3243&gt;=TIME(16,0,0), L3243&lt;TIME(23,59,0)),"Evening",
  L3243&gt;=TIME(23,59,0),"Night",
  L3243&lt;TIME(9,0,0),"Night"
))</f>
        <v/>
      </c>
      <c r="O3243" t="str">
        <f t="shared" si="302"/>
        <v/>
      </c>
    </row>
    <row r="3244" spans="7:15" x14ac:dyDescent="0.25">
      <c r="G3244" t="str">
        <f t="shared" si="300"/>
        <v/>
      </c>
      <c r="H3244" s="13" t="str">
        <f t="shared" si="303"/>
        <v/>
      </c>
      <c r="I3244" t="str">
        <f>IFERROR(INDEX(Analysis!$D$116:$N$137, MATCH(B3244, Analysis!$C$116:$C$137, 0), MATCH(C3244, Analysis!$D$115:$N$115, 0)), "")</f>
        <v/>
      </c>
      <c r="J3244" t="str">
        <f t="shared" si="304"/>
        <v/>
      </c>
      <c r="K3244" s="28" t="str">
        <f t="shared" si="301"/>
        <v/>
      </c>
      <c r="L3244" s="46" t="str">
        <f t="shared" si="305"/>
        <v/>
      </c>
      <c r="M3244" t="str" cm="1">
        <f t="array" ref="M3244">IF(L3244="","",_xlfn.IFS(
  AND(L3244&gt;=TIME(9,0,0), L3244&lt;TIME(16,0,0)),"Morning",
  AND(L3244&gt;=TIME(16,0,0), L3244&lt;TIME(23,59,0)),"Evening",
  L3244&gt;=TIME(23,59,0),"Night",
  L3244&lt;TIME(9,0,0),"Night"
))</f>
        <v/>
      </c>
      <c r="O3244" t="str">
        <f t="shared" si="302"/>
        <v/>
      </c>
    </row>
    <row r="3245" spans="7:15" x14ac:dyDescent="0.25">
      <c r="G3245" t="str">
        <f t="shared" si="300"/>
        <v/>
      </c>
      <c r="H3245" s="13" t="str">
        <f t="shared" si="303"/>
        <v/>
      </c>
      <c r="I3245" t="str">
        <f>IFERROR(INDEX(Analysis!$D$116:$N$137, MATCH(B3245, Analysis!$C$116:$C$137, 0), MATCH(C3245, Analysis!$D$115:$N$115, 0)), "")</f>
        <v/>
      </c>
      <c r="J3245" t="str">
        <f t="shared" si="304"/>
        <v/>
      </c>
      <c r="K3245" s="28" t="str">
        <f t="shared" si="301"/>
        <v/>
      </c>
      <c r="L3245" s="46" t="str">
        <f t="shared" si="305"/>
        <v/>
      </c>
      <c r="M3245" t="str" cm="1">
        <f t="array" ref="M3245">IF(L3245="","",_xlfn.IFS(
  AND(L3245&gt;=TIME(9,0,0), L3245&lt;TIME(16,0,0)),"Morning",
  AND(L3245&gt;=TIME(16,0,0), L3245&lt;TIME(23,59,0)),"Evening",
  L3245&gt;=TIME(23,59,0),"Night",
  L3245&lt;TIME(9,0,0),"Night"
))</f>
        <v/>
      </c>
      <c r="O3245" t="str">
        <f t="shared" si="302"/>
        <v/>
      </c>
    </row>
    <row r="3246" spans="7:15" x14ac:dyDescent="0.25">
      <c r="G3246" t="str">
        <f t="shared" si="300"/>
        <v/>
      </c>
      <c r="H3246" s="13" t="str">
        <f t="shared" si="303"/>
        <v/>
      </c>
      <c r="I3246" t="str">
        <f>IFERROR(INDEX(Analysis!$D$116:$N$137, MATCH(B3246, Analysis!$C$116:$C$137, 0), MATCH(C3246, Analysis!$D$115:$N$115, 0)), "")</f>
        <v/>
      </c>
      <c r="J3246" t="str">
        <f t="shared" si="304"/>
        <v/>
      </c>
      <c r="K3246" s="28" t="str">
        <f t="shared" si="301"/>
        <v/>
      </c>
      <c r="L3246" s="46" t="str">
        <f t="shared" si="305"/>
        <v/>
      </c>
      <c r="M3246" t="str" cm="1">
        <f t="array" ref="M3246">IF(L3246="","",_xlfn.IFS(
  AND(L3246&gt;=TIME(9,0,0), L3246&lt;TIME(16,0,0)),"Morning",
  AND(L3246&gt;=TIME(16,0,0), L3246&lt;TIME(23,59,0)),"Evening",
  L3246&gt;=TIME(23,59,0),"Night",
  L3246&lt;TIME(9,0,0),"Night"
))</f>
        <v/>
      </c>
      <c r="O3246" t="str">
        <f t="shared" si="302"/>
        <v/>
      </c>
    </row>
    <row r="3247" spans="7:15" x14ac:dyDescent="0.25">
      <c r="G3247" t="str">
        <f t="shared" si="300"/>
        <v/>
      </c>
      <c r="H3247" s="13" t="str">
        <f t="shared" si="303"/>
        <v/>
      </c>
      <c r="I3247" t="str">
        <f>IFERROR(INDEX(Analysis!$D$116:$N$137, MATCH(B3247, Analysis!$C$116:$C$137, 0), MATCH(C3247, Analysis!$D$115:$N$115, 0)), "")</f>
        <v/>
      </c>
      <c r="J3247" t="str">
        <f t="shared" si="304"/>
        <v/>
      </c>
      <c r="K3247" s="28" t="str">
        <f t="shared" si="301"/>
        <v/>
      </c>
      <c r="L3247" s="46" t="str">
        <f t="shared" si="305"/>
        <v/>
      </c>
      <c r="M3247" t="str" cm="1">
        <f t="array" ref="M3247">IF(L3247="","",_xlfn.IFS(
  AND(L3247&gt;=TIME(9,0,0), L3247&lt;TIME(16,0,0)),"Morning",
  AND(L3247&gt;=TIME(16,0,0), L3247&lt;TIME(23,59,0)),"Evening",
  L3247&gt;=TIME(23,59,0),"Night",
  L3247&lt;TIME(9,0,0),"Night"
))</f>
        <v/>
      </c>
      <c r="O3247" t="str">
        <f t="shared" si="302"/>
        <v/>
      </c>
    </row>
    <row r="3248" spans="7:15" x14ac:dyDescent="0.25">
      <c r="G3248" t="str">
        <f t="shared" si="300"/>
        <v/>
      </c>
      <c r="H3248" s="13" t="str">
        <f t="shared" si="303"/>
        <v/>
      </c>
      <c r="I3248" t="str">
        <f>IFERROR(INDEX(Analysis!$D$116:$N$137, MATCH(B3248, Analysis!$C$116:$C$137, 0), MATCH(C3248, Analysis!$D$115:$N$115, 0)), "")</f>
        <v/>
      </c>
      <c r="J3248" t="str">
        <f t="shared" si="304"/>
        <v/>
      </c>
      <c r="K3248" s="28" t="str">
        <f t="shared" si="301"/>
        <v/>
      </c>
      <c r="L3248" s="46" t="str">
        <f t="shared" si="305"/>
        <v/>
      </c>
      <c r="M3248" t="str" cm="1">
        <f t="array" ref="M3248">IF(L3248="","",_xlfn.IFS(
  AND(L3248&gt;=TIME(9,0,0), L3248&lt;TIME(16,0,0)),"Morning",
  AND(L3248&gt;=TIME(16,0,0), L3248&lt;TIME(23,59,0)),"Evening",
  L3248&gt;=TIME(23,59,0),"Night",
  L3248&lt;TIME(9,0,0),"Night"
))</f>
        <v/>
      </c>
      <c r="O3248" t="str">
        <f t="shared" si="302"/>
        <v/>
      </c>
    </row>
    <row r="3249" spans="7:15" x14ac:dyDescent="0.25">
      <c r="G3249" t="str">
        <f t="shared" si="300"/>
        <v/>
      </c>
      <c r="H3249" s="13" t="str">
        <f t="shared" si="303"/>
        <v/>
      </c>
      <c r="I3249" t="str">
        <f>IFERROR(INDEX(Analysis!$D$116:$N$137, MATCH(B3249, Analysis!$C$116:$C$137, 0), MATCH(C3249, Analysis!$D$115:$N$115, 0)), "")</f>
        <v/>
      </c>
      <c r="J3249" t="str">
        <f t="shared" si="304"/>
        <v/>
      </c>
      <c r="K3249" s="28" t="str">
        <f t="shared" si="301"/>
        <v/>
      </c>
      <c r="L3249" s="46" t="str">
        <f t="shared" si="305"/>
        <v/>
      </c>
      <c r="M3249" t="str" cm="1">
        <f t="array" ref="M3249">IF(L3249="","",_xlfn.IFS(
  AND(L3249&gt;=TIME(9,0,0), L3249&lt;TIME(16,0,0)),"Morning",
  AND(L3249&gt;=TIME(16,0,0), L3249&lt;TIME(23,59,0)),"Evening",
  L3249&gt;=TIME(23,59,0),"Night",
  L3249&lt;TIME(9,0,0),"Night"
))</f>
        <v/>
      </c>
      <c r="O3249" t="str">
        <f t="shared" si="302"/>
        <v/>
      </c>
    </row>
    <row r="3250" spans="7:15" x14ac:dyDescent="0.25">
      <c r="G3250" t="str">
        <f t="shared" si="300"/>
        <v/>
      </c>
      <c r="H3250" s="13" t="str">
        <f t="shared" si="303"/>
        <v/>
      </c>
      <c r="I3250" t="str">
        <f>IFERROR(INDEX(Analysis!$D$116:$N$137, MATCH(B3250, Analysis!$C$116:$C$137, 0), MATCH(C3250, Analysis!$D$115:$N$115, 0)), "")</f>
        <v/>
      </c>
      <c r="J3250" t="str">
        <f t="shared" si="304"/>
        <v/>
      </c>
      <c r="K3250" s="28" t="str">
        <f t="shared" si="301"/>
        <v/>
      </c>
      <c r="L3250" s="46" t="str">
        <f t="shared" si="305"/>
        <v/>
      </c>
      <c r="M3250" t="str" cm="1">
        <f t="array" ref="M3250">IF(L3250="","",_xlfn.IFS(
  AND(L3250&gt;=TIME(9,0,0), L3250&lt;TIME(16,0,0)),"Morning",
  AND(L3250&gt;=TIME(16,0,0), L3250&lt;TIME(23,59,0)),"Evening",
  L3250&gt;=TIME(23,59,0),"Night",
  L3250&lt;TIME(9,0,0),"Night"
))</f>
        <v/>
      </c>
      <c r="O3250" t="str">
        <f t="shared" si="302"/>
        <v/>
      </c>
    </row>
    <row r="3251" spans="7:15" x14ac:dyDescent="0.25">
      <c r="G3251" t="str">
        <f t="shared" si="300"/>
        <v/>
      </c>
      <c r="H3251" s="13" t="str">
        <f t="shared" si="303"/>
        <v/>
      </c>
      <c r="I3251" t="str">
        <f>IFERROR(INDEX(Analysis!$D$116:$N$137, MATCH(B3251, Analysis!$C$116:$C$137, 0), MATCH(C3251, Analysis!$D$115:$N$115, 0)), "")</f>
        <v/>
      </c>
      <c r="J3251" t="str">
        <f t="shared" si="304"/>
        <v/>
      </c>
      <c r="K3251" s="28" t="str">
        <f t="shared" si="301"/>
        <v/>
      </c>
      <c r="L3251" s="46" t="str">
        <f t="shared" si="305"/>
        <v/>
      </c>
      <c r="M3251" t="str" cm="1">
        <f t="array" ref="M3251">IF(L3251="","",_xlfn.IFS(
  AND(L3251&gt;=TIME(9,0,0), L3251&lt;TIME(16,0,0)),"Morning",
  AND(L3251&gt;=TIME(16,0,0), L3251&lt;TIME(23,59,0)),"Evening",
  L3251&gt;=TIME(23,59,0),"Night",
  L3251&lt;TIME(9,0,0),"Night"
))</f>
        <v/>
      </c>
      <c r="O3251" t="str">
        <f t="shared" si="302"/>
        <v/>
      </c>
    </row>
    <row r="3252" spans="7:15" x14ac:dyDescent="0.25">
      <c r="G3252" t="str">
        <f t="shared" si="300"/>
        <v/>
      </c>
      <c r="H3252" s="13" t="str">
        <f t="shared" si="303"/>
        <v/>
      </c>
      <c r="I3252" t="str">
        <f>IFERROR(INDEX(Analysis!$D$116:$N$137, MATCH(B3252, Analysis!$C$116:$C$137, 0), MATCH(C3252, Analysis!$D$115:$N$115, 0)), "")</f>
        <v/>
      </c>
      <c r="J3252" t="str">
        <f t="shared" si="304"/>
        <v/>
      </c>
      <c r="K3252" s="28" t="str">
        <f t="shared" si="301"/>
        <v/>
      </c>
      <c r="L3252" s="46" t="str">
        <f t="shared" si="305"/>
        <v/>
      </c>
      <c r="M3252" t="str" cm="1">
        <f t="array" ref="M3252">IF(L3252="","",_xlfn.IFS(
  AND(L3252&gt;=TIME(9,0,0), L3252&lt;TIME(16,0,0)),"Morning",
  AND(L3252&gt;=TIME(16,0,0), L3252&lt;TIME(23,59,0)),"Evening",
  L3252&gt;=TIME(23,59,0),"Night",
  L3252&lt;TIME(9,0,0),"Night"
))</f>
        <v/>
      </c>
      <c r="O3252" t="str">
        <f t="shared" si="302"/>
        <v/>
      </c>
    </row>
    <row r="3253" spans="7:15" x14ac:dyDescent="0.25">
      <c r="G3253" t="str">
        <f t="shared" si="300"/>
        <v/>
      </c>
      <c r="H3253" s="13" t="str">
        <f t="shared" si="303"/>
        <v/>
      </c>
      <c r="I3253" t="str">
        <f>IFERROR(INDEX(Analysis!$D$116:$N$137, MATCH(B3253, Analysis!$C$116:$C$137, 0), MATCH(C3253, Analysis!$D$115:$N$115, 0)), "")</f>
        <v/>
      </c>
      <c r="J3253" t="str">
        <f t="shared" si="304"/>
        <v/>
      </c>
      <c r="K3253" s="28" t="str">
        <f t="shared" si="301"/>
        <v/>
      </c>
      <c r="L3253" s="46" t="str">
        <f t="shared" si="305"/>
        <v/>
      </c>
      <c r="M3253" t="str" cm="1">
        <f t="array" ref="M3253">IF(L3253="","",_xlfn.IFS(
  AND(L3253&gt;=TIME(9,0,0), L3253&lt;TIME(16,0,0)),"Morning",
  AND(L3253&gt;=TIME(16,0,0), L3253&lt;TIME(23,59,0)),"Evening",
  L3253&gt;=TIME(23,59,0),"Night",
  L3253&lt;TIME(9,0,0),"Night"
))</f>
        <v/>
      </c>
      <c r="O3253" t="str">
        <f t="shared" si="302"/>
        <v/>
      </c>
    </row>
    <row r="3254" spans="7:15" x14ac:dyDescent="0.25">
      <c r="G3254" t="str">
        <f t="shared" si="300"/>
        <v/>
      </c>
      <c r="H3254" s="13" t="str">
        <f t="shared" si="303"/>
        <v/>
      </c>
      <c r="I3254" t="str">
        <f>IFERROR(INDEX(Analysis!$D$116:$N$137, MATCH(B3254, Analysis!$C$116:$C$137, 0), MATCH(C3254, Analysis!$D$115:$N$115, 0)), "")</f>
        <v/>
      </c>
      <c r="J3254" t="str">
        <f t="shared" si="304"/>
        <v/>
      </c>
      <c r="K3254" s="28" t="str">
        <f t="shared" si="301"/>
        <v/>
      </c>
      <c r="L3254" s="46" t="str">
        <f t="shared" si="305"/>
        <v/>
      </c>
      <c r="M3254" t="str" cm="1">
        <f t="array" ref="M3254">IF(L3254="","",_xlfn.IFS(
  AND(L3254&gt;=TIME(9,0,0), L3254&lt;TIME(16,0,0)),"Morning",
  AND(L3254&gt;=TIME(16,0,0), L3254&lt;TIME(23,59,0)),"Evening",
  L3254&gt;=TIME(23,59,0),"Night",
  L3254&lt;TIME(9,0,0),"Night"
))</f>
        <v/>
      </c>
      <c r="O3254" t="str">
        <f t="shared" si="302"/>
        <v/>
      </c>
    </row>
    <row r="3255" spans="7:15" x14ac:dyDescent="0.25">
      <c r="G3255" t="str">
        <f t="shared" si="300"/>
        <v/>
      </c>
      <c r="H3255" s="13" t="str">
        <f t="shared" si="303"/>
        <v/>
      </c>
      <c r="I3255" t="str">
        <f>IFERROR(INDEX(Analysis!$D$116:$N$137, MATCH(B3255, Analysis!$C$116:$C$137, 0), MATCH(C3255, Analysis!$D$115:$N$115, 0)), "")</f>
        <v/>
      </c>
      <c r="J3255" t="str">
        <f t="shared" si="304"/>
        <v/>
      </c>
      <c r="K3255" s="28" t="str">
        <f t="shared" si="301"/>
        <v/>
      </c>
      <c r="L3255" s="46" t="str">
        <f t="shared" si="305"/>
        <v/>
      </c>
      <c r="M3255" t="str" cm="1">
        <f t="array" ref="M3255">IF(L3255="","",_xlfn.IFS(
  AND(L3255&gt;=TIME(9,0,0), L3255&lt;TIME(16,0,0)),"Morning",
  AND(L3255&gt;=TIME(16,0,0), L3255&lt;TIME(23,59,0)),"Evening",
  L3255&gt;=TIME(23,59,0),"Night",
  L3255&lt;TIME(9,0,0),"Night"
))</f>
        <v/>
      </c>
      <c r="O3255" t="str">
        <f t="shared" si="302"/>
        <v/>
      </c>
    </row>
    <row r="3256" spans="7:15" x14ac:dyDescent="0.25">
      <c r="G3256" t="str">
        <f t="shared" si="300"/>
        <v/>
      </c>
      <c r="H3256" s="13" t="str">
        <f t="shared" si="303"/>
        <v/>
      </c>
      <c r="I3256" t="str">
        <f>IFERROR(INDEX(Analysis!$D$116:$N$137, MATCH(B3256, Analysis!$C$116:$C$137, 0), MATCH(C3256, Analysis!$D$115:$N$115, 0)), "")</f>
        <v/>
      </c>
      <c r="J3256" t="str">
        <f t="shared" si="304"/>
        <v/>
      </c>
      <c r="K3256" s="28" t="str">
        <f t="shared" si="301"/>
        <v/>
      </c>
      <c r="L3256" s="46" t="str">
        <f t="shared" si="305"/>
        <v/>
      </c>
      <c r="M3256" t="str" cm="1">
        <f t="array" ref="M3256">IF(L3256="","",_xlfn.IFS(
  AND(L3256&gt;=TIME(9,0,0), L3256&lt;TIME(16,0,0)),"Morning",
  AND(L3256&gt;=TIME(16,0,0), L3256&lt;TIME(23,59,0)),"Evening",
  L3256&gt;=TIME(23,59,0),"Night",
  L3256&lt;TIME(9,0,0),"Night"
))</f>
        <v/>
      </c>
      <c r="O3256" t="str">
        <f t="shared" si="302"/>
        <v/>
      </c>
    </row>
    <row r="3257" spans="7:15" x14ac:dyDescent="0.25">
      <c r="G3257" t="str">
        <f t="shared" si="300"/>
        <v/>
      </c>
      <c r="H3257" s="13" t="str">
        <f t="shared" si="303"/>
        <v/>
      </c>
      <c r="I3257" t="str">
        <f>IFERROR(INDEX(Analysis!$D$116:$N$137, MATCH(B3257, Analysis!$C$116:$C$137, 0), MATCH(C3257, Analysis!$D$115:$N$115, 0)), "")</f>
        <v/>
      </c>
      <c r="J3257" t="str">
        <f t="shared" si="304"/>
        <v/>
      </c>
      <c r="K3257" s="28" t="str">
        <f t="shared" si="301"/>
        <v/>
      </c>
      <c r="L3257" s="46" t="str">
        <f t="shared" si="305"/>
        <v/>
      </c>
      <c r="M3257" t="str" cm="1">
        <f t="array" ref="M3257">IF(L3257="","",_xlfn.IFS(
  AND(L3257&gt;=TIME(9,0,0), L3257&lt;TIME(16,0,0)),"Morning",
  AND(L3257&gt;=TIME(16,0,0), L3257&lt;TIME(23,59,0)),"Evening",
  L3257&gt;=TIME(23,59,0),"Night",
  L3257&lt;TIME(9,0,0),"Night"
))</f>
        <v/>
      </c>
      <c r="O3257" t="str">
        <f t="shared" si="302"/>
        <v/>
      </c>
    </row>
    <row r="3258" spans="7:15" x14ac:dyDescent="0.25">
      <c r="G3258" t="str">
        <f t="shared" si="300"/>
        <v/>
      </c>
      <c r="H3258" s="13" t="str">
        <f t="shared" si="303"/>
        <v/>
      </c>
      <c r="I3258" t="str">
        <f>IFERROR(INDEX(Analysis!$D$116:$N$137, MATCH(B3258, Analysis!$C$116:$C$137, 0), MATCH(C3258, Analysis!$D$115:$N$115, 0)), "")</f>
        <v/>
      </c>
      <c r="J3258" t="str">
        <f t="shared" si="304"/>
        <v/>
      </c>
      <c r="K3258" s="28" t="str">
        <f t="shared" si="301"/>
        <v/>
      </c>
      <c r="L3258" s="46" t="str">
        <f t="shared" si="305"/>
        <v/>
      </c>
      <c r="M3258" t="str" cm="1">
        <f t="array" ref="M3258">IF(L3258="","",_xlfn.IFS(
  AND(L3258&gt;=TIME(9,0,0), L3258&lt;TIME(16,0,0)),"Morning",
  AND(L3258&gt;=TIME(16,0,0), L3258&lt;TIME(23,59,0)),"Evening",
  L3258&gt;=TIME(23,59,0),"Night",
  L3258&lt;TIME(9,0,0),"Night"
))</f>
        <v/>
      </c>
      <c r="O3258" t="str">
        <f t="shared" si="302"/>
        <v/>
      </c>
    </row>
    <row r="3259" spans="7:15" x14ac:dyDescent="0.25">
      <c r="G3259" t="str">
        <f t="shared" si="300"/>
        <v/>
      </c>
      <c r="H3259" s="13" t="str">
        <f t="shared" si="303"/>
        <v/>
      </c>
      <c r="I3259" t="str">
        <f>IFERROR(INDEX(Analysis!$D$116:$N$137, MATCH(B3259, Analysis!$C$116:$C$137, 0), MATCH(C3259, Analysis!$D$115:$N$115, 0)), "")</f>
        <v/>
      </c>
      <c r="J3259" t="str">
        <f t="shared" si="304"/>
        <v/>
      </c>
      <c r="K3259" s="28" t="str">
        <f t="shared" si="301"/>
        <v/>
      </c>
      <c r="L3259" s="46" t="str">
        <f t="shared" si="305"/>
        <v/>
      </c>
      <c r="M3259" t="str" cm="1">
        <f t="array" ref="M3259">IF(L3259="","",_xlfn.IFS(
  AND(L3259&gt;=TIME(9,0,0), L3259&lt;TIME(16,0,0)),"Morning",
  AND(L3259&gt;=TIME(16,0,0), L3259&lt;TIME(23,59,0)),"Evening",
  L3259&gt;=TIME(23,59,0),"Night",
  L3259&lt;TIME(9,0,0),"Night"
))</f>
        <v/>
      </c>
      <c r="O3259" t="str">
        <f t="shared" si="302"/>
        <v/>
      </c>
    </row>
    <row r="3260" spans="7:15" x14ac:dyDescent="0.25">
      <c r="G3260" t="str">
        <f t="shared" si="300"/>
        <v/>
      </c>
      <c r="H3260" s="13" t="str">
        <f t="shared" si="303"/>
        <v/>
      </c>
      <c r="I3260" t="str">
        <f>IFERROR(INDEX(Analysis!$D$116:$N$137, MATCH(B3260, Analysis!$C$116:$C$137, 0), MATCH(C3260, Analysis!$D$115:$N$115, 0)), "")</f>
        <v/>
      </c>
      <c r="J3260" t="str">
        <f t="shared" si="304"/>
        <v/>
      </c>
      <c r="K3260" s="28" t="str">
        <f t="shared" si="301"/>
        <v/>
      </c>
      <c r="L3260" s="46" t="str">
        <f t="shared" si="305"/>
        <v/>
      </c>
      <c r="M3260" t="str" cm="1">
        <f t="array" ref="M3260">IF(L3260="","",_xlfn.IFS(
  AND(L3260&gt;=TIME(9,0,0), L3260&lt;TIME(16,0,0)),"Morning",
  AND(L3260&gt;=TIME(16,0,0), L3260&lt;TIME(23,59,0)),"Evening",
  L3260&gt;=TIME(23,59,0),"Night",
  L3260&lt;TIME(9,0,0),"Night"
))</f>
        <v/>
      </c>
      <c r="O3260" t="str">
        <f t="shared" si="302"/>
        <v/>
      </c>
    </row>
    <row r="3261" spans="7:15" x14ac:dyDescent="0.25">
      <c r="G3261" t="str">
        <f t="shared" si="300"/>
        <v/>
      </c>
      <c r="H3261" s="13" t="str">
        <f t="shared" si="303"/>
        <v/>
      </c>
      <c r="I3261" t="str">
        <f>IFERROR(INDEX(Analysis!$D$116:$N$137, MATCH(B3261, Analysis!$C$116:$C$137, 0), MATCH(C3261, Analysis!$D$115:$N$115, 0)), "")</f>
        <v/>
      </c>
      <c r="J3261" t="str">
        <f t="shared" si="304"/>
        <v/>
      </c>
      <c r="K3261" s="28" t="str">
        <f t="shared" si="301"/>
        <v/>
      </c>
      <c r="L3261" s="46" t="str">
        <f t="shared" si="305"/>
        <v/>
      </c>
      <c r="M3261" t="str" cm="1">
        <f t="array" ref="M3261">IF(L3261="","",_xlfn.IFS(
  AND(L3261&gt;=TIME(9,0,0), L3261&lt;TIME(16,0,0)),"Morning",
  AND(L3261&gt;=TIME(16,0,0), L3261&lt;TIME(23,59,0)),"Evening",
  L3261&gt;=TIME(23,59,0),"Night",
  L3261&lt;TIME(9,0,0),"Night"
))</f>
        <v/>
      </c>
      <c r="O3261" t="str">
        <f t="shared" si="302"/>
        <v/>
      </c>
    </row>
    <row r="3262" spans="7:15" x14ac:dyDescent="0.25">
      <c r="G3262" t="str">
        <f t="shared" si="300"/>
        <v/>
      </c>
      <c r="H3262" s="13" t="str">
        <f t="shared" si="303"/>
        <v/>
      </c>
      <c r="I3262" t="str">
        <f>IFERROR(INDEX(Analysis!$D$116:$N$137, MATCH(B3262, Analysis!$C$116:$C$137, 0), MATCH(C3262, Analysis!$D$115:$N$115, 0)), "")</f>
        <v/>
      </c>
      <c r="J3262" t="str">
        <f t="shared" si="304"/>
        <v/>
      </c>
      <c r="K3262" s="28" t="str">
        <f t="shared" si="301"/>
        <v/>
      </c>
      <c r="L3262" s="46" t="str">
        <f t="shared" si="305"/>
        <v/>
      </c>
      <c r="M3262" t="str" cm="1">
        <f t="array" ref="M3262">IF(L3262="","",_xlfn.IFS(
  AND(L3262&gt;=TIME(9,0,0), L3262&lt;TIME(16,0,0)),"Morning",
  AND(L3262&gt;=TIME(16,0,0), L3262&lt;TIME(23,59,0)),"Evening",
  L3262&gt;=TIME(23,59,0),"Night",
  L3262&lt;TIME(9,0,0),"Night"
))</f>
        <v/>
      </c>
      <c r="O3262" t="str">
        <f t="shared" si="302"/>
        <v/>
      </c>
    </row>
    <row r="3263" spans="7:15" x14ac:dyDescent="0.25">
      <c r="G3263" t="str">
        <f t="shared" si="300"/>
        <v/>
      </c>
      <c r="H3263" s="13" t="str">
        <f t="shared" si="303"/>
        <v/>
      </c>
      <c r="I3263" t="str">
        <f>IFERROR(INDEX(Analysis!$D$116:$N$137, MATCH(B3263, Analysis!$C$116:$C$137, 0), MATCH(C3263, Analysis!$D$115:$N$115, 0)), "")</f>
        <v/>
      </c>
      <c r="J3263" t="str">
        <f t="shared" si="304"/>
        <v/>
      </c>
      <c r="K3263" s="28" t="str">
        <f t="shared" si="301"/>
        <v/>
      </c>
      <c r="L3263" s="46" t="str">
        <f t="shared" si="305"/>
        <v/>
      </c>
      <c r="M3263" t="str" cm="1">
        <f t="array" ref="M3263">IF(L3263="","",_xlfn.IFS(
  AND(L3263&gt;=TIME(9,0,0), L3263&lt;TIME(16,0,0)),"Morning",
  AND(L3263&gt;=TIME(16,0,0), L3263&lt;TIME(23,59,0)),"Evening",
  L3263&gt;=TIME(23,59,0),"Night",
  L3263&lt;TIME(9,0,0),"Night"
))</f>
        <v/>
      </c>
      <c r="O3263" t="str">
        <f t="shared" si="302"/>
        <v/>
      </c>
    </row>
    <row r="3264" spans="7:15" x14ac:dyDescent="0.25">
      <c r="G3264" t="str">
        <f t="shared" si="300"/>
        <v/>
      </c>
      <c r="H3264" s="13" t="str">
        <f t="shared" si="303"/>
        <v/>
      </c>
      <c r="I3264" t="str">
        <f>IFERROR(INDEX(Analysis!$D$116:$N$137, MATCH(B3264, Analysis!$C$116:$C$137, 0), MATCH(C3264, Analysis!$D$115:$N$115, 0)), "")</f>
        <v/>
      </c>
      <c r="J3264" t="str">
        <f t="shared" si="304"/>
        <v/>
      </c>
      <c r="K3264" s="28" t="str">
        <f t="shared" si="301"/>
        <v/>
      </c>
      <c r="L3264" s="46" t="str">
        <f t="shared" si="305"/>
        <v/>
      </c>
      <c r="M3264" t="str" cm="1">
        <f t="array" ref="M3264">IF(L3264="","",_xlfn.IFS(
  AND(L3264&gt;=TIME(9,0,0), L3264&lt;TIME(16,0,0)),"Morning",
  AND(L3264&gt;=TIME(16,0,0), L3264&lt;TIME(23,59,0)),"Evening",
  L3264&gt;=TIME(23,59,0),"Night",
  L3264&lt;TIME(9,0,0),"Night"
))</f>
        <v/>
      </c>
      <c r="O3264" t="str">
        <f t="shared" si="302"/>
        <v/>
      </c>
    </row>
    <row r="3265" spans="7:15" x14ac:dyDescent="0.25">
      <c r="G3265" t="str">
        <f t="shared" si="300"/>
        <v/>
      </c>
      <c r="H3265" s="13" t="str">
        <f t="shared" si="303"/>
        <v/>
      </c>
      <c r="I3265" t="str">
        <f>IFERROR(INDEX(Analysis!$D$116:$N$137, MATCH(B3265, Analysis!$C$116:$C$137, 0), MATCH(C3265, Analysis!$D$115:$N$115, 0)), "")</f>
        <v/>
      </c>
      <c r="J3265" t="str">
        <f t="shared" si="304"/>
        <v/>
      </c>
      <c r="K3265" s="28" t="str">
        <f t="shared" si="301"/>
        <v/>
      </c>
      <c r="L3265" s="46" t="str">
        <f t="shared" si="305"/>
        <v/>
      </c>
      <c r="M3265" t="str" cm="1">
        <f t="array" ref="M3265">IF(L3265="","",_xlfn.IFS(
  AND(L3265&gt;=TIME(9,0,0), L3265&lt;TIME(16,0,0)),"Morning",
  AND(L3265&gt;=TIME(16,0,0), L3265&lt;TIME(23,59,0)),"Evening",
  L3265&gt;=TIME(23,59,0),"Night",
  L3265&lt;TIME(9,0,0),"Night"
))</f>
        <v/>
      </c>
      <c r="O3265" t="str">
        <f t="shared" si="302"/>
        <v/>
      </c>
    </row>
    <row r="3266" spans="7:15" x14ac:dyDescent="0.25">
      <c r="G3266" t="str">
        <f t="shared" ref="G3266:G3329" si="306">IF(ISBLANK(A3266), "", IF(ISBLANK(F3266), 0, F3266))</f>
        <v/>
      </c>
      <c r="H3266" s="13" t="str">
        <f t="shared" si="303"/>
        <v/>
      </c>
      <c r="I3266" t="str">
        <f>IFERROR(INDEX(Analysis!$D$116:$N$137, MATCH(B3266, Analysis!$C$116:$C$137, 0), MATCH(C3266, Analysis!$D$115:$N$115, 0)), "")</f>
        <v/>
      </c>
      <c r="J3266" t="str">
        <f t="shared" si="304"/>
        <v/>
      </c>
      <c r="K3266" s="28" t="str">
        <f t="shared" ref="K3266:K3329" si="307">IF(ISBLANK(A3266),"",DATE(YEAR(A3266),MONTH(A3266),DAY(A3266)))</f>
        <v/>
      </c>
      <c r="L3266" s="46" t="str">
        <f t="shared" si="305"/>
        <v/>
      </c>
      <c r="M3266" t="str" cm="1">
        <f t="array" ref="M3266">IF(L3266="","",_xlfn.IFS(
  AND(L3266&gt;=TIME(9,0,0), L3266&lt;TIME(16,0,0)),"Morning",
  AND(L3266&gt;=TIME(16,0,0), L3266&lt;TIME(23,59,0)),"Evening",
  L3266&gt;=TIME(23,59,0),"Night",
  L3266&lt;TIME(9,0,0),"Night"
))</f>
        <v/>
      </c>
      <c r="O3266" t="str">
        <f t="shared" ref="O3266:O3329" si="308">IF(N3266="ON", _xlfn.IMAGE(E3266, 1), "")</f>
        <v/>
      </c>
    </row>
    <row r="3267" spans="7:15" x14ac:dyDescent="0.25">
      <c r="G3267" t="str">
        <f t="shared" si="306"/>
        <v/>
      </c>
      <c r="H3267" s="13" t="str">
        <f t="shared" ref="H3267:H3330" si="309">IF(ISBLANK(E3267),"",HYPERLINK(E3267,"Click here"))</f>
        <v/>
      </c>
      <c r="I3267" t="str">
        <f>IFERROR(INDEX(Analysis!$D$116:$N$137, MATCH(B3267, Analysis!$C$116:$C$137, 0), MATCH(C3267, Analysis!$D$115:$N$115, 0)), "")</f>
        <v/>
      </c>
      <c r="J3267" t="str">
        <f t="shared" ref="J3267:J3330" si="310">IF(ISBLANK(A3267),"",WEEKNUM(A3267))</f>
        <v/>
      </c>
      <c r="K3267" s="28" t="str">
        <f t="shared" si="307"/>
        <v/>
      </c>
      <c r="L3267" s="46" t="str">
        <f t="shared" ref="L3267:L3330" si="311">IF(A3267="", "", A3267 - INT(A3267))</f>
        <v/>
      </c>
      <c r="M3267" t="str" cm="1">
        <f t="array" ref="M3267">IF(L3267="","",_xlfn.IFS(
  AND(L3267&gt;=TIME(9,0,0), L3267&lt;TIME(16,0,0)),"Morning",
  AND(L3267&gt;=TIME(16,0,0), L3267&lt;TIME(23,59,0)),"Evening",
  L3267&gt;=TIME(23,59,0),"Night",
  L3267&lt;TIME(9,0,0),"Night"
))</f>
        <v/>
      </c>
      <c r="O3267" t="str">
        <f t="shared" si="308"/>
        <v/>
      </c>
    </row>
    <row r="3268" spans="7:15" x14ac:dyDescent="0.25">
      <c r="G3268" t="str">
        <f t="shared" si="306"/>
        <v/>
      </c>
      <c r="H3268" s="13" t="str">
        <f t="shared" si="309"/>
        <v/>
      </c>
      <c r="I3268" t="str">
        <f>IFERROR(INDEX(Analysis!$D$116:$N$137, MATCH(B3268, Analysis!$C$116:$C$137, 0), MATCH(C3268, Analysis!$D$115:$N$115, 0)), "")</f>
        <v/>
      </c>
      <c r="J3268" t="str">
        <f t="shared" si="310"/>
        <v/>
      </c>
      <c r="K3268" s="28" t="str">
        <f t="shared" si="307"/>
        <v/>
      </c>
      <c r="L3268" s="46" t="str">
        <f t="shared" si="311"/>
        <v/>
      </c>
      <c r="M3268" t="str" cm="1">
        <f t="array" ref="M3268">IF(L3268="","",_xlfn.IFS(
  AND(L3268&gt;=TIME(9,0,0), L3268&lt;TIME(16,0,0)),"Morning",
  AND(L3268&gt;=TIME(16,0,0), L3268&lt;TIME(23,59,0)),"Evening",
  L3268&gt;=TIME(23,59,0),"Night",
  L3268&lt;TIME(9,0,0),"Night"
))</f>
        <v/>
      </c>
      <c r="O3268" t="str">
        <f t="shared" si="308"/>
        <v/>
      </c>
    </row>
    <row r="3269" spans="7:15" x14ac:dyDescent="0.25">
      <c r="G3269" t="str">
        <f t="shared" si="306"/>
        <v/>
      </c>
      <c r="H3269" s="13" t="str">
        <f t="shared" si="309"/>
        <v/>
      </c>
      <c r="I3269" t="str">
        <f>IFERROR(INDEX(Analysis!$D$116:$N$137, MATCH(B3269, Analysis!$C$116:$C$137, 0), MATCH(C3269, Analysis!$D$115:$N$115, 0)), "")</f>
        <v/>
      </c>
      <c r="J3269" t="str">
        <f t="shared" si="310"/>
        <v/>
      </c>
      <c r="K3269" s="28" t="str">
        <f t="shared" si="307"/>
        <v/>
      </c>
      <c r="L3269" s="46" t="str">
        <f t="shared" si="311"/>
        <v/>
      </c>
      <c r="M3269" t="str" cm="1">
        <f t="array" ref="M3269">IF(L3269="","",_xlfn.IFS(
  AND(L3269&gt;=TIME(9,0,0), L3269&lt;TIME(16,0,0)),"Morning",
  AND(L3269&gt;=TIME(16,0,0), L3269&lt;TIME(23,59,0)),"Evening",
  L3269&gt;=TIME(23,59,0),"Night",
  L3269&lt;TIME(9,0,0),"Night"
))</f>
        <v/>
      </c>
      <c r="O3269" t="str">
        <f t="shared" si="308"/>
        <v/>
      </c>
    </row>
    <row r="3270" spans="7:15" x14ac:dyDescent="0.25">
      <c r="G3270" t="str">
        <f t="shared" si="306"/>
        <v/>
      </c>
      <c r="H3270" s="13" t="str">
        <f t="shared" si="309"/>
        <v/>
      </c>
      <c r="I3270" t="str">
        <f>IFERROR(INDEX(Analysis!$D$116:$N$137, MATCH(B3270, Analysis!$C$116:$C$137, 0), MATCH(C3270, Analysis!$D$115:$N$115, 0)), "")</f>
        <v/>
      </c>
      <c r="J3270" t="str">
        <f t="shared" si="310"/>
        <v/>
      </c>
      <c r="K3270" s="28" t="str">
        <f t="shared" si="307"/>
        <v/>
      </c>
      <c r="L3270" s="46" t="str">
        <f t="shared" si="311"/>
        <v/>
      </c>
      <c r="M3270" t="str" cm="1">
        <f t="array" ref="M3270">IF(L3270="","",_xlfn.IFS(
  AND(L3270&gt;=TIME(9,0,0), L3270&lt;TIME(16,0,0)),"Morning",
  AND(L3270&gt;=TIME(16,0,0), L3270&lt;TIME(23,59,0)),"Evening",
  L3270&gt;=TIME(23,59,0),"Night",
  L3270&lt;TIME(9,0,0),"Night"
))</f>
        <v/>
      </c>
      <c r="O3270" t="str">
        <f t="shared" si="308"/>
        <v/>
      </c>
    </row>
    <row r="3271" spans="7:15" x14ac:dyDescent="0.25">
      <c r="G3271" t="str">
        <f t="shared" si="306"/>
        <v/>
      </c>
      <c r="H3271" s="13" t="str">
        <f t="shared" si="309"/>
        <v/>
      </c>
      <c r="I3271" t="str">
        <f>IFERROR(INDEX(Analysis!$D$116:$N$137, MATCH(B3271, Analysis!$C$116:$C$137, 0), MATCH(C3271, Analysis!$D$115:$N$115, 0)), "")</f>
        <v/>
      </c>
      <c r="J3271" t="str">
        <f t="shared" si="310"/>
        <v/>
      </c>
      <c r="K3271" s="28" t="str">
        <f t="shared" si="307"/>
        <v/>
      </c>
      <c r="L3271" s="46" t="str">
        <f t="shared" si="311"/>
        <v/>
      </c>
      <c r="M3271" t="str" cm="1">
        <f t="array" ref="M3271">IF(L3271="","",_xlfn.IFS(
  AND(L3271&gt;=TIME(9,0,0), L3271&lt;TIME(16,0,0)),"Morning",
  AND(L3271&gt;=TIME(16,0,0), L3271&lt;TIME(23,59,0)),"Evening",
  L3271&gt;=TIME(23,59,0),"Night",
  L3271&lt;TIME(9,0,0),"Night"
))</f>
        <v/>
      </c>
      <c r="O3271" t="str">
        <f t="shared" si="308"/>
        <v/>
      </c>
    </row>
    <row r="3272" spans="7:15" x14ac:dyDescent="0.25">
      <c r="G3272" t="str">
        <f t="shared" si="306"/>
        <v/>
      </c>
      <c r="H3272" s="13" t="str">
        <f t="shared" si="309"/>
        <v/>
      </c>
      <c r="I3272" t="str">
        <f>IFERROR(INDEX(Analysis!$D$116:$N$137, MATCH(B3272, Analysis!$C$116:$C$137, 0), MATCH(C3272, Analysis!$D$115:$N$115, 0)), "")</f>
        <v/>
      </c>
      <c r="J3272" t="str">
        <f t="shared" si="310"/>
        <v/>
      </c>
      <c r="K3272" s="28" t="str">
        <f t="shared" si="307"/>
        <v/>
      </c>
      <c r="L3272" s="46" t="str">
        <f t="shared" si="311"/>
        <v/>
      </c>
      <c r="M3272" t="str" cm="1">
        <f t="array" ref="M3272">IF(L3272="","",_xlfn.IFS(
  AND(L3272&gt;=TIME(9,0,0), L3272&lt;TIME(16,0,0)),"Morning",
  AND(L3272&gt;=TIME(16,0,0), L3272&lt;TIME(23,59,0)),"Evening",
  L3272&gt;=TIME(23,59,0),"Night",
  L3272&lt;TIME(9,0,0),"Night"
))</f>
        <v/>
      </c>
      <c r="O3272" t="str">
        <f t="shared" si="308"/>
        <v/>
      </c>
    </row>
    <row r="3273" spans="7:15" x14ac:dyDescent="0.25">
      <c r="G3273" t="str">
        <f t="shared" si="306"/>
        <v/>
      </c>
      <c r="H3273" s="13" t="str">
        <f t="shared" si="309"/>
        <v/>
      </c>
      <c r="I3273" t="str">
        <f>IFERROR(INDEX(Analysis!$D$116:$N$137, MATCH(B3273, Analysis!$C$116:$C$137, 0), MATCH(C3273, Analysis!$D$115:$N$115, 0)), "")</f>
        <v/>
      </c>
      <c r="J3273" t="str">
        <f t="shared" si="310"/>
        <v/>
      </c>
      <c r="K3273" s="28" t="str">
        <f t="shared" si="307"/>
        <v/>
      </c>
      <c r="L3273" s="46" t="str">
        <f t="shared" si="311"/>
        <v/>
      </c>
      <c r="M3273" t="str" cm="1">
        <f t="array" ref="M3273">IF(L3273="","",_xlfn.IFS(
  AND(L3273&gt;=TIME(9,0,0), L3273&lt;TIME(16,0,0)),"Morning",
  AND(L3273&gt;=TIME(16,0,0), L3273&lt;TIME(23,59,0)),"Evening",
  L3273&gt;=TIME(23,59,0),"Night",
  L3273&lt;TIME(9,0,0),"Night"
))</f>
        <v/>
      </c>
      <c r="O3273" t="str">
        <f t="shared" si="308"/>
        <v/>
      </c>
    </row>
    <row r="3274" spans="7:15" x14ac:dyDescent="0.25">
      <c r="G3274" t="str">
        <f t="shared" si="306"/>
        <v/>
      </c>
      <c r="H3274" s="13" t="str">
        <f t="shared" si="309"/>
        <v/>
      </c>
      <c r="I3274" t="str">
        <f>IFERROR(INDEX(Analysis!$D$116:$N$137, MATCH(B3274, Analysis!$C$116:$C$137, 0), MATCH(C3274, Analysis!$D$115:$N$115, 0)), "")</f>
        <v/>
      </c>
      <c r="J3274" t="str">
        <f t="shared" si="310"/>
        <v/>
      </c>
      <c r="K3274" s="28" t="str">
        <f t="shared" si="307"/>
        <v/>
      </c>
      <c r="L3274" s="46" t="str">
        <f t="shared" si="311"/>
        <v/>
      </c>
      <c r="M3274" t="str" cm="1">
        <f t="array" ref="M3274">IF(L3274="","",_xlfn.IFS(
  AND(L3274&gt;=TIME(9,0,0), L3274&lt;TIME(16,0,0)),"Morning",
  AND(L3274&gt;=TIME(16,0,0), L3274&lt;TIME(23,59,0)),"Evening",
  L3274&gt;=TIME(23,59,0),"Night",
  L3274&lt;TIME(9,0,0),"Night"
))</f>
        <v/>
      </c>
      <c r="O3274" t="str">
        <f t="shared" si="308"/>
        <v/>
      </c>
    </row>
    <row r="3275" spans="7:15" x14ac:dyDescent="0.25">
      <c r="G3275" t="str">
        <f t="shared" si="306"/>
        <v/>
      </c>
      <c r="H3275" s="13" t="str">
        <f t="shared" si="309"/>
        <v/>
      </c>
      <c r="I3275" t="str">
        <f>IFERROR(INDEX(Analysis!$D$116:$N$137, MATCH(B3275, Analysis!$C$116:$C$137, 0), MATCH(C3275, Analysis!$D$115:$N$115, 0)), "")</f>
        <v/>
      </c>
      <c r="J3275" t="str">
        <f t="shared" si="310"/>
        <v/>
      </c>
      <c r="K3275" s="28" t="str">
        <f t="shared" si="307"/>
        <v/>
      </c>
      <c r="L3275" s="46" t="str">
        <f t="shared" si="311"/>
        <v/>
      </c>
      <c r="M3275" t="str" cm="1">
        <f t="array" ref="M3275">IF(L3275="","",_xlfn.IFS(
  AND(L3275&gt;=TIME(9,0,0), L3275&lt;TIME(16,0,0)),"Morning",
  AND(L3275&gt;=TIME(16,0,0), L3275&lt;TIME(23,59,0)),"Evening",
  L3275&gt;=TIME(23,59,0),"Night",
  L3275&lt;TIME(9,0,0),"Night"
))</f>
        <v/>
      </c>
      <c r="O3275" t="str">
        <f t="shared" si="308"/>
        <v/>
      </c>
    </row>
    <row r="3276" spans="7:15" x14ac:dyDescent="0.25">
      <c r="G3276" t="str">
        <f t="shared" si="306"/>
        <v/>
      </c>
      <c r="H3276" s="13" t="str">
        <f t="shared" si="309"/>
        <v/>
      </c>
      <c r="I3276" t="str">
        <f>IFERROR(INDEX(Analysis!$D$116:$N$137, MATCH(B3276, Analysis!$C$116:$C$137, 0), MATCH(C3276, Analysis!$D$115:$N$115, 0)), "")</f>
        <v/>
      </c>
      <c r="J3276" t="str">
        <f t="shared" si="310"/>
        <v/>
      </c>
      <c r="K3276" s="28" t="str">
        <f t="shared" si="307"/>
        <v/>
      </c>
      <c r="L3276" s="46" t="str">
        <f t="shared" si="311"/>
        <v/>
      </c>
      <c r="M3276" t="str" cm="1">
        <f t="array" ref="M3276">IF(L3276="","",_xlfn.IFS(
  AND(L3276&gt;=TIME(9,0,0), L3276&lt;TIME(16,0,0)),"Morning",
  AND(L3276&gt;=TIME(16,0,0), L3276&lt;TIME(23,59,0)),"Evening",
  L3276&gt;=TIME(23,59,0),"Night",
  L3276&lt;TIME(9,0,0),"Night"
))</f>
        <v/>
      </c>
      <c r="O3276" t="str">
        <f t="shared" si="308"/>
        <v/>
      </c>
    </row>
    <row r="3277" spans="7:15" x14ac:dyDescent="0.25">
      <c r="G3277" t="str">
        <f t="shared" si="306"/>
        <v/>
      </c>
      <c r="H3277" s="13" t="str">
        <f t="shared" si="309"/>
        <v/>
      </c>
      <c r="I3277" t="str">
        <f>IFERROR(INDEX(Analysis!$D$116:$N$137, MATCH(B3277, Analysis!$C$116:$C$137, 0), MATCH(C3277, Analysis!$D$115:$N$115, 0)), "")</f>
        <v/>
      </c>
      <c r="J3277" t="str">
        <f t="shared" si="310"/>
        <v/>
      </c>
      <c r="K3277" s="28" t="str">
        <f t="shared" si="307"/>
        <v/>
      </c>
      <c r="L3277" s="46" t="str">
        <f t="shared" si="311"/>
        <v/>
      </c>
      <c r="M3277" t="str" cm="1">
        <f t="array" ref="M3277">IF(L3277="","",_xlfn.IFS(
  AND(L3277&gt;=TIME(9,0,0), L3277&lt;TIME(16,0,0)),"Morning",
  AND(L3277&gt;=TIME(16,0,0), L3277&lt;TIME(23,59,0)),"Evening",
  L3277&gt;=TIME(23,59,0),"Night",
  L3277&lt;TIME(9,0,0),"Night"
))</f>
        <v/>
      </c>
      <c r="O3277" t="str">
        <f t="shared" si="308"/>
        <v/>
      </c>
    </row>
    <row r="3278" spans="7:15" x14ac:dyDescent="0.25">
      <c r="G3278" t="str">
        <f t="shared" si="306"/>
        <v/>
      </c>
      <c r="H3278" s="13" t="str">
        <f t="shared" si="309"/>
        <v/>
      </c>
      <c r="I3278" t="str">
        <f>IFERROR(INDEX(Analysis!$D$116:$N$137, MATCH(B3278, Analysis!$C$116:$C$137, 0), MATCH(C3278, Analysis!$D$115:$N$115, 0)), "")</f>
        <v/>
      </c>
      <c r="J3278" t="str">
        <f t="shared" si="310"/>
        <v/>
      </c>
      <c r="K3278" s="28" t="str">
        <f t="shared" si="307"/>
        <v/>
      </c>
      <c r="L3278" s="46" t="str">
        <f t="shared" si="311"/>
        <v/>
      </c>
      <c r="M3278" t="str" cm="1">
        <f t="array" ref="M3278">IF(L3278="","",_xlfn.IFS(
  AND(L3278&gt;=TIME(9,0,0), L3278&lt;TIME(16,0,0)),"Morning",
  AND(L3278&gt;=TIME(16,0,0), L3278&lt;TIME(23,59,0)),"Evening",
  L3278&gt;=TIME(23,59,0),"Night",
  L3278&lt;TIME(9,0,0),"Night"
))</f>
        <v/>
      </c>
      <c r="O3278" t="str">
        <f t="shared" si="308"/>
        <v/>
      </c>
    </row>
    <row r="3279" spans="7:15" x14ac:dyDescent="0.25">
      <c r="G3279" t="str">
        <f t="shared" si="306"/>
        <v/>
      </c>
      <c r="H3279" s="13" t="str">
        <f t="shared" si="309"/>
        <v/>
      </c>
      <c r="I3279" t="str">
        <f>IFERROR(INDEX(Analysis!$D$116:$N$137, MATCH(B3279, Analysis!$C$116:$C$137, 0), MATCH(C3279, Analysis!$D$115:$N$115, 0)), "")</f>
        <v/>
      </c>
      <c r="J3279" t="str">
        <f t="shared" si="310"/>
        <v/>
      </c>
      <c r="K3279" s="28" t="str">
        <f t="shared" si="307"/>
        <v/>
      </c>
      <c r="L3279" s="46" t="str">
        <f t="shared" si="311"/>
        <v/>
      </c>
      <c r="M3279" t="str" cm="1">
        <f t="array" ref="M3279">IF(L3279="","",_xlfn.IFS(
  AND(L3279&gt;=TIME(9,0,0), L3279&lt;TIME(16,0,0)),"Morning",
  AND(L3279&gt;=TIME(16,0,0), L3279&lt;TIME(23,59,0)),"Evening",
  L3279&gt;=TIME(23,59,0),"Night",
  L3279&lt;TIME(9,0,0),"Night"
))</f>
        <v/>
      </c>
      <c r="O3279" t="str">
        <f t="shared" si="308"/>
        <v/>
      </c>
    </row>
    <row r="3280" spans="7:15" x14ac:dyDescent="0.25">
      <c r="G3280" t="str">
        <f t="shared" si="306"/>
        <v/>
      </c>
      <c r="H3280" s="13" t="str">
        <f t="shared" si="309"/>
        <v/>
      </c>
      <c r="I3280" t="str">
        <f>IFERROR(INDEX(Analysis!$D$116:$N$137, MATCH(B3280, Analysis!$C$116:$C$137, 0), MATCH(C3280, Analysis!$D$115:$N$115, 0)), "")</f>
        <v/>
      </c>
      <c r="J3280" t="str">
        <f t="shared" si="310"/>
        <v/>
      </c>
      <c r="K3280" s="28" t="str">
        <f t="shared" si="307"/>
        <v/>
      </c>
      <c r="L3280" s="46" t="str">
        <f t="shared" si="311"/>
        <v/>
      </c>
      <c r="M3280" t="str" cm="1">
        <f t="array" ref="M3280">IF(L3280="","",_xlfn.IFS(
  AND(L3280&gt;=TIME(9,0,0), L3280&lt;TIME(16,0,0)),"Morning",
  AND(L3280&gt;=TIME(16,0,0), L3280&lt;TIME(23,59,0)),"Evening",
  L3280&gt;=TIME(23,59,0),"Night",
  L3280&lt;TIME(9,0,0),"Night"
))</f>
        <v/>
      </c>
      <c r="O3280" t="str">
        <f t="shared" si="308"/>
        <v/>
      </c>
    </row>
    <row r="3281" spans="7:15" x14ac:dyDescent="0.25">
      <c r="G3281" t="str">
        <f t="shared" si="306"/>
        <v/>
      </c>
      <c r="H3281" s="13" t="str">
        <f t="shared" si="309"/>
        <v/>
      </c>
      <c r="I3281" t="str">
        <f>IFERROR(INDEX(Analysis!$D$116:$N$137, MATCH(B3281, Analysis!$C$116:$C$137, 0), MATCH(C3281, Analysis!$D$115:$N$115, 0)), "")</f>
        <v/>
      </c>
      <c r="J3281" t="str">
        <f t="shared" si="310"/>
        <v/>
      </c>
      <c r="K3281" s="28" t="str">
        <f t="shared" si="307"/>
        <v/>
      </c>
      <c r="L3281" s="46" t="str">
        <f t="shared" si="311"/>
        <v/>
      </c>
      <c r="M3281" t="str" cm="1">
        <f t="array" ref="M3281">IF(L3281="","",_xlfn.IFS(
  AND(L3281&gt;=TIME(9,0,0), L3281&lt;TIME(16,0,0)),"Morning",
  AND(L3281&gt;=TIME(16,0,0), L3281&lt;TIME(23,59,0)),"Evening",
  L3281&gt;=TIME(23,59,0),"Night",
  L3281&lt;TIME(9,0,0),"Night"
))</f>
        <v/>
      </c>
      <c r="O3281" t="str">
        <f t="shared" si="308"/>
        <v/>
      </c>
    </row>
    <row r="3282" spans="7:15" x14ac:dyDescent="0.25">
      <c r="G3282" t="str">
        <f t="shared" si="306"/>
        <v/>
      </c>
      <c r="H3282" s="13" t="str">
        <f t="shared" si="309"/>
        <v/>
      </c>
      <c r="I3282" t="str">
        <f>IFERROR(INDEX(Analysis!$D$116:$N$137, MATCH(B3282, Analysis!$C$116:$C$137, 0), MATCH(C3282, Analysis!$D$115:$N$115, 0)), "")</f>
        <v/>
      </c>
      <c r="J3282" t="str">
        <f t="shared" si="310"/>
        <v/>
      </c>
      <c r="K3282" s="28" t="str">
        <f t="shared" si="307"/>
        <v/>
      </c>
      <c r="L3282" s="46" t="str">
        <f t="shared" si="311"/>
        <v/>
      </c>
      <c r="M3282" t="str" cm="1">
        <f t="array" ref="M3282">IF(L3282="","",_xlfn.IFS(
  AND(L3282&gt;=TIME(9,0,0), L3282&lt;TIME(16,0,0)),"Morning",
  AND(L3282&gt;=TIME(16,0,0), L3282&lt;TIME(23,59,0)),"Evening",
  L3282&gt;=TIME(23,59,0),"Night",
  L3282&lt;TIME(9,0,0),"Night"
))</f>
        <v/>
      </c>
      <c r="O3282" t="str">
        <f t="shared" si="308"/>
        <v/>
      </c>
    </row>
    <row r="3283" spans="7:15" x14ac:dyDescent="0.25">
      <c r="G3283" t="str">
        <f t="shared" si="306"/>
        <v/>
      </c>
      <c r="H3283" s="13" t="str">
        <f t="shared" si="309"/>
        <v/>
      </c>
      <c r="I3283" t="str">
        <f>IFERROR(INDEX(Analysis!$D$116:$N$137, MATCH(B3283, Analysis!$C$116:$C$137, 0), MATCH(C3283, Analysis!$D$115:$N$115, 0)), "")</f>
        <v/>
      </c>
      <c r="J3283" t="str">
        <f t="shared" si="310"/>
        <v/>
      </c>
      <c r="K3283" s="28" t="str">
        <f t="shared" si="307"/>
        <v/>
      </c>
      <c r="L3283" s="46" t="str">
        <f t="shared" si="311"/>
        <v/>
      </c>
      <c r="M3283" t="str" cm="1">
        <f t="array" ref="M3283">IF(L3283="","",_xlfn.IFS(
  AND(L3283&gt;=TIME(9,0,0), L3283&lt;TIME(16,0,0)),"Morning",
  AND(L3283&gt;=TIME(16,0,0), L3283&lt;TIME(23,59,0)),"Evening",
  L3283&gt;=TIME(23,59,0),"Night",
  L3283&lt;TIME(9,0,0),"Night"
))</f>
        <v/>
      </c>
      <c r="O3283" t="str">
        <f t="shared" si="308"/>
        <v/>
      </c>
    </row>
    <row r="3284" spans="7:15" x14ac:dyDescent="0.25">
      <c r="G3284" t="str">
        <f t="shared" si="306"/>
        <v/>
      </c>
      <c r="H3284" s="13" t="str">
        <f t="shared" si="309"/>
        <v/>
      </c>
      <c r="I3284" t="str">
        <f>IFERROR(INDEX(Analysis!$D$116:$N$137, MATCH(B3284, Analysis!$C$116:$C$137, 0), MATCH(C3284, Analysis!$D$115:$N$115, 0)), "")</f>
        <v/>
      </c>
      <c r="J3284" t="str">
        <f t="shared" si="310"/>
        <v/>
      </c>
      <c r="K3284" s="28" t="str">
        <f t="shared" si="307"/>
        <v/>
      </c>
      <c r="L3284" s="46" t="str">
        <f t="shared" si="311"/>
        <v/>
      </c>
      <c r="M3284" t="str" cm="1">
        <f t="array" ref="M3284">IF(L3284="","",_xlfn.IFS(
  AND(L3284&gt;=TIME(9,0,0), L3284&lt;TIME(16,0,0)),"Morning",
  AND(L3284&gt;=TIME(16,0,0), L3284&lt;TIME(23,59,0)),"Evening",
  L3284&gt;=TIME(23,59,0),"Night",
  L3284&lt;TIME(9,0,0),"Night"
))</f>
        <v/>
      </c>
      <c r="O3284" t="str">
        <f t="shared" si="308"/>
        <v/>
      </c>
    </row>
    <row r="3285" spans="7:15" x14ac:dyDescent="0.25">
      <c r="G3285" t="str">
        <f t="shared" si="306"/>
        <v/>
      </c>
      <c r="H3285" s="13" t="str">
        <f t="shared" si="309"/>
        <v/>
      </c>
      <c r="I3285" t="str">
        <f>IFERROR(INDEX(Analysis!$D$116:$N$137, MATCH(B3285, Analysis!$C$116:$C$137, 0), MATCH(C3285, Analysis!$D$115:$N$115, 0)), "")</f>
        <v/>
      </c>
      <c r="J3285" t="str">
        <f t="shared" si="310"/>
        <v/>
      </c>
      <c r="K3285" s="28" t="str">
        <f t="shared" si="307"/>
        <v/>
      </c>
      <c r="L3285" s="46" t="str">
        <f t="shared" si="311"/>
        <v/>
      </c>
      <c r="M3285" t="str" cm="1">
        <f t="array" ref="M3285">IF(L3285="","",_xlfn.IFS(
  AND(L3285&gt;=TIME(9,0,0), L3285&lt;TIME(16,0,0)),"Morning",
  AND(L3285&gt;=TIME(16,0,0), L3285&lt;TIME(23,59,0)),"Evening",
  L3285&gt;=TIME(23,59,0),"Night",
  L3285&lt;TIME(9,0,0),"Night"
))</f>
        <v/>
      </c>
      <c r="O3285" t="str">
        <f t="shared" si="308"/>
        <v/>
      </c>
    </row>
    <row r="3286" spans="7:15" x14ac:dyDescent="0.25">
      <c r="G3286" t="str">
        <f t="shared" si="306"/>
        <v/>
      </c>
      <c r="H3286" s="13" t="str">
        <f t="shared" si="309"/>
        <v/>
      </c>
      <c r="I3286" t="str">
        <f>IFERROR(INDEX(Analysis!$D$116:$N$137, MATCH(B3286, Analysis!$C$116:$C$137, 0), MATCH(C3286, Analysis!$D$115:$N$115, 0)), "")</f>
        <v/>
      </c>
      <c r="J3286" t="str">
        <f t="shared" si="310"/>
        <v/>
      </c>
      <c r="K3286" s="28" t="str">
        <f t="shared" si="307"/>
        <v/>
      </c>
      <c r="L3286" s="46" t="str">
        <f t="shared" si="311"/>
        <v/>
      </c>
      <c r="M3286" t="str" cm="1">
        <f t="array" ref="M3286">IF(L3286="","",_xlfn.IFS(
  AND(L3286&gt;=TIME(9,0,0), L3286&lt;TIME(16,0,0)),"Morning",
  AND(L3286&gt;=TIME(16,0,0), L3286&lt;TIME(23,59,0)),"Evening",
  L3286&gt;=TIME(23,59,0),"Night",
  L3286&lt;TIME(9,0,0),"Night"
))</f>
        <v/>
      </c>
      <c r="O3286" t="str">
        <f t="shared" si="308"/>
        <v/>
      </c>
    </row>
    <row r="3287" spans="7:15" x14ac:dyDescent="0.25">
      <c r="G3287" t="str">
        <f t="shared" si="306"/>
        <v/>
      </c>
      <c r="H3287" s="13" t="str">
        <f t="shared" si="309"/>
        <v/>
      </c>
      <c r="I3287" t="str">
        <f>IFERROR(INDEX(Analysis!$D$116:$N$137, MATCH(B3287, Analysis!$C$116:$C$137, 0), MATCH(C3287, Analysis!$D$115:$N$115, 0)), "")</f>
        <v/>
      </c>
      <c r="J3287" t="str">
        <f t="shared" si="310"/>
        <v/>
      </c>
      <c r="K3287" s="28" t="str">
        <f t="shared" si="307"/>
        <v/>
      </c>
      <c r="L3287" s="46" t="str">
        <f t="shared" si="311"/>
        <v/>
      </c>
      <c r="M3287" t="str" cm="1">
        <f t="array" ref="M3287">IF(L3287="","",_xlfn.IFS(
  AND(L3287&gt;=TIME(9,0,0), L3287&lt;TIME(16,0,0)),"Morning",
  AND(L3287&gt;=TIME(16,0,0), L3287&lt;TIME(23,59,0)),"Evening",
  L3287&gt;=TIME(23,59,0),"Night",
  L3287&lt;TIME(9,0,0),"Night"
))</f>
        <v/>
      </c>
      <c r="O3287" t="str">
        <f t="shared" si="308"/>
        <v/>
      </c>
    </row>
    <row r="3288" spans="7:15" x14ac:dyDescent="0.25">
      <c r="G3288" t="str">
        <f t="shared" si="306"/>
        <v/>
      </c>
      <c r="H3288" s="13" t="str">
        <f t="shared" si="309"/>
        <v/>
      </c>
      <c r="I3288" t="str">
        <f>IFERROR(INDEX(Analysis!$D$116:$N$137, MATCH(B3288, Analysis!$C$116:$C$137, 0), MATCH(C3288, Analysis!$D$115:$N$115, 0)), "")</f>
        <v/>
      </c>
      <c r="J3288" t="str">
        <f t="shared" si="310"/>
        <v/>
      </c>
      <c r="K3288" s="28" t="str">
        <f t="shared" si="307"/>
        <v/>
      </c>
      <c r="L3288" s="46" t="str">
        <f t="shared" si="311"/>
        <v/>
      </c>
      <c r="M3288" t="str" cm="1">
        <f t="array" ref="M3288">IF(L3288="","",_xlfn.IFS(
  AND(L3288&gt;=TIME(9,0,0), L3288&lt;TIME(16,0,0)),"Morning",
  AND(L3288&gt;=TIME(16,0,0), L3288&lt;TIME(23,59,0)),"Evening",
  L3288&gt;=TIME(23,59,0),"Night",
  L3288&lt;TIME(9,0,0),"Night"
))</f>
        <v/>
      </c>
      <c r="O3288" t="str">
        <f t="shared" si="308"/>
        <v/>
      </c>
    </row>
    <row r="3289" spans="7:15" x14ac:dyDescent="0.25">
      <c r="G3289" t="str">
        <f t="shared" si="306"/>
        <v/>
      </c>
      <c r="H3289" s="13" t="str">
        <f t="shared" si="309"/>
        <v/>
      </c>
      <c r="I3289" t="str">
        <f>IFERROR(INDEX(Analysis!$D$116:$N$137, MATCH(B3289, Analysis!$C$116:$C$137, 0), MATCH(C3289, Analysis!$D$115:$N$115, 0)), "")</f>
        <v/>
      </c>
      <c r="J3289" t="str">
        <f t="shared" si="310"/>
        <v/>
      </c>
      <c r="K3289" s="28" t="str">
        <f t="shared" si="307"/>
        <v/>
      </c>
      <c r="L3289" s="46" t="str">
        <f t="shared" si="311"/>
        <v/>
      </c>
      <c r="M3289" t="str" cm="1">
        <f t="array" ref="M3289">IF(L3289="","",_xlfn.IFS(
  AND(L3289&gt;=TIME(9,0,0), L3289&lt;TIME(16,0,0)),"Morning",
  AND(L3289&gt;=TIME(16,0,0), L3289&lt;TIME(23,59,0)),"Evening",
  L3289&gt;=TIME(23,59,0),"Night",
  L3289&lt;TIME(9,0,0),"Night"
))</f>
        <v/>
      </c>
      <c r="O3289" t="str">
        <f t="shared" si="308"/>
        <v/>
      </c>
    </row>
    <row r="3290" spans="7:15" x14ac:dyDescent="0.25">
      <c r="G3290" t="str">
        <f t="shared" si="306"/>
        <v/>
      </c>
      <c r="H3290" s="13" t="str">
        <f t="shared" si="309"/>
        <v/>
      </c>
      <c r="I3290" t="str">
        <f>IFERROR(INDEX(Analysis!$D$116:$N$137, MATCH(B3290, Analysis!$C$116:$C$137, 0), MATCH(C3290, Analysis!$D$115:$N$115, 0)), "")</f>
        <v/>
      </c>
      <c r="J3290" t="str">
        <f t="shared" si="310"/>
        <v/>
      </c>
      <c r="K3290" s="28" t="str">
        <f t="shared" si="307"/>
        <v/>
      </c>
      <c r="L3290" s="46" t="str">
        <f t="shared" si="311"/>
        <v/>
      </c>
      <c r="M3290" t="str" cm="1">
        <f t="array" ref="M3290">IF(L3290="","",_xlfn.IFS(
  AND(L3290&gt;=TIME(9,0,0), L3290&lt;TIME(16,0,0)),"Morning",
  AND(L3290&gt;=TIME(16,0,0), L3290&lt;TIME(23,59,0)),"Evening",
  L3290&gt;=TIME(23,59,0),"Night",
  L3290&lt;TIME(9,0,0),"Night"
))</f>
        <v/>
      </c>
      <c r="O3290" t="str">
        <f t="shared" si="308"/>
        <v/>
      </c>
    </row>
    <row r="3291" spans="7:15" x14ac:dyDescent="0.25">
      <c r="G3291" t="str">
        <f t="shared" si="306"/>
        <v/>
      </c>
      <c r="H3291" s="13" t="str">
        <f t="shared" si="309"/>
        <v/>
      </c>
      <c r="I3291" t="str">
        <f>IFERROR(INDEX(Analysis!$D$116:$N$137, MATCH(B3291, Analysis!$C$116:$C$137, 0), MATCH(C3291, Analysis!$D$115:$N$115, 0)), "")</f>
        <v/>
      </c>
      <c r="J3291" t="str">
        <f t="shared" si="310"/>
        <v/>
      </c>
      <c r="K3291" s="28" t="str">
        <f t="shared" si="307"/>
        <v/>
      </c>
      <c r="L3291" s="46" t="str">
        <f t="shared" si="311"/>
        <v/>
      </c>
      <c r="M3291" t="str" cm="1">
        <f t="array" ref="M3291">IF(L3291="","",_xlfn.IFS(
  AND(L3291&gt;=TIME(9,0,0), L3291&lt;TIME(16,0,0)),"Morning",
  AND(L3291&gt;=TIME(16,0,0), L3291&lt;TIME(23,59,0)),"Evening",
  L3291&gt;=TIME(23,59,0),"Night",
  L3291&lt;TIME(9,0,0),"Night"
))</f>
        <v/>
      </c>
      <c r="O3291" t="str">
        <f t="shared" si="308"/>
        <v/>
      </c>
    </row>
    <row r="3292" spans="7:15" x14ac:dyDescent="0.25">
      <c r="G3292" t="str">
        <f t="shared" si="306"/>
        <v/>
      </c>
      <c r="H3292" s="13" t="str">
        <f t="shared" si="309"/>
        <v/>
      </c>
      <c r="I3292" t="str">
        <f>IFERROR(INDEX(Analysis!$D$116:$N$137, MATCH(B3292, Analysis!$C$116:$C$137, 0), MATCH(C3292, Analysis!$D$115:$N$115, 0)), "")</f>
        <v/>
      </c>
      <c r="J3292" t="str">
        <f t="shared" si="310"/>
        <v/>
      </c>
      <c r="K3292" s="28" t="str">
        <f t="shared" si="307"/>
        <v/>
      </c>
      <c r="L3292" s="46" t="str">
        <f t="shared" si="311"/>
        <v/>
      </c>
      <c r="M3292" t="str" cm="1">
        <f t="array" ref="M3292">IF(L3292="","",_xlfn.IFS(
  AND(L3292&gt;=TIME(9,0,0), L3292&lt;TIME(16,0,0)),"Morning",
  AND(L3292&gt;=TIME(16,0,0), L3292&lt;TIME(23,59,0)),"Evening",
  L3292&gt;=TIME(23,59,0),"Night",
  L3292&lt;TIME(9,0,0),"Night"
))</f>
        <v/>
      </c>
      <c r="O3292" t="str">
        <f t="shared" si="308"/>
        <v/>
      </c>
    </row>
    <row r="3293" spans="7:15" x14ac:dyDescent="0.25">
      <c r="G3293" t="str">
        <f t="shared" si="306"/>
        <v/>
      </c>
      <c r="H3293" s="13" t="str">
        <f t="shared" si="309"/>
        <v/>
      </c>
      <c r="I3293" t="str">
        <f>IFERROR(INDEX(Analysis!$D$116:$N$137, MATCH(B3293, Analysis!$C$116:$C$137, 0), MATCH(C3293, Analysis!$D$115:$N$115, 0)), "")</f>
        <v/>
      </c>
      <c r="J3293" t="str">
        <f t="shared" si="310"/>
        <v/>
      </c>
      <c r="K3293" s="28" t="str">
        <f t="shared" si="307"/>
        <v/>
      </c>
      <c r="L3293" s="46" t="str">
        <f t="shared" si="311"/>
        <v/>
      </c>
      <c r="M3293" t="str" cm="1">
        <f t="array" ref="M3293">IF(L3293="","",_xlfn.IFS(
  AND(L3293&gt;=TIME(9,0,0), L3293&lt;TIME(16,0,0)),"Morning",
  AND(L3293&gt;=TIME(16,0,0), L3293&lt;TIME(23,59,0)),"Evening",
  L3293&gt;=TIME(23,59,0),"Night",
  L3293&lt;TIME(9,0,0),"Night"
))</f>
        <v/>
      </c>
      <c r="O3293" t="str">
        <f t="shared" si="308"/>
        <v/>
      </c>
    </row>
    <row r="3294" spans="7:15" x14ac:dyDescent="0.25">
      <c r="G3294" t="str">
        <f t="shared" si="306"/>
        <v/>
      </c>
      <c r="H3294" s="13" t="str">
        <f t="shared" si="309"/>
        <v/>
      </c>
      <c r="I3294" t="str">
        <f>IFERROR(INDEX(Analysis!$D$116:$N$137, MATCH(B3294, Analysis!$C$116:$C$137, 0), MATCH(C3294, Analysis!$D$115:$N$115, 0)), "")</f>
        <v/>
      </c>
      <c r="J3294" t="str">
        <f t="shared" si="310"/>
        <v/>
      </c>
      <c r="K3294" s="28" t="str">
        <f t="shared" si="307"/>
        <v/>
      </c>
      <c r="L3294" s="46" t="str">
        <f t="shared" si="311"/>
        <v/>
      </c>
      <c r="M3294" t="str" cm="1">
        <f t="array" ref="M3294">IF(L3294="","",_xlfn.IFS(
  AND(L3294&gt;=TIME(9,0,0), L3294&lt;TIME(16,0,0)),"Morning",
  AND(L3294&gt;=TIME(16,0,0), L3294&lt;TIME(23,59,0)),"Evening",
  L3294&gt;=TIME(23,59,0),"Night",
  L3294&lt;TIME(9,0,0),"Night"
))</f>
        <v/>
      </c>
      <c r="O3294" t="str">
        <f t="shared" si="308"/>
        <v/>
      </c>
    </row>
    <row r="3295" spans="7:15" x14ac:dyDescent="0.25">
      <c r="G3295" t="str">
        <f t="shared" si="306"/>
        <v/>
      </c>
      <c r="H3295" s="13" t="str">
        <f t="shared" si="309"/>
        <v/>
      </c>
      <c r="I3295" t="str">
        <f>IFERROR(INDEX(Analysis!$D$116:$N$137, MATCH(B3295, Analysis!$C$116:$C$137, 0), MATCH(C3295, Analysis!$D$115:$N$115, 0)), "")</f>
        <v/>
      </c>
      <c r="J3295" t="str">
        <f t="shared" si="310"/>
        <v/>
      </c>
      <c r="K3295" s="28" t="str">
        <f t="shared" si="307"/>
        <v/>
      </c>
      <c r="L3295" s="46" t="str">
        <f t="shared" si="311"/>
        <v/>
      </c>
      <c r="M3295" t="str" cm="1">
        <f t="array" ref="M3295">IF(L3295="","",_xlfn.IFS(
  AND(L3295&gt;=TIME(9,0,0), L3295&lt;TIME(16,0,0)),"Morning",
  AND(L3295&gt;=TIME(16,0,0), L3295&lt;TIME(23,59,0)),"Evening",
  L3295&gt;=TIME(23,59,0),"Night",
  L3295&lt;TIME(9,0,0),"Night"
))</f>
        <v/>
      </c>
      <c r="O3295" t="str">
        <f t="shared" si="308"/>
        <v/>
      </c>
    </row>
    <row r="3296" spans="7:15" x14ac:dyDescent="0.25">
      <c r="G3296" t="str">
        <f t="shared" si="306"/>
        <v/>
      </c>
      <c r="H3296" s="13" t="str">
        <f t="shared" si="309"/>
        <v/>
      </c>
      <c r="I3296" t="str">
        <f>IFERROR(INDEX(Analysis!$D$116:$N$137, MATCH(B3296, Analysis!$C$116:$C$137, 0), MATCH(C3296, Analysis!$D$115:$N$115, 0)), "")</f>
        <v/>
      </c>
      <c r="J3296" t="str">
        <f t="shared" si="310"/>
        <v/>
      </c>
      <c r="K3296" s="28" t="str">
        <f t="shared" si="307"/>
        <v/>
      </c>
      <c r="L3296" s="46" t="str">
        <f t="shared" si="311"/>
        <v/>
      </c>
      <c r="M3296" t="str" cm="1">
        <f t="array" ref="M3296">IF(L3296="","",_xlfn.IFS(
  AND(L3296&gt;=TIME(9,0,0), L3296&lt;TIME(16,0,0)),"Morning",
  AND(L3296&gt;=TIME(16,0,0), L3296&lt;TIME(23,59,0)),"Evening",
  L3296&gt;=TIME(23,59,0),"Night",
  L3296&lt;TIME(9,0,0),"Night"
))</f>
        <v/>
      </c>
      <c r="O3296" t="str">
        <f t="shared" si="308"/>
        <v/>
      </c>
    </row>
    <row r="3297" spans="7:15" x14ac:dyDescent="0.25">
      <c r="G3297" t="str">
        <f t="shared" si="306"/>
        <v/>
      </c>
      <c r="H3297" s="13" t="str">
        <f t="shared" si="309"/>
        <v/>
      </c>
      <c r="I3297" t="str">
        <f>IFERROR(INDEX(Analysis!$D$116:$N$137, MATCH(B3297, Analysis!$C$116:$C$137, 0), MATCH(C3297, Analysis!$D$115:$N$115, 0)), "")</f>
        <v/>
      </c>
      <c r="J3297" t="str">
        <f t="shared" si="310"/>
        <v/>
      </c>
      <c r="K3297" s="28" t="str">
        <f t="shared" si="307"/>
        <v/>
      </c>
      <c r="L3297" s="46" t="str">
        <f t="shared" si="311"/>
        <v/>
      </c>
      <c r="M3297" t="str" cm="1">
        <f t="array" ref="M3297">IF(L3297="","",_xlfn.IFS(
  AND(L3297&gt;=TIME(9,0,0), L3297&lt;TIME(16,0,0)),"Morning",
  AND(L3297&gt;=TIME(16,0,0), L3297&lt;TIME(23,59,0)),"Evening",
  L3297&gt;=TIME(23,59,0),"Night",
  L3297&lt;TIME(9,0,0),"Night"
))</f>
        <v/>
      </c>
      <c r="O3297" t="str">
        <f t="shared" si="308"/>
        <v/>
      </c>
    </row>
    <row r="3298" spans="7:15" x14ac:dyDescent="0.25">
      <c r="G3298" t="str">
        <f t="shared" si="306"/>
        <v/>
      </c>
      <c r="H3298" s="13" t="str">
        <f t="shared" si="309"/>
        <v/>
      </c>
      <c r="I3298" t="str">
        <f>IFERROR(INDEX(Analysis!$D$116:$N$137, MATCH(B3298, Analysis!$C$116:$C$137, 0), MATCH(C3298, Analysis!$D$115:$N$115, 0)), "")</f>
        <v/>
      </c>
      <c r="J3298" t="str">
        <f t="shared" si="310"/>
        <v/>
      </c>
      <c r="K3298" s="28" t="str">
        <f t="shared" si="307"/>
        <v/>
      </c>
      <c r="L3298" s="46" t="str">
        <f t="shared" si="311"/>
        <v/>
      </c>
      <c r="M3298" t="str" cm="1">
        <f t="array" ref="M3298">IF(L3298="","",_xlfn.IFS(
  AND(L3298&gt;=TIME(9,0,0), L3298&lt;TIME(16,0,0)),"Morning",
  AND(L3298&gt;=TIME(16,0,0), L3298&lt;TIME(23,59,0)),"Evening",
  L3298&gt;=TIME(23,59,0),"Night",
  L3298&lt;TIME(9,0,0),"Night"
))</f>
        <v/>
      </c>
      <c r="O3298" t="str">
        <f t="shared" si="308"/>
        <v/>
      </c>
    </row>
    <row r="3299" spans="7:15" x14ac:dyDescent="0.25">
      <c r="G3299" t="str">
        <f t="shared" si="306"/>
        <v/>
      </c>
      <c r="H3299" s="13" t="str">
        <f t="shared" si="309"/>
        <v/>
      </c>
      <c r="I3299" t="str">
        <f>IFERROR(INDEX(Analysis!$D$116:$N$137, MATCH(B3299, Analysis!$C$116:$C$137, 0), MATCH(C3299, Analysis!$D$115:$N$115, 0)), "")</f>
        <v/>
      </c>
      <c r="J3299" t="str">
        <f t="shared" si="310"/>
        <v/>
      </c>
      <c r="K3299" s="28" t="str">
        <f t="shared" si="307"/>
        <v/>
      </c>
      <c r="L3299" s="46" t="str">
        <f t="shared" si="311"/>
        <v/>
      </c>
      <c r="M3299" t="str" cm="1">
        <f t="array" ref="M3299">IF(L3299="","",_xlfn.IFS(
  AND(L3299&gt;=TIME(9,0,0), L3299&lt;TIME(16,0,0)),"Morning",
  AND(L3299&gt;=TIME(16,0,0), L3299&lt;TIME(23,59,0)),"Evening",
  L3299&gt;=TIME(23,59,0),"Night",
  L3299&lt;TIME(9,0,0),"Night"
))</f>
        <v/>
      </c>
      <c r="O3299" t="str">
        <f t="shared" si="308"/>
        <v/>
      </c>
    </row>
    <row r="3300" spans="7:15" x14ac:dyDescent="0.25">
      <c r="G3300" t="str">
        <f t="shared" si="306"/>
        <v/>
      </c>
      <c r="H3300" s="13" t="str">
        <f t="shared" si="309"/>
        <v/>
      </c>
      <c r="I3300" t="str">
        <f>IFERROR(INDEX(Analysis!$D$116:$N$137, MATCH(B3300, Analysis!$C$116:$C$137, 0), MATCH(C3300, Analysis!$D$115:$N$115, 0)), "")</f>
        <v/>
      </c>
      <c r="J3300" t="str">
        <f t="shared" si="310"/>
        <v/>
      </c>
      <c r="K3300" s="28" t="str">
        <f t="shared" si="307"/>
        <v/>
      </c>
      <c r="L3300" s="46" t="str">
        <f t="shared" si="311"/>
        <v/>
      </c>
      <c r="M3300" t="str" cm="1">
        <f t="array" ref="M3300">IF(L3300="","",_xlfn.IFS(
  AND(L3300&gt;=TIME(9,0,0), L3300&lt;TIME(16,0,0)),"Morning",
  AND(L3300&gt;=TIME(16,0,0), L3300&lt;TIME(23,59,0)),"Evening",
  L3300&gt;=TIME(23,59,0),"Night",
  L3300&lt;TIME(9,0,0),"Night"
))</f>
        <v/>
      </c>
      <c r="O3300" t="str">
        <f t="shared" si="308"/>
        <v/>
      </c>
    </row>
    <row r="3301" spans="7:15" x14ac:dyDescent="0.25">
      <c r="G3301" t="str">
        <f t="shared" si="306"/>
        <v/>
      </c>
      <c r="H3301" s="13" t="str">
        <f t="shared" si="309"/>
        <v/>
      </c>
      <c r="I3301" t="str">
        <f>IFERROR(INDEX(Analysis!$D$116:$N$137, MATCH(B3301, Analysis!$C$116:$C$137, 0), MATCH(C3301, Analysis!$D$115:$N$115, 0)), "")</f>
        <v/>
      </c>
      <c r="J3301" t="str">
        <f t="shared" si="310"/>
        <v/>
      </c>
      <c r="K3301" s="28" t="str">
        <f t="shared" si="307"/>
        <v/>
      </c>
      <c r="L3301" s="46" t="str">
        <f t="shared" si="311"/>
        <v/>
      </c>
      <c r="M3301" t="str" cm="1">
        <f t="array" ref="M3301">IF(L3301="","",_xlfn.IFS(
  AND(L3301&gt;=TIME(9,0,0), L3301&lt;TIME(16,0,0)),"Morning",
  AND(L3301&gt;=TIME(16,0,0), L3301&lt;TIME(23,59,0)),"Evening",
  L3301&gt;=TIME(23,59,0),"Night",
  L3301&lt;TIME(9,0,0),"Night"
))</f>
        <v/>
      </c>
      <c r="O3301" t="str">
        <f t="shared" si="308"/>
        <v/>
      </c>
    </row>
    <row r="3302" spans="7:15" x14ac:dyDescent="0.25">
      <c r="G3302" t="str">
        <f t="shared" si="306"/>
        <v/>
      </c>
      <c r="H3302" s="13" t="str">
        <f t="shared" si="309"/>
        <v/>
      </c>
      <c r="I3302" t="str">
        <f>IFERROR(INDEX(Analysis!$D$116:$N$137, MATCH(B3302, Analysis!$C$116:$C$137, 0), MATCH(C3302, Analysis!$D$115:$N$115, 0)), "")</f>
        <v/>
      </c>
      <c r="J3302" t="str">
        <f t="shared" si="310"/>
        <v/>
      </c>
      <c r="K3302" s="28" t="str">
        <f t="shared" si="307"/>
        <v/>
      </c>
      <c r="L3302" s="46" t="str">
        <f t="shared" si="311"/>
        <v/>
      </c>
      <c r="M3302" t="str" cm="1">
        <f t="array" ref="M3302">IF(L3302="","",_xlfn.IFS(
  AND(L3302&gt;=TIME(9,0,0), L3302&lt;TIME(16,0,0)),"Morning",
  AND(L3302&gt;=TIME(16,0,0), L3302&lt;TIME(23,59,0)),"Evening",
  L3302&gt;=TIME(23,59,0),"Night",
  L3302&lt;TIME(9,0,0),"Night"
))</f>
        <v/>
      </c>
      <c r="O3302" t="str">
        <f t="shared" si="308"/>
        <v/>
      </c>
    </row>
    <row r="3303" spans="7:15" x14ac:dyDescent="0.25">
      <c r="G3303" t="str">
        <f t="shared" si="306"/>
        <v/>
      </c>
      <c r="H3303" s="13" t="str">
        <f t="shared" si="309"/>
        <v/>
      </c>
      <c r="I3303" t="str">
        <f>IFERROR(INDEX(Analysis!$D$116:$N$137, MATCH(B3303, Analysis!$C$116:$C$137, 0), MATCH(C3303, Analysis!$D$115:$N$115, 0)), "")</f>
        <v/>
      </c>
      <c r="J3303" t="str">
        <f t="shared" si="310"/>
        <v/>
      </c>
      <c r="K3303" s="28" t="str">
        <f t="shared" si="307"/>
        <v/>
      </c>
      <c r="L3303" s="46" t="str">
        <f t="shared" si="311"/>
        <v/>
      </c>
      <c r="M3303" t="str" cm="1">
        <f t="array" ref="M3303">IF(L3303="","",_xlfn.IFS(
  AND(L3303&gt;=TIME(9,0,0), L3303&lt;TIME(16,0,0)),"Morning",
  AND(L3303&gt;=TIME(16,0,0), L3303&lt;TIME(23,59,0)),"Evening",
  L3303&gt;=TIME(23,59,0),"Night",
  L3303&lt;TIME(9,0,0),"Night"
))</f>
        <v/>
      </c>
      <c r="O3303" t="str">
        <f t="shared" si="308"/>
        <v/>
      </c>
    </row>
    <row r="3304" spans="7:15" x14ac:dyDescent="0.25">
      <c r="G3304" t="str">
        <f t="shared" si="306"/>
        <v/>
      </c>
      <c r="H3304" s="13" t="str">
        <f t="shared" si="309"/>
        <v/>
      </c>
      <c r="I3304" t="str">
        <f>IFERROR(INDEX(Analysis!$D$116:$N$137, MATCH(B3304, Analysis!$C$116:$C$137, 0), MATCH(C3304, Analysis!$D$115:$N$115, 0)), "")</f>
        <v/>
      </c>
      <c r="J3304" t="str">
        <f t="shared" si="310"/>
        <v/>
      </c>
      <c r="K3304" s="28" t="str">
        <f t="shared" si="307"/>
        <v/>
      </c>
      <c r="L3304" s="46" t="str">
        <f t="shared" si="311"/>
        <v/>
      </c>
      <c r="M3304" t="str" cm="1">
        <f t="array" ref="M3304">IF(L3304="","",_xlfn.IFS(
  AND(L3304&gt;=TIME(9,0,0), L3304&lt;TIME(16,0,0)),"Morning",
  AND(L3304&gt;=TIME(16,0,0), L3304&lt;TIME(23,59,0)),"Evening",
  L3304&gt;=TIME(23,59,0),"Night",
  L3304&lt;TIME(9,0,0),"Night"
))</f>
        <v/>
      </c>
      <c r="O3304" t="str">
        <f t="shared" si="308"/>
        <v/>
      </c>
    </row>
    <row r="3305" spans="7:15" x14ac:dyDescent="0.25">
      <c r="G3305" t="str">
        <f t="shared" si="306"/>
        <v/>
      </c>
      <c r="H3305" s="13" t="str">
        <f t="shared" si="309"/>
        <v/>
      </c>
      <c r="I3305" t="str">
        <f>IFERROR(INDEX(Analysis!$D$116:$N$137, MATCH(B3305, Analysis!$C$116:$C$137, 0), MATCH(C3305, Analysis!$D$115:$N$115, 0)), "")</f>
        <v/>
      </c>
      <c r="J3305" t="str">
        <f t="shared" si="310"/>
        <v/>
      </c>
      <c r="K3305" s="28" t="str">
        <f t="shared" si="307"/>
        <v/>
      </c>
      <c r="L3305" s="46" t="str">
        <f t="shared" si="311"/>
        <v/>
      </c>
      <c r="M3305" t="str" cm="1">
        <f t="array" ref="M3305">IF(L3305="","",_xlfn.IFS(
  AND(L3305&gt;=TIME(9,0,0), L3305&lt;TIME(16,0,0)),"Morning",
  AND(L3305&gt;=TIME(16,0,0), L3305&lt;TIME(23,59,0)),"Evening",
  L3305&gt;=TIME(23,59,0),"Night",
  L3305&lt;TIME(9,0,0),"Night"
))</f>
        <v/>
      </c>
      <c r="O3305" t="str">
        <f t="shared" si="308"/>
        <v/>
      </c>
    </row>
    <row r="3306" spans="7:15" x14ac:dyDescent="0.25">
      <c r="G3306" t="str">
        <f t="shared" si="306"/>
        <v/>
      </c>
      <c r="H3306" s="13" t="str">
        <f t="shared" si="309"/>
        <v/>
      </c>
      <c r="I3306" t="str">
        <f>IFERROR(INDEX(Analysis!$D$116:$N$137, MATCH(B3306, Analysis!$C$116:$C$137, 0), MATCH(C3306, Analysis!$D$115:$N$115, 0)), "")</f>
        <v/>
      </c>
      <c r="J3306" t="str">
        <f t="shared" si="310"/>
        <v/>
      </c>
      <c r="K3306" s="28" t="str">
        <f t="shared" si="307"/>
        <v/>
      </c>
      <c r="L3306" s="46" t="str">
        <f t="shared" si="311"/>
        <v/>
      </c>
      <c r="M3306" t="str" cm="1">
        <f t="array" ref="M3306">IF(L3306="","",_xlfn.IFS(
  AND(L3306&gt;=TIME(9,0,0), L3306&lt;TIME(16,0,0)),"Morning",
  AND(L3306&gt;=TIME(16,0,0), L3306&lt;TIME(23,59,0)),"Evening",
  L3306&gt;=TIME(23,59,0),"Night",
  L3306&lt;TIME(9,0,0),"Night"
))</f>
        <v/>
      </c>
      <c r="O3306" t="str">
        <f t="shared" si="308"/>
        <v/>
      </c>
    </row>
    <row r="3307" spans="7:15" x14ac:dyDescent="0.25">
      <c r="G3307" t="str">
        <f t="shared" si="306"/>
        <v/>
      </c>
      <c r="H3307" s="13" t="str">
        <f t="shared" si="309"/>
        <v/>
      </c>
      <c r="I3307" t="str">
        <f>IFERROR(INDEX(Analysis!$D$116:$N$137, MATCH(B3307, Analysis!$C$116:$C$137, 0), MATCH(C3307, Analysis!$D$115:$N$115, 0)), "")</f>
        <v/>
      </c>
      <c r="J3307" t="str">
        <f t="shared" si="310"/>
        <v/>
      </c>
      <c r="K3307" s="28" t="str">
        <f t="shared" si="307"/>
        <v/>
      </c>
      <c r="L3307" s="46" t="str">
        <f t="shared" si="311"/>
        <v/>
      </c>
      <c r="M3307" t="str" cm="1">
        <f t="array" ref="M3307">IF(L3307="","",_xlfn.IFS(
  AND(L3307&gt;=TIME(9,0,0), L3307&lt;TIME(16,0,0)),"Morning",
  AND(L3307&gt;=TIME(16,0,0), L3307&lt;TIME(23,59,0)),"Evening",
  L3307&gt;=TIME(23,59,0),"Night",
  L3307&lt;TIME(9,0,0),"Night"
))</f>
        <v/>
      </c>
      <c r="O3307" t="str">
        <f t="shared" si="308"/>
        <v/>
      </c>
    </row>
    <row r="3308" spans="7:15" x14ac:dyDescent="0.25">
      <c r="G3308" t="str">
        <f t="shared" si="306"/>
        <v/>
      </c>
      <c r="H3308" s="13" t="str">
        <f t="shared" si="309"/>
        <v/>
      </c>
      <c r="I3308" t="str">
        <f>IFERROR(INDEX(Analysis!$D$116:$N$137, MATCH(B3308, Analysis!$C$116:$C$137, 0), MATCH(C3308, Analysis!$D$115:$N$115, 0)), "")</f>
        <v/>
      </c>
      <c r="J3308" t="str">
        <f t="shared" si="310"/>
        <v/>
      </c>
      <c r="K3308" s="28" t="str">
        <f t="shared" si="307"/>
        <v/>
      </c>
      <c r="L3308" s="46" t="str">
        <f t="shared" si="311"/>
        <v/>
      </c>
      <c r="M3308" t="str" cm="1">
        <f t="array" ref="M3308">IF(L3308="","",_xlfn.IFS(
  AND(L3308&gt;=TIME(9,0,0), L3308&lt;TIME(16,0,0)),"Morning",
  AND(L3308&gt;=TIME(16,0,0), L3308&lt;TIME(23,59,0)),"Evening",
  L3308&gt;=TIME(23,59,0),"Night",
  L3308&lt;TIME(9,0,0),"Night"
))</f>
        <v/>
      </c>
      <c r="O3308" t="str">
        <f t="shared" si="308"/>
        <v/>
      </c>
    </row>
    <row r="3309" spans="7:15" x14ac:dyDescent="0.25">
      <c r="G3309" t="str">
        <f t="shared" si="306"/>
        <v/>
      </c>
      <c r="H3309" s="13" t="str">
        <f t="shared" si="309"/>
        <v/>
      </c>
      <c r="I3309" t="str">
        <f>IFERROR(INDEX(Analysis!$D$116:$N$137, MATCH(B3309, Analysis!$C$116:$C$137, 0), MATCH(C3309, Analysis!$D$115:$N$115, 0)), "")</f>
        <v/>
      </c>
      <c r="J3309" t="str">
        <f t="shared" si="310"/>
        <v/>
      </c>
      <c r="K3309" s="28" t="str">
        <f t="shared" si="307"/>
        <v/>
      </c>
      <c r="L3309" s="46" t="str">
        <f t="shared" si="311"/>
        <v/>
      </c>
      <c r="M3309" t="str" cm="1">
        <f t="array" ref="M3309">IF(L3309="","",_xlfn.IFS(
  AND(L3309&gt;=TIME(9,0,0), L3309&lt;TIME(16,0,0)),"Morning",
  AND(L3309&gt;=TIME(16,0,0), L3309&lt;TIME(23,59,0)),"Evening",
  L3309&gt;=TIME(23,59,0),"Night",
  L3309&lt;TIME(9,0,0),"Night"
))</f>
        <v/>
      </c>
      <c r="O3309" t="str">
        <f t="shared" si="308"/>
        <v/>
      </c>
    </row>
    <row r="3310" spans="7:15" x14ac:dyDescent="0.25">
      <c r="G3310" t="str">
        <f t="shared" si="306"/>
        <v/>
      </c>
      <c r="H3310" s="13" t="str">
        <f t="shared" si="309"/>
        <v/>
      </c>
      <c r="I3310" t="str">
        <f>IFERROR(INDEX(Analysis!$D$116:$N$137, MATCH(B3310, Analysis!$C$116:$C$137, 0), MATCH(C3310, Analysis!$D$115:$N$115, 0)), "")</f>
        <v/>
      </c>
      <c r="J3310" t="str">
        <f t="shared" si="310"/>
        <v/>
      </c>
      <c r="K3310" s="28" t="str">
        <f t="shared" si="307"/>
        <v/>
      </c>
      <c r="L3310" s="46" t="str">
        <f t="shared" si="311"/>
        <v/>
      </c>
      <c r="M3310" t="str" cm="1">
        <f t="array" ref="M3310">IF(L3310="","",_xlfn.IFS(
  AND(L3310&gt;=TIME(9,0,0), L3310&lt;TIME(16,0,0)),"Morning",
  AND(L3310&gt;=TIME(16,0,0), L3310&lt;TIME(23,59,0)),"Evening",
  L3310&gt;=TIME(23,59,0),"Night",
  L3310&lt;TIME(9,0,0),"Night"
))</f>
        <v/>
      </c>
      <c r="O3310" t="str">
        <f t="shared" si="308"/>
        <v/>
      </c>
    </row>
    <row r="3311" spans="7:15" x14ac:dyDescent="0.25">
      <c r="G3311" t="str">
        <f t="shared" si="306"/>
        <v/>
      </c>
      <c r="H3311" s="13" t="str">
        <f t="shared" si="309"/>
        <v/>
      </c>
      <c r="I3311" t="str">
        <f>IFERROR(INDEX(Analysis!$D$116:$N$137, MATCH(B3311, Analysis!$C$116:$C$137, 0), MATCH(C3311, Analysis!$D$115:$N$115, 0)), "")</f>
        <v/>
      </c>
      <c r="J3311" t="str">
        <f t="shared" si="310"/>
        <v/>
      </c>
      <c r="K3311" s="28" t="str">
        <f t="shared" si="307"/>
        <v/>
      </c>
      <c r="L3311" s="46" t="str">
        <f t="shared" si="311"/>
        <v/>
      </c>
      <c r="M3311" t="str" cm="1">
        <f t="array" ref="M3311">IF(L3311="","",_xlfn.IFS(
  AND(L3311&gt;=TIME(9,0,0), L3311&lt;TIME(16,0,0)),"Morning",
  AND(L3311&gt;=TIME(16,0,0), L3311&lt;TIME(23,59,0)),"Evening",
  L3311&gt;=TIME(23,59,0),"Night",
  L3311&lt;TIME(9,0,0),"Night"
))</f>
        <v/>
      </c>
      <c r="O3311" t="str">
        <f t="shared" si="308"/>
        <v/>
      </c>
    </row>
    <row r="3312" spans="7:15" x14ac:dyDescent="0.25">
      <c r="G3312" t="str">
        <f t="shared" si="306"/>
        <v/>
      </c>
      <c r="H3312" s="13" t="str">
        <f t="shared" si="309"/>
        <v/>
      </c>
      <c r="I3312" t="str">
        <f>IFERROR(INDEX(Analysis!$D$116:$N$137, MATCH(B3312, Analysis!$C$116:$C$137, 0), MATCH(C3312, Analysis!$D$115:$N$115, 0)), "")</f>
        <v/>
      </c>
      <c r="J3312" t="str">
        <f t="shared" si="310"/>
        <v/>
      </c>
      <c r="K3312" s="28" t="str">
        <f t="shared" si="307"/>
        <v/>
      </c>
      <c r="L3312" s="46" t="str">
        <f t="shared" si="311"/>
        <v/>
      </c>
      <c r="M3312" t="str" cm="1">
        <f t="array" ref="M3312">IF(L3312="","",_xlfn.IFS(
  AND(L3312&gt;=TIME(9,0,0), L3312&lt;TIME(16,0,0)),"Morning",
  AND(L3312&gt;=TIME(16,0,0), L3312&lt;TIME(23,59,0)),"Evening",
  L3312&gt;=TIME(23,59,0),"Night",
  L3312&lt;TIME(9,0,0),"Night"
))</f>
        <v/>
      </c>
      <c r="O3312" t="str">
        <f t="shared" si="308"/>
        <v/>
      </c>
    </row>
    <row r="3313" spans="7:15" x14ac:dyDescent="0.25">
      <c r="G3313" t="str">
        <f t="shared" si="306"/>
        <v/>
      </c>
      <c r="H3313" s="13" t="str">
        <f t="shared" si="309"/>
        <v/>
      </c>
      <c r="I3313" t="str">
        <f>IFERROR(INDEX(Analysis!$D$116:$N$137, MATCH(B3313, Analysis!$C$116:$C$137, 0), MATCH(C3313, Analysis!$D$115:$N$115, 0)), "")</f>
        <v/>
      </c>
      <c r="J3313" t="str">
        <f t="shared" si="310"/>
        <v/>
      </c>
      <c r="K3313" s="28" t="str">
        <f t="shared" si="307"/>
        <v/>
      </c>
      <c r="L3313" s="46" t="str">
        <f t="shared" si="311"/>
        <v/>
      </c>
      <c r="M3313" t="str" cm="1">
        <f t="array" ref="M3313">IF(L3313="","",_xlfn.IFS(
  AND(L3313&gt;=TIME(9,0,0), L3313&lt;TIME(16,0,0)),"Morning",
  AND(L3313&gt;=TIME(16,0,0), L3313&lt;TIME(23,59,0)),"Evening",
  L3313&gt;=TIME(23,59,0),"Night",
  L3313&lt;TIME(9,0,0),"Night"
))</f>
        <v/>
      </c>
      <c r="O3313" t="str">
        <f t="shared" si="308"/>
        <v/>
      </c>
    </row>
    <row r="3314" spans="7:15" x14ac:dyDescent="0.25">
      <c r="G3314" t="str">
        <f t="shared" si="306"/>
        <v/>
      </c>
      <c r="H3314" s="13" t="str">
        <f t="shared" si="309"/>
        <v/>
      </c>
      <c r="I3314" t="str">
        <f>IFERROR(INDEX(Analysis!$D$116:$N$137, MATCH(B3314, Analysis!$C$116:$C$137, 0), MATCH(C3314, Analysis!$D$115:$N$115, 0)), "")</f>
        <v/>
      </c>
      <c r="J3314" t="str">
        <f t="shared" si="310"/>
        <v/>
      </c>
      <c r="K3314" s="28" t="str">
        <f t="shared" si="307"/>
        <v/>
      </c>
      <c r="L3314" s="46" t="str">
        <f t="shared" si="311"/>
        <v/>
      </c>
      <c r="M3314" t="str" cm="1">
        <f t="array" ref="M3314">IF(L3314="","",_xlfn.IFS(
  AND(L3314&gt;=TIME(9,0,0), L3314&lt;TIME(16,0,0)),"Morning",
  AND(L3314&gt;=TIME(16,0,0), L3314&lt;TIME(23,59,0)),"Evening",
  L3314&gt;=TIME(23,59,0),"Night",
  L3314&lt;TIME(9,0,0),"Night"
))</f>
        <v/>
      </c>
      <c r="O3314" t="str">
        <f t="shared" si="308"/>
        <v/>
      </c>
    </row>
    <row r="3315" spans="7:15" x14ac:dyDescent="0.25">
      <c r="G3315" t="str">
        <f t="shared" si="306"/>
        <v/>
      </c>
      <c r="H3315" s="13" t="str">
        <f t="shared" si="309"/>
        <v/>
      </c>
      <c r="I3315" t="str">
        <f>IFERROR(INDEX(Analysis!$D$116:$N$137, MATCH(B3315, Analysis!$C$116:$C$137, 0), MATCH(C3315, Analysis!$D$115:$N$115, 0)), "")</f>
        <v/>
      </c>
      <c r="J3315" t="str">
        <f t="shared" si="310"/>
        <v/>
      </c>
      <c r="K3315" s="28" t="str">
        <f t="shared" si="307"/>
        <v/>
      </c>
      <c r="L3315" s="46" t="str">
        <f t="shared" si="311"/>
        <v/>
      </c>
      <c r="M3315" t="str" cm="1">
        <f t="array" ref="M3315">IF(L3315="","",_xlfn.IFS(
  AND(L3315&gt;=TIME(9,0,0), L3315&lt;TIME(16,0,0)),"Morning",
  AND(L3315&gt;=TIME(16,0,0), L3315&lt;TIME(23,59,0)),"Evening",
  L3315&gt;=TIME(23,59,0),"Night",
  L3315&lt;TIME(9,0,0),"Night"
))</f>
        <v/>
      </c>
      <c r="O3315" t="str">
        <f t="shared" si="308"/>
        <v/>
      </c>
    </row>
    <row r="3316" spans="7:15" x14ac:dyDescent="0.25">
      <c r="G3316" t="str">
        <f t="shared" si="306"/>
        <v/>
      </c>
      <c r="H3316" s="13" t="str">
        <f t="shared" si="309"/>
        <v/>
      </c>
      <c r="I3316" t="str">
        <f>IFERROR(INDEX(Analysis!$D$116:$N$137, MATCH(B3316, Analysis!$C$116:$C$137, 0), MATCH(C3316, Analysis!$D$115:$N$115, 0)), "")</f>
        <v/>
      </c>
      <c r="J3316" t="str">
        <f t="shared" si="310"/>
        <v/>
      </c>
      <c r="K3316" s="28" t="str">
        <f t="shared" si="307"/>
        <v/>
      </c>
      <c r="L3316" s="46" t="str">
        <f t="shared" si="311"/>
        <v/>
      </c>
      <c r="M3316" t="str" cm="1">
        <f t="array" ref="M3316">IF(L3316="","",_xlfn.IFS(
  AND(L3316&gt;=TIME(9,0,0), L3316&lt;TIME(16,0,0)),"Morning",
  AND(L3316&gt;=TIME(16,0,0), L3316&lt;TIME(23,59,0)),"Evening",
  L3316&gt;=TIME(23,59,0),"Night",
  L3316&lt;TIME(9,0,0),"Night"
))</f>
        <v/>
      </c>
      <c r="O3316" t="str">
        <f t="shared" si="308"/>
        <v/>
      </c>
    </row>
    <row r="3317" spans="7:15" x14ac:dyDescent="0.25">
      <c r="G3317" t="str">
        <f t="shared" si="306"/>
        <v/>
      </c>
      <c r="H3317" s="13" t="str">
        <f t="shared" si="309"/>
        <v/>
      </c>
      <c r="I3317" t="str">
        <f>IFERROR(INDEX(Analysis!$D$116:$N$137, MATCH(B3317, Analysis!$C$116:$C$137, 0), MATCH(C3317, Analysis!$D$115:$N$115, 0)), "")</f>
        <v/>
      </c>
      <c r="J3317" t="str">
        <f t="shared" si="310"/>
        <v/>
      </c>
      <c r="K3317" s="28" t="str">
        <f t="shared" si="307"/>
        <v/>
      </c>
      <c r="L3317" s="46" t="str">
        <f t="shared" si="311"/>
        <v/>
      </c>
      <c r="M3317" t="str" cm="1">
        <f t="array" ref="M3317">IF(L3317="","",_xlfn.IFS(
  AND(L3317&gt;=TIME(9,0,0), L3317&lt;TIME(16,0,0)),"Morning",
  AND(L3317&gt;=TIME(16,0,0), L3317&lt;TIME(23,59,0)),"Evening",
  L3317&gt;=TIME(23,59,0),"Night",
  L3317&lt;TIME(9,0,0),"Night"
))</f>
        <v/>
      </c>
      <c r="O3317" t="str">
        <f t="shared" si="308"/>
        <v/>
      </c>
    </row>
    <row r="3318" spans="7:15" x14ac:dyDescent="0.25">
      <c r="G3318" t="str">
        <f t="shared" si="306"/>
        <v/>
      </c>
      <c r="H3318" s="13" t="str">
        <f t="shared" si="309"/>
        <v/>
      </c>
      <c r="I3318" t="str">
        <f>IFERROR(INDEX(Analysis!$D$116:$N$137, MATCH(B3318, Analysis!$C$116:$C$137, 0), MATCH(C3318, Analysis!$D$115:$N$115, 0)), "")</f>
        <v/>
      </c>
      <c r="J3318" t="str">
        <f t="shared" si="310"/>
        <v/>
      </c>
      <c r="K3318" s="28" t="str">
        <f t="shared" si="307"/>
        <v/>
      </c>
      <c r="L3318" s="46" t="str">
        <f t="shared" si="311"/>
        <v/>
      </c>
      <c r="M3318" t="str" cm="1">
        <f t="array" ref="M3318">IF(L3318="","",_xlfn.IFS(
  AND(L3318&gt;=TIME(9,0,0), L3318&lt;TIME(16,0,0)),"Morning",
  AND(L3318&gt;=TIME(16,0,0), L3318&lt;TIME(23,59,0)),"Evening",
  L3318&gt;=TIME(23,59,0),"Night",
  L3318&lt;TIME(9,0,0),"Night"
))</f>
        <v/>
      </c>
      <c r="O3318" t="str">
        <f t="shared" si="308"/>
        <v/>
      </c>
    </row>
    <row r="3319" spans="7:15" x14ac:dyDescent="0.25">
      <c r="G3319" t="str">
        <f t="shared" si="306"/>
        <v/>
      </c>
      <c r="H3319" s="13" t="str">
        <f t="shared" si="309"/>
        <v/>
      </c>
      <c r="I3319" t="str">
        <f>IFERROR(INDEX(Analysis!$D$116:$N$137, MATCH(B3319, Analysis!$C$116:$C$137, 0), MATCH(C3319, Analysis!$D$115:$N$115, 0)), "")</f>
        <v/>
      </c>
      <c r="J3319" t="str">
        <f t="shared" si="310"/>
        <v/>
      </c>
      <c r="K3319" s="28" t="str">
        <f t="shared" si="307"/>
        <v/>
      </c>
      <c r="L3319" s="46" t="str">
        <f t="shared" si="311"/>
        <v/>
      </c>
      <c r="M3319" t="str" cm="1">
        <f t="array" ref="M3319">IF(L3319="","",_xlfn.IFS(
  AND(L3319&gt;=TIME(9,0,0), L3319&lt;TIME(16,0,0)),"Morning",
  AND(L3319&gt;=TIME(16,0,0), L3319&lt;TIME(23,59,0)),"Evening",
  L3319&gt;=TIME(23,59,0),"Night",
  L3319&lt;TIME(9,0,0),"Night"
))</f>
        <v/>
      </c>
      <c r="O3319" t="str">
        <f t="shared" si="308"/>
        <v/>
      </c>
    </row>
    <row r="3320" spans="7:15" x14ac:dyDescent="0.25">
      <c r="G3320" t="str">
        <f t="shared" si="306"/>
        <v/>
      </c>
      <c r="H3320" s="13" t="str">
        <f t="shared" si="309"/>
        <v/>
      </c>
      <c r="I3320" t="str">
        <f>IFERROR(INDEX(Analysis!$D$116:$N$137, MATCH(B3320, Analysis!$C$116:$C$137, 0), MATCH(C3320, Analysis!$D$115:$N$115, 0)), "")</f>
        <v/>
      </c>
      <c r="J3320" t="str">
        <f t="shared" si="310"/>
        <v/>
      </c>
      <c r="K3320" s="28" t="str">
        <f t="shared" si="307"/>
        <v/>
      </c>
      <c r="L3320" s="46" t="str">
        <f t="shared" si="311"/>
        <v/>
      </c>
      <c r="M3320" t="str" cm="1">
        <f t="array" ref="M3320">IF(L3320="","",_xlfn.IFS(
  AND(L3320&gt;=TIME(9,0,0), L3320&lt;TIME(16,0,0)),"Morning",
  AND(L3320&gt;=TIME(16,0,0), L3320&lt;TIME(23,59,0)),"Evening",
  L3320&gt;=TIME(23,59,0),"Night",
  L3320&lt;TIME(9,0,0),"Night"
))</f>
        <v/>
      </c>
      <c r="O3320" t="str">
        <f t="shared" si="308"/>
        <v/>
      </c>
    </row>
    <row r="3321" spans="7:15" x14ac:dyDescent="0.25">
      <c r="G3321" t="str">
        <f t="shared" si="306"/>
        <v/>
      </c>
      <c r="H3321" s="13" t="str">
        <f t="shared" si="309"/>
        <v/>
      </c>
      <c r="I3321" t="str">
        <f>IFERROR(INDEX(Analysis!$D$116:$N$137, MATCH(B3321, Analysis!$C$116:$C$137, 0), MATCH(C3321, Analysis!$D$115:$N$115, 0)), "")</f>
        <v/>
      </c>
      <c r="J3321" t="str">
        <f t="shared" si="310"/>
        <v/>
      </c>
      <c r="K3321" s="28" t="str">
        <f t="shared" si="307"/>
        <v/>
      </c>
      <c r="L3321" s="46" t="str">
        <f t="shared" si="311"/>
        <v/>
      </c>
      <c r="M3321" t="str" cm="1">
        <f t="array" ref="M3321">IF(L3321="","",_xlfn.IFS(
  AND(L3321&gt;=TIME(9,0,0), L3321&lt;TIME(16,0,0)),"Morning",
  AND(L3321&gt;=TIME(16,0,0), L3321&lt;TIME(23,59,0)),"Evening",
  L3321&gt;=TIME(23,59,0),"Night",
  L3321&lt;TIME(9,0,0),"Night"
))</f>
        <v/>
      </c>
      <c r="O3321" t="str">
        <f t="shared" si="308"/>
        <v/>
      </c>
    </row>
    <row r="3322" spans="7:15" x14ac:dyDescent="0.25">
      <c r="G3322" t="str">
        <f t="shared" si="306"/>
        <v/>
      </c>
      <c r="H3322" s="13" t="str">
        <f t="shared" si="309"/>
        <v/>
      </c>
      <c r="I3322" t="str">
        <f>IFERROR(INDEX(Analysis!$D$116:$N$137, MATCH(B3322, Analysis!$C$116:$C$137, 0), MATCH(C3322, Analysis!$D$115:$N$115, 0)), "")</f>
        <v/>
      </c>
      <c r="J3322" t="str">
        <f t="shared" si="310"/>
        <v/>
      </c>
      <c r="K3322" s="28" t="str">
        <f t="shared" si="307"/>
        <v/>
      </c>
      <c r="L3322" s="46" t="str">
        <f t="shared" si="311"/>
        <v/>
      </c>
      <c r="M3322" t="str" cm="1">
        <f t="array" ref="M3322">IF(L3322="","",_xlfn.IFS(
  AND(L3322&gt;=TIME(9,0,0), L3322&lt;TIME(16,0,0)),"Morning",
  AND(L3322&gt;=TIME(16,0,0), L3322&lt;TIME(23,59,0)),"Evening",
  L3322&gt;=TIME(23,59,0),"Night",
  L3322&lt;TIME(9,0,0),"Night"
))</f>
        <v/>
      </c>
      <c r="O3322" t="str">
        <f t="shared" si="308"/>
        <v/>
      </c>
    </row>
    <row r="3323" spans="7:15" x14ac:dyDescent="0.25">
      <c r="G3323" t="str">
        <f t="shared" si="306"/>
        <v/>
      </c>
      <c r="H3323" s="13" t="str">
        <f t="shared" si="309"/>
        <v/>
      </c>
      <c r="I3323" t="str">
        <f>IFERROR(INDEX(Analysis!$D$116:$N$137, MATCH(B3323, Analysis!$C$116:$C$137, 0), MATCH(C3323, Analysis!$D$115:$N$115, 0)), "")</f>
        <v/>
      </c>
      <c r="J3323" t="str">
        <f t="shared" si="310"/>
        <v/>
      </c>
      <c r="K3323" s="28" t="str">
        <f t="shared" si="307"/>
        <v/>
      </c>
      <c r="L3323" s="46" t="str">
        <f t="shared" si="311"/>
        <v/>
      </c>
      <c r="M3323" t="str" cm="1">
        <f t="array" ref="M3323">IF(L3323="","",_xlfn.IFS(
  AND(L3323&gt;=TIME(9,0,0), L3323&lt;TIME(16,0,0)),"Morning",
  AND(L3323&gt;=TIME(16,0,0), L3323&lt;TIME(23,59,0)),"Evening",
  L3323&gt;=TIME(23,59,0),"Night",
  L3323&lt;TIME(9,0,0),"Night"
))</f>
        <v/>
      </c>
      <c r="O3323" t="str">
        <f t="shared" si="308"/>
        <v/>
      </c>
    </row>
    <row r="3324" spans="7:15" x14ac:dyDescent="0.25">
      <c r="G3324" t="str">
        <f t="shared" si="306"/>
        <v/>
      </c>
      <c r="H3324" s="13" t="str">
        <f t="shared" si="309"/>
        <v/>
      </c>
      <c r="I3324" t="str">
        <f>IFERROR(INDEX(Analysis!$D$116:$N$137, MATCH(B3324, Analysis!$C$116:$C$137, 0), MATCH(C3324, Analysis!$D$115:$N$115, 0)), "")</f>
        <v/>
      </c>
      <c r="J3324" t="str">
        <f t="shared" si="310"/>
        <v/>
      </c>
      <c r="K3324" s="28" t="str">
        <f t="shared" si="307"/>
        <v/>
      </c>
      <c r="L3324" s="46" t="str">
        <f t="shared" si="311"/>
        <v/>
      </c>
      <c r="M3324" t="str" cm="1">
        <f t="array" ref="M3324">IF(L3324="","",_xlfn.IFS(
  AND(L3324&gt;=TIME(9,0,0), L3324&lt;TIME(16,0,0)),"Morning",
  AND(L3324&gt;=TIME(16,0,0), L3324&lt;TIME(23,59,0)),"Evening",
  L3324&gt;=TIME(23,59,0),"Night",
  L3324&lt;TIME(9,0,0),"Night"
))</f>
        <v/>
      </c>
      <c r="O3324" t="str">
        <f t="shared" si="308"/>
        <v/>
      </c>
    </row>
    <row r="3325" spans="7:15" x14ac:dyDescent="0.25">
      <c r="G3325" t="str">
        <f t="shared" si="306"/>
        <v/>
      </c>
      <c r="H3325" s="13" t="str">
        <f t="shared" si="309"/>
        <v/>
      </c>
      <c r="I3325" t="str">
        <f>IFERROR(INDEX(Analysis!$D$116:$N$137, MATCH(B3325, Analysis!$C$116:$C$137, 0), MATCH(C3325, Analysis!$D$115:$N$115, 0)), "")</f>
        <v/>
      </c>
      <c r="J3325" t="str">
        <f t="shared" si="310"/>
        <v/>
      </c>
      <c r="K3325" s="28" t="str">
        <f t="shared" si="307"/>
        <v/>
      </c>
      <c r="L3325" s="46" t="str">
        <f t="shared" si="311"/>
        <v/>
      </c>
      <c r="M3325" t="str" cm="1">
        <f t="array" ref="M3325">IF(L3325="","",_xlfn.IFS(
  AND(L3325&gt;=TIME(9,0,0), L3325&lt;TIME(16,0,0)),"Morning",
  AND(L3325&gt;=TIME(16,0,0), L3325&lt;TIME(23,59,0)),"Evening",
  L3325&gt;=TIME(23,59,0),"Night",
  L3325&lt;TIME(9,0,0),"Night"
))</f>
        <v/>
      </c>
      <c r="O3325" t="str">
        <f t="shared" si="308"/>
        <v/>
      </c>
    </row>
    <row r="3326" spans="7:15" x14ac:dyDescent="0.25">
      <c r="G3326" t="str">
        <f t="shared" si="306"/>
        <v/>
      </c>
      <c r="H3326" s="13" t="str">
        <f t="shared" si="309"/>
        <v/>
      </c>
      <c r="I3326" t="str">
        <f>IFERROR(INDEX(Analysis!$D$116:$N$137, MATCH(B3326, Analysis!$C$116:$C$137, 0), MATCH(C3326, Analysis!$D$115:$N$115, 0)), "")</f>
        <v/>
      </c>
      <c r="J3326" t="str">
        <f t="shared" si="310"/>
        <v/>
      </c>
      <c r="K3326" s="28" t="str">
        <f t="shared" si="307"/>
        <v/>
      </c>
      <c r="L3326" s="46" t="str">
        <f t="shared" si="311"/>
        <v/>
      </c>
      <c r="M3326" t="str" cm="1">
        <f t="array" ref="M3326">IF(L3326="","",_xlfn.IFS(
  AND(L3326&gt;=TIME(9,0,0), L3326&lt;TIME(16,0,0)),"Morning",
  AND(L3326&gt;=TIME(16,0,0), L3326&lt;TIME(23,59,0)),"Evening",
  L3326&gt;=TIME(23,59,0),"Night",
  L3326&lt;TIME(9,0,0),"Night"
))</f>
        <v/>
      </c>
      <c r="O3326" t="str">
        <f t="shared" si="308"/>
        <v/>
      </c>
    </row>
    <row r="3327" spans="7:15" x14ac:dyDescent="0.25">
      <c r="G3327" t="str">
        <f t="shared" si="306"/>
        <v/>
      </c>
      <c r="H3327" s="13" t="str">
        <f t="shared" si="309"/>
        <v/>
      </c>
      <c r="I3327" t="str">
        <f>IFERROR(INDEX(Analysis!$D$116:$N$137, MATCH(B3327, Analysis!$C$116:$C$137, 0), MATCH(C3327, Analysis!$D$115:$N$115, 0)), "")</f>
        <v/>
      </c>
      <c r="J3327" t="str">
        <f t="shared" si="310"/>
        <v/>
      </c>
      <c r="K3327" s="28" t="str">
        <f t="shared" si="307"/>
        <v/>
      </c>
      <c r="L3327" s="46" t="str">
        <f t="shared" si="311"/>
        <v/>
      </c>
      <c r="M3327" t="str" cm="1">
        <f t="array" ref="M3327">IF(L3327="","",_xlfn.IFS(
  AND(L3327&gt;=TIME(9,0,0), L3327&lt;TIME(16,0,0)),"Morning",
  AND(L3327&gt;=TIME(16,0,0), L3327&lt;TIME(23,59,0)),"Evening",
  L3327&gt;=TIME(23,59,0),"Night",
  L3327&lt;TIME(9,0,0),"Night"
))</f>
        <v/>
      </c>
      <c r="O3327" t="str">
        <f t="shared" si="308"/>
        <v/>
      </c>
    </row>
    <row r="3328" spans="7:15" x14ac:dyDescent="0.25">
      <c r="G3328" t="str">
        <f t="shared" si="306"/>
        <v/>
      </c>
      <c r="H3328" s="13" t="str">
        <f t="shared" si="309"/>
        <v/>
      </c>
      <c r="I3328" t="str">
        <f>IFERROR(INDEX(Analysis!$D$116:$N$137, MATCH(B3328, Analysis!$C$116:$C$137, 0), MATCH(C3328, Analysis!$D$115:$N$115, 0)), "")</f>
        <v/>
      </c>
      <c r="J3328" t="str">
        <f t="shared" si="310"/>
        <v/>
      </c>
      <c r="K3328" s="28" t="str">
        <f t="shared" si="307"/>
        <v/>
      </c>
      <c r="L3328" s="46" t="str">
        <f t="shared" si="311"/>
        <v/>
      </c>
      <c r="M3328" t="str" cm="1">
        <f t="array" ref="M3328">IF(L3328="","",_xlfn.IFS(
  AND(L3328&gt;=TIME(9,0,0), L3328&lt;TIME(16,0,0)),"Morning",
  AND(L3328&gt;=TIME(16,0,0), L3328&lt;TIME(23,59,0)),"Evening",
  L3328&gt;=TIME(23,59,0),"Night",
  L3328&lt;TIME(9,0,0),"Night"
))</f>
        <v/>
      </c>
      <c r="O3328" t="str">
        <f t="shared" si="308"/>
        <v/>
      </c>
    </row>
    <row r="3329" spans="7:15" x14ac:dyDescent="0.25">
      <c r="G3329" t="str">
        <f t="shared" si="306"/>
        <v/>
      </c>
      <c r="H3329" s="13" t="str">
        <f t="shared" si="309"/>
        <v/>
      </c>
      <c r="I3329" t="str">
        <f>IFERROR(INDEX(Analysis!$D$116:$N$137, MATCH(B3329, Analysis!$C$116:$C$137, 0), MATCH(C3329, Analysis!$D$115:$N$115, 0)), "")</f>
        <v/>
      </c>
      <c r="J3329" t="str">
        <f t="shared" si="310"/>
        <v/>
      </c>
      <c r="K3329" s="28" t="str">
        <f t="shared" si="307"/>
        <v/>
      </c>
      <c r="L3329" s="46" t="str">
        <f t="shared" si="311"/>
        <v/>
      </c>
      <c r="M3329" t="str" cm="1">
        <f t="array" ref="M3329">IF(L3329="","",_xlfn.IFS(
  AND(L3329&gt;=TIME(9,0,0), L3329&lt;TIME(16,0,0)),"Morning",
  AND(L3329&gt;=TIME(16,0,0), L3329&lt;TIME(23,59,0)),"Evening",
  L3329&gt;=TIME(23,59,0),"Night",
  L3329&lt;TIME(9,0,0),"Night"
))</f>
        <v/>
      </c>
      <c r="O3329" t="str">
        <f t="shared" si="308"/>
        <v/>
      </c>
    </row>
    <row r="3330" spans="7:15" x14ac:dyDescent="0.25">
      <c r="G3330" t="str">
        <f t="shared" ref="G3330:G3393" si="312">IF(ISBLANK(A3330), "", IF(ISBLANK(F3330), 0, F3330))</f>
        <v/>
      </c>
      <c r="H3330" s="13" t="str">
        <f t="shared" si="309"/>
        <v/>
      </c>
      <c r="I3330" t="str">
        <f>IFERROR(INDEX(Analysis!$D$116:$N$137, MATCH(B3330, Analysis!$C$116:$C$137, 0), MATCH(C3330, Analysis!$D$115:$N$115, 0)), "")</f>
        <v/>
      </c>
      <c r="J3330" t="str">
        <f t="shared" si="310"/>
        <v/>
      </c>
      <c r="K3330" s="28" t="str">
        <f t="shared" ref="K3330:K3393" si="313">IF(ISBLANK(A3330),"",DATE(YEAR(A3330),MONTH(A3330),DAY(A3330)))</f>
        <v/>
      </c>
      <c r="L3330" s="46" t="str">
        <f t="shared" si="311"/>
        <v/>
      </c>
      <c r="M3330" t="str" cm="1">
        <f t="array" ref="M3330">IF(L3330="","",_xlfn.IFS(
  AND(L3330&gt;=TIME(9,0,0), L3330&lt;TIME(16,0,0)),"Morning",
  AND(L3330&gt;=TIME(16,0,0), L3330&lt;TIME(23,59,0)),"Evening",
  L3330&gt;=TIME(23,59,0),"Night",
  L3330&lt;TIME(9,0,0),"Night"
))</f>
        <v/>
      </c>
      <c r="O3330" t="str">
        <f t="shared" ref="O3330:O3393" si="314">IF(N3330="ON", _xlfn.IMAGE(E3330, 1), "")</f>
        <v/>
      </c>
    </row>
    <row r="3331" spans="7:15" x14ac:dyDescent="0.25">
      <c r="G3331" t="str">
        <f t="shared" si="312"/>
        <v/>
      </c>
      <c r="H3331" s="13" t="str">
        <f t="shared" ref="H3331:H3394" si="315">IF(ISBLANK(E3331),"",HYPERLINK(E3331,"Click here"))</f>
        <v/>
      </c>
      <c r="I3331" t="str">
        <f>IFERROR(INDEX(Analysis!$D$116:$N$137, MATCH(B3331, Analysis!$C$116:$C$137, 0), MATCH(C3331, Analysis!$D$115:$N$115, 0)), "")</f>
        <v/>
      </c>
      <c r="J3331" t="str">
        <f t="shared" ref="J3331:J3394" si="316">IF(ISBLANK(A3331),"",WEEKNUM(A3331))</f>
        <v/>
      </c>
      <c r="K3331" s="28" t="str">
        <f t="shared" si="313"/>
        <v/>
      </c>
      <c r="L3331" s="46" t="str">
        <f t="shared" ref="L3331:L3394" si="317">IF(A3331="", "", A3331 - INT(A3331))</f>
        <v/>
      </c>
      <c r="M3331" t="str" cm="1">
        <f t="array" ref="M3331">IF(L3331="","",_xlfn.IFS(
  AND(L3331&gt;=TIME(9,0,0), L3331&lt;TIME(16,0,0)),"Morning",
  AND(L3331&gt;=TIME(16,0,0), L3331&lt;TIME(23,59,0)),"Evening",
  L3331&gt;=TIME(23,59,0),"Night",
  L3331&lt;TIME(9,0,0),"Night"
))</f>
        <v/>
      </c>
      <c r="O3331" t="str">
        <f t="shared" si="314"/>
        <v/>
      </c>
    </row>
    <row r="3332" spans="7:15" x14ac:dyDescent="0.25">
      <c r="G3332" t="str">
        <f t="shared" si="312"/>
        <v/>
      </c>
      <c r="H3332" s="13" t="str">
        <f t="shared" si="315"/>
        <v/>
      </c>
      <c r="I3332" t="str">
        <f>IFERROR(INDEX(Analysis!$D$116:$N$137, MATCH(B3332, Analysis!$C$116:$C$137, 0), MATCH(C3332, Analysis!$D$115:$N$115, 0)), "")</f>
        <v/>
      </c>
      <c r="J3332" t="str">
        <f t="shared" si="316"/>
        <v/>
      </c>
      <c r="K3332" s="28" t="str">
        <f t="shared" si="313"/>
        <v/>
      </c>
      <c r="L3332" s="46" t="str">
        <f t="shared" si="317"/>
        <v/>
      </c>
      <c r="M3332" t="str" cm="1">
        <f t="array" ref="M3332">IF(L3332="","",_xlfn.IFS(
  AND(L3332&gt;=TIME(9,0,0), L3332&lt;TIME(16,0,0)),"Morning",
  AND(L3332&gt;=TIME(16,0,0), L3332&lt;TIME(23,59,0)),"Evening",
  L3332&gt;=TIME(23,59,0),"Night",
  L3332&lt;TIME(9,0,0),"Night"
))</f>
        <v/>
      </c>
      <c r="O3332" t="str">
        <f t="shared" si="314"/>
        <v/>
      </c>
    </row>
    <row r="3333" spans="7:15" x14ac:dyDescent="0.25">
      <c r="G3333" t="str">
        <f t="shared" si="312"/>
        <v/>
      </c>
      <c r="H3333" s="13" t="str">
        <f t="shared" si="315"/>
        <v/>
      </c>
      <c r="I3333" t="str">
        <f>IFERROR(INDEX(Analysis!$D$116:$N$137, MATCH(B3333, Analysis!$C$116:$C$137, 0), MATCH(C3333, Analysis!$D$115:$N$115, 0)), "")</f>
        <v/>
      </c>
      <c r="J3333" t="str">
        <f t="shared" si="316"/>
        <v/>
      </c>
      <c r="K3333" s="28" t="str">
        <f t="shared" si="313"/>
        <v/>
      </c>
      <c r="L3333" s="46" t="str">
        <f t="shared" si="317"/>
        <v/>
      </c>
      <c r="M3333" t="str" cm="1">
        <f t="array" ref="M3333">IF(L3333="","",_xlfn.IFS(
  AND(L3333&gt;=TIME(9,0,0), L3333&lt;TIME(16,0,0)),"Morning",
  AND(L3333&gt;=TIME(16,0,0), L3333&lt;TIME(23,59,0)),"Evening",
  L3333&gt;=TIME(23,59,0),"Night",
  L3333&lt;TIME(9,0,0),"Night"
))</f>
        <v/>
      </c>
      <c r="O3333" t="str">
        <f t="shared" si="314"/>
        <v/>
      </c>
    </row>
    <row r="3334" spans="7:15" x14ac:dyDescent="0.25">
      <c r="G3334" t="str">
        <f t="shared" si="312"/>
        <v/>
      </c>
      <c r="H3334" s="13" t="str">
        <f t="shared" si="315"/>
        <v/>
      </c>
      <c r="I3334" t="str">
        <f>IFERROR(INDEX(Analysis!$D$116:$N$137, MATCH(B3334, Analysis!$C$116:$C$137, 0), MATCH(C3334, Analysis!$D$115:$N$115, 0)), "")</f>
        <v/>
      </c>
      <c r="J3334" t="str">
        <f t="shared" si="316"/>
        <v/>
      </c>
      <c r="K3334" s="28" t="str">
        <f t="shared" si="313"/>
        <v/>
      </c>
      <c r="L3334" s="46" t="str">
        <f t="shared" si="317"/>
        <v/>
      </c>
      <c r="M3334" t="str" cm="1">
        <f t="array" ref="M3334">IF(L3334="","",_xlfn.IFS(
  AND(L3334&gt;=TIME(9,0,0), L3334&lt;TIME(16,0,0)),"Morning",
  AND(L3334&gt;=TIME(16,0,0), L3334&lt;TIME(23,59,0)),"Evening",
  L3334&gt;=TIME(23,59,0),"Night",
  L3334&lt;TIME(9,0,0),"Night"
))</f>
        <v/>
      </c>
      <c r="O3334" t="str">
        <f t="shared" si="314"/>
        <v/>
      </c>
    </row>
    <row r="3335" spans="7:15" x14ac:dyDescent="0.25">
      <c r="G3335" t="str">
        <f t="shared" si="312"/>
        <v/>
      </c>
      <c r="H3335" s="13" t="str">
        <f t="shared" si="315"/>
        <v/>
      </c>
      <c r="I3335" t="str">
        <f>IFERROR(INDEX(Analysis!$D$116:$N$137, MATCH(B3335, Analysis!$C$116:$C$137, 0), MATCH(C3335, Analysis!$D$115:$N$115, 0)), "")</f>
        <v/>
      </c>
      <c r="J3335" t="str">
        <f t="shared" si="316"/>
        <v/>
      </c>
      <c r="K3335" s="28" t="str">
        <f t="shared" si="313"/>
        <v/>
      </c>
      <c r="L3335" s="46" t="str">
        <f t="shared" si="317"/>
        <v/>
      </c>
      <c r="M3335" t="str" cm="1">
        <f t="array" ref="M3335">IF(L3335="","",_xlfn.IFS(
  AND(L3335&gt;=TIME(9,0,0), L3335&lt;TIME(16,0,0)),"Morning",
  AND(L3335&gt;=TIME(16,0,0), L3335&lt;TIME(23,59,0)),"Evening",
  L3335&gt;=TIME(23,59,0),"Night",
  L3335&lt;TIME(9,0,0),"Night"
))</f>
        <v/>
      </c>
      <c r="O3335" t="str">
        <f t="shared" si="314"/>
        <v/>
      </c>
    </row>
    <row r="3336" spans="7:15" x14ac:dyDescent="0.25">
      <c r="G3336" t="str">
        <f t="shared" si="312"/>
        <v/>
      </c>
      <c r="H3336" s="13" t="str">
        <f t="shared" si="315"/>
        <v/>
      </c>
      <c r="I3336" t="str">
        <f>IFERROR(INDEX(Analysis!$D$116:$N$137, MATCH(B3336, Analysis!$C$116:$C$137, 0), MATCH(C3336, Analysis!$D$115:$N$115, 0)), "")</f>
        <v/>
      </c>
      <c r="J3336" t="str">
        <f t="shared" si="316"/>
        <v/>
      </c>
      <c r="K3336" s="28" t="str">
        <f t="shared" si="313"/>
        <v/>
      </c>
      <c r="L3336" s="46" t="str">
        <f t="shared" si="317"/>
        <v/>
      </c>
      <c r="M3336" t="str" cm="1">
        <f t="array" ref="M3336">IF(L3336="","",_xlfn.IFS(
  AND(L3336&gt;=TIME(9,0,0), L3336&lt;TIME(16,0,0)),"Morning",
  AND(L3336&gt;=TIME(16,0,0), L3336&lt;TIME(23,59,0)),"Evening",
  L3336&gt;=TIME(23,59,0),"Night",
  L3336&lt;TIME(9,0,0),"Night"
))</f>
        <v/>
      </c>
      <c r="O3336" t="str">
        <f t="shared" si="314"/>
        <v/>
      </c>
    </row>
    <row r="3337" spans="7:15" x14ac:dyDescent="0.25">
      <c r="G3337" t="str">
        <f t="shared" si="312"/>
        <v/>
      </c>
      <c r="H3337" s="13" t="str">
        <f t="shared" si="315"/>
        <v/>
      </c>
      <c r="I3337" t="str">
        <f>IFERROR(INDEX(Analysis!$D$116:$N$137, MATCH(B3337, Analysis!$C$116:$C$137, 0), MATCH(C3337, Analysis!$D$115:$N$115, 0)), "")</f>
        <v/>
      </c>
      <c r="J3337" t="str">
        <f t="shared" si="316"/>
        <v/>
      </c>
      <c r="K3337" s="28" t="str">
        <f t="shared" si="313"/>
        <v/>
      </c>
      <c r="L3337" s="46" t="str">
        <f t="shared" si="317"/>
        <v/>
      </c>
      <c r="M3337" t="str" cm="1">
        <f t="array" ref="M3337">IF(L3337="","",_xlfn.IFS(
  AND(L3337&gt;=TIME(9,0,0), L3337&lt;TIME(16,0,0)),"Morning",
  AND(L3337&gt;=TIME(16,0,0), L3337&lt;TIME(23,59,0)),"Evening",
  L3337&gt;=TIME(23,59,0),"Night",
  L3337&lt;TIME(9,0,0),"Night"
))</f>
        <v/>
      </c>
      <c r="O3337" t="str">
        <f t="shared" si="314"/>
        <v/>
      </c>
    </row>
    <row r="3338" spans="7:15" x14ac:dyDescent="0.25">
      <c r="G3338" t="str">
        <f t="shared" si="312"/>
        <v/>
      </c>
      <c r="H3338" s="13" t="str">
        <f t="shared" si="315"/>
        <v/>
      </c>
      <c r="I3338" t="str">
        <f>IFERROR(INDEX(Analysis!$D$116:$N$137, MATCH(B3338, Analysis!$C$116:$C$137, 0), MATCH(C3338, Analysis!$D$115:$N$115, 0)), "")</f>
        <v/>
      </c>
      <c r="J3338" t="str">
        <f t="shared" si="316"/>
        <v/>
      </c>
      <c r="K3338" s="28" t="str">
        <f t="shared" si="313"/>
        <v/>
      </c>
      <c r="L3338" s="46" t="str">
        <f t="shared" si="317"/>
        <v/>
      </c>
      <c r="M3338" t="str" cm="1">
        <f t="array" ref="M3338">IF(L3338="","",_xlfn.IFS(
  AND(L3338&gt;=TIME(9,0,0), L3338&lt;TIME(16,0,0)),"Morning",
  AND(L3338&gt;=TIME(16,0,0), L3338&lt;TIME(23,59,0)),"Evening",
  L3338&gt;=TIME(23,59,0),"Night",
  L3338&lt;TIME(9,0,0),"Night"
))</f>
        <v/>
      </c>
      <c r="O3338" t="str">
        <f t="shared" si="314"/>
        <v/>
      </c>
    </row>
    <row r="3339" spans="7:15" x14ac:dyDescent="0.25">
      <c r="G3339" t="str">
        <f t="shared" si="312"/>
        <v/>
      </c>
      <c r="H3339" s="13" t="str">
        <f t="shared" si="315"/>
        <v/>
      </c>
      <c r="I3339" t="str">
        <f>IFERROR(INDEX(Analysis!$D$116:$N$137, MATCH(B3339, Analysis!$C$116:$C$137, 0), MATCH(C3339, Analysis!$D$115:$N$115, 0)), "")</f>
        <v/>
      </c>
      <c r="J3339" t="str">
        <f t="shared" si="316"/>
        <v/>
      </c>
      <c r="K3339" s="28" t="str">
        <f t="shared" si="313"/>
        <v/>
      </c>
      <c r="L3339" s="46" t="str">
        <f t="shared" si="317"/>
        <v/>
      </c>
      <c r="M3339" t="str" cm="1">
        <f t="array" ref="M3339">IF(L3339="","",_xlfn.IFS(
  AND(L3339&gt;=TIME(9,0,0), L3339&lt;TIME(16,0,0)),"Morning",
  AND(L3339&gt;=TIME(16,0,0), L3339&lt;TIME(23,59,0)),"Evening",
  L3339&gt;=TIME(23,59,0),"Night",
  L3339&lt;TIME(9,0,0),"Night"
))</f>
        <v/>
      </c>
      <c r="O3339" t="str">
        <f t="shared" si="314"/>
        <v/>
      </c>
    </row>
    <row r="3340" spans="7:15" x14ac:dyDescent="0.25">
      <c r="G3340" t="str">
        <f t="shared" si="312"/>
        <v/>
      </c>
      <c r="H3340" s="13" t="str">
        <f t="shared" si="315"/>
        <v/>
      </c>
      <c r="I3340" t="str">
        <f>IFERROR(INDEX(Analysis!$D$116:$N$137, MATCH(B3340, Analysis!$C$116:$C$137, 0), MATCH(C3340, Analysis!$D$115:$N$115, 0)), "")</f>
        <v/>
      </c>
      <c r="J3340" t="str">
        <f t="shared" si="316"/>
        <v/>
      </c>
      <c r="K3340" s="28" t="str">
        <f t="shared" si="313"/>
        <v/>
      </c>
      <c r="L3340" s="46" t="str">
        <f t="shared" si="317"/>
        <v/>
      </c>
      <c r="M3340" t="str" cm="1">
        <f t="array" ref="M3340">IF(L3340="","",_xlfn.IFS(
  AND(L3340&gt;=TIME(9,0,0), L3340&lt;TIME(16,0,0)),"Morning",
  AND(L3340&gt;=TIME(16,0,0), L3340&lt;TIME(23,59,0)),"Evening",
  L3340&gt;=TIME(23,59,0),"Night",
  L3340&lt;TIME(9,0,0),"Night"
))</f>
        <v/>
      </c>
      <c r="O3340" t="str">
        <f t="shared" si="314"/>
        <v/>
      </c>
    </row>
    <row r="3341" spans="7:15" x14ac:dyDescent="0.25">
      <c r="G3341" t="str">
        <f t="shared" si="312"/>
        <v/>
      </c>
      <c r="H3341" s="13" t="str">
        <f t="shared" si="315"/>
        <v/>
      </c>
      <c r="I3341" t="str">
        <f>IFERROR(INDEX(Analysis!$D$116:$N$137, MATCH(B3341, Analysis!$C$116:$C$137, 0), MATCH(C3341, Analysis!$D$115:$N$115, 0)), "")</f>
        <v/>
      </c>
      <c r="J3341" t="str">
        <f t="shared" si="316"/>
        <v/>
      </c>
      <c r="K3341" s="28" t="str">
        <f t="shared" si="313"/>
        <v/>
      </c>
      <c r="L3341" s="46" t="str">
        <f t="shared" si="317"/>
        <v/>
      </c>
      <c r="M3341" t="str" cm="1">
        <f t="array" ref="M3341">IF(L3341="","",_xlfn.IFS(
  AND(L3341&gt;=TIME(9,0,0), L3341&lt;TIME(16,0,0)),"Morning",
  AND(L3341&gt;=TIME(16,0,0), L3341&lt;TIME(23,59,0)),"Evening",
  L3341&gt;=TIME(23,59,0),"Night",
  L3341&lt;TIME(9,0,0),"Night"
))</f>
        <v/>
      </c>
      <c r="O3341" t="str">
        <f t="shared" si="314"/>
        <v/>
      </c>
    </row>
    <row r="3342" spans="7:15" x14ac:dyDescent="0.25">
      <c r="G3342" t="str">
        <f t="shared" si="312"/>
        <v/>
      </c>
      <c r="H3342" s="13" t="str">
        <f t="shared" si="315"/>
        <v/>
      </c>
      <c r="I3342" t="str">
        <f>IFERROR(INDEX(Analysis!$D$116:$N$137, MATCH(B3342, Analysis!$C$116:$C$137, 0), MATCH(C3342, Analysis!$D$115:$N$115, 0)), "")</f>
        <v/>
      </c>
      <c r="J3342" t="str">
        <f t="shared" si="316"/>
        <v/>
      </c>
      <c r="K3342" s="28" t="str">
        <f t="shared" si="313"/>
        <v/>
      </c>
      <c r="L3342" s="46" t="str">
        <f t="shared" si="317"/>
        <v/>
      </c>
      <c r="M3342" t="str" cm="1">
        <f t="array" ref="M3342">IF(L3342="","",_xlfn.IFS(
  AND(L3342&gt;=TIME(9,0,0), L3342&lt;TIME(16,0,0)),"Morning",
  AND(L3342&gt;=TIME(16,0,0), L3342&lt;TIME(23,59,0)),"Evening",
  L3342&gt;=TIME(23,59,0),"Night",
  L3342&lt;TIME(9,0,0),"Night"
))</f>
        <v/>
      </c>
      <c r="O3342" t="str">
        <f t="shared" si="314"/>
        <v/>
      </c>
    </row>
    <row r="3343" spans="7:15" x14ac:dyDescent="0.25">
      <c r="G3343" t="str">
        <f t="shared" si="312"/>
        <v/>
      </c>
      <c r="H3343" s="13" t="str">
        <f t="shared" si="315"/>
        <v/>
      </c>
      <c r="I3343" t="str">
        <f>IFERROR(INDEX(Analysis!$D$116:$N$137, MATCH(B3343, Analysis!$C$116:$C$137, 0), MATCH(C3343, Analysis!$D$115:$N$115, 0)), "")</f>
        <v/>
      </c>
      <c r="J3343" t="str">
        <f t="shared" si="316"/>
        <v/>
      </c>
      <c r="K3343" s="28" t="str">
        <f t="shared" si="313"/>
        <v/>
      </c>
      <c r="L3343" s="46" t="str">
        <f t="shared" si="317"/>
        <v/>
      </c>
      <c r="M3343" t="str" cm="1">
        <f t="array" ref="M3343">IF(L3343="","",_xlfn.IFS(
  AND(L3343&gt;=TIME(9,0,0), L3343&lt;TIME(16,0,0)),"Morning",
  AND(L3343&gt;=TIME(16,0,0), L3343&lt;TIME(23,59,0)),"Evening",
  L3343&gt;=TIME(23,59,0),"Night",
  L3343&lt;TIME(9,0,0),"Night"
))</f>
        <v/>
      </c>
      <c r="O3343" t="str">
        <f t="shared" si="314"/>
        <v/>
      </c>
    </row>
    <row r="3344" spans="7:15" x14ac:dyDescent="0.25">
      <c r="G3344" t="str">
        <f t="shared" si="312"/>
        <v/>
      </c>
      <c r="H3344" s="13" t="str">
        <f t="shared" si="315"/>
        <v/>
      </c>
      <c r="I3344" t="str">
        <f>IFERROR(INDEX(Analysis!$D$116:$N$137, MATCH(B3344, Analysis!$C$116:$C$137, 0), MATCH(C3344, Analysis!$D$115:$N$115, 0)), "")</f>
        <v/>
      </c>
      <c r="J3344" t="str">
        <f t="shared" si="316"/>
        <v/>
      </c>
      <c r="K3344" s="28" t="str">
        <f t="shared" si="313"/>
        <v/>
      </c>
      <c r="L3344" s="46" t="str">
        <f t="shared" si="317"/>
        <v/>
      </c>
      <c r="M3344" t="str" cm="1">
        <f t="array" ref="M3344">IF(L3344="","",_xlfn.IFS(
  AND(L3344&gt;=TIME(9,0,0), L3344&lt;TIME(16,0,0)),"Morning",
  AND(L3344&gt;=TIME(16,0,0), L3344&lt;TIME(23,59,0)),"Evening",
  L3344&gt;=TIME(23,59,0),"Night",
  L3344&lt;TIME(9,0,0),"Night"
))</f>
        <v/>
      </c>
      <c r="O3344" t="str">
        <f t="shared" si="314"/>
        <v/>
      </c>
    </row>
    <row r="3345" spans="7:15" x14ac:dyDescent="0.25">
      <c r="G3345" t="str">
        <f t="shared" si="312"/>
        <v/>
      </c>
      <c r="H3345" s="13" t="str">
        <f t="shared" si="315"/>
        <v/>
      </c>
      <c r="I3345" t="str">
        <f>IFERROR(INDEX(Analysis!$D$116:$N$137, MATCH(B3345, Analysis!$C$116:$C$137, 0), MATCH(C3345, Analysis!$D$115:$N$115, 0)), "")</f>
        <v/>
      </c>
      <c r="J3345" t="str">
        <f t="shared" si="316"/>
        <v/>
      </c>
      <c r="K3345" s="28" t="str">
        <f t="shared" si="313"/>
        <v/>
      </c>
      <c r="L3345" s="46" t="str">
        <f t="shared" si="317"/>
        <v/>
      </c>
      <c r="M3345" t="str" cm="1">
        <f t="array" ref="M3345">IF(L3345="","",_xlfn.IFS(
  AND(L3345&gt;=TIME(9,0,0), L3345&lt;TIME(16,0,0)),"Morning",
  AND(L3345&gt;=TIME(16,0,0), L3345&lt;TIME(23,59,0)),"Evening",
  L3345&gt;=TIME(23,59,0),"Night",
  L3345&lt;TIME(9,0,0),"Night"
))</f>
        <v/>
      </c>
      <c r="O3345" t="str">
        <f t="shared" si="314"/>
        <v/>
      </c>
    </row>
    <row r="3346" spans="7:15" x14ac:dyDescent="0.25">
      <c r="G3346" t="str">
        <f t="shared" si="312"/>
        <v/>
      </c>
      <c r="H3346" s="13" t="str">
        <f t="shared" si="315"/>
        <v/>
      </c>
      <c r="I3346" t="str">
        <f>IFERROR(INDEX(Analysis!$D$116:$N$137, MATCH(B3346, Analysis!$C$116:$C$137, 0), MATCH(C3346, Analysis!$D$115:$N$115, 0)), "")</f>
        <v/>
      </c>
      <c r="J3346" t="str">
        <f t="shared" si="316"/>
        <v/>
      </c>
      <c r="K3346" s="28" t="str">
        <f t="shared" si="313"/>
        <v/>
      </c>
      <c r="L3346" s="46" t="str">
        <f t="shared" si="317"/>
        <v/>
      </c>
      <c r="M3346" t="str" cm="1">
        <f t="array" ref="M3346">IF(L3346="","",_xlfn.IFS(
  AND(L3346&gt;=TIME(9,0,0), L3346&lt;TIME(16,0,0)),"Morning",
  AND(L3346&gt;=TIME(16,0,0), L3346&lt;TIME(23,59,0)),"Evening",
  L3346&gt;=TIME(23,59,0),"Night",
  L3346&lt;TIME(9,0,0),"Night"
))</f>
        <v/>
      </c>
      <c r="O3346" t="str">
        <f t="shared" si="314"/>
        <v/>
      </c>
    </row>
    <row r="3347" spans="7:15" x14ac:dyDescent="0.25">
      <c r="G3347" t="str">
        <f t="shared" si="312"/>
        <v/>
      </c>
      <c r="H3347" s="13" t="str">
        <f t="shared" si="315"/>
        <v/>
      </c>
      <c r="I3347" t="str">
        <f>IFERROR(INDEX(Analysis!$D$116:$N$137, MATCH(B3347, Analysis!$C$116:$C$137, 0), MATCH(C3347, Analysis!$D$115:$N$115, 0)), "")</f>
        <v/>
      </c>
      <c r="J3347" t="str">
        <f t="shared" si="316"/>
        <v/>
      </c>
      <c r="K3347" s="28" t="str">
        <f t="shared" si="313"/>
        <v/>
      </c>
      <c r="L3347" s="46" t="str">
        <f t="shared" si="317"/>
        <v/>
      </c>
      <c r="M3347" t="str" cm="1">
        <f t="array" ref="M3347">IF(L3347="","",_xlfn.IFS(
  AND(L3347&gt;=TIME(9,0,0), L3347&lt;TIME(16,0,0)),"Morning",
  AND(L3347&gt;=TIME(16,0,0), L3347&lt;TIME(23,59,0)),"Evening",
  L3347&gt;=TIME(23,59,0),"Night",
  L3347&lt;TIME(9,0,0),"Night"
))</f>
        <v/>
      </c>
      <c r="O3347" t="str">
        <f t="shared" si="314"/>
        <v/>
      </c>
    </row>
    <row r="3348" spans="7:15" x14ac:dyDescent="0.25">
      <c r="G3348" t="str">
        <f t="shared" si="312"/>
        <v/>
      </c>
      <c r="H3348" s="13" t="str">
        <f t="shared" si="315"/>
        <v/>
      </c>
      <c r="I3348" t="str">
        <f>IFERROR(INDEX(Analysis!$D$116:$N$137, MATCH(B3348, Analysis!$C$116:$C$137, 0), MATCH(C3348, Analysis!$D$115:$N$115, 0)), "")</f>
        <v/>
      </c>
      <c r="J3348" t="str">
        <f t="shared" si="316"/>
        <v/>
      </c>
      <c r="K3348" s="28" t="str">
        <f t="shared" si="313"/>
        <v/>
      </c>
      <c r="L3348" s="46" t="str">
        <f t="shared" si="317"/>
        <v/>
      </c>
      <c r="M3348" t="str" cm="1">
        <f t="array" ref="M3348">IF(L3348="","",_xlfn.IFS(
  AND(L3348&gt;=TIME(9,0,0), L3348&lt;TIME(16,0,0)),"Morning",
  AND(L3348&gt;=TIME(16,0,0), L3348&lt;TIME(23,59,0)),"Evening",
  L3348&gt;=TIME(23,59,0),"Night",
  L3348&lt;TIME(9,0,0),"Night"
))</f>
        <v/>
      </c>
      <c r="O3348" t="str">
        <f t="shared" si="314"/>
        <v/>
      </c>
    </row>
    <row r="3349" spans="7:15" x14ac:dyDescent="0.25">
      <c r="G3349" t="str">
        <f t="shared" si="312"/>
        <v/>
      </c>
      <c r="H3349" s="13" t="str">
        <f t="shared" si="315"/>
        <v/>
      </c>
      <c r="I3349" t="str">
        <f>IFERROR(INDEX(Analysis!$D$116:$N$137, MATCH(B3349, Analysis!$C$116:$C$137, 0), MATCH(C3349, Analysis!$D$115:$N$115, 0)), "")</f>
        <v/>
      </c>
      <c r="J3349" t="str">
        <f t="shared" si="316"/>
        <v/>
      </c>
      <c r="K3349" s="28" t="str">
        <f t="shared" si="313"/>
        <v/>
      </c>
      <c r="L3349" s="46" t="str">
        <f t="shared" si="317"/>
        <v/>
      </c>
      <c r="M3349" t="str" cm="1">
        <f t="array" ref="M3349">IF(L3349="","",_xlfn.IFS(
  AND(L3349&gt;=TIME(9,0,0), L3349&lt;TIME(16,0,0)),"Morning",
  AND(L3349&gt;=TIME(16,0,0), L3349&lt;TIME(23,59,0)),"Evening",
  L3349&gt;=TIME(23,59,0),"Night",
  L3349&lt;TIME(9,0,0),"Night"
))</f>
        <v/>
      </c>
      <c r="O3349" t="str">
        <f t="shared" si="314"/>
        <v/>
      </c>
    </row>
    <row r="3350" spans="7:15" x14ac:dyDescent="0.25">
      <c r="G3350" t="str">
        <f t="shared" si="312"/>
        <v/>
      </c>
      <c r="H3350" s="13" t="str">
        <f t="shared" si="315"/>
        <v/>
      </c>
      <c r="I3350" t="str">
        <f>IFERROR(INDEX(Analysis!$D$116:$N$137, MATCH(B3350, Analysis!$C$116:$C$137, 0), MATCH(C3350, Analysis!$D$115:$N$115, 0)), "")</f>
        <v/>
      </c>
      <c r="J3350" t="str">
        <f t="shared" si="316"/>
        <v/>
      </c>
      <c r="K3350" s="28" t="str">
        <f t="shared" si="313"/>
        <v/>
      </c>
      <c r="L3350" s="46" t="str">
        <f t="shared" si="317"/>
        <v/>
      </c>
      <c r="M3350" t="str" cm="1">
        <f t="array" ref="M3350">IF(L3350="","",_xlfn.IFS(
  AND(L3350&gt;=TIME(9,0,0), L3350&lt;TIME(16,0,0)),"Morning",
  AND(L3350&gt;=TIME(16,0,0), L3350&lt;TIME(23,59,0)),"Evening",
  L3350&gt;=TIME(23,59,0),"Night",
  L3350&lt;TIME(9,0,0),"Night"
))</f>
        <v/>
      </c>
      <c r="O3350" t="str">
        <f t="shared" si="314"/>
        <v/>
      </c>
    </row>
    <row r="3351" spans="7:15" x14ac:dyDescent="0.25">
      <c r="G3351" t="str">
        <f t="shared" si="312"/>
        <v/>
      </c>
      <c r="H3351" s="13" t="str">
        <f t="shared" si="315"/>
        <v/>
      </c>
      <c r="I3351" t="str">
        <f>IFERROR(INDEX(Analysis!$D$116:$N$137, MATCH(B3351, Analysis!$C$116:$C$137, 0), MATCH(C3351, Analysis!$D$115:$N$115, 0)), "")</f>
        <v/>
      </c>
      <c r="J3351" t="str">
        <f t="shared" si="316"/>
        <v/>
      </c>
      <c r="K3351" s="28" t="str">
        <f t="shared" si="313"/>
        <v/>
      </c>
      <c r="L3351" s="46" t="str">
        <f t="shared" si="317"/>
        <v/>
      </c>
      <c r="M3351" t="str" cm="1">
        <f t="array" ref="M3351">IF(L3351="","",_xlfn.IFS(
  AND(L3351&gt;=TIME(9,0,0), L3351&lt;TIME(16,0,0)),"Morning",
  AND(L3351&gt;=TIME(16,0,0), L3351&lt;TIME(23,59,0)),"Evening",
  L3351&gt;=TIME(23,59,0),"Night",
  L3351&lt;TIME(9,0,0),"Night"
))</f>
        <v/>
      </c>
      <c r="O3351" t="str">
        <f t="shared" si="314"/>
        <v/>
      </c>
    </row>
    <row r="3352" spans="7:15" x14ac:dyDescent="0.25">
      <c r="G3352" t="str">
        <f t="shared" si="312"/>
        <v/>
      </c>
      <c r="H3352" s="13" t="str">
        <f t="shared" si="315"/>
        <v/>
      </c>
      <c r="I3352" t="str">
        <f>IFERROR(INDEX(Analysis!$D$116:$N$137, MATCH(B3352, Analysis!$C$116:$C$137, 0), MATCH(C3352, Analysis!$D$115:$N$115, 0)), "")</f>
        <v/>
      </c>
      <c r="J3352" t="str">
        <f t="shared" si="316"/>
        <v/>
      </c>
      <c r="K3352" s="28" t="str">
        <f t="shared" si="313"/>
        <v/>
      </c>
      <c r="L3352" s="46" t="str">
        <f t="shared" si="317"/>
        <v/>
      </c>
      <c r="M3352" t="str" cm="1">
        <f t="array" ref="M3352">IF(L3352="","",_xlfn.IFS(
  AND(L3352&gt;=TIME(9,0,0), L3352&lt;TIME(16,0,0)),"Morning",
  AND(L3352&gt;=TIME(16,0,0), L3352&lt;TIME(23,59,0)),"Evening",
  L3352&gt;=TIME(23,59,0),"Night",
  L3352&lt;TIME(9,0,0),"Night"
))</f>
        <v/>
      </c>
      <c r="O3352" t="str">
        <f t="shared" si="314"/>
        <v/>
      </c>
    </row>
    <row r="3353" spans="7:15" x14ac:dyDescent="0.25">
      <c r="G3353" t="str">
        <f t="shared" si="312"/>
        <v/>
      </c>
      <c r="H3353" s="13" t="str">
        <f t="shared" si="315"/>
        <v/>
      </c>
      <c r="I3353" t="str">
        <f>IFERROR(INDEX(Analysis!$D$116:$N$137, MATCH(B3353, Analysis!$C$116:$C$137, 0), MATCH(C3353, Analysis!$D$115:$N$115, 0)), "")</f>
        <v/>
      </c>
      <c r="J3353" t="str">
        <f t="shared" si="316"/>
        <v/>
      </c>
      <c r="K3353" s="28" t="str">
        <f t="shared" si="313"/>
        <v/>
      </c>
      <c r="L3353" s="46" t="str">
        <f t="shared" si="317"/>
        <v/>
      </c>
      <c r="M3353" t="str" cm="1">
        <f t="array" ref="M3353">IF(L3353="","",_xlfn.IFS(
  AND(L3353&gt;=TIME(9,0,0), L3353&lt;TIME(16,0,0)),"Morning",
  AND(L3353&gt;=TIME(16,0,0), L3353&lt;TIME(23,59,0)),"Evening",
  L3353&gt;=TIME(23,59,0),"Night",
  L3353&lt;TIME(9,0,0),"Night"
))</f>
        <v/>
      </c>
      <c r="O3353" t="str">
        <f t="shared" si="314"/>
        <v/>
      </c>
    </row>
    <row r="3354" spans="7:15" x14ac:dyDescent="0.25">
      <c r="G3354" t="str">
        <f t="shared" si="312"/>
        <v/>
      </c>
      <c r="H3354" s="13" t="str">
        <f t="shared" si="315"/>
        <v/>
      </c>
      <c r="I3354" t="str">
        <f>IFERROR(INDEX(Analysis!$D$116:$N$137, MATCH(B3354, Analysis!$C$116:$C$137, 0), MATCH(C3354, Analysis!$D$115:$N$115, 0)), "")</f>
        <v/>
      </c>
      <c r="J3354" t="str">
        <f t="shared" si="316"/>
        <v/>
      </c>
      <c r="K3354" s="28" t="str">
        <f t="shared" si="313"/>
        <v/>
      </c>
      <c r="L3354" s="46" t="str">
        <f t="shared" si="317"/>
        <v/>
      </c>
      <c r="M3354" t="str" cm="1">
        <f t="array" ref="M3354">IF(L3354="","",_xlfn.IFS(
  AND(L3354&gt;=TIME(9,0,0), L3354&lt;TIME(16,0,0)),"Morning",
  AND(L3354&gt;=TIME(16,0,0), L3354&lt;TIME(23,59,0)),"Evening",
  L3354&gt;=TIME(23,59,0),"Night",
  L3354&lt;TIME(9,0,0),"Night"
))</f>
        <v/>
      </c>
      <c r="O3354" t="str">
        <f t="shared" si="314"/>
        <v/>
      </c>
    </row>
    <row r="3355" spans="7:15" x14ac:dyDescent="0.25">
      <c r="G3355" t="str">
        <f t="shared" si="312"/>
        <v/>
      </c>
      <c r="H3355" s="13" t="str">
        <f t="shared" si="315"/>
        <v/>
      </c>
      <c r="I3355" t="str">
        <f>IFERROR(INDEX(Analysis!$D$116:$N$137, MATCH(B3355, Analysis!$C$116:$C$137, 0), MATCH(C3355, Analysis!$D$115:$N$115, 0)), "")</f>
        <v/>
      </c>
      <c r="J3355" t="str">
        <f t="shared" si="316"/>
        <v/>
      </c>
      <c r="K3355" s="28" t="str">
        <f t="shared" si="313"/>
        <v/>
      </c>
      <c r="L3355" s="46" t="str">
        <f t="shared" si="317"/>
        <v/>
      </c>
      <c r="M3355" t="str" cm="1">
        <f t="array" ref="M3355">IF(L3355="","",_xlfn.IFS(
  AND(L3355&gt;=TIME(9,0,0), L3355&lt;TIME(16,0,0)),"Morning",
  AND(L3355&gt;=TIME(16,0,0), L3355&lt;TIME(23,59,0)),"Evening",
  L3355&gt;=TIME(23,59,0),"Night",
  L3355&lt;TIME(9,0,0),"Night"
))</f>
        <v/>
      </c>
      <c r="O3355" t="str">
        <f t="shared" si="314"/>
        <v/>
      </c>
    </row>
    <row r="3356" spans="7:15" x14ac:dyDescent="0.25">
      <c r="G3356" t="str">
        <f t="shared" si="312"/>
        <v/>
      </c>
      <c r="H3356" s="13" t="str">
        <f t="shared" si="315"/>
        <v/>
      </c>
      <c r="I3356" t="str">
        <f>IFERROR(INDEX(Analysis!$D$116:$N$137, MATCH(B3356, Analysis!$C$116:$C$137, 0), MATCH(C3356, Analysis!$D$115:$N$115, 0)), "")</f>
        <v/>
      </c>
      <c r="J3356" t="str">
        <f t="shared" si="316"/>
        <v/>
      </c>
      <c r="K3356" s="28" t="str">
        <f t="shared" si="313"/>
        <v/>
      </c>
      <c r="L3356" s="46" t="str">
        <f t="shared" si="317"/>
        <v/>
      </c>
      <c r="M3356" t="str" cm="1">
        <f t="array" ref="M3356">IF(L3356="","",_xlfn.IFS(
  AND(L3356&gt;=TIME(9,0,0), L3356&lt;TIME(16,0,0)),"Morning",
  AND(L3356&gt;=TIME(16,0,0), L3356&lt;TIME(23,59,0)),"Evening",
  L3356&gt;=TIME(23,59,0),"Night",
  L3356&lt;TIME(9,0,0),"Night"
))</f>
        <v/>
      </c>
      <c r="O3356" t="str">
        <f t="shared" si="314"/>
        <v/>
      </c>
    </row>
    <row r="3357" spans="7:15" x14ac:dyDescent="0.25">
      <c r="G3357" t="str">
        <f t="shared" si="312"/>
        <v/>
      </c>
      <c r="H3357" s="13" t="str">
        <f t="shared" si="315"/>
        <v/>
      </c>
      <c r="I3357" t="str">
        <f>IFERROR(INDEX(Analysis!$D$116:$N$137, MATCH(B3357, Analysis!$C$116:$C$137, 0), MATCH(C3357, Analysis!$D$115:$N$115, 0)), "")</f>
        <v/>
      </c>
      <c r="J3357" t="str">
        <f t="shared" si="316"/>
        <v/>
      </c>
      <c r="K3357" s="28" t="str">
        <f t="shared" si="313"/>
        <v/>
      </c>
      <c r="L3357" s="46" t="str">
        <f t="shared" si="317"/>
        <v/>
      </c>
      <c r="M3357" t="str" cm="1">
        <f t="array" ref="M3357">IF(L3357="","",_xlfn.IFS(
  AND(L3357&gt;=TIME(9,0,0), L3357&lt;TIME(16,0,0)),"Morning",
  AND(L3357&gt;=TIME(16,0,0), L3357&lt;TIME(23,59,0)),"Evening",
  L3357&gt;=TIME(23,59,0),"Night",
  L3357&lt;TIME(9,0,0),"Night"
))</f>
        <v/>
      </c>
      <c r="O3357" t="str">
        <f t="shared" si="314"/>
        <v/>
      </c>
    </row>
    <row r="3358" spans="7:15" x14ac:dyDescent="0.25">
      <c r="G3358" t="str">
        <f t="shared" si="312"/>
        <v/>
      </c>
      <c r="H3358" s="13" t="str">
        <f t="shared" si="315"/>
        <v/>
      </c>
      <c r="I3358" t="str">
        <f>IFERROR(INDEX(Analysis!$D$116:$N$137, MATCH(B3358, Analysis!$C$116:$C$137, 0), MATCH(C3358, Analysis!$D$115:$N$115, 0)), "")</f>
        <v/>
      </c>
      <c r="J3358" t="str">
        <f t="shared" si="316"/>
        <v/>
      </c>
      <c r="K3358" s="28" t="str">
        <f t="shared" si="313"/>
        <v/>
      </c>
      <c r="L3358" s="46" t="str">
        <f t="shared" si="317"/>
        <v/>
      </c>
      <c r="M3358" t="str" cm="1">
        <f t="array" ref="M3358">IF(L3358="","",_xlfn.IFS(
  AND(L3358&gt;=TIME(9,0,0), L3358&lt;TIME(16,0,0)),"Morning",
  AND(L3358&gt;=TIME(16,0,0), L3358&lt;TIME(23,59,0)),"Evening",
  L3358&gt;=TIME(23,59,0),"Night",
  L3358&lt;TIME(9,0,0),"Night"
))</f>
        <v/>
      </c>
      <c r="O3358" t="str">
        <f t="shared" si="314"/>
        <v/>
      </c>
    </row>
    <row r="3359" spans="7:15" x14ac:dyDescent="0.25">
      <c r="G3359" t="str">
        <f t="shared" si="312"/>
        <v/>
      </c>
      <c r="H3359" s="13" t="str">
        <f t="shared" si="315"/>
        <v/>
      </c>
      <c r="I3359" t="str">
        <f>IFERROR(INDEX(Analysis!$D$116:$N$137, MATCH(B3359, Analysis!$C$116:$C$137, 0), MATCH(C3359, Analysis!$D$115:$N$115, 0)), "")</f>
        <v/>
      </c>
      <c r="J3359" t="str">
        <f t="shared" si="316"/>
        <v/>
      </c>
      <c r="K3359" s="28" t="str">
        <f t="shared" si="313"/>
        <v/>
      </c>
      <c r="L3359" s="46" t="str">
        <f t="shared" si="317"/>
        <v/>
      </c>
      <c r="M3359" t="str" cm="1">
        <f t="array" ref="M3359">IF(L3359="","",_xlfn.IFS(
  AND(L3359&gt;=TIME(9,0,0), L3359&lt;TIME(16,0,0)),"Morning",
  AND(L3359&gt;=TIME(16,0,0), L3359&lt;TIME(23,59,0)),"Evening",
  L3359&gt;=TIME(23,59,0),"Night",
  L3359&lt;TIME(9,0,0),"Night"
))</f>
        <v/>
      </c>
      <c r="O3359" t="str">
        <f t="shared" si="314"/>
        <v/>
      </c>
    </row>
    <row r="3360" spans="7:15" x14ac:dyDescent="0.25">
      <c r="G3360" t="str">
        <f t="shared" si="312"/>
        <v/>
      </c>
      <c r="H3360" s="13" t="str">
        <f t="shared" si="315"/>
        <v/>
      </c>
      <c r="I3360" t="str">
        <f>IFERROR(INDEX(Analysis!$D$116:$N$137, MATCH(B3360, Analysis!$C$116:$C$137, 0), MATCH(C3360, Analysis!$D$115:$N$115, 0)), "")</f>
        <v/>
      </c>
      <c r="J3360" t="str">
        <f t="shared" si="316"/>
        <v/>
      </c>
      <c r="K3360" s="28" t="str">
        <f t="shared" si="313"/>
        <v/>
      </c>
      <c r="L3360" s="46" t="str">
        <f t="shared" si="317"/>
        <v/>
      </c>
      <c r="M3360" t="str" cm="1">
        <f t="array" ref="M3360">IF(L3360="","",_xlfn.IFS(
  AND(L3360&gt;=TIME(9,0,0), L3360&lt;TIME(16,0,0)),"Morning",
  AND(L3360&gt;=TIME(16,0,0), L3360&lt;TIME(23,59,0)),"Evening",
  L3360&gt;=TIME(23,59,0),"Night",
  L3360&lt;TIME(9,0,0),"Night"
))</f>
        <v/>
      </c>
      <c r="O3360" t="str">
        <f t="shared" si="314"/>
        <v/>
      </c>
    </row>
    <row r="3361" spans="7:15" x14ac:dyDescent="0.25">
      <c r="G3361" t="str">
        <f t="shared" si="312"/>
        <v/>
      </c>
      <c r="H3361" s="13" t="str">
        <f t="shared" si="315"/>
        <v/>
      </c>
      <c r="I3361" t="str">
        <f>IFERROR(INDEX(Analysis!$D$116:$N$137, MATCH(B3361, Analysis!$C$116:$C$137, 0), MATCH(C3361, Analysis!$D$115:$N$115, 0)), "")</f>
        <v/>
      </c>
      <c r="J3361" t="str">
        <f t="shared" si="316"/>
        <v/>
      </c>
      <c r="K3361" s="28" t="str">
        <f t="shared" si="313"/>
        <v/>
      </c>
      <c r="L3361" s="46" t="str">
        <f t="shared" si="317"/>
        <v/>
      </c>
      <c r="M3361" t="str" cm="1">
        <f t="array" ref="M3361">IF(L3361="","",_xlfn.IFS(
  AND(L3361&gt;=TIME(9,0,0), L3361&lt;TIME(16,0,0)),"Morning",
  AND(L3361&gt;=TIME(16,0,0), L3361&lt;TIME(23,59,0)),"Evening",
  L3361&gt;=TIME(23,59,0),"Night",
  L3361&lt;TIME(9,0,0),"Night"
))</f>
        <v/>
      </c>
      <c r="O3361" t="str">
        <f t="shared" si="314"/>
        <v/>
      </c>
    </row>
    <row r="3362" spans="7:15" x14ac:dyDescent="0.25">
      <c r="G3362" t="str">
        <f t="shared" si="312"/>
        <v/>
      </c>
      <c r="H3362" s="13" t="str">
        <f t="shared" si="315"/>
        <v/>
      </c>
      <c r="I3362" t="str">
        <f>IFERROR(INDEX(Analysis!$D$116:$N$137, MATCH(B3362, Analysis!$C$116:$C$137, 0), MATCH(C3362, Analysis!$D$115:$N$115, 0)), "")</f>
        <v/>
      </c>
      <c r="J3362" t="str">
        <f t="shared" si="316"/>
        <v/>
      </c>
      <c r="K3362" s="28" t="str">
        <f t="shared" si="313"/>
        <v/>
      </c>
      <c r="L3362" s="46" t="str">
        <f t="shared" si="317"/>
        <v/>
      </c>
      <c r="M3362" t="str" cm="1">
        <f t="array" ref="M3362">IF(L3362="","",_xlfn.IFS(
  AND(L3362&gt;=TIME(9,0,0), L3362&lt;TIME(16,0,0)),"Morning",
  AND(L3362&gt;=TIME(16,0,0), L3362&lt;TIME(23,59,0)),"Evening",
  L3362&gt;=TIME(23,59,0),"Night",
  L3362&lt;TIME(9,0,0),"Night"
))</f>
        <v/>
      </c>
      <c r="O3362" t="str">
        <f t="shared" si="314"/>
        <v/>
      </c>
    </row>
    <row r="3363" spans="7:15" x14ac:dyDescent="0.25">
      <c r="G3363" t="str">
        <f t="shared" si="312"/>
        <v/>
      </c>
      <c r="H3363" s="13" t="str">
        <f t="shared" si="315"/>
        <v/>
      </c>
      <c r="I3363" t="str">
        <f>IFERROR(INDEX(Analysis!$D$116:$N$137, MATCH(B3363, Analysis!$C$116:$C$137, 0), MATCH(C3363, Analysis!$D$115:$N$115, 0)), "")</f>
        <v/>
      </c>
      <c r="J3363" t="str">
        <f t="shared" si="316"/>
        <v/>
      </c>
      <c r="K3363" s="28" t="str">
        <f t="shared" si="313"/>
        <v/>
      </c>
      <c r="L3363" s="46" t="str">
        <f t="shared" si="317"/>
        <v/>
      </c>
      <c r="M3363" t="str" cm="1">
        <f t="array" ref="M3363">IF(L3363="","",_xlfn.IFS(
  AND(L3363&gt;=TIME(9,0,0), L3363&lt;TIME(16,0,0)),"Morning",
  AND(L3363&gt;=TIME(16,0,0), L3363&lt;TIME(23,59,0)),"Evening",
  L3363&gt;=TIME(23,59,0),"Night",
  L3363&lt;TIME(9,0,0),"Night"
))</f>
        <v/>
      </c>
      <c r="O3363" t="str">
        <f t="shared" si="314"/>
        <v/>
      </c>
    </row>
    <row r="3364" spans="7:15" x14ac:dyDescent="0.25">
      <c r="G3364" t="str">
        <f t="shared" si="312"/>
        <v/>
      </c>
      <c r="H3364" s="13" t="str">
        <f t="shared" si="315"/>
        <v/>
      </c>
      <c r="I3364" t="str">
        <f>IFERROR(INDEX(Analysis!$D$116:$N$137, MATCH(B3364, Analysis!$C$116:$C$137, 0), MATCH(C3364, Analysis!$D$115:$N$115, 0)), "")</f>
        <v/>
      </c>
      <c r="J3364" t="str">
        <f t="shared" si="316"/>
        <v/>
      </c>
      <c r="K3364" s="28" t="str">
        <f t="shared" si="313"/>
        <v/>
      </c>
      <c r="L3364" s="46" t="str">
        <f t="shared" si="317"/>
        <v/>
      </c>
      <c r="M3364" t="str" cm="1">
        <f t="array" ref="M3364">IF(L3364="","",_xlfn.IFS(
  AND(L3364&gt;=TIME(9,0,0), L3364&lt;TIME(16,0,0)),"Morning",
  AND(L3364&gt;=TIME(16,0,0), L3364&lt;TIME(23,59,0)),"Evening",
  L3364&gt;=TIME(23,59,0),"Night",
  L3364&lt;TIME(9,0,0),"Night"
))</f>
        <v/>
      </c>
      <c r="O3364" t="str">
        <f t="shared" si="314"/>
        <v/>
      </c>
    </row>
    <row r="3365" spans="7:15" x14ac:dyDescent="0.25">
      <c r="G3365" t="str">
        <f t="shared" si="312"/>
        <v/>
      </c>
      <c r="H3365" s="13" t="str">
        <f t="shared" si="315"/>
        <v/>
      </c>
      <c r="I3365" t="str">
        <f>IFERROR(INDEX(Analysis!$D$116:$N$137, MATCH(B3365, Analysis!$C$116:$C$137, 0), MATCH(C3365, Analysis!$D$115:$N$115, 0)), "")</f>
        <v/>
      </c>
      <c r="J3365" t="str">
        <f t="shared" si="316"/>
        <v/>
      </c>
      <c r="K3365" s="28" t="str">
        <f t="shared" si="313"/>
        <v/>
      </c>
      <c r="L3365" s="46" t="str">
        <f t="shared" si="317"/>
        <v/>
      </c>
      <c r="M3365" t="str" cm="1">
        <f t="array" ref="M3365">IF(L3365="","",_xlfn.IFS(
  AND(L3365&gt;=TIME(9,0,0), L3365&lt;TIME(16,0,0)),"Morning",
  AND(L3365&gt;=TIME(16,0,0), L3365&lt;TIME(23,59,0)),"Evening",
  L3365&gt;=TIME(23,59,0),"Night",
  L3365&lt;TIME(9,0,0),"Night"
))</f>
        <v/>
      </c>
      <c r="O3365" t="str">
        <f t="shared" si="314"/>
        <v/>
      </c>
    </row>
    <row r="3366" spans="7:15" x14ac:dyDescent="0.25">
      <c r="G3366" t="str">
        <f t="shared" si="312"/>
        <v/>
      </c>
      <c r="H3366" s="13" t="str">
        <f t="shared" si="315"/>
        <v/>
      </c>
      <c r="I3366" t="str">
        <f>IFERROR(INDEX(Analysis!$D$116:$N$137, MATCH(B3366, Analysis!$C$116:$C$137, 0), MATCH(C3366, Analysis!$D$115:$N$115, 0)), "")</f>
        <v/>
      </c>
      <c r="J3366" t="str">
        <f t="shared" si="316"/>
        <v/>
      </c>
      <c r="K3366" s="28" t="str">
        <f t="shared" si="313"/>
        <v/>
      </c>
      <c r="L3366" s="46" t="str">
        <f t="shared" si="317"/>
        <v/>
      </c>
      <c r="M3366" t="str" cm="1">
        <f t="array" ref="M3366">IF(L3366="","",_xlfn.IFS(
  AND(L3366&gt;=TIME(9,0,0), L3366&lt;TIME(16,0,0)),"Morning",
  AND(L3366&gt;=TIME(16,0,0), L3366&lt;TIME(23,59,0)),"Evening",
  L3366&gt;=TIME(23,59,0),"Night",
  L3366&lt;TIME(9,0,0),"Night"
))</f>
        <v/>
      </c>
      <c r="O3366" t="str">
        <f t="shared" si="314"/>
        <v/>
      </c>
    </row>
    <row r="3367" spans="7:15" x14ac:dyDescent="0.25">
      <c r="G3367" t="str">
        <f t="shared" si="312"/>
        <v/>
      </c>
      <c r="H3367" s="13" t="str">
        <f t="shared" si="315"/>
        <v/>
      </c>
      <c r="I3367" t="str">
        <f>IFERROR(INDEX(Analysis!$D$116:$N$137, MATCH(B3367, Analysis!$C$116:$C$137, 0), MATCH(C3367, Analysis!$D$115:$N$115, 0)), "")</f>
        <v/>
      </c>
      <c r="J3367" t="str">
        <f t="shared" si="316"/>
        <v/>
      </c>
      <c r="K3367" s="28" t="str">
        <f t="shared" si="313"/>
        <v/>
      </c>
      <c r="L3367" s="46" t="str">
        <f t="shared" si="317"/>
        <v/>
      </c>
      <c r="M3367" t="str" cm="1">
        <f t="array" ref="M3367">IF(L3367="","",_xlfn.IFS(
  AND(L3367&gt;=TIME(9,0,0), L3367&lt;TIME(16,0,0)),"Morning",
  AND(L3367&gt;=TIME(16,0,0), L3367&lt;TIME(23,59,0)),"Evening",
  L3367&gt;=TIME(23,59,0),"Night",
  L3367&lt;TIME(9,0,0),"Night"
))</f>
        <v/>
      </c>
      <c r="O3367" t="str">
        <f t="shared" si="314"/>
        <v/>
      </c>
    </row>
    <row r="3368" spans="7:15" x14ac:dyDescent="0.25">
      <c r="G3368" t="str">
        <f t="shared" si="312"/>
        <v/>
      </c>
      <c r="H3368" s="13" t="str">
        <f t="shared" si="315"/>
        <v/>
      </c>
      <c r="I3368" t="str">
        <f>IFERROR(INDEX(Analysis!$D$116:$N$137, MATCH(B3368, Analysis!$C$116:$C$137, 0), MATCH(C3368, Analysis!$D$115:$N$115, 0)), "")</f>
        <v/>
      </c>
      <c r="J3368" t="str">
        <f t="shared" si="316"/>
        <v/>
      </c>
      <c r="K3368" s="28" t="str">
        <f t="shared" si="313"/>
        <v/>
      </c>
      <c r="L3368" s="46" t="str">
        <f t="shared" si="317"/>
        <v/>
      </c>
      <c r="M3368" t="str" cm="1">
        <f t="array" ref="M3368">IF(L3368="","",_xlfn.IFS(
  AND(L3368&gt;=TIME(9,0,0), L3368&lt;TIME(16,0,0)),"Morning",
  AND(L3368&gt;=TIME(16,0,0), L3368&lt;TIME(23,59,0)),"Evening",
  L3368&gt;=TIME(23,59,0),"Night",
  L3368&lt;TIME(9,0,0),"Night"
))</f>
        <v/>
      </c>
      <c r="O3368" t="str">
        <f t="shared" si="314"/>
        <v/>
      </c>
    </row>
    <row r="3369" spans="7:15" x14ac:dyDescent="0.25">
      <c r="G3369" t="str">
        <f t="shared" si="312"/>
        <v/>
      </c>
      <c r="H3369" s="13" t="str">
        <f t="shared" si="315"/>
        <v/>
      </c>
      <c r="I3369" t="str">
        <f>IFERROR(INDEX(Analysis!$D$116:$N$137, MATCH(B3369, Analysis!$C$116:$C$137, 0), MATCH(C3369, Analysis!$D$115:$N$115, 0)), "")</f>
        <v/>
      </c>
      <c r="J3369" t="str">
        <f t="shared" si="316"/>
        <v/>
      </c>
      <c r="K3369" s="28" t="str">
        <f t="shared" si="313"/>
        <v/>
      </c>
      <c r="L3369" s="46" t="str">
        <f t="shared" si="317"/>
        <v/>
      </c>
      <c r="M3369" t="str" cm="1">
        <f t="array" ref="M3369">IF(L3369="","",_xlfn.IFS(
  AND(L3369&gt;=TIME(9,0,0), L3369&lt;TIME(16,0,0)),"Morning",
  AND(L3369&gt;=TIME(16,0,0), L3369&lt;TIME(23,59,0)),"Evening",
  L3369&gt;=TIME(23,59,0),"Night",
  L3369&lt;TIME(9,0,0),"Night"
))</f>
        <v/>
      </c>
      <c r="O3369" t="str">
        <f t="shared" si="314"/>
        <v/>
      </c>
    </row>
    <row r="3370" spans="7:15" x14ac:dyDescent="0.25">
      <c r="G3370" t="str">
        <f t="shared" si="312"/>
        <v/>
      </c>
      <c r="H3370" s="13" t="str">
        <f t="shared" si="315"/>
        <v/>
      </c>
      <c r="I3370" t="str">
        <f>IFERROR(INDEX(Analysis!$D$116:$N$137, MATCH(B3370, Analysis!$C$116:$C$137, 0), MATCH(C3370, Analysis!$D$115:$N$115, 0)), "")</f>
        <v/>
      </c>
      <c r="J3370" t="str">
        <f t="shared" si="316"/>
        <v/>
      </c>
      <c r="K3370" s="28" t="str">
        <f t="shared" si="313"/>
        <v/>
      </c>
      <c r="L3370" s="46" t="str">
        <f t="shared" si="317"/>
        <v/>
      </c>
      <c r="M3370" t="str" cm="1">
        <f t="array" ref="M3370">IF(L3370="","",_xlfn.IFS(
  AND(L3370&gt;=TIME(9,0,0), L3370&lt;TIME(16,0,0)),"Morning",
  AND(L3370&gt;=TIME(16,0,0), L3370&lt;TIME(23,59,0)),"Evening",
  L3370&gt;=TIME(23,59,0),"Night",
  L3370&lt;TIME(9,0,0),"Night"
))</f>
        <v/>
      </c>
      <c r="O3370" t="str">
        <f t="shared" si="314"/>
        <v/>
      </c>
    </row>
    <row r="3371" spans="7:15" x14ac:dyDescent="0.25">
      <c r="G3371" t="str">
        <f t="shared" si="312"/>
        <v/>
      </c>
      <c r="H3371" s="13" t="str">
        <f t="shared" si="315"/>
        <v/>
      </c>
      <c r="I3371" t="str">
        <f>IFERROR(INDEX(Analysis!$D$116:$N$137, MATCH(B3371, Analysis!$C$116:$C$137, 0), MATCH(C3371, Analysis!$D$115:$N$115, 0)), "")</f>
        <v/>
      </c>
      <c r="J3371" t="str">
        <f t="shared" si="316"/>
        <v/>
      </c>
      <c r="K3371" s="28" t="str">
        <f t="shared" si="313"/>
        <v/>
      </c>
      <c r="L3371" s="46" t="str">
        <f t="shared" si="317"/>
        <v/>
      </c>
      <c r="M3371" t="str" cm="1">
        <f t="array" ref="M3371">IF(L3371="","",_xlfn.IFS(
  AND(L3371&gt;=TIME(9,0,0), L3371&lt;TIME(16,0,0)),"Morning",
  AND(L3371&gt;=TIME(16,0,0), L3371&lt;TIME(23,59,0)),"Evening",
  L3371&gt;=TIME(23,59,0),"Night",
  L3371&lt;TIME(9,0,0),"Night"
))</f>
        <v/>
      </c>
      <c r="O3371" t="str">
        <f t="shared" si="314"/>
        <v/>
      </c>
    </row>
    <row r="3372" spans="7:15" x14ac:dyDescent="0.25">
      <c r="G3372" t="str">
        <f t="shared" si="312"/>
        <v/>
      </c>
      <c r="H3372" s="13" t="str">
        <f t="shared" si="315"/>
        <v/>
      </c>
      <c r="I3372" t="str">
        <f>IFERROR(INDEX(Analysis!$D$116:$N$137, MATCH(B3372, Analysis!$C$116:$C$137, 0), MATCH(C3372, Analysis!$D$115:$N$115, 0)), "")</f>
        <v/>
      </c>
      <c r="J3372" t="str">
        <f t="shared" si="316"/>
        <v/>
      </c>
      <c r="K3372" s="28" t="str">
        <f t="shared" si="313"/>
        <v/>
      </c>
      <c r="L3372" s="46" t="str">
        <f t="shared" si="317"/>
        <v/>
      </c>
      <c r="M3372" t="str" cm="1">
        <f t="array" ref="M3372">IF(L3372="","",_xlfn.IFS(
  AND(L3372&gt;=TIME(9,0,0), L3372&lt;TIME(16,0,0)),"Morning",
  AND(L3372&gt;=TIME(16,0,0), L3372&lt;TIME(23,59,0)),"Evening",
  L3372&gt;=TIME(23,59,0),"Night",
  L3372&lt;TIME(9,0,0),"Night"
))</f>
        <v/>
      </c>
      <c r="O3372" t="str">
        <f t="shared" si="314"/>
        <v/>
      </c>
    </row>
    <row r="3373" spans="7:15" x14ac:dyDescent="0.25">
      <c r="G3373" t="str">
        <f t="shared" si="312"/>
        <v/>
      </c>
      <c r="H3373" s="13" t="str">
        <f t="shared" si="315"/>
        <v/>
      </c>
      <c r="I3373" t="str">
        <f>IFERROR(INDEX(Analysis!$D$116:$N$137, MATCH(B3373, Analysis!$C$116:$C$137, 0), MATCH(C3373, Analysis!$D$115:$N$115, 0)), "")</f>
        <v/>
      </c>
      <c r="J3373" t="str">
        <f t="shared" si="316"/>
        <v/>
      </c>
      <c r="K3373" s="28" t="str">
        <f t="shared" si="313"/>
        <v/>
      </c>
      <c r="L3373" s="46" t="str">
        <f t="shared" si="317"/>
        <v/>
      </c>
      <c r="M3373" t="str" cm="1">
        <f t="array" ref="M3373">IF(L3373="","",_xlfn.IFS(
  AND(L3373&gt;=TIME(9,0,0), L3373&lt;TIME(16,0,0)),"Morning",
  AND(L3373&gt;=TIME(16,0,0), L3373&lt;TIME(23,59,0)),"Evening",
  L3373&gt;=TIME(23,59,0),"Night",
  L3373&lt;TIME(9,0,0),"Night"
))</f>
        <v/>
      </c>
      <c r="O3373" t="str">
        <f t="shared" si="314"/>
        <v/>
      </c>
    </row>
    <row r="3374" spans="7:15" x14ac:dyDescent="0.25">
      <c r="G3374" t="str">
        <f t="shared" si="312"/>
        <v/>
      </c>
      <c r="H3374" s="13" t="str">
        <f t="shared" si="315"/>
        <v/>
      </c>
      <c r="I3374" t="str">
        <f>IFERROR(INDEX(Analysis!$D$116:$N$137, MATCH(B3374, Analysis!$C$116:$C$137, 0), MATCH(C3374, Analysis!$D$115:$N$115, 0)), "")</f>
        <v/>
      </c>
      <c r="J3374" t="str">
        <f t="shared" si="316"/>
        <v/>
      </c>
      <c r="K3374" s="28" t="str">
        <f t="shared" si="313"/>
        <v/>
      </c>
      <c r="L3374" s="46" t="str">
        <f t="shared" si="317"/>
        <v/>
      </c>
      <c r="M3374" t="str" cm="1">
        <f t="array" ref="M3374">IF(L3374="","",_xlfn.IFS(
  AND(L3374&gt;=TIME(9,0,0), L3374&lt;TIME(16,0,0)),"Morning",
  AND(L3374&gt;=TIME(16,0,0), L3374&lt;TIME(23,59,0)),"Evening",
  L3374&gt;=TIME(23,59,0),"Night",
  L3374&lt;TIME(9,0,0),"Night"
))</f>
        <v/>
      </c>
      <c r="O3374" t="str">
        <f t="shared" si="314"/>
        <v/>
      </c>
    </row>
    <row r="3375" spans="7:15" x14ac:dyDescent="0.25">
      <c r="G3375" t="str">
        <f t="shared" si="312"/>
        <v/>
      </c>
      <c r="H3375" s="13" t="str">
        <f t="shared" si="315"/>
        <v/>
      </c>
      <c r="I3375" t="str">
        <f>IFERROR(INDEX(Analysis!$D$116:$N$137, MATCH(B3375, Analysis!$C$116:$C$137, 0), MATCH(C3375, Analysis!$D$115:$N$115, 0)), "")</f>
        <v/>
      </c>
      <c r="J3375" t="str">
        <f t="shared" si="316"/>
        <v/>
      </c>
      <c r="K3375" s="28" t="str">
        <f t="shared" si="313"/>
        <v/>
      </c>
      <c r="L3375" s="46" t="str">
        <f t="shared" si="317"/>
        <v/>
      </c>
      <c r="M3375" t="str" cm="1">
        <f t="array" ref="M3375">IF(L3375="","",_xlfn.IFS(
  AND(L3375&gt;=TIME(9,0,0), L3375&lt;TIME(16,0,0)),"Morning",
  AND(L3375&gt;=TIME(16,0,0), L3375&lt;TIME(23,59,0)),"Evening",
  L3375&gt;=TIME(23,59,0),"Night",
  L3375&lt;TIME(9,0,0),"Night"
))</f>
        <v/>
      </c>
      <c r="O3375" t="str">
        <f t="shared" si="314"/>
        <v/>
      </c>
    </row>
    <row r="3376" spans="7:15" x14ac:dyDescent="0.25">
      <c r="G3376" t="str">
        <f t="shared" si="312"/>
        <v/>
      </c>
      <c r="H3376" s="13" t="str">
        <f t="shared" si="315"/>
        <v/>
      </c>
      <c r="I3376" t="str">
        <f>IFERROR(INDEX(Analysis!$D$116:$N$137, MATCH(B3376, Analysis!$C$116:$C$137, 0), MATCH(C3376, Analysis!$D$115:$N$115, 0)), "")</f>
        <v/>
      </c>
      <c r="J3376" t="str">
        <f t="shared" si="316"/>
        <v/>
      </c>
      <c r="K3376" s="28" t="str">
        <f t="shared" si="313"/>
        <v/>
      </c>
      <c r="L3376" s="46" t="str">
        <f t="shared" si="317"/>
        <v/>
      </c>
      <c r="M3376" t="str" cm="1">
        <f t="array" ref="M3376">IF(L3376="","",_xlfn.IFS(
  AND(L3376&gt;=TIME(9,0,0), L3376&lt;TIME(16,0,0)),"Morning",
  AND(L3376&gt;=TIME(16,0,0), L3376&lt;TIME(23,59,0)),"Evening",
  L3376&gt;=TIME(23,59,0),"Night",
  L3376&lt;TIME(9,0,0),"Night"
))</f>
        <v/>
      </c>
      <c r="O3376" t="str">
        <f t="shared" si="314"/>
        <v/>
      </c>
    </row>
    <row r="3377" spans="7:15" x14ac:dyDescent="0.25">
      <c r="G3377" t="str">
        <f t="shared" si="312"/>
        <v/>
      </c>
      <c r="H3377" s="13" t="str">
        <f t="shared" si="315"/>
        <v/>
      </c>
      <c r="I3377" t="str">
        <f>IFERROR(INDEX(Analysis!$D$116:$N$137, MATCH(B3377, Analysis!$C$116:$C$137, 0), MATCH(C3377, Analysis!$D$115:$N$115, 0)), "")</f>
        <v/>
      </c>
      <c r="J3377" t="str">
        <f t="shared" si="316"/>
        <v/>
      </c>
      <c r="K3377" s="28" t="str">
        <f t="shared" si="313"/>
        <v/>
      </c>
      <c r="L3377" s="46" t="str">
        <f t="shared" si="317"/>
        <v/>
      </c>
      <c r="M3377" t="str" cm="1">
        <f t="array" ref="M3377">IF(L3377="","",_xlfn.IFS(
  AND(L3377&gt;=TIME(9,0,0), L3377&lt;TIME(16,0,0)),"Morning",
  AND(L3377&gt;=TIME(16,0,0), L3377&lt;TIME(23,59,0)),"Evening",
  L3377&gt;=TIME(23,59,0),"Night",
  L3377&lt;TIME(9,0,0),"Night"
))</f>
        <v/>
      </c>
      <c r="O3377" t="str">
        <f t="shared" si="314"/>
        <v/>
      </c>
    </row>
    <row r="3378" spans="7:15" x14ac:dyDescent="0.25">
      <c r="G3378" t="str">
        <f t="shared" si="312"/>
        <v/>
      </c>
      <c r="H3378" s="13" t="str">
        <f t="shared" si="315"/>
        <v/>
      </c>
      <c r="I3378" t="str">
        <f>IFERROR(INDEX(Analysis!$D$116:$N$137, MATCH(B3378, Analysis!$C$116:$C$137, 0), MATCH(C3378, Analysis!$D$115:$N$115, 0)), "")</f>
        <v/>
      </c>
      <c r="J3378" t="str">
        <f t="shared" si="316"/>
        <v/>
      </c>
      <c r="K3378" s="28" t="str">
        <f t="shared" si="313"/>
        <v/>
      </c>
      <c r="L3378" s="46" t="str">
        <f t="shared" si="317"/>
        <v/>
      </c>
      <c r="M3378" t="str" cm="1">
        <f t="array" ref="M3378">IF(L3378="","",_xlfn.IFS(
  AND(L3378&gt;=TIME(9,0,0), L3378&lt;TIME(16,0,0)),"Morning",
  AND(L3378&gt;=TIME(16,0,0), L3378&lt;TIME(23,59,0)),"Evening",
  L3378&gt;=TIME(23,59,0),"Night",
  L3378&lt;TIME(9,0,0),"Night"
))</f>
        <v/>
      </c>
      <c r="O3378" t="str">
        <f t="shared" si="314"/>
        <v/>
      </c>
    </row>
    <row r="3379" spans="7:15" x14ac:dyDescent="0.25">
      <c r="G3379" t="str">
        <f t="shared" si="312"/>
        <v/>
      </c>
      <c r="H3379" s="13" t="str">
        <f t="shared" si="315"/>
        <v/>
      </c>
      <c r="I3379" t="str">
        <f>IFERROR(INDEX(Analysis!$D$116:$N$137, MATCH(B3379, Analysis!$C$116:$C$137, 0), MATCH(C3379, Analysis!$D$115:$N$115, 0)), "")</f>
        <v/>
      </c>
      <c r="J3379" t="str">
        <f t="shared" si="316"/>
        <v/>
      </c>
      <c r="K3379" s="28" t="str">
        <f t="shared" si="313"/>
        <v/>
      </c>
      <c r="L3379" s="46" t="str">
        <f t="shared" si="317"/>
        <v/>
      </c>
      <c r="M3379" t="str" cm="1">
        <f t="array" ref="M3379">IF(L3379="","",_xlfn.IFS(
  AND(L3379&gt;=TIME(9,0,0), L3379&lt;TIME(16,0,0)),"Morning",
  AND(L3379&gt;=TIME(16,0,0), L3379&lt;TIME(23,59,0)),"Evening",
  L3379&gt;=TIME(23,59,0),"Night",
  L3379&lt;TIME(9,0,0),"Night"
))</f>
        <v/>
      </c>
      <c r="O3379" t="str">
        <f t="shared" si="314"/>
        <v/>
      </c>
    </row>
    <row r="3380" spans="7:15" x14ac:dyDescent="0.25">
      <c r="G3380" t="str">
        <f t="shared" si="312"/>
        <v/>
      </c>
      <c r="H3380" s="13" t="str">
        <f t="shared" si="315"/>
        <v/>
      </c>
      <c r="I3380" t="str">
        <f>IFERROR(INDEX(Analysis!$D$116:$N$137, MATCH(B3380, Analysis!$C$116:$C$137, 0), MATCH(C3380, Analysis!$D$115:$N$115, 0)), "")</f>
        <v/>
      </c>
      <c r="J3380" t="str">
        <f t="shared" si="316"/>
        <v/>
      </c>
      <c r="K3380" s="28" t="str">
        <f t="shared" si="313"/>
        <v/>
      </c>
      <c r="L3380" s="46" t="str">
        <f t="shared" si="317"/>
        <v/>
      </c>
      <c r="M3380" t="str" cm="1">
        <f t="array" ref="M3380">IF(L3380="","",_xlfn.IFS(
  AND(L3380&gt;=TIME(9,0,0), L3380&lt;TIME(16,0,0)),"Morning",
  AND(L3380&gt;=TIME(16,0,0), L3380&lt;TIME(23,59,0)),"Evening",
  L3380&gt;=TIME(23,59,0),"Night",
  L3380&lt;TIME(9,0,0),"Night"
))</f>
        <v/>
      </c>
      <c r="O3380" t="str">
        <f t="shared" si="314"/>
        <v/>
      </c>
    </row>
    <row r="3381" spans="7:15" x14ac:dyDescent="0.25">
      <c r="G3381" t="str">
        <f t="shared" si="312"/>
        <v/>
      </c>
      <c r="H3381" s="13" t="str">
        <f t="shared" si="315"/>
        <v/>
      </c>
      <c r="I3381" t="str">
        <f>IFERROR(INDEX(Analysis!$D$116:$N$137, MATCH(B3381, Analysis!$C$116:$C$137, 0), MATCH(C3381, Analysis!$D$115:$N$115, 0)), "")</f>
        <v/>
      </c>
      <c r="J3381" t="str">
        <f t="shared" si="316"/>
        <v/>
      </c>
      <c r="K3381" s="28" t="str">
        <f t="shared" si="313"/>
        <v/>
      </c>
      <c r="L3381" s="46" t="str">
        <f t="shared" si="317"/>
        <v/>
      </c>
      <c r="M3381" t="str" cm="1">
        <f t="array" ref="M3381">IF(L3381="","",_xlfn.IFS(
  AND(L3381&gt;=TIME(9,0,0), L3381&lt;TIME(16,0,0)),"Morning",
  AND(L3381&gt;=TIME(16,0,0), L3381&lt;TIME(23,59,0)),"Evening",
  L3381&gt;=TIME(23,59,0),"Night",
  L3381&lt;TIME(9,0,0),"Night"
))</f>
        <v/>
      </c>
      <c r="O3381" t="str">
        <f t="shared" si="314"/>
        <v/>
      </c>
    </row>
    <row r="3382" spans="7:15" x14ac:dyDescent="0.25">
      <c r="G3382" t="str">
        <f t="shared" si="312"/>
        <v/>
      </c>
      <c r="H3382" s="13" t="str">
        <f t="shared" si="315"/>
        <v/>
      </c>
      <c r="I3382" t="str">
        <f>IFERROR(INDEX(Analysis!$D$116:$N$137, MATCH(B3382, Analysis!$C$116:$C$137, 0), MATCH(C3382, Analysis!$D$115:$N$115, 0)), "")</f>
        <v/>
      </c>
      <c r="J3382" t="str">
        <f t="shared" si="316"/>
        <v/>
      </c>
      <c r="K3382" s="28" t="str">
        <f t="shared" si="313"/>
        <v/>
      </c>
      <c r="L3382" s="46" t="str">
        <f t="shared" si="317"/>
        <v/>
      </c>
      <c r="M3382" t="str" cm="1">
        <f t="array" ref="M3382">IF(L3382="","",_xlfn.IFS(
  AND(L3382&gt;=TIME(9,0,0), L3382&lt;TIME(16,0,0)),"Morning",
  AND(L3382&gt;=TIME(16,0,0), L3382&lt;TIME(23,59,0)),"Evening",
  L3382&gt;=TIME(23,59,0),"Night",
  L3382&lt;TIME(9,0,0),"Night"
))</f>
        <v/>
      </c>
      <c r="O3382" t="str">
        <f t="shared" si="314"/>
        <v/>
      </c>
    </row>
    <row r="3383" spans="7:15" x14ac:dyDescent="0.25">
      <c r="G3383" t="str">
        <f t="shared" si="312"/>
        <v/>
      </c>
      <c r="H3383" s="13" t="str">
        <f t="shared" si="315"/>
        <v/>
      </c>
      <c r="I3383" t="str">
        <f>IFERROR(INDEX(Analysis!$D$116:$N$137, MATCH(B3383, Analysis!$C$116:$C$137, 0), MATCH(C3383, Analysis!$D$115:$N$115, 0)), "")</f>
        <v/>
      </c>
      <c r="J3383" t="str">
        <f t="shared" si="316"/>
        <v/>
      </c>
      <c r="K3383" s="28" t="str">
        <f t="shared" si="313"/>
        <v/>
      </c>
      <c r="L3383" s="46" t="str">
        <f t="shared" si="317"/>
        <v/>
      </c>
      <c r="M3383" t="str" cm="1">
        <f t="array" ref="M3383">IF(L3383="","",_xlfn.IFS(
  AND(L3383&gt;=TIME(9,0,0), L3383&lt;TIME(16,0,0)),"Morning",
  AND(L3383&gt;=TIME(16,0,0), L3383&lt;TIME(23,59,0)),"Evening",
  L3383&gt;=TIME(23,59,0),"Night",
  L3383&lt;TIME(9,0,0),"Night"
))</f>
        <v/>
      </c>
      <c r="O3383" t="str">
        <f t="shared" si="314"/>
        <v/>
      </c>
    </row>
    <row r="3384" spans="7:15" x14ac:dyDescent="0.25">
      <c r="G3384" t="str">
        <f t="shared" si="312"/>
        <v/>
      </c>
      <c r="H3384" s="13" t="str">
        <f t="shared" si="315"/>
        <v/>
      </c>
      <c r="I3384" t="str">
        <f>IFERROR(INDEX(Analysis!$D$116:$N$137, MATCH(B3384, Analysis!$C$116:$C$137, 0), MATCH(C3384, Analysis!$D$115:$N$115, 0)), "")</f>
        <v/>
      </c>
      <c r="J3384" t="str">
        <f t="shared" si="316"/>
        <v/>
      </c>
      <c r="K3384" s="28" t="str">
        <f t="shared" si="313"/>
        <v/>
      </c>
      <c r="L3384" s="46" t="str">
        <f t="shared" si="317"/>
        <v/>
      </c>
      <c r="M3384" t="str" cm="1">
        <f t="array" ref="M3384">IF(L3384="","",_xlfn.IFS(
  AND(L3384&gt;=TIME(9,0,0), L3384&lt;TIME(16,0,0)),"Morning",
  AND(L3384&gt;=TIME(16,0,0), L3384&lt;TIME(23,59,0)),"Evening",
  L3384&gt;=TIME(23,59,0),"Night",
  L3384&lt;TIME(9,0,0),"Night"
))</f>
        <v/>
      </c>
      <c r="O3384" t="str">
        <f t="shared" si="314"/>
        <v/>
      </c>
    </row>
    <row r="3385" spans="7:15" x14ac:dyDescent="0.25">
      <c r="G3385" t="str">
        <f t="shared" si="312"/>
        <v/>
      </c>
      <c r="H3385" s="13" t="str">
        <f t="shared" si="315"/>
        <v/>
      </c>
      <c r="I3385" t="str">
        <f>IFERROR(INDEX(Analysis!$D$116:$N$137, MATCH(B3385, Analysis!$C$116:$C$137, 0), MATCH(C3385, Analysis!$D$115:$N$115, 0)), "")</f>
        <v/>
      </c>
      <c r="J3385" t="str">
        <f t="shared" si="316"/>
        <v/>
      </c>
      <c r="K3385" s="28" t="str">
        <f t="shared" si="313"/>
        <v/>
      </c>
      <c r="L3385" s="46" t="str">
        <f t="shared" si="317"/>
        <v/>
      </c>
      <c r="M3385" t="str" cm="1">
        <f t="array" ref="M3385">IF(L3385="","",_xlfn.IFS(
  AND(L3385&gt;=TIME(9,0,0), L3385&lt;TIME(16,0,0)),"Morning",
  AND(L3385&gt;=TIME(16,0,0), L3385&lt;TIME(23,59,0)),"Evening",
  L3385&gt;=TIME(23,59,0),"Night",
  L3385&lt;TIME(9,0,0),"Night"
))</f>
        <v/>
      </c>
      <c r="O3385" t="str">
        <f t="shared" si="314"/>
        <v/>
      </c>
    </row>
    <row r="3386" spans="7:15" x14ac:dyDescent="0.25">
      <c r="G3386" t="str">
        <f t="shared" si="312"/>
        <v/>
      </c>
      <c r="H3386" s="13" t="str">
        <f t="shared" si="315"/>
        <v/>
      </c>
      <c r="I3386" t="str">
        <f>IFERROR(INDEX(Analysis!$D$116:$N$137, MATCH(B3386, Analysis!$C$116:$C$137, 0), MATCH(C3386, Analysis!$D$115:$N$115, 0)), "")</f>
        <v/>
      </c>
      <c r="J3386" t="str">
        <f t="shared" si="316"/>
        <v/>
      </c>
      <c r="K3386" s="28" t="str">
        <f t="shared" si="313"/>
        <v/>
      </c>
      <c r="L3386" s="46" t="str">
        <f t="shared" si="317"/>
        <v/>
      </c>
      <c r="M3386" t="str" cm="1">
        <f t="array" ref="M3386">IF(L3386="","",_xlfn.IFS(
  AND(L3386&gt;=TIME(9,0,0), L3386&lt;TIME(16,0,0)),"Morning",
  AND(L3386&gt;=TIME(16,0,0), L3386&lt;TIME(23,59,0)),"Evening",
  L3386&gt;=TIME(23,59,0),"Night",
  L3386&lt;TIME(9,0,0),"Night"
))</f>
        <v/>
      </c>
      <c r="O3386" t="str">
        <f t="shared" si="314"/>
        <v/>
      </c>
    </row>
    <row r="3387" spans="7:15" x14ac:dyDescent="0.25">
      <c r="G3387" t="str">
        <f t="shared" si="312"/>
        <v/>
      </c>
      <c r="H3387" s="13" t="str">
        <f t="shared" si="315"/>
        <v/>
      </c>
      <c r="I3387" t="str">
        <f>IFERROR(INDEX(Analysis!$D$116:$N$137, MATCH(B3387, Analysis!$C$116:$C$137, 0), MATCH(C3387, Analysis!$D$115:$N$115, 0)), "")</f>
        <v/>
      </c>
      <c r="J3387" t="str">
        <f t="shared" si="316"/>
        <v/>
      </c>
      <c r="K3387" s="28" t="str">
        <f t="shared" si="313"/>
        <v/>
      </c>
      <c r="L3387" s="46" t="str">
        <f t="shared" si="317"/>
        <v/>
      </c>
      <c r="M3387" t="str" cm="1">
        <f t="array" ref="M3387">IF(L3387="","",_xlfn.IFS(
  AND(L3387&gt;=TIME(9,0,0), L3387&lt;TIME(16,0,0)),"Morning",
  AND(L3387&gt;=TIME(16,0,0), L3387&lt;TIME(23,59,0)),"Evening",
  L3387&gt;=TIME(23,59,0),"Night",
  L3387&lt;TIME(9,0,0),"Night"
))</f>
        <v/>
      </c>
      <c r="O3387" t="str">
        <f t="shared" si="314"/>
        <v/>
      </c>
    </row>
    <row r="3388" spans="7:15" x14ac:dyDescent="0.25">
      <c r="G3388" t="str">
        <f t="shared" si="312"/>
        <v/>
      </c>
      <c r="H3388" s="13" t="str">
        <f t="shared" si="315"/>
        <v/>
      </c>
      <c r="I3388" t="str">
        <f>IFERROR(INDEX(Analysis!$D$116:$N$137, MATCH(B3388, Analysis!$C$116:$C$137, 0), MATCH(C3388, Analysis!$D$115:$N$115, 0)), "")</f>
        <v/>
      </c>
      <c r="J3388" t="str">
        <f t="shared" si="316"/>
        <v/>
      </c>
      <c r="K3388" s="28" t="str">
        <f t="shared" si="313"/>
        <v/>
      </c>
      <c r="L3388" s="46" t="str">
        <f t="shared" si="317"/>
        <v/>
      </c>
      <c r="M3388" t="str" cm="1">
        <f t="array" ref="M3388">IF(L3388="","",_xlfn.IFS(
  AND(L3388&gt;=TIME(9,0,0), L3388&lt;TIME(16,0,0)),"Morning",
  AND(L3388&gt;=TIME(16,0,0), L3388&lt;TIME(23,59,0)),"Evening",
  L3388&gt;=TIME(23,59,0),"Night",
  L3388&lt;TIME(9,0,0),"Night"
))</f>
        <v/>
      </c>
      <c r="O3388" t="str">
        <f t="shared" si="314"/>
        <v/>
      </c>
    </row>
    <row r="3389" spans="7:15" x14ac:dyDescent="0.25">
      <c r="G3389" t="str">
        <f t="shared" si="312"/>
        <v/>
      </c>
      <c r="H3389" s="13" t="str">
        <f t="shared" si="315"/>
        <v/>
      </c>
      <c r="I3389" t="str">
        <f>IFERROR(INDEX(Analysis!$D$116:$N$137, MATCH(B3389, Analysis!$C$116:$C$137, 0), MATCH(C3389, Analysis!$D$115:$N$115, 0)), "")</f>
        <v/>
      </c>
      <c r="J3389" t="str">
        <f t="shared" si="316"/>
        <v/>
      </c>
      <c r="K3389" s="28" t="str">
        <f t="shared" si="313"/>
        <v/>
      </c>
      <c r="L3389" s="46" t="str">
        <f t="shared" si="317"/>
        <v/>
      </c>
      <c r="M3389" t="str" cm="1">
        <f t="array" ref="M3389">IF(L3389="","",_xlfn.IFS(
  AND(L3389&gt;=TIME(9,0,0), L3389&lt;TIME(16,0,0)),"Morning",
  AND(L3389&gt;=TIME(16,0,0), L3389&lt;TIME(23,59,0)),"Evening",
  L3389&gt;=TIME(23,59,0),"Night",
  L3389&lt;TIME(9,0,0),"Night"
))</f>
        <v/>
      </c>
      <c r="O3389" t="str">
        <f t="shared" si="314"/>
        <v/>
      </c>
    </row>
    <row r="3390" spans="7:15" x14ac:dyDescent="0.25">
      <c r="G3390" t="str">
        <f t="shared" si="312"/>
        <v/>
      </c>
      <c r="H3390" s="13" t="str">
        <f t="shared" si="315"/>
        <v/>
      </c>
      <c r="I3390" t="str">
        <f>IFERROR(INDEX(Analysis!$D$116:$N$137, MATCH(B3390, Analysis!$C$116:$C$137, 0), MATCH(C3390, Analysis!$D$115:$N$115, 0)), "")</f>
        <v/>
      </c>
      <c r="J3390" t="str">
        <f t="shared" si="316"/>
        <v/>
      </c>
      <c r="K3390" s="28" t="str">
        <f t="shared" si="313"/>
        <v/>
      </c>
      <c r="L3390" s="46" t="str">
        <f t="shared" si="317"/>
        <v/>
      </c>
      <c r="M3390" t="str" cm="1">
        <f t="array" ref="M3390">IF(L3390="","",_xlfn.IFS(
  AND(L3390&gt;=TIME(9,0,0), L3390&lt;TIME(16,0,0)),"Morning",
  AND(L3390&gt;=TIME(16,0,0), L3390&lt;TIME(23,59,0)),"Evening",
  L3390&gt;=TIME(23,59,0),"Night",
  L3390&lt;TIME(9,0,0),"Night"
))</f>
        <v/>
      </c>
      <c r="O3390" t="str">
        <f t="shared" si="314"/>
        <v/>
      </c>
    </row>
    <row r="3391" spans="7:15" x14ac:dyDescent="0.25">
      <c r="G3391" t="str">
        <f t="shared" si="312"/>
        <v/>
      </c>
      <c r="H3391" s="13" t="str">
        <f t="shared" si="315"/>
        <v/>
      </c>
      <c r="I3391" t="str">
        <f>IFERROR(INDEX(Analysis!$D$116:$N$137, MATCH(B3391, Analysis!$C$116:$C$137, 0), MATCH(C3391, Analysis!$D$115:$N$115, 0)), "")</f>
        <v/>
      </c>
      <c r="J3391" t="str">
        <f t="shared" si="316"/>
        <v/>
      </c>
      <c r="K3391" s="28" t="str">
        <f t="shared" si="313"/>
        <v/>
      </c>
      <c r="L3391" s="46" t="str">
        <f t="shared" si="317"/>
        <v/>
      </c>
      <c r="M3391" t="str" cm="1">
        <f t="array" ref="M3391">IF(L3391="","",_xlfn.IFS(
  AND(L3391&gt;=TIME(9,0,0), L3391&lt;TIME(16,0,0)),"Morning",
  AND(L3391&gt;=TIME(16,0,0), L3391&lt;TIME(23,59,0)),"Evening",
  L3391&gt;=TIME(23,59,0),"Night",
  L3391&lt;TIME(9,0,0),"Night"
))</f>
        <v/>
      </c>
      <c r="O3391" t="str">
        <f t="shared" si="314"/>
        <v/>
      </c>
    </row>
    <row r="3392" spans="7:15" x14ac:dyDescent="0.25">
      <c r="G3392" t="str">
        <f t="shared" si="312"/>
        <v/>
      </c>
      <c r="H3392" s="13" t="str">
        <f t="shared" si="315"/>
        <v/>
      </c>
      <c r="I3392" t="str">
        <f>IFERROR(INDEX(Analysis!$D$116:$N$137, MATCH(B3392, Analysis!$C$116:$C$137, 0), MATCH(C3392, Analysis!$D$115:$N$115, 0)), "")</f>
        <v/>
      </c>
      <c r="J3392" t="str">
        <f t="shared" si="316"/>
        <v/>
      </c>
      <c r="K3392" s="28" t="str">
        <f t="shared" si="313"/>
        <v/>
      </c>
      <c r="L3392" s="46" t="str">
        <f t="shared" si="317"/>
        <v/>
      </c>
      <c r="M3392" t="str" cm="1">
        <f t="array" ref="M3392">IF(L3392="","",_xlfn.IFS(
  AND(L3392&gt;=TIME(9,0,0), L3392&lt;TIME(16,0,0)),"Morning",
  AND(L3392&gt;=TIME(16,0,0), L3392&lt;TIME(23,59,0)),"Evening",
  L3392&gt;=TIME(23,59,0),"Night",
  L3392&lt;TIME(9,0,0),"Night"
))</f>
        <v/>
      </c>
      <c r="O3392" t="str">
        <f t="shared" si="314"/>
        <v/>
      </c>
    </row>
    <row r="3393" spans="7:15" x14ac:dyDescent="0.25">
      <c r="G3393" t="str">
        <f t="shared" si="312"/>
        <v/>
      </c>
      <c r="H3393" s="13" t="str">
        <f t="shared" si="315"/>
        <v/>
      </c>
      <c r="I3393" t="str">
        <f>IFERROR(INDEX(Analysis!$D$116:$N$137, MATCH(B3393, Analysis!$C$116:$C$137, 0), MATCH(C3393, Analysis!$D$115:$N$115, 0)), "")</f>
        <v/>
      </c>
      <c r="J3393" t="str">
        <f t="shared" si="316"/>
        <v/>
      </c>
      <c r="K3393" s="28" t="str">
        <f t="shared" si="313"/>
        <v/>
      </c>
      <c r="L3393" s="46" t="str">
        <f t="shared" si="317"/>
        <v/>
      </c>
      <c r="M3393" t="str" cm="1">
        <f t="array" ref="M3393">IF(L3393="","",_xlfn.IFS(
  AND(L3393&gt;=TIME(9,0,0), L3393&lt;TIME(16,0,0)),"Morning",
  AND(L3393&gt;=TIME(16,0,0), L3393&lt;TIME(23,59,0)),"Evening",
  L3393&gt;=TIME(23,59,0),"Night",
  L3393&lt;TIME(9,0,0),"Night"
))</f>
        <v/>
      </c>
      <c r="O3393" t="str">
        <f t="shared" si="314"/>
        <v/>
      </c>
    </row>
    <row r="3394" spans="7:15" x14ac:dyDescent="0.25">
      <c r="G3394" t="str">
        <f t="shared" ref="G3394:G3457" si="318">IF(ISBLANK(A3394), "", IF(ISBLANK(F3394), 0, F3394))</f>
        <v/>
      </c>
      <c r="H3394" s="13" t="str">
        <f t="shared" si="315"/>
        <v/>
      </c>
      <c r="I3394" t="str">
        <f>IFERROR(INDEX(Analysis!$D$116:$N$137, MATCH(B3394, Analysis!$C$116:$C$137, 0), MATCH(C3394, Analysis!$D$115:$N$115, 0)), "")</f>
        <v/>
      </c>
      <c r="J3394" t="str">
        <f t="shared" si="316"/>
        <v/>
      </c>
      <c r="K3394" s="28" t="str">
        <f t="shared" ref="K3394:K3457" si="319">IF(ISBLANK(A3394),"",DATE(YEAR(A3394),MONTH(A3394),DAY(A3394)))</f>
        <v/>
      </c>
      <c r="L3394" s="46" t="str">
        <f t="shared" si="317"/>
        <v/>
      </c>
      <c r="M3394" t="str" cm="1">
        <f t="array" ref="M3394">IF(L3394="","",_xlfn.IFS(
  AND(L3394&gt;=TIME(9,0,0), L3394&lt;TIME(16,0,0)),"Morning",
  AND(L3394&gt;=TIME(16,0,0), L3394&lt;TIME(23,59,0)),"Evening",
  L3394&gt;=TIME(23,59,0),"Night",
  L3394&lt;TIME(9,0,0),"Night"
))</f>
        <v/>
      </c>
      <c r="O3394" t="str">
        <f t="shared" ref="O3394:O3457" si="320">IF(N3394="ON", _xlfn.IMAGE(E3394, 1), "")</f>
        <v/>
      </c>
    </row>
    <row r="3395" spans="7:15" x14ac:dyDescent="0.25">
      <c r="G3395" t="str">
        <f t="shared" si="318"/>
        <v/>
      </c>
      <c r="H3395" s="13" t="str">
        <f t="shared" ref="H3395:H3458" si="321">IF(ISBLANK(E3395),"",HYPERLINK(E3395,"Click here"))</f>
        <v/>
      </c>
      <c r="I3395" t="str">
        <f>IFERROR(INDEX(Analysis!$D$116:$N$137, MATCH(B3395, Analysis!$C$116:$C$137, 0), MATCH(C3395, Analysis!$D$115:$N$115, 0)), "")</f>
        <v/>
      </c>
      <c r="J3395" t="str">
        <f t="shared" ref="J3395:J3458" si="322">IF(ISBLANK(A3395),"",WEEKNUM(A3395))</f>
        <v/>
      </c>
      <c r="K3395" s="28" t="str">
        <f t="shared" si="319"/>
        <v/>
      </c>
      <c r="L3395" s="46" t="str">
        <f t="shared" ref="L3395:L3458" si="323">IF(A3395="", "", A3395 - INT(A3395))</f>
        <v/>
      </c>
      <c r="M3395" t="str" cm="1">
        <f t="array" ref="M3395">IF(L3395="","",_xlfn.IFS(
  AND(L3395&gt;=TIME(9,0,0), L3395&lt;TIME(16,0,0)),"Morning",
  AND(L3395&gt;=TIME(16,0,0), L3395&lt;TIME(23,59,0)),"Evening",
  L3395&gt;=TIME(23,59,0),"Night",
  L3395&lt;TIME(9,0,0),"Night"
))</f>
        <v/>
      </c>
      <c r="O3395" t="str">
        <f t="shared" si="320"/>
        <v/>
      </c>
    </row>
    <row r="3396" spans="7:15" x14ac:dyDescent="0.25">
      <c r="G3396" t="str">
        <f t="shared" si="318"/>
        <v/>
      </c>
      <c r="H3396" s="13" t="str">
        <f t="shared" si="321"/>
        <v/>
      </c>
      <c r="I3396" t="str">
        <f>IFERROR(INDEX(Analysis!$D$116:$N$137, MATCH(B3396, Analysis!$C$116:$C$137, 0), MATCH(C3396, Analysis!$D$115:$N$115, 0)), "")</f>
        <v/>
      </c>
      <c r="J3396" t="str">
        <f t="shared" si="322"/>
        <v/>
      </c>
      <c r="K3396" s="28" t="str">
        <f t="shared" si="319"/>
        <v/>
      </c>
      <c r="L3396" s="46" t="str">
        <f t="shared" si="323"/>
        <v/>
      </c>
      <c r="M3396" t="str" cm="1">
        <f t="array" ref="M3396">IF(L3396="","",_xlfn.IFS(
  AND(L3396&gt;=TIME(9,0,0), L3396&lt;TIME(16,0,0)),"Morning",
  AND(L3396&gt;=TIME(16,0,0), L3396&lt;TIME(23,59,0)),"Evening",
  L3396&gt;=TIME(23,59,0),"Night",
  L3396&lt;TIME(9,0,0),"Night"
))</f>
        <v/>
      </c>
      <c r="O3396" t="str">
        <f t="shared" si="320"/>
        <v/>
      </c>
    </row>
    <row r="3397" spans="7:15" x14ac:dyDescent="0.25">
      <c r="G3397" t="str">
        <f t="shared" si="318"/>
        <v/>
      </c>
      <c r="H3397" s="13" t="str">
        <f t="shared" si="321"/>
        <v/>
      </c>
      <c r="I3397" t="str">
        <f>IFERROR(INDEX(Analysis!$D$116:$N$137, MATCH(B3397, Analysis!$C$116:$C$137, 0), MATCH(C3397, Analysis!$D$115:$N$115, 0)), "")</f>
        <v/>
      </c>
      <c r="J3397" t="str">
        <f t="shared" si="322"/>
        <v/>
      </c>
      <c r="K3397" s="28" t="str">
        <f t="shared" si="319"/>
        <v/>
      </c>
      <c r="L3397" s="46" t="str">
        <f t="shared" si="323"/>
        <v/>
      </c>
      <c r="M3397" t="str" cm="1">
        <f t="array" ref="M3397">IF(L3397="","",_xlfn.IFS(
  AND(L3397&gt;=TIME(9,0,0), L3397&lt;TIME(16,0,0)),"Morning",
  AND(L3397&gt;=TIME(16,0,0), L3397&lt;TIME(23,59,0)),"Evening",
  L3397&gt;=TIME(23,59,0),"Night",
  L3397&lt;TIME(9,0,0),"Night"
))</f>
        <v/>
      </c>
      <c r="O3397" t="str">
        <f t="shared" si="320"/>
        <v/>
      </c>
    </row>
    <row r="3398" spans="7:15" x14ac:dyDescent="0.25">
      <c r="G3398" t="str">
        <f t="shared" si="318"/>
        <v/>
      </c>
      <c r="H3398" s="13" t="str">
        <f t="shared" si="321"/>
        <v/>
      </c>
      <c r="I3398" t="str">
        <f>IFERROR(INDEX(Analysis!$D$116:$N$137, MATCH(B3398, Analysis!$C$116:$C$137, 0), MATCH(C3398, Analysis!$D$115:$N$115, 0)), "")</f>
        <v/>
      </c>
      <c r="J3398" t="str">
        <f t="shared" si="322"/>
        <v/>
      </c>
      <c r="K3398" s="28" t="str">
        <f t="shared" si="319"/>
        <v/>
      </c>
      <c r="L3398" s="46" t="str">
        <f t="shared" si="323"/>
        <v/>
      </c>
      <c r="M3398" t="str" cm="1">
        <f t="array" ref="M3398">IF(L3398="","",_xlfn.IFS(
  AND(L3398&gt;=TIME(9,0,0), L3398&lt;TIME(16,0,0)),"Morning",
  AND(L3398&gt;=TIME(16,0,0), L3398&lt;TIME(23,59,0)),"Evening",
  L3398&gt;=TIME(23,59,0),"Night",
  L3398&lt;TIME(9,0,0),"Night"
))</f>
        <v/>
      </c>
      <c r="O3398" t="str">
        <f t="shared" si="320"/>
        <v/>
      </c>
    </row>
    <row r="3399" spans="7:15" x14ac:dyDescent="0.25">
      <c r="G3399" t="str">
        <f t="shared" si="318"/>
        <v/>
      </c>
      <c r="H3399" s="13" t="str">
        <f t="shared" si="321"/>
        <v/>
      </c>
      <c r="I3399" t="str">
        <f>IFERROR(INDEX(Analysis!$D$116:$N$137, MATCH(B3399, Analysis!$C$116:$C$137, 0), MATCH(C3399, Analysis!$D$115:$N$115, 0)), "")</f>
        <v/>
      </c>
      <c r="J3399" t="str">
        <f t="shared" si="322"/>
        <v/>
      </c>
      <c r="K3399" s="28" t="str">
        <f t="shared" si="319"/>
        <v/>
      </c>
      <c r="L3399" s="46" t="str">
        <f t="shared" si="323"/>
        <v/>
      </c>
      <c r="M3399" t="str" cm="1">
        <f t="array" ref="M3399">IF(L3399="","",_xlfn.IFS(
  AND(L3399&gt;=TIME(9,0,0), L3399&lt;TIME(16,0,0)),"Morning",
  AND(L3399&gt;=TIME(16,0,0), L3399&lt;TIME(23,59,0)),"Evening",
  L3399&gt;=TIME(23,59,0),"Night",
  L3399&lt;TIME(9,0,0),"Night"
))</f>
        <v/>
      </c>
      <c r="O3399" t="str">
        <f t="shared" si="320"/>
        <v/>
      </c>
    </row>
    <row r="3400" spans="7:15" x14ac:dyDescent="0.25">
      <c r="G3400" t="str">
        <f t="shared" si="318"/>
        <v/>
      </c>
      <c r="H3400" s="13" t="str">
        <f t="shared" si="321"/>
        <v/>
      </c>
      <c r="I3400" t="str">
        <f>IFERROR(INDEX(Analysis!$D$116:$N$137, MATCH(B3400, Analysis!$C$116:$C$137, 0), MATCH(C3400, Analysis!$D$115:$N$115, 0)), "")</f>
        <v/>
      </c>
      <c r="J3400" t="str">
        <f t="shared" si="322"/>
        <v/>
      </c>
      <c r="K3400" s="28" t="str">
        <f t="shared" si="319"/>
        <v/>
      </c>
      <c r="L3400" s="46" t="str">
        <f t="shared" si="323"/>
        <v/>
      </c>
      <c r="M3400" t="str" cm="1">
        <f t="array" ref="M3400">IF(L3400="","",_xlfn.IFS(
  AND(L3400&gt;=TIME(9,0,0), L3400&lt;TIME(16,0,0)),"Morning",
  AND(L3400&gt;=TIME(16,0,0), L3400&lt;TIME(23,59,0)),"Evening",
  L3400&gt;=TIME(23,59,0),"Night",
  L3400&lt;TIME(9,0,0),"Night"
))</f>
        <v/>
      </c>
      <c r="O3400" t="str">
        <f t="shared" si="320"/>
        <v/>
      </c>
    </row>
    <row r="3401" spans="7:15" x14ac:dyDescent="0.25">
      <c r="G3401" t="str">
        <f t="shared" si="318"/>
        <v/>
      </c>
      <c r="H3401" s="13" t="str">
        <f t="shared" si="321"/>
        <v/>
      </c>
      <c r="I3401" t="str">
        <f>IFERROR(INDEX(Analysis!$D$116:$N$137, MATCH(B3401, Analysis!$C$116:$C$137, 0), MATCH(C3401, Analysis!$D$115:$N$115, 0)), "")</f>
        <v/>
      </c>
      <c r="J3401" t="str">
        <f t="shared" si="322"/>
        <v/>
      </c>
      <c r="K3401" s="28" t="str">
        <f t="shared" si="319"/>
        <v/>
      </c>
      <c r="L3401" s="46" t="str">
        <f t="shared" si="323"/>
        <v/>
      </c>
      <c r="M3401" t="str" cm="1">
        <f t="array" ref="M3401">IF(L3401="","",_xlfn.IFS(
  AND(L3401&gt;=TIME(9,0,0), L3401&lt;TIME(16,0,0)),"Morning",
  AND(L3401&gt;=TIME(16,0,0), L3401&lt;TIME(23,59,0)),"Evening",
  L3401&gt;=TIME(23,59,0),"Night",
  L3401&lt;TIME(9,0,0),"Night"
))</f>
        <v/>
      </c>
      <c r="O3401" t="str">
        <f t="shared" si="320"/>
        <v/>
      </c>
    </row>
    <row r="3402" spans="7:15" x14ac:dyDescent="0.25">
      <c r="G3402" t="str">
        <f t="shared" si="318"/>
        <v/>
      </c>
      <c r="H3402" s="13" t="str">
        <f t="shared" si="321"/>
        <v/>
      </c>
      <c r="I3402" t="str">
        <f>IFERROR(INDEX(Analysis!$D$116:$N$137, MATCH(B3402, Analysis!$C$116:$C$137, 0), MATCH(C3402, Analysis!$D$115:$N$115, 0)), "")</f>
        <v/>
      </c>
      <c r="J3402" t="str">
        <f t="shared" si="322"/>
        <v/>
      </c>
      <c r="K3402" s="28" t="str">
        <f t="shared" si="319"/>
        <v/>
      </c>
      <c r="L3402" s="46" t="str">
        <f t="shared" si="323"/>
        <v/>
      </c>
      <c r="M3402" t="str" cm="1">
        <f t="array" ref="M3402">IF(L3402="","",_xlfn.IFS(
  AND(L3402&gt;=TIME(9,0,0), L3402&lt;TIME(16,0,0)),"Morning",
  AND(L3402&gt;=TIME(16,0,0), L3402&lt;TIME(23,59,0)),"Evening",
  L3402&gt;=TIME(23,59,0),"Night",
  L3402&lt;TIME(9,0,0),"Night"
))</f>
        <v/>
      </c>
      <c r="O3402" t="str">
        <f t="shared" si="320"/>
        <v/>
      </c>
    </row>
    <row r="3403" spans="7:15" x14ac:dyDescent="0.25">
      <c r="G3403" t="str">
        <f t="shared" si="318"/>
        <v/>
      </c>
      <c r="H3403" s="13" t="str">
        <f t="shared" si="321"/>
        <v/>
      </c>
      <c r="I3403" t="str">
        <f>IFERROR(INDEX(Analysis!$D$116:$N$137, MATCH(B3403, Analysis!$C$116:$C$137, 0), MATCH(C3403, Analysis!$D$115:$N$115, 0)), "")</f>
        <v/>
      </c>
      <c r="J3403" t="str">
        <f t="shared" si="322"/>
        <v/>
      </c>
      <c r="K3403" s="28" t="str">
        <f t="shared" si="319"/>
        <v/>
      </c>
      <c r="L3403" s="46" t="str">
        <f t="shared" si="323"/>
        <v/>
      </c>
      <c r="M3403" t="str" cm="1">
        <f t="array" ref="M3403">IF(L3403="","",_xlfn.IFS(
  AND(L3403&gt;=TIME(9,0,0), L3403&lt;TIME(16,0,0)),"Morning",
  AND(L3403&gt;=TIME(16,0,0), L3403&lt;TIME(23,59,0)),"Evening",
  L3403&gt;=TIME(23,59,0),"Night",
  L3403&lt;TIME(9,0,0),"Night"
))</f>
        <v/>
      </c>
      <c r="O3403" t="str">
        <f t="shared" si="320"/>
        <v/>
      </c>
    </row>
    <row r="3404" spans="7:15" x14ac:dyDescent="0.25">
      <c r="G3404" t="str">
        <f t="shared" si="318"/>
        <v/>
      </c>
      <c r="H3404" s="13" t="str">
        <f t="shared" si="321"/>
        <v/>
      </c>
      <c r="I3404" t="str">
        <f>IFERROR(INDEX(Analysis!$D$116:$N$137, MATCH(B3404, Analysis!$C$116:$C$137, 0), MATCH(C3404, Analysis!$D$115:$N$115, 0)), "")</f>
        <v/>
      </c>
      <c r="J3404" t="str">
        <f t="shared" si="322"/>
        <v/>
      </c>
      <c r="K3404" s="28" t="str">
        <f t="shared" si="319"/>
        <v/>
      </c>
      <c r="L3404" s="46" t="str">
        <f t="shared" si="323"/>
        <v/>
      </c>
      <c r="M3404" t="str" cm="1">
        <f t="array" ref="M3404">IF(L3404="","",_xlfn.IFS(
  AND(L3404&gt;=TIME(9,0,0), L3404&lt;TIME(16,0,0)),"Morning",
  AND(L3404&gt;=TIME(16,0,0), L3404&lt;TIME(23,59,0)),"Evening",
  L3404&gt;=TIME(23,59,0),"Night",
  L3404&lt;TIME(9,0,0),"Night"
))</f>
        <v/>
      </c>
      <c r="O3404" t="str">
        <f t="shared" si="320"/>
        <v/>
      </c>
    </row>
    <row r="3405" spans="7:15" x14ac:dyDescent="0.25">
      <c r="G3405" t="str">
        <f t="shared" si="318"/>
        <v/>
      </c>
      <c r="H3405" s="13" t="str">
        <f t="shared" si="321"/>
        <v/>
      </c>
      <c r="I3405" t="str">
        <f>IFERROR(INDEX(Analysis!$D$116:$N$137, MATCH(B3405, Analysis!$C$116:$C$137, 0), MATCH(C3405, Analysis!$D$115:$N$115, 0)), "")</f>
        <v/>
      </c>
      <c r="J3405" t="str">
        <f t="shared" si="322"/>
        <v/>
      </c>
      <c r="K3405" s="28" t="str">
        <f t="shared" si="319"/>
        <v/>
      </c>
      <c r="L3405" s="46" t="str">
        <f t="shared" si="323"/>
        <v/>
      </c>
      <c r="M3405" t="str" cm="1">
        <f t="array" ref="M3405">IF(L3405="","",_xlfn.IFS(
  AND(L3405&gt;=TIME(9,0,0), L3405&lt;TIME(16,0,0)),"Morning",
  AND(L3405&gt;=TIME(16,0,0), L3405&lt;TIME(23,59,0)),"Evening",
  L3405&gt;=TIME(23,59,0),"Night",
  L3405&lt;TIME(9,0,0),"Night"
))</f>
        <v/>
      </c>
      <c r="O3405" t="str">
        <f t="shared" si="320"/>
        <v/>
      </c>
    </row>
    <row r="3406" spans="7:15" x14ac:dyDescent="0.25">
      <c r="G3406" t="str">
        <f t="shared" si="318"/>
        <v/>
      </c>
      <c r="H3406" s="13" t="str">
        <f t="shared" si="321"/>
        <v/>
      </c>
      <c r="I3406" t="str">
        <f>IFERROR(INDEX(Analysis!$D$116:$N$137, MATCH(B3406, Analysis!$C$116:$C$137, 0), MATCH(C3406, Analysis!$D$115:$N$115, 0)), "")</f>
        <v/>
      </c>
      <c r="J3406" t="str">
        <f t="shared" si="322"/>
        <v/>
      </c>
      <c r="K3406" s="28" t="str">
        <f t="shared" si="319"/>
        <v/>
      </c>
      <c r="L3406" s="46" t="str">
        <f t="shared" si="323"/>
        <v/>
      </c>
      <c r="M3406" t="str" cm="1">
        <f t="array" ref="M3406">IF(L3406="","",_xlfn.IFS(
  AND(L3406&gt;=TIME(9,0,0), L3406&lt;TIME(16,0,0)),"Morning",
  AND(L3406&gt;=TIME(16,0,0), L3406&lt;TIME(23,59,0)),"Evening",
  L3406&gt;=TIME(23,59,0),"Night",
  L3406&lt;TIME(9,0,0),"Night"
))</f>
        <v/>
      </c>
      <c r="O3406" t="str">
        <f t="shared" si="320"/>
        <v/>
      </c>
    </row>
    <row r="3407" spans="7:15" x14ac:dyDescent="0.25">
      <c r="G3407" t="str">
        <f t="shared" si="318"/>
        <v/>
      </c>
      <c r="H3407" s="13" t="str">
        <f t="shared" si="321"/>
        <v/>
      </c>
      <c r="I3407" t="str">
        <f>IFERROR(INDEX(Analysis!$D$116:$N$137, MATCH(B3407, Analysis!$C$116:$C$137, 0), MATCH(C3407, Analysis!$D$115:$N$115, 0)), "")</f>
        <v/>
      </c>
      <c r="J3407" t="str">
        <f t="shared" si="322"/>
        <v/>
      </c>
      <c r="K3407" s="28" t="str">
        <f t="shared" si="319"/>
        <v/>
      </c>
      <c r="L3407" s="46" t="str">
        <f t="shared" si="323"/>
        <v/>
      </c>
      <c r="M3407" t="str" cm="1">
        <f t="array" ref="M3407">IF(L3407="","",_xlfn.IFS(
  AND(L3407&gt;=TIME(9,0,0), L3407&lt;TIME(16,0,0)),"Morning",
  AND(L3407&gt;=TIME(16,0,0), L3407&lt;TIME(23,59,0)),"Evening",
  L3407&gt;=TIME(23,59,0),"Night",
  L3407&lt;TIME(9,0,0),"Night"
))</f>
        <v/>
      </c>
      <c r="O3407" t="str">
        <f t="shared" si="320"/>
        <v/>
      </c>
    </row>
    <row r="3408" spans="7:15" x14ac:dyDescent="0.25">
      <c r="G3408" t="str">
        <f t="shared" si="318"/>
        <v/>
      </c>
      <c r="H3408" s="13" t="str">
        <f t="shared" si="321"/>
        <v/>
      </c>
      <c r="I3408" t="str">
        <f>IFERROR(INDEX(Analysis!$D$116:$N$137, MATCH(B3408, Analysis!$C$116:$C$137, 0), MATCH(C3408, Analysis!$D$115:$N$115, 0)), "")</f>
        <v/>
      </c>
      <c r="J3408" t="str">
        <f t="shared" si="322"/>
        <v/>
      </c>
      <c r="K3408" s="28" t="str">
        <f t="shared" si="319"/>
        <v/>
      </c>
      <c r="L3408" s="46" t="str">
        <f t="shared" si="323"/>
        <v/>
      </c>
      <c r="M3408" t="str" cm="1">
        <f t="array" ref="M3408">IF(L3408="","",_xlfn.IFS(
  AND(L3408&gt;=TIME(9,0,0), L3408&lt;TIME(16,0,0)),"Morning",
  AND(L3408&gt;=TIME(16,0,0), L3408&lt;TIME(23,59,0)),"Evening",
  L3408&gt;=TIME(23,59,0),"Night",
  L3408&lt;TIME(9,0,0),"Night"
))</f>
        <v/>
      </c>
      <c r="O3408" t="str">
        <f t="shared" si="320"/>
        <v/>
      </c>
    </row>
    <row r="3409" spans="7:15" x14ac:dyDescent="0.25">
      <c r="G3409" t="str">
        <f t="shared" si="318"/>
        <v/>
      </c>
      <c r="H3409" s="13" t="str">
        <f t="shared" si="321"/>
        <v/>
      </c>
      <c r="I3409" t="str">
        <f>IFERROR(INDEX(Analysis!$D$116:$N$137, MATCH(B3409, Analysis!$C$116:$C$137, 0), MATCH(C3409, Analysis!$D$115:$N$115, 0)), "")</f>
        <v/>
      </c>
      <c r="J3409" t="str">
        <f t="shared" si="322"/>
        <v/>
      </c>
      <c r="K3409" s="28" t="str">
        <f t="shared" si="319"/>
        <v/>
      </c>
      <c r="L3409" s="46" t="str">
        <f t="shared" si="323"/>
        <v/>
      </c>
      <c r="M3409" t="str" cm="1">
        <f t="array" ref="M3409">IF(L3409="","",_xlfn.IFS(
  AND(L3409&gt;=TIME(9,0,0), L3409&lt;TIME(16,0,0)),"Morning",
  AND(L3409&gt;=TIME(16,0,0), L3409&lt;TIME(23,59,0)),"Evening",
  L3409&gt;=TIME(23,59,0),"Night",
  L3409&lt;TIME(9,0,0),"Night"
))</f>
        <v/>
      </c>
      <c r="O3409" t="str">
        <f t="shared" si="320"/>
        <v/>
      </c>
    </row>
    <row r="3410" spans="7:15" x14ac:dyDescent="0.25">
      <c r="G3410" t="str">
        <f t="shared" si="318"/>
        <v/>
      </c>
      <c r="H3410" s="13" t="str">
        <f t="shared" si="321"/>
        <v/>
      </c>
      <c r="I3410" t="str">
        <f>IFERROR(INDEX(Analysis!$D$116:$N$137, MATCH(B3410, Analysis!$C$116:$C$137, 0), MATCH(C3410, Analysis!$D$115:$N$115, 0)), "")</f>
        <v/>
      </c>
      <c r="J3410" t="str">
        <f t="shared" si="322"/>
        <v/>
      </c>
      <c r="K3410" s="28" t="str">
        <f t="shared" si="319"/>
        <v/>
      </c>
      <c r="L3410" s="46" t="str">
        <f t="shared" si="323"/>
        <v/>
      </c>
      <c r="M3410" t="str" cm="1">
        <f t="array" ref="M3410">IF(L3410="","",_xlfn.IFS(
  AND(L3410&gt;=TIME(9,0,0), L3410&lt;TIME(16,0,0)),"Morning",
  AND(L3410&gt;=TIME(16,0,0), L3410&lt;TIME(23,59,0)),"Evening",
  L3410&gt;=TIME(23,59,0),"Night",
  L3410&lt;TIME(9,0,0),"Night"
))</f>
        <v/>
      </c>
      <c r="O3410" t="str">
        <f t="shared" si="320"/>
        <v/>
      </c>
    </row>
    <row r="3411" spans="7:15" x14ac:dyDescent="0.25">
      <c r="G3411" t="str">
        <f t="shared" si="318"/>
        <v/>
      </c>
      <c r="H3411" s="13" t="str">
        <f t="shared" si="321"/>
        <v/>
      </c>
      <c r="I3411" t="str">
        <f>IFERROR(INDEX(Analysis!$D$116:$N$137, MATCH(B3411, Analysis!$C$116:$C$137, 0), MATCH(C3411, Analysis!$D$115:$N$115, 0)), "")</f>
        <v/>
      </c>
      <c r="J3411" t="str">
        <f t="shared" si="322"/>
        <v/>
      </c>
      <c r="K3411" s="28" t="str">
        <f t="shared" si="319"/>
        <v/>
      </c>
      <c r="L3411" s="46" t="str">
        <f t="shared" si="323"/>
        <v/>
      </c>
      <c r="M3411" t="str" cm="1">
        <f t="array" ref="M3411">IF(L3411="","",_xlfn.IFS(
  AND(L3411&gt;=TIME(9,0,0), L3411&lt;TIME(16,0,0)),"Morning",
  AND(L3411&gt;=TIME(16,0,0), L3411&lt;TIME(23,59,0)),"Evening",
  L3411&gt;=TIME(23,59,0),"Night",
  L3411&lt;TIME(9,0,0),"Night"
))</f>
        <v/>
      </c>
      <c r="O3411" t="str">
        <f t="shared" si="320"/>
        <v/>
      </c>
    </row>
    <row r="3412" spans="7:15" x14ac:dyDescent="0.25">
      <c r="G3412" t="str">
        <f t="shared" si="318"/>
        <v/>
      </c>
      <c r="H3412" s="13" t="str">
        <f t="shared" si="321"/>
        <v/>
      </c>
      <c r="I3412" t="str">
        <f>IFERROR(INDEX(Analysis!$D$116:$N$137, MATCH(B3412, Analysis!$C$116:$C$137, 0), MATCH(C3412, Analysis!$D$115:$N$115, 0)), "")</f>
        <v/>
      </c>
      <c r="J3412" t="str">
        <f t="shared" si="322"/>
        <v/>
      </c>
      <c r="K3412" s="28" t="str">
        <f t="shared" si="319"/>
        <v/>
      </c>
      <c r="L3412" s="46" t="str">
        <f t="shared" si="323"/>
        <v/>
      </c>
      <c r="M3412" t="str" cm="1">
        <f t="array" ref="M3412">IF(L3412="","",_xlfn.IFS(
  AND(L3412&gt;=TIME(9,0,0), L3412&lt;TIME(16,0,0)),"Morning",
  AND(L3412&gt;=TIME(16,0,0), L3412&lt;TIME(23,59,0)),"Evening",
  L3412&gt;=TIME(23,59,0),"Night",
  L3412&lt;TIME(9,0,0),"Night"
))</f>
        <v/>
      </c>
      <c r="O3412" t="str">
        <f t="shared" si="320"/>
        <v/>
      </c>
    </row>
    <row r="3413" spans="7:15" x14ac:dyDescent="0.25">
      <c r="G3413" t="str">
        <f t="shared" si="318"/>
        <v/>
      </c>
      <c r="H3413" s="13" t="str">
        <f t="shared" si="321"/>
        <v/>
      </c>
      <c r="I3413" t="str">
        <f>IFERROR(INDEX(Analysis!$D$116:$N$137, MATCH(B3413, Analysis!$C$116:$C$137, 0), MATCH(C3413, Analysis!$D$115:$N$115, 0)), "")</f>
        <v/>
      </c>
      <c r="J3413" t="str">
        <f t="shared" si="322"/>
        <v/>
      </c>
      <c r="K3413" s="28" t="str">
        <f t="shared" si="319"/>
        <v/>
      </c>
      <c r="L3413" s="46" t="str">
        <f t="shared" si="323"/>
        <v/>
      </c>
      <c r="M3413" t="str" cm="1">
        <f t="array" ref="M3413">IF(L3413="","",_xlfn.IFS(
  AND(L3413&gt;=TIME(9,0,0), L3413&lt;TIME(16,0,0)),"Morning",
  AND(L3413&gt;=TIME(16,0,0), L3413&lt;TIME(23,59,0)),"Evening",
  L3413&gt;=TIME(23,59,0),"Night",
  L3413&lt;TIME(9,0,0),"Night"
))</f>
        <v/>
      </c>
      <c r="O3413" t="str">
        <f t="shared" si="320"/>
        <v/>
      </c>
    </row>
    <row r="3414" spans="7:15" x14ac:dyDescent="0.25">
      <c r="G3414" t="str">
        <f t="shared" si="318"/>
        <v/>
      </c>
      <c r="H3414" s="13" t="str">
        <f t="shared" si="321"/>
        <v/>
      </c>
      <c r="I3414" t="str">
        <f>IFERROR(INDEX(Analysis!$D$116:$N$137, MATCH(B3414, Analysis!$C$116:$C$137, 0), MATCH(C3414, Analysis!$D$115:$N$115, 0)), "")</f>
        <v/>
      </c>
      <c r="J3414" t="str">
        <f t="shared" si="322"/>
        <v/>
      </c>
      <c r="K3414" s="28" t="str">
        <f t="shared" si="319"/>
        <v/>
      </c>
      <c r="L3414" s="46" t="str">
        <f t="shared" si="323"/>
        <v/>
      </c>
      <c r="M3414" t="str" cm="1">
        <f t="array" ref="M3414">IF(L3414="","",_xlfn.IFS(
  AND(L3414&gt;=TIME(9,0,0), L3414&lt;TIME(16,0,0)),"Morning",
  AND(L3414&gt;=TIME(16,0,0), L3414&lt;TIME(23,59,0)),"Evening",
  L3414&gt;=TIME(23,59,0),"Night",
  L3414&lt;TIME(9,0,0),"Night"
))</f>
        <v/>
      </c>
      <c r="O3414" t="str">
        <f t="shared" si="320"/>
        <v/>
      </c>
    </row>
    <row r="3415" spans="7:15" x14ac:dyDescent="0.25">
      <c r="G3415" t="str">
        <f t="shared" si="318"/>
        <v/>
      </c>
      <c r="H3415" s="13" t="str">
        <f t="shared" si="321"/>
        <v/>
      </c>
      <c r="I3415" t="str">
        <f>IFERROR(INDEX(Analysis!$D$116:$N$137, MATCH(B3415, Analysis!$C$116:$C$137, 0), MATCH(C3415, Analysis!$D$115:$N$115, 0)), "")</f>
        <v/>
      </c>
      <c r="J3415" t="str">
        <f t="shared" si="322"/>
        <v/>
      </c>
      <c r="K3415" s="28" t="str">
        <f t="shared" si="319"/>
        <v/>
      </c>
      <c r="L3415" s="46" t="str">
        <f t="shared" si="323"/>
        <v/>
      </c>
      <c r="M3415" t="str" cm="1">
        <f t="array" ref="M3415">IF(L3415="","",_xlfn.IFS(
  AND(L3415&gt;=TIME(9,0,0), L3415&lt;TIME(16,0,0)),"Morning",
  AND(L3415&gt;=TIME(16,0,0), L3415&lt;TIME(23,59,0)),"Evening",
  L3415&gt;=TIME(23,59,0),"Night",
  L3415&lt;TIME(9,0,0),"Night"
))</f>
        <v/>
      </c>
      <c r="O3415" t="str">
        <f t="shared" si="320"/>
        <v/>
      </c>
    </row>
    <row r="3416" spans="7:15" x14ac:dyDescent="0.25">
      <c r="G3416" t="str">
        <f t="shared" si="318"/>
        <v/>
      </c>
      <c r="H3416" s="13" t="str">
        <f t="shared" si="321"/>
        <v/>
      </c>
      <c r="I3416" t="str">
        <f>IFERROR(INDEX(Analysis!$D$116:$N$137, MATCH(B3416, Analysis!$C$116:$C$137, 0), MATCH(C3416, Analysis!$D$115:$N$115, 0)), "")</f>
        <v/>
      </c>
      <c r="J3416" t="str">
        <f t="shared" si="322"/>
        <v/>
      </c>
      <c r="K3416" s="28" t="str">
        <f t="shared" si="319"/>
        <v/>
      </c>
      <c r="L3416" s="46" t="str">
        <f t="shared" si="323"/>
        <v/>
      </c>
      <c r="M3416" t="str" cm="1">
        <f t="array" ref="M3416">IF(L3416="","",_xlfn.IFS(
  AND(L3416&gt;=TIME(9,0,0), L3416&lt;TIME(16,0,0)),"Morning",
  AND(L3416&gt;=TIME(16,0,0), L3416&lt;TIME(23,59,0)),"Evening",
  L3416&gt;=TIME(23,59,0),"Night",
  L3416&lt;TIME(9,0,0),"Night"
))</f>
        <v/>
      </c>
      <c r="O3416" t="str">
        <f t="shared" si="320"/>
        <v/>
      </c>
    </row>
    <row r="3417" spans="7:15" x14ac:dyDescent="0.25">
      <c r="G3417" t="str">
        <f t="shared" si="318"/>
        <v/>
      </c>
      <c r="H3417" s="13" t="str">
        <f t="shared" si="321"/>
        <v/>
      </c>
      <c r="I3417" t="str">
        <f>IFERROR(INDEX(Analysis!$D$116:$N$137, MATCH(B3417, Analysis!$C$116:$C$137, 0), MATCH(C3417, Analysis!$D$115:$N$115, 0)), "")</f>
        <v/>
      </c>
      <c r="J3417" t="str">
        <f t="shared" si="322"/>
        <v/>
      </c>
      <c r="K3417" s="28" t="str">
        <f t="shared" si="319"/>
        <v/>
      </c>
      <c r="L3417" s="46" t="str">
        <f t="shared" si="323"/>
        <v/>
      </c>
      <c r="M3417" t="str" cm="1">
        <f t="array" ref="M3417">IF(L3417="","",_xlfn.IFS(
  AND(L3417&gt;=TIME(9,0,0), L3417&lt;TIME(16,0,0)),"Morning",
  AND(L3417&gt;=TIME(16,0,0), L3417&lt;TIME(23,59,0)),"Evening",
  L3417&gt;=TIME(23,59,0),"Night",
  L3417&lt;TIME(9,0,0),"Night"
))</f>
        <v/>
      </c>
      <c r="O3417" t="str">
        <f t="shared" si="320"/>
        <v/>
      </c>
    </row>
    <row r="3418" spans="7:15" x14ac:dyDescent="0.25">
      <c r="G3418" t="str">
        <f t="shared" si="318"/>
        <v/>
      </c>
      <c r="H3418" s="13" t="str">
        <f t="shared" si="321"/>
        <v/>
      </c>
      <c r="I3418" t="str">
        <f>IFERROR(INDEX(Analysis!$D$116:$N$137, MATCH(B3418, Analysis!$C$116:$C$137, 0), MATCH(C3418, Analysis!$D$115:$N$115, 0)), "")</f>
        <v/>
      </c>
      <c r="J3418" t="str">
        <f t="shared" si="322"/>
        <v/>
      </c>
      <c r="K3418" s="28" t="str">
        <f t="shared" si="319"/>
        <v/>
      </c>
      <c r="L3418" s="46" t="str">
        <f t="shared" si="323"/>
        <v/>
      </c>
      <c r="M3418" t="str" cm="1">
        <f t="array" ref="M3418">IF(L3418="","",_xlfn.IFS(
  AND(L3418&gt;=TIME(9,0,0), L3418&lt;TIME(16,0,0)),"Morning",
  AND(L3418&gt;=TIME(16,0,0), L3418&lt;TIME(23,59,0)),"Evening",
  L3418&gt;=TIME(23,59,0),"Night",
  L3418&lt;TIME(9,0,0),"Night"
))</f>
        <v/>
      </c>
      <c r="O3418" t="str">
        <f t="shared" si="320"/>
        <v/>
      </c>
    </row>
    <row r="3419" spans="7:15" x14ac:dyDescent="0.25">
      <c r="G3419" t="str">
        <f t="shared" si="318"/>
        <v/>
      </c>
      <c r="H3419" s="13" t="str">
        <f t="shared" si="321"/>
        <v/>
      </c>
      <c r="I3419" t="str">
        <f>IFERROR(INDEX(Analysis!$D$116:$N$137, MATCH(B3419, Analysis!$C$116:$C$137, 0), MATCH(C3419, Analysis!$D$115:$N$115, 0)), "")</f>
        <v/>
      </c>
      <c r="J3419" t="str">
        <f t="shared" si="322"/>
        <v/>
      </c>
      <c r="K3419" s="28" t="str">
        <f t="shared" si="319"/>
        <v/>
      </c>
      <c r="L3419" s="46" t="str">
        <f t="shared" si="323"/>
        <v/>
      </c>
      <c r="M3419" t="str" cm="1">
        <f t="array" ref="M3419">IF(L3419="","",_xlfn.IFS(
  AND(L3419&gt;=TIME(9,0,0), L3419&lt;TIME(16,0,0)),"Morning",
  AND(L3419&gt;=TIME(16,0,0), L3419&lt;TIME(23,59,0)),"Evening",
  L3419&gt;=TIME(23,59,0),"Night",
  L3419&lt;TIME(9,0,0),"Night"
))</f>
        <v/>
      </c>
      <c r="O3419" t="str">
        <f t="shared" si="320"/>
        <v/>
      </c>
    </row>
    <row r="3420" spans="7:15" x14ac:dyDescent="0.25">
      <c r="G3420" t="str">
        <f t="shared" si="318"/>
        <v/>
      </c>
      <c r="H3420" s="13" t="str">
        <f t="shared" si="321"/>
        <v/>
      </c>
      <c r="I3420" t="str">
        <f>IFERROR(INDEX(Analysis!$D$116:$N$137, MATCH(B3420, Analysis!$C$116:$C$137, 0), MATCH(C3420, Analysis!$D$115:$N$115, 0)), "")</f>
        <v/>
      </c>
      <c r="J3420" t="str">
        <f t="shared" si="322"/>
        <v/>
      </c>
      <c r="K3420" s="28" t="str">
        <f t="shared" si="319"/>
        <v/>
      </c>
      <c r="L3420" s="46" t="str">
        <f t="shared" si="323"/>
        <v/>
      </c>
      <c r="M3420" t="str" cm="1">
        <f t="array" ref="M3420">IF(L3420="","",_xlfn.IFS(
  AND(L3420&gt;=TIME(9,0,0), L3420&lt;TIME(16,0,0)),"Morning",
  AND(L3420&gt;=TIME(16,0,0), L3420&lt;TIME(23,59,0)),"Evening",
  L3420&gt;=TIME(23,59,0),"Night",
  L3420&lt;TIME(9,0,0),"Night"
))</f>
        <v/>
      </c>
      <c r="O3420" t="str">
        <f t="shared" si="320"/>
        <v/>
      </c>
    </row>
    <row r="3421" spans="7:15" x14ac:dyDescent="0.25">
      <c r="G3421" t="str">
        <f t="shared" si="318"/>
        <v/>
      </c>
      <c r="H3421" s="13" t="str">
        <f t="shared" si="321"/>
        <v/>
      </c>
      <c r="I3421" t="str">
        <f>IFERROR(INDEX(Analysis!$D$116:$N$137, MATCH(B3421, Analysis!$C$116:$C$137, 0), MATCH(C3421, Analysis!$D$115:$N$115, 0)), "")</f>
        <v/>
      </c>
      <c r="J3421" t="str">
        <f t="shared" si="322"/>
        <v/>
      </c>
      <c r="K3421" s="28" t="str">
        <f t="shared" si="319"/>
        <v/>
      </c>
      <c r="L3421" s="46" t="str">
        <f t="shared" si="323"/>
        <v/>
      </c>
      <c r="M3421" t="str" cm="1">
        <f t="array" ref="M3421">IF(L3421="","",_xlfn.IFS(
  AND(L3421&gt;=TIME(9,0,0), L3421&lt;TIME(16,0,0)),"Morning",
  AND(L3421&gt;=TIME(16,0,0), L3421&lt;TIME(23,59,0)),"Evening",
  L3421&gt;=TIME(23,59,0),"Night",
  L3421&lt;TIME(9,0,0),"Night"
))</f>
        <v/>
      </c>
      <c r="O3421" t="str">
        <f t="shared" si="320"/>
        <v/>
      </c>
    </row>
    <row r="3422" spans="7:15" x14ac:dyDescent="0.25">
      <c r="G3422" t="str">
        <f t="shared" si="318"/>
        <v/>
      </c>
      <c r="H3422" s="13" t="str">
        <f t="shared" si="321"/>
        <v/>
      </c>
      <c r="I3422" t="str">
        <f>IFERROR(INDEX(Analysis!$D$116:$N$137, MATCH(B3422, Analysis!$C$116:$C$137, 0), MATCH(C3422, Analysis!$D$115:$N$115, 0)), "")</f>
        <v/>
      </c>
      <c r="J3422" t="str">
        <f t="shared" si="322"/>
        <v/>
      </c>
      <c r="K3422" s="28" t="str">
        <f t="shared" si="319"/>
        <v/>
      </c>
      <c r="L3422" s="46" t="str">
        <f t="shared" si="323"/>
        <v/>
      </c>
      <c r="M3422" t="str" cm="1">
        <f t="array" ref="M3422">IF(L3422="","",_xlfn.IFS(
  AND(L3422&gt;=TIME(9,0,0), L3422&lt;TIME(16,0,0)),"Morning",
  AND(L3422&gt;=TIME(16,0,0), L3422&lt;TIME(23,59,0)),"Evening",
  L3422&gt;=TIME(23,59,0),"Night",
  L3422&lt;TIME(9,0,0),"Night"
))</f>
        <v/>
      </c>
      <c r="O3422" t="str">
        <f t="shared" si="320"/>
        <v/>
      </c>
    </row>
    <row r="3423" spans="7:15" x14ac:dyDescent="0.25">
      <c r="G3423" t="str">
        <f t="shared" si="318"/>
        <v/>
      </c>
      <c r="H3423" s="13" t="str">
        <f t="shared" si="321"/>
        <v/>
      </c>
      <c r="I3423" t="str">
        <f>IFERROR(INDEX(Analysis!$D$116:$N$137, MATCH(B3423, Analysis!$C$116:$C$137, 0), MATCH(C3423, Analysis!$D$115:$N$115, 0)), "")</f>
        <v/>
      </c>
      <c r="J3423" t="str">
        <f t="shared" si="322"/>
        <v/>
      </c>
      <c r="K3423" s="28" t="str">
        <f t="shared" si="319"/>
        <v/>
      </c>
      <c r="L3423" s="46" t="str">
        <f t="shared" si="323"/>
        <v/>
      </c>
      <c r="M3423" t="str" cm="1">
        <f t="array" ref="M3423">IF(L3423="","",_xlfn.IFS(
  AND(L3423&gt;=TIME(9,0,0), L3423&lt;TIME(16,0,0)),"Morning",
  AND(L3423&gt;=TIME(16,0,0), L3423&lt;TIME(23,59,0)),"Evening",
  L3423&gt;=TIME(23,59,0),"Night",
  L3423&lt;TIME(9,0,0),"Night"
))</f>
        <v/>
      </c>
      <c r="O3423" t="str">
        <f t="shared" si="320"/>
        <v/>
      </c>
    </row>
    <row r="3424" spans="7:15" x14ac:dyDescent="0.25">
      <c r="G3424" t="str">
        <f t="shared" si="318"/>
        <v/>
      </c>
      <c r="H3424" s="13" t="str">
        <f t="shared" si="321"/>
        <v/>
      </c>
      <c r="I3424" t="str">
        <f>IFERROR(INDEX(Analysis!$D$116:$N$137, MATCH(B3424, Analysis!$C$116:$C$137, 0), MATCH(C3424, Analysis!$D$115:$N$115, 0)), "")</f>
        <v/>
      </c>
      <c r="J3424" t="str">
        <f t="shared" si="322"/>
        <v/>
      </c>
      <c r="K3424" s="28" t="str">
        <f t="shared" si="319"/>
        <v/>
      </c>
      <c r="L3424" s="46" t="str">
        <f t="shared" si="323"/>
        <v/>
      </c>
      <c r="M3424" t="str" cm="1">
        <f t="array" ref="M3424">IF(L3424="","",_xlfn.IFS(
  AND(L3424&gt;=TIME(9,0,0), L3424&lt;TIME(16,0,0)),"Morning",
  AND(L3424&gt;=TIME(16,0,0), L3424&lt;TIME(23,59,0)),"Evening",
  L3424&gt;=TIME(23,59,0),"Night",
  L3424&lt;TIME(9,0,0),"Night"
))</f>
        <v/>
      </c>
      <c r="O3424" t="str">
        <f t="shared" si="320"/>
        <v/>
      </c>
    </row>
    <row r="3425" spans="7:15" x14ac:dyDescent="0.25">
      <c r="G3425" t="str">
        <f t="shared" si="318"/>
        <v/>
      </c>
      <c r="H3425" s="13" t="str">
        <f t="shared" si="321"/>
        <v/>
      </c>
      <c r="I3425" t="str">
        <f>IFERROR(INDEX(Analysis!$D$116:$N$137, MATCH(B3425, Analysis!$C$116:$C$137, 0), MATCH(C3425, Analysis!$D$115:$N$115, 0)), "")</f>
        <v/>
      </c>
      <c r="J3425" t="str">
        <f t="shared" si="322"/>
        <v/>
      </c>
      <c r="K3425" s="28" t="str">
        <f t="shared" si="319"/>
        <v/>
      </c>
      <c r="L3425" s="46" t="str">
        <f t="shared" si="323"/>
        <v/>
      </c>
      <c r="M3425" t="str" cm="1">
        <f t="array" ref="M3425">IF(L3425="","",_xlfn.IFS(
  AND(L3425&gt;=TIME(9,0,0), L3425&lt;TIME(16,0,0)),"Morning",
  AND(L3425&gt;=TIME(16,0,0), L3425&lt;TIME(23,59,0)),"Evening",
  L3425&gt;=TIME(23,59,0),"Night",
  L3425&lt;TIME(9,0,0),"Night"
))</f>
        <v/>
      </c>
      <c r="O3425" t="str">
        <f t="shared" si="320"/>
        <v/>
      </c>
    </row>
    <row r="3426" spans="7:15" x14ac:dyDescent="0.25">
      <c r="G3426" t="str">
        <f t="shared" si="318"/>
        <v/>
      </c>
      <c r="H3426" s="13" t="str">
        <f t="shared" si="321"/>
        <v/>
      </c>
      <c r="I3426" t="str">
        <f>IFERROR(INDEX(Analysis!$D$116:$N$137, MATCH(B3426, Analysis!$C$116:$C$137, 0), MATCH(C3426, Analysis!$D$115:$N$115, 0)), "")</f>
        <v/>
      </c>
      <c r="J3426" t="str">
        <f t="shared" si="322"/>
        <v/>
      </c>
      <c r="K3426" s="28" t="str">
        <f t="shared" si="319"/>
        <v/>
      </c>
      <c r="L3426" s="46" t="str">
        <f t="shared" si="323"/>
        <v/>
      </c>
      <c r="M3426" t="str" cm="1">
        <f t="array" ref="M3426">IF(L3426="","",_xlfn.IFS(
  AND(L3426&gt;=TIME(9,0,0), L3426&lt;TIME(16,0,0)),"Morning",
  AND(L3426&gt;=TIME(16,0,0), L3426&lt;TIME(23,59,0)),"Evening",
  L3426&gt;=TIME(23,59,0),"Night",
  L3426&lt;TIME(9,0,0),"Night"
))</f>
        <v/>
      </c>
      <c r="O3426" t="str">
        <f t="shared" si="320"/>
        <v/>
      </c>
    </row>
    <row r="3427" spans="7:15" x14ac:dyDescent="0.25">
      <c r="G3427" t="str">
        <f t="shared" si="318"/>
        <v/>
      </c>
      <c r="H3427" s="13" t="str">
        <f t="shared" si="321"/>
        <v/>
      </c>
      <c r="I3427" t="str">
        <f>IFERROR(INDEX(Analysis!$D$116:$N$137, MATCH(B3427, Analysis!$C$116:$C$137, 0), MATCH(C3427, Analysis!$D$115:$N$115, 0)), "")</f>
        <v/>
      </c>
      <c r="J3427" t="str">
        <f t="shared" si="322"/>
        <v/>
      </c>
      <c r="K3427" s="28" t="str">
        <f t="shared" si="319"/>
        <v/>
      </c>
      <c r="L3427" s="46" t="str">
        <f t="shared" si="323"/>
        <v/>
      </c>
      <c r="M3427" t="str" cm="1">
        <f t="array" ref="M3427">IF(L3427="","",_xlfn.IFS(
  AND(L3427&gt;=TIME(9,0,0), L3427&lt;TIME(16,0,0)),"Morning",
  AND(L3427&gt;=TIME(16,0,0), L3427&lt;TIME(23,59,0)),"Evening",
  L3427&gt;=TIME(23,59,0),"Night",
  L3427&lt;TIME(9,0,0),"Night"
))</f>
        <v/>
      </c>
      <c r="O3427" t="str">
        <f t="shared" si="320"/>
        <v/>
      </c>
    </row>
    <row r="3428" spans="7:15" x14ac:dyDescent="0.25">
      <c r="G3428" t="str">
        <f t="shared" si="318"/>
        <v/>
      </c>
      <c r="H3428" s="13" t="str">
        <f t="shared" si="321"/>
        <v/>
      </c>
      <c r="I3428" t="str">
        <f>IFERROR(INDEX(Analysis!$D$116:$N$137, MATCH(B3428, Analysis!$C$116:$C$137, 0), MATCH(C3428, Analysis!$D$115:$N$115, 0)), "")</f>
        <v/>
      </c>
      <c r="J3428" t="str">
        <f t="shared" si="322"/>
        <v/>
      </c>
      <c r="K3428" s="28" t="str">
        <f t="shared" si="319"/>
        <v/>
      </c>
      <c r="L3428" s="46" t="str">
        <f t="shared" si="323"/>
        <v/>
      </c>
      <c r="M3428" t="str" cm="1">
        <f t="array" ref="M3428">IF(L3428="","",_xlfn.IFS(
  AND(L3428&gt;=TIME(9,0,0), L3428&lt;TIME(16,0,0)),"Morning",
  AND(L3428&gt;=TIME(16,0,0), L3428&lt;TIME(23,59,0)),"Evening",
  L3428&gt;=TIME(23,59,0),"Night",
  L3428&lt;TIME(9,0,0),"Night"
))</f>
        <v/>
      </c>
      <c r="O3428" t="str">
        <f t="shared" si="320"/>
        <v/>
      </c>
    </row>
    <row r="3429" spans="7:15" x14ac:dyDescent="0.25">
      <c r="G3429" t="str">
        <f t="shared" si="318"/>
        <v/>
      </c>
      <c r="H3429" s="13" t="str">
        <f t="shared" si="321"/>
        <v/>
      </c>
      <c r="I3429" t="str">
        <f>IFERROR(INDEX(Analysis!$D$116:$N$137, MATCH(B3429, Analysis!$C$116:$C$137, 0), MATCH(C3429, Analysis!$D$115:$N$115, 0)), "")</f>
        <v/>
      </c>
      <c r="J3429" t="str">
        <f t="shared" si="322"/>
        <v/>
      </c>
      <c r="K3429" s="28" t="str">
        <f t="shared" si="319"/>
        <v/>
      </c>
      <c r="L3429" s="46" t="str">
        <f t="shared" si="323"/>
        <v/>
      </c>
      <c r="M3429" t="str" cm="1">
        <f t="array" ref="M3429">IF(L3429="","",_xlfn.IFS(
  AND(L3429&gt;=TIME(9,0,0), L3429&lt;TIME(16,0,0)),"Morning",
  AND(L3429&gt;=TIME(16,0,0), L3429&lt;TIME(23,59,0)),"Evening",
  L3429&gt;=TIME(23,59,0),"Night",
  L3429&lt;TIME(9,0,0),"Night"
))</f>
        <v/>
      </c>
      <c r="O3429" t="str">
        <f t="shared" si="320"/>
        <v/>
      </c>
    </row>
    <row r="3430" spans="7:15" x14ac:dyDescent="0.25">
      <c r="G3430" t="str">
        <f t="shared" si="318"/>
        <v/>
      </c>
      <c r="H3430" s="13" t="str">
        <f t="shared" si="321"/>
        <v/>
      </c>
      <c r="I3430" t="str">
        <f>IFERROR(INDEX(Analysis!$D$116:$N$137, MATCH(B3430, Analysis!$C$116:$C$137, 0), MATCH(C3430, Analysis!$D$115:$N$115, 0)), "")</f>
        <v/>
      </c>
      <c r="J3430" t="str">
        <f t="shared" si="322"/>
        <v/>
      </c>
      <c r="K3430" s="28" t="str">
        <f t="shared" si="319"/>
        <v/>
      </c>
      <c r="L3430" s="46" t="str">
        <f t="shared" si="323"/>
        <v/>
      </c>
      <c r="M3430" t="str" cm="1">
        <f t="array" ref="M3430">IF(L3430="","",_xlfn.IFS(
  AND(L3430&gt;=TIME(9,0,0), L3430&lt;TIME(16,0,0)),"Morning",
  AND(L3430&gt;=TIME(16,0,0), L3430&lt;TIME(23,59,0)),"Evening",
  L3430&gt;=TIME(23,59,0),"Night",
  L3430&lt;TIME(9,0,0),"Night"
))</f>
        <v/>
      </c>
      <c r="O3430" t="str">
        <f t="shared" si="320"/>
        <v/>
      </c>
    </row>
    <row r="3431" spans="7:15" x14ac:dyDescent="0.25">
      <c r="G3431" t="str">
        <f t="shared" si="318"/>
        <v/>
      </c>
      <c r="H3431" s="13" t="str">
        <f t="shared" si="321"/>
        <v/>
      </c>
      <c r="I3431" t="str">
        <f>IFERROR(INDEX(Analysis!$D$116:$N$137, MATCH(B3431, Analysis!$C$116:$C$137, 0), MATCH(C3431, Analysis!$D$115:$N$115, 0)), "")</f>
        <v/>
      </c>
      <c r="J3431" t="str">
        <f t="shared" si="322"/>
        <v/>
      </c>
      <c r="K3431" s="28" t="str">
        <f t="shared" si="319"/>
        <v/>
      </c>
      <c r="L3431" s="46" t="str">
        <f t="shared" si="323"/>
        <v/>
      </c>
      <c r="M3431" t="str" cm="1">
        <f t="array" ref="M3431">IF(L3431="","",_xlfn.IFS(
  AND(L3431&gt;=TIME(9,0,0), L3431&lt;TIME(16,0,0)),"Morning",
  AND(L3431&gt;=TIME(16,0,0), L3431&lt;TIME(23,59,0)),"Evening",
  L3431&gt;=TIME(23,59,0),"Night",
  L3431&lt;TIME(9,0,0),"Night"
))</f>
        <v/>
      </c>
      <c r="O3431" t="str">
        <f t="shared" si="320"/>
        <v/>
      </c>
    </row>
    <row r="3432" spans="7:15" x14ac:dyDescent="0.25">
      <c r="G3432" t="str">
        <f t="shared" si="318"/>
        <v/>
      </c>
      <c r="H3432" s="13" t="str">
        <f t="shared" si="321"/>
        <v/>
      </c>
      <c r="I3432" t="str">
        <f>IFERROR(INDEX(Analysis!$D$116:$N$137, MATCH(B3432, Analysis!$C$116:$C$137, 0), MATCH(C3432, Analysis!$D$115:$N$115, 0)), "")</f>
        <v/>
      </c>
      <c r="J3432" t="str">
        <f t="shared" si="322"/>
        <v/>
      </c>
      <c r="K3432" s="28" t="str">
        <f t="shared" si="319"/>
        <v/>
      </c>
      <c r="L3432" s="46" t="str">
        <f t="shared" si="323"/>
        <v/>
      </c>
      <c r="M3432" t="str" cm="1">
        <f t="array" ref="M3432">IF(L3432="","",_xlfn.IFS(
  AND(L3432&gt;=TIME(9,0,0), L3432&lt;TIME(16,0,0)),"Morning",
  AND(L3432&gt;=TIME(16,0,0), L3432&lt;TIME(23,59,0)),"Evening",
  L3432&gt;=TIME(23,59,0),"Night",
  L3432&lt;TIME(9,0,0),"Night"
))</f>
        <v/>
      </c>
      <c r="O3432" t="str">
        <f t="shared" si="320"/>
        <v/>
      </c>
    </row>
    <row r="3433" spans="7:15" x14ac:dyDescent="0.25">
      <c r="G3433" t="str">
        <f t="shared" si="318"/>
        <v/>
      </c>
      <c r="H3433" s="13" t="str">
        <f t="shared" si="321"/>
        <v/>
      </c>
      <c r="I3433" t="str">
        <f>IFERROR(INDEX(Analysis!$D$116:$N$137, MATCH(B3433, Analysis!$C$116:$C$137, 0), MATCH(C3433, Analysis!$D$115:$N$115, 0)), "")</f>
        <v/>
      </c>
      <c r="J3433" t="str">
        <f t="shared" si="322"/>
        <v/>
      </c>
      <c r="K3433" s="28" t="str">
        <f t="shared" si="319"/>
        <v/>
      </c>
      <c r="L3433" s="46" t="str">
        <f t="shared" si="323"/>
        <v/>
      </c>
      <c r="M3433" t="str" cm="1">
        <f t="array" ref="M3433">IF(L3433="","",_xlfn.IFS(
  AND(L3433&gt;=TIME(9,0,0), L3433&lt;TIME(16,0,0)),"Morning",
  AND(L3433&gt;=TIME(16,0,0), L3433&lt;TIME(23,59,0)),"Evening",
  L3433&gt;=TIME(23,59,0),"Night",
  L3433&lt;TIME(9,0,0),"Night"
))</f>
        <v/>
      </c>
      <c r="O3433" t="str">
        <f t="shared" si="320"/>
        <v/>
      </c>
    </row>
    <row r="3434" spans="7:15" x14ac:dyDescent="0.25">
      <c r="G3434" t="str">
        <f t="shared" si="318"/>
        <v/>
      </c>
      <c r="H3434" s="13" t="str">
        <f t="shared" si="321"/>
        <v/>
      </c>
      <c r="I3434" t="str">
        <f>IFERROR(INDEX(Analysis!$D$116:$N$137, MATCH(B3434, Analysis!$C$116:$C$137, 0), MATCH(C3434, Analysis!$D$115:$N$115, 0)), "")</f>
        <v/>
      </c>
      <c r="J3434" t="str">
        <f t="shared" si="322"/>
        <v/>
      </c>
      <c r="K3434" s="28" t="str">
        <f t="shared" si="319"/>
        <v/>
      </c>
      <c r="L3434" s="46" t="str">
        <f t="shared" si="323"/>
        <v/>
      </c>
      <c r="M3434" t="str" cm="1">
        <f t="array" ref="M3434">IF(L3434="","",_xlfn.IFS(
  AND(L3434&gt;=TIME(9,0,0), L3434&lt;TIME(16,0,0)),"Morning",
  AND(L3434&gt;=TIME(16,0,0), L3434&lt;TIME(23,59,0)),"Evening",
  L3434&gt;=TIME(23,59,0),"Night",
  L3434&lt;TIME(9,0,0),"Night"
))</f>
        <v/>
      </c>
      <c r="O3434" t="str">
        <f t="shared" si="320"/>
        <v/>
      </c>
    </row>
    <row r="3435" spans="7:15" x14ac:dyDescent="0.25">
      <c r="G3435" t="str">
        <f t="shared" si="318"/>
        <v/>
      </c>
      <c r="H3435" s="13" t="str">
        <f t="shared" si="321"/>
        <v/>
      </c>
      <c r="I3435" t="str">
        <f>IFERROR(INDEX(Analysis!$D$116:$N$137, MATCH(B3435, Analysis!$C$116:$C$137, 0), MATCH(C3435, Analysis!$D$115:$N$115, 0)), "")</f>
        <v/>
      </c>
      <c r="J3435" t="str">
        <f t="shared" si="322"/>
        <v/>
      </c>
      <c r="K3435" s="28" t="str">
        <f t="shared" si="319"/>
        <v/>
      </c>
      <c r="L3435" s="46" t="str">
        <f t="shared" si="323"/>
        <v/>
      </c>
      <c r="M3435" t="str" cm="1">
        <f t="array" ref="M3435">IF(L3435="","",_xlfn.IFS(
  AND(L3435&gt;=TIME(9,0,0), L3435&lt;TIME(16,0,0)),"Morning",
  AND(L3435&gt;=TIME(16,0,0), L3435&lt;TIME(23,59,0)),"Evening",
  L3435&gt;=TIME(23,59,0),"Night",
  L3435&lt;TIME(9,0,0),"Night"
))</f>
        <v/>
      </c>
      <c r="O3435" t="str">
        <f t="shared" si="320"/>
        <v/>
      </c>
    </row>
    <row r="3436" spans="7:15" x14ac:dyDescent="0.25">
      <c r="G3436" t="str">
        <f t="shared" si="318"/>
        <v/>
      </c>
      <c r="H3436" s="13" t="str">
        <f t="shared" si="321"/>
        <v/>
      </c>
      <c r="I3436" t="str">
        <f>IFERROR(INDEX(Analysis!$D$116:$N$137, MATCH(B3436, Analysis!$C$116:$C$137, 0), MATCH(C3436, Analysis!$D$115:$N$115, 0)), "")</f>
        <v/>
      </c>
      <c r="J3436" t="str">
        <f t="shared" si="322"/>
        <v/>
      </c>
      <c r="K3436" s="28" t="str">
        <f t="shared" si="319"/>
        <v/>
      </c>
      <c r="L3436" s="46" t="str">
        <f t="shared" si="323"/>
        <v/>
      </c>
      <c r="M3436" t="str" cm="1">
        <f t="array" ref="M3436">IF(L3436="","",_xlfn.IFS(
  AND(L3436&gt;=TIME(9,0,0), L3436&lt;TIME(16,0,0)),"Morning",
  AND(L3436&gt;=TIME(16,0,0), L3436&lt;TIME(23,59,0)),"Evening",
  L3436&gt;=TIME(23,59,0),"Night",
  L3436&lt;TIME(9,0,0),"Night"
))</f>
        <v/>
      </c>
      <c r="O3436" t="str">
        <f t="shared" si="320"/>
        <v/>
      </c>
    </row>
    <row r="3437" spans="7:15" x14ac:dyDescent="0.25">
      <c r="G3437" t="str">
        <f t="shared" si="318"/>
        <v/>
      </c>
      <c r="H3437" s="13" t="str">
        <f t="shared" si="321"/>
        <v/>
      </c>
      <c r="I3437" t="str">
        <f>IFERROR(INDEX(Analysis!$D$116:$N$137, MATCH(B3437, Analysis!$C$116:$C$137, 0), MATCH(C3437, Analysis!$D$115:$N$115, 0)), "")</f>
        <v/>
      </c>
      <c r="J3437" t="str">
        <f t="shared" si="322"/>
        <v/>
      </c>
      <c r="K3437" s="28" t="str">
        <f t="shared" si="319"/>
        <v/>
      </c>
      <c r="L3437" s="46" t="str">
        <f t="shared" si="323"/>
        <v/>
      </c>
      <c r="M3437" t="str" cm="1">
        <f t="array" ref="M3437">IF(L3437="","",_xlfn.IFS(
  AND(L3437&gt;=TIME(9,0,0), L3437&lt;TIME(16,0,0)),"Morning",
  AND(L3437&gt;=TIME(16,0,0), L3437&lt;TIME(23,59,0)),"Evening",
  L3437&gt;=TIME(23,59,0),"Night",
  L3437&lt;TIME(9,0,0),"Night"
))</f>
        <v/>
      </c>
      <c r="O3437" t="str">
        <f t="shared" si="320"/>
        <v/>
      </c>
    </row>
    <row r="3438" spans="7:15" x14ac:dyDescent="0.25">
      <c r="G3438" t="str">
        <f t="shared" si="318"/>
        <v/>
      </c>
      <c r="H3438" s="13" t="str">
        <f t="shared" si="321"/>
        <v/>
      </c>
      <c r="I3438" t="str">
        <f>IFERROR(INDEX(Analysis!$D$116:$N$137, MATCH(B3438, Analysis!$C$116:$C$137, 0), MATCH(C3438, Analysis!$D$115:$N$115, 0)), "")</f>
        <v/>
      </c>
      <c r="J3438" t="str">
        <f t="shared" si="322"/>
        <v/>
      </c>
      <c r="K3438" s="28" t="str">
        <f t="shared" si="319"/>
        <v/>
      </c>
      <c r="L3438" s="46" t="str">
        <f t="shared" si="323"/>
        <v/>
      </c>
      <c r="M3438" t="str" cm="1">
        <f t="array" ref="M3438">IF(L3438="","",_xlfn.IFS(
  AND(L3438&gt;=TIME(9,0,0), L3438&lt;TIME(16,0,0)),"Morning",
  AND(L3438&gt;=TIME(16,0,0), L3438&lt;TIME(23,59,0)),"Evening",
  L3438&gt;=TIME(23,59,0),"Night",
  L3438&lt;TIME(9,0,0),"Night"
))</f>
        <v/>
      </c>
      <c r="O3438" t="str">
        <f t="shared" si="320"/>
        <v/>
      </c>
    </row>
    <row r="3439" spans="7:15" x14ac:dyDescent="0.25">
      <c r="G3439" t="str">
        <f t="shared" si="318"/>
        <v/>
      </c>
      <c r="H3439" s="13" t="str">
        <f t="shared" si="321"/>
        <v/>
      </c>
      <c r="I3439" t="str">
        <f>IFERROR(INDEX(Analysis!$D$116:$N$137, MATCH(B3439, Analysis!$C$116:$C$137, 0), MATCH(C3439, Analysis!$D$115:$N$115, 0)), "")</f>
        <v/>
      </c>
      <c r="J3439" t="str">
        <f t="shared" si="322"/>
        <v/>
      </c>
      <c r="K3439" s="28" t="str">
        <f t="shared" si="319"/>
        <v/>
      </c>
      <c r="L3439" s="46" t="str">
        <f t="shared" si="323"/>
        <v/>
      </c>
      <c r="M3439" t="str" cm="1">
        <f t="array" ref="M3439">IF(L3439="","",_xlfn.IFS(
  AND(L3439&gt;=TIME(9,0,0), L3439&lt;TIME(16,0,0)),"Morning",
  AND(L3439&gt;=TIME(16,0,0), L3439&lt;TIME(23,59,0)),"Evening",
  L3439&gt;=TIME(23,59,0),"Night",
  L3439&lt;TIME(9,0,0),"Night"
))</f>
        <v/>
      </c>
      <c r="O3439" t="str">
        <f t="shared" si="320"/>
        <v/>
      </c>
    </row>
    <row r="3440" spans="7:15" x14ac:dyDescent="0.25">
      <c r="G3440" t="str">
        <f t="shared" si="318"/>
        <v/>
      </c>
      <c r="H3440" s="13" t="str">
        <f t="shared" si="321"/>
        <v/>
      </c>
      <c r="I3440" t="str">
        <f>IFERROR(INDEX(Analysis!$D$116:$N$137, MATCH(B3440, Analysis!$C$116:$C$137, 0), MATCH(C3440, Analysis!$D$115:$N$115, 0)), "")</f>
        <v/>
      </c>
      <c r="J3440" t="str">
        <f t="shared" si="322"/>
        <v/>
      </c>
      <c r="K3440" s="28" t="str">
        <f t="shared" si="319"/>
        <v/>
      </c>
      <c r="L3440" s="46" t="str">
        <f t="shared" si="323"/>
        <v/>
      </c>
      <c r="M3440" t="str" cm="1">
        <f t="array" ref="M3440">IF(L3440="","",_xlfn.IFS(
  AND(L3440&gt;=TIME(9,0,0), L3440&lt;TIME(16,0,0)),"Morning",
  AND(L3440&gt;=TIME(16,0,0), L3440&lt;TIME(23,59,0)),"Evening",
  L3440&gt;=TIME(23,59,0),"Night",
  L3440&lt;TIME(9,0,0),"Night"
))</f>
        <v/>
      </c>
      <c r="O3440" t="str">
        <f t="shared" si="320"/>
        <v/>
      </c>
    </row>
    <row r="3441" spans="7:15" x14ac:dyDescent="0.25">
      <c r="G3441" t="str">
        <f t="shared" si="318"/>
        <v/>
      </c>
      <c r="H3441" s="13" t="str">
        <f t="shared" si="321"/>
        <v/>
      </c>
      <c r="I3441" t="str">
        <f>IFERROR(INDEX(Analysis!$D$116:$N$137, MATCH(B3441, Analysis!$C$116:$C$137, 0), MATCH(C3441, Analysis!$D$115:$N$115, 0)), "")</f>
        <v/>
      </c>
      <c r="J3441" t="str">
        <f t="shared" si="322"/>
        <v/>
      </c>
      <c r="K3441" s="28" t="str">
        <f t="shared" si="319"/>
        <v/>
      </c>
      <c r="L3441" s="46" t="str">
        <f t="shared" si="323"/>
        <v/>
      </c>
      <c r="M3441" t="str" cm="1">
        <f t="array" ref="M3441">IF(L3441="","",_xlfn.IFS(
  AND(L3441&gt;=TIME(9,0,0), L3441&lt;TIME(16,0,0)),"Morning",
  AND(L3441&gt;=TIME(16,0,0), L3441&lt;TIME(23,59,0)),"Evening",
  L3441&gt;=TIME(23,59,0),"Night",
  L3441&lt;TIME(9,0,0),"Night"
))</f>
        <v/>
      </c>
      <c r="O3441" t="str">
        <f t="shared" si="320"/>
        <v/>
      </c>
    </row>
    <row r="3442" spans="7:15" x14ac:dyDescent="0.25">
      <c r="G3442" t="str">
        <f t="shared" si="318"/>
        <v/>
      </c>
      <c r="H3442" s="13" t="str">
        <f t="shared" si="321"/>
        <v/>
      </c>
      <c r="I3442" t="str">
        <f>IFERROR(INDEX(Analysis!$D$116:$N$137, MATCH(B3442, Analysis!$C$116:$C$137, 0), MATCH(C3442, Analysis!$D$115:$N$115, 0)), "")</f>
        <v/>
      </c>
      <c r="J3442" t="str">
        <f t="shared" si="322"/>
        <v/>
      </c>
      <c r="K3442" s="28" t="str">
        <f t="shared" si="319"/>
        <v/>
      </c>
      <c r="L3442" s="46" t="str">
        <f t="shared" si="323"/>
        <v/>
      </c>
      <c r="M3442" t="str" cm="1">
        <f t="array" ref="M3442">IF(L3442="","",_xlfn.IFS(
  AND(L3442&gt;=TIME(9,0,0), L3442&lt;TIME(16,0,0)),"Morning",
  AND(L3442&gt;=TIME(16,0,0), L3442&lt;TIME(23,59,0)),"Evening",
  L3442&gt;=TIME(23,59,0),"Night",
  L3442&lt;TIME(9,0,0),"Night"
))</f>
        <v/>
      </c>
      <c r="O3442" t="str">
        <f t="shared" si="320"/>
        <v/>
      </c>
    </row>
    <row r="3443" spans="7:15" x14ac:dyDescent="0.25">
      <c r="G3443" t="str">
        <f t="shared" si="318"/>
        <v/>
      </c>
      <c r="H3443" s="13" t="str">
        <f t="shared" si="321"/>
        <v/>
      </c>
      <c r="I3443" t="str">
        <f>IFERROR(INDEX(Analysis!$D$116:$N$137, MATCH(B3443, Analysis!$C$116:$C$137, 0), MATCH(C3443, Analysis!$D$115:$N$115, 0)), "")</f>
        <v/>
      </c>
      <c r="J3443" t="str">
        <f t="shared" si="322"/>
        <v/>
      </c>
      <c r="K3443" s="28" t="str">
        <f t="shared" si="319"/>
        <v/>
      </c>
      <c r="L3443" s="46" t="str">
        <f t="shared" si="323"/>
        <v/>
      </c>
      <c r="M3443" t="str" cm="1">
        <f t="array" ref="M3443">IF(L3443="","",_xlfn.IFS(
  AND(L3443&gt;=TIME(9,0,0), L3443&lt;TIME(16,0,0)),"Morning",
  AND(L3443&gt;=TIME(16,0,0), L3443&lt;TIME(23,59,0)),"Evening",
  L3443&gt;=TIME(23,59,0),"Night",
  L3443&lt;TIME(9,0,0),"Night"
))</f>
        <v/>
      </c>
      <c r="O3443" t="str">
        <f t="shared" si="320"/>
        <v/>
      </c>
    </row>
    <row r="3444" spans="7:15" x14ac:dyDescent="0.25">
      <c r="G3444" t="str">
        <f t="shared" si="318"/>
        <v/>
      </c>
      <c r="H3444" s="13" t="str">
        <f t="shared" si="321"/>
        <v/>
      </c>
      <c r="I3444" t="str">
        <f>IFERROR(INDEX(Analysis!$D$116:$N$137, MATCH(B3444, Analysis!$C$116:$C$137, 0), MATCH(C3444, Analysis!$D$115:$N$115, 0)), "")</f>
        <v/>
      </c>
      <c r="J3444" t="str">
        <f t="shared" si="322"/>
        <v/>
      </c>
      <c r="K3444" s="28" t="str">
        <f t="shared" si="319"/>
        <v/>
      </c>
      <c r="L3444" s="46" t="str">
        <f t="shared" si="323"/>
        <v/>
      </c>
      <c r="M3444" t="str" cm="1">
        <f t="array" ref="M3444">IF(L3444="","",_xlfn.IFS(
  AND(L3444&gt;=TIME(9,0,0), L3444&lt;TIME(16,0,0)),"Morning",
  AND(L3444&gt;=TIME(16,0,0), L3444&lt;TIME(23,59,0)),"Evening",
  L3444&gt;=TIME(23,59,0),"Night",
  L3444&lt;TIME(9,0,0),"Night"
))</f>
        <v/>
      </c>
      <c r="O3444" t="str">
        <f t="shared" si="320"/>
        <v/>
      </c>
    </row>
    <row r="3445" spans="7:15" x14ac:dyDescent="0.25">
      <c r="G3445" t="str">
        <f t="shared" si="318"/>
        <v/>
      </c>
      <c r="H3445" s="13" t="str">
        <f t="shared" si="321"/>
        <v/>
      </c>
      <c r="I3445" t="str">
        <f>IFERROR(INDEX(Analysis!$D$116:$N$137, MATCH(B3445, Analysis!$C$116:$C$137, 0), MATCH(C3445, Analysis!$D$115:$N$115, 0)), "")</f>
        <v/>
      </c>
      <c r="J3445" t="str">
        <f t="shared" si="322"/>
        <v/>
      </c>
      <c r="K3445" s="28" t="str">
        <f t="shared" si="319"/>
        <v/>
      </c>
      <c r="L3445" s="46" t="str">
        <f t="shared" si="323"/>
        <v/>
      </c>
      <c r="M3445" t="str" cm="1">
        <f t="array" ref="M3445">IF(L3445="","",_xlfn.IFS(
  AND(L3445&gt;=TIME(9,0,0), L3445&lt;TIME(16,0,0)),"Morning",
  AND(L3445&gt;=TIME(16,0,0), L3445&lt;TIME(23,59,0)),"Evening",
  L3445&gt;=TIME(23,59,0),"Night",
  L3445&lt;TIME(9,0,0),"Night"
))</f>
        <v/>
      </c>
      <c r="O3445" t="str">
        <f t="shared" si="320"/>
        <v/>
      </c>
    </row>
    <row r="3446" spans="7:15" x14ac:dyDescent="0.25">
      <c r="G3446" t="str">
        <f t="shared" si="318"/>
        <v/>
      </c>
      <c r="H3446" s="13" t="str">
        <f t="shared" si="321"/>
        <v/>
      </c>
      <c r="I3446" t="str">
        <f>IFERROR(INDEX(Analysis!$D$116:$N$137, MATCH(B3446, Analysis!$C$116:$C$137, 0), MATCH(C3446, Analysis!$D$115:$N$115, 0)), "")</f>
        <v/>
      </c>
      <c r="J3446" t="str">
        <f t="shared" si="322"/>
        <v/>
      </c>
      <c r="K3446" s="28" t="str">
        <f t="shared" si="319"/>
        <v/>
      </c>
      <c r="L3446" s="46" t="str">
        <f t="shared" si="323"/>
        <v/>
      </c>
      <c r="M3446" t="str" cm="1">
        <f t="array" ref="M3446">IF(L3446="","",_xlfn.IFS(
  AND(L3446&gt;=TIME(9,0,0), L3446&lt;TIME(16,0,0)),"Morning",
  AND(L3446&gt;=TIME(16,0,0), L3446&lt;TIME(23,59,0)),"Evening",
  L3446&gt;=TIME(23,59,0),"Night",
  L3446&lt;TIME(9,0,0),"Night"
))</f>
        <v/>
      </c>
      <c r="O3446" t="str">
        <f t="shared" si="320"/>
        <v/>
      </c>
    </row>
    <row r="3447" spans="7:15" x14ac:dyDescent="0.25">
      <c r="G3447" t="str">
        <f t="shared" si="318"/>
        <v/>
      </c>
      <c r="H3447" s="13" t="str">
        <f t="shared" si="321"/>
        <v/>
      </c>
      <c r="I3447" t="str">
        <f>IFERROR(INDEX(Analysis!$D$116:$N$137, MATCH(B3447, Analysis!$C$116:$C$137, 0), MATCH(C3447, Analysis!$D$115:$N$115, 0)), "")</f>
        <v/>
      </c>
      <c r="J3447" t="str">
        <f t="shared" si="322"/>
        <v/>
      </c>
      <c r="K3447" s="28" t="str">
        <f t="shared" si="319"/>
        <v/>
      </c>
      <c r="L3447" s="46" t="str">
        <f t="shared" si="323"/>
        <v/>
      </c>
      <c r="M3447" t="str" cm="1">
        <f t="array" ref="M3447">IF(L3447="","",_xlfn.IFS(
  AND(L3447&gt;=TIME(9,0,0), L3447&lt;TIME(16,0,0)),"Morning",
  AND(L3447&gt;=TIME(16,0,0), L3447&lt;TIME(23,59,0)),"Evening",
  L3447&gt;=TIME(23,59,0),"Night",
  L3447&lt;TIME(9,0,0),"Night"
))</f>
        <v/>
      </c>
      <c r="O3447" t="str">
        <f t="shared" si="320"/>
        <v/>
      </c>
    </row>
    <row r="3448" spans="7:15" x14ac:dyDescent="0.25">
      <c r="G3448" t="str">
        <f t="shared" si="318"/>
        <v/>
      </c>
      <c r="H3448" s="13" t="str">
        <f t="shared" si="321"/>
        <v/>
      </c>
      <c r="I3448" t="str">
        <f>IFERROR(INDEX(Analysis!$D$116:$N$137, MATCH(B3448, Analysis!$C$116:$C$137, 0), MATCH(C3448, Analysis!$D$115:$N$115, 0)), "")</f>
        <v/>
      </c>
      <c r="J3448" t="str">
        <f t="shared" si="322"/>
        <v/>
      </c>
      <c r="K3448" s="28" t="str">
        <f t="shared" si="319"/>
        <v/>
      </c>
      <c r="L3448" s="46" t="str">
        <f t="shared" si="323"/>
        <v/>
      </c>
      <c r="M3448" t="str" cm="1">
        <f t="array" ref="M3448">IF(L3448="","",_xlfn.IFS(
  AND(L3448&gt;=TIME(9,0,0), L3448&lt;TIME(16,0,0)),"Morning",
  AND(L3448&gt;=TIME(16,0,0), L3448&lt;TIME(23,59,0)),"Evening",
  L3448&gt;=TIME(23,59,0),"Night",
  L3448&lt;TIME(9,0,0),"Night"
))</f>
        <v/>
      </c>
      <c r="O3448" t="str">
        <f t="shared" si="320"/>
        <v/>
      </c>
    </row>
    <row r="3449" spans="7:15" x14ac:dyDescent="0.25">
      <c r="G3449" t="str">
        <f t="shared" si="318"/>
        <v/>
      </c>
      <c r="H3449" s="13" t="str">
        <f t="shared" si="321"/>
        <v/>
      </c>
      <c r="I3449" t="str">
        <f>IFERROR(INDEX(Analysis!$D$116:$N$137, MATCH(B3449, Analysis!$C$116:$C$137, 0), MATCH(C3449, Analysis!$D$115:$N$115, 0)), "")</f>
        <v/>
      </c>
      <c r="J3449" t="str">
        <f t="shared" si="322"/>
        <v/>
      </c>
      <c r="K3449" s="28" t="str">
        <f t="shared" si="319"/>
        <v/>
      </c>
      <c r="L3449" s="46" t="str">
        <f t="shared" si="323"/>
        <v/>
      </c>
      <c r="M3449" t="str" cm="1">
        <f t="array" ref="M3449">IF(L3449="","",_xlfn.IFS(
  AND(L3449&gt;=TIME(9,0,0), L3449&lt;TIME(16,0,0)),"Morning",
  AND(L3449&gt;=TIME(16,0,0), L3449&lt;TIME(23,59,0)),"Evening",
  L3449&gt;=TIME(23,59,0),"Night",
  L3449&lt;TIME(9,0,0),"Night"
))</f>
        <v/>
      </c>
      <c r="O3449" t="str">
        <f t="shared" si="320"/>
        <v/>
      </c>
    </row>
    <row r="3450" spans="7:15" x14ac:dyDescent="0.25">
      <c r="G3450" t="str">
        <f t="shared" si="318"/>
        <v/>
      </c>
      <c r="H3450" s="13" t="str">
        <f t="shared" si="321"/>
        <v/>
      </c>
      <c r="I3450" t="str">
        <f>IFERROR(INDEX(Analysis!$D$116:$N$137, MATCH(B3450, Analysis!$C$116:$C$137, 0), MATCH(C3450, Analysis!$D$115:$N$115, 0)), "")</f>
        <v/>
      </c>
      <c r="J3450" t="str">
        <f t="shared" si="322"/>
        <v/>
      </c>
      <c r="K3450" s="28" t="str">
        <f t="shared" si="319"/>
        <v/>
      </c>
      <c r="L3450" s="46" t="str">
        <f t="shared" si="323"/>
        <v/>
      </c>
      <c r="M3450" t="str" cm="1">
        <f t="array" ref="M3450">IF(L3450="","",_xlfn.IFS(
  AND(L3450&gt;=TIME(9,0,0), L3450&lt;TIME(16,0,0)),"Morning",
  AND(L3450&gt;=TIME(16,0,0), L3450&lt;TIME(23,59,0)),"Evening",
  L3450&gt;=TIME(23,59,0),"Night",
  L3450&lt;TIME(9,0,0),"Night"
))</f>
        <v/>
      </c>
      <c r="O3450" t="str">
        <f t="shared" si="320"/>
        <v/>
      </c>
    </row>
    <row r="3451" spans="7:15" x14ac:dyDescent="0.25">
      <c r="G3451" t="str">
        <f t="shared" si="318"/>
        <v/>
      </c>
      <c r="H3451" s="13" t="str">
        <f t="shared" si="321"/>
        <v/>
      </c>
      <c r="I3451" t="str">
        <f>IFERROR(INDEX(Analysis!$D$116:$N$137, MATCH(B3451, Analysis!$C$116:$C$137, 0), MATCH(C3451, Analysis!$D$115:$N$115, 0)), "")</f>
        <v/>
      </c>
      <c r="J3451" t="str">
        <f t="shared" si="322"/>
        <v/>
      </c>
      <c r="K3451" s="28" t="str">
        <f t="shared" si="319"/>
        <v/>
      </c>
      <c r="L3451" s="46" t="str">
        <f t="shared" si="323"/>
        <v/>
      </c>
      <c r="M3451" t="str" cm="1">
        <f t="array" ref="M3451">IF(L3451="","",_xlfn.IFS(
  AND(L3451&gt;=TIME(9,0,0), L3451&lt;TIME(16,0,0)),"Morning",
  AND(L3451&gt;=TIME(16,0,0), L3451&lt;TIME(23,59,0)),"Evening",
  L3451&gt;=TIME(23,59,0),"Night",
  L3451&lt;TIME(9,0,0),"Night"
))</f>
        <v/>
      </c>
      <c r="O3451" t="str">
        <f t="shared" si="320"/>
        <v/>
      </c>
    </row>
    <row r="3452" spans="7:15" x14ac:dyDescent="0.25">
      <c r="G3452" t="str">
        <f t="shared" si="318"/>
        <v/>
      </c>
      <c r="H3452" s="13" t="str">
        <f t="shared" si="321"/>
        <v/>
      </c>
      <c r="I3452" t="str">
        <f>IFERROR(INDEX(Analysis!$D$116:$N$137, MATCH(B3452, Analysis!$C$116:$C$137, 0), MATCH(C3452, Analysis!$D$115:$N$115, 0)), "")</f>
        <v/>
      </c>
      <c r="J3452" t="str">
        <f t="shared" si="322"/>
        <v/>
      </c>
      <c r="K3452" s="28" t="str">
        <f t="shared" si="319"/>
        <v/>
      </c>
      <c r="L3452" s="46" t="str">
        <f t="shared" si="323"/>
        <v/>
      </c>
      <c r="M3452" t="str" cm="1">
        <f t="array" ref="M3452">IF(L3452="","",_xlfn.IFS(
  AND(L3452&gt;=TIME(9,0,0), L3452&lt;TIME(16,0,0)),"Morning",
  AND(L3452&gt;=TIME(16,0,0), L3452&lt;TIME(23,59,0)),"Evening",
  L3452&gt;=TIME(23,59,0),"Night",
  L3452&lt;TIME(9,0,0),"Night"
))</f>
        <v/>
      </c>
      <c r="O3452" t="str">
        <f t="shared" si="320"/>
        <v/>
      </c>
    </row>
    <row r="3453" spans="7:15" x14ac:dyDescent="0.25">
      <c r="G3453" t="str">
        <f t="shared" si="318"/>
        <v/>
      </c>
      <c r="H3453" s="13" t="str">
        <f t="shared" si="321"/>
        <v/>
      </c>
      <c r="I3453" t="str">
        <f>IFERROR(INDEX(Analysis!$D$116:$N$137, MATCH(B3453, Analysis!$C$116:$C$137, 0), MATCH(C3453, Analysis!$D$115:$N$115, 0)), "")</f>
        <v/>
      </c>
      <c r="J3453" t="str">
        <f t="shared" si="322"/>
        <v/>
      </c>
      <c r="K3453" s="28" t="str">
        <f t="shared" si="319"/>
        <v/>
      </c>
      <c r="L3453" s="46" t="str">
        <f t="shared" si="323"/>
        <v/>
      </c>
      <c r="M3453" t="str" cm="1">
        <f t="array" ref="M3453">IF(L3453="","",_xlfn.IFS(
  AND(L3453&gt;=TIME(9,0,0), L3453&lt;TIME(16,0,0)),"Morning",
  AND(L3453&gt;=TIME(16,0,0), L3453&lt;TIME(23,59,0)),"Evening",
  L3453&gt;=TIME(23,59,0),"Night",
  L3453&lt;TIME(9,0,0),"Night"
))</f>
        <v/>
      </c>
      <c r="O3453" t="str">
        <f t="shared" si="320"/>
        <v/>
      </c>
    </row>
    <row r="3454" spans="7:15" x14ac:dyDescent="0.25">
      <c r="G3454" t="str">
        <f t="shared" si="318"/>
        <v/>
      </c>
      <c r="H3454" s="13" t="str">
        <f t="shared" si="321"/>
        <v/>
      </c>
      <c r="I3454" t="str">
        <f>IFERROR(INDEX(Analysis!$D$116:$N$137, MATCH(B3454, Analysis!$C$116:$C$137, 0), MATCH(C3454, Analysis!$D$115:$N$115, 0)), "")</f>
        <v/>
      </c>
      <c r="J3454" t="str">
        <f t="shared" si="322"/>
        <v/>
      </c>
      <c r="K3454" s="28" t="str">
        <f t="shared" si="319"/>
        <v/>
      </c>
      <c r="L3454" s="46" t="str">
        <f t="shared" si="323"/>
        <v/>
      </c>
      <c r="M3454" t="str" cm="1">
        <f t="array" ref="M3454">IF(L3454="","",_xlfn.IFS(
  AND(L3454&gt;=TIME(9,0,0), L3454&lt;TIME(16,0,0)),"Morning",
  AND(L3454&gt;=TIME(16,0,0), L3454&lt;TIME(23,59,0)),"Evening",
  L3454&gt;=TIME(23,59,0),"Night",
  L3454&lt;TIME(9,0,0),"Night"
))</f>
        <v/>
      </c>
      <c r="O3454" t="str">
        <f t="shared" si="320"/>
        <v/>
      </c>
    </row>
    <row r="3455" spans="7:15" x14ac:dyDescent="0.25">
      <c r="G3455" t="str">
        <f t="shared" si="318"/>
        <v/>
      </c>
      <c r="H3455" s="13" t="str">
        <f t="shared" si="321"/>
        <v/>
      </c>
      <c r="I3455" t="str">
        <f>IFERROR(INDEX(Analysis!$D$116:$N$137, MATCH(B3455, Analysis!$C$116:$C$137, 0), MATCH(C3455, Analysis!$D$115:$N$115, 0)), "")</f>
        <v/>
      </c>
      <c r="J3455" t="str">
        <f t="shared" si="322"/>
        <v/>
      </c>
      <c r="K3455" s="28" t="str">
        <f t="shared" si="319"/>
        <v/>
      </c>
      <c r="L3455" s="46" t="str">
        <f t="shared" si="323"/>
        <v/>
      </c>
      <c r="M3455" t="str" cm="1">
        <f t="array" ref="M3455">IF(L3455="","",_xlfn.IFS(
  AND(L3455&gt;=TIME(9,0,0), L3455&lt;TIME(16,0,0)),"Morning",
  AND(L3455&gt;=TIME(16,0,0), L3455&lt;TIME(23,59,0)),"Evening",
  L3455&gt;=TIME(23,59,0),"Night",
  L3455&lt;TIME(9,0,0),"Night"
))</f>
        <v/>
      </c>
      <c r="O3455" t="str">
        <f t="shared" si="320"/>
        <v/>
      </c>
    </row>
    <row r="3456" spans="7:15" x14ac:dyDescent="0.25">
      <c r="G3456" t="str">
        <f t="shared" si="318"/>
        <v/>
      </c>
      <c r="H3456" s="13" t="str">
        <f t="shared" si="321"/>
        <v/>
      </c>
      <c r="I3456" t="str">
        <f>IFERROR(INDEX(Analysis!$D$116:$N$137, MATCH(B3456, Analysis!$C$116:$C$137, 0), MATCH(C3456, Analysis!$D$115:$N$115, 0)), "")</f>
        <v/>
      </c>
      <c r="J3456" t="str">
        <f t="shared" si="322"/>
        <v/>
      </c>
      <c r="K3456" s="28" t="str">
        <f t="shared" si="319"/>
        <v/>
      </c>
      <c r="L3456" s="46" t="str">
        <f t="shared" si="323"/>
        <v/>
      </c>
      <c r="M3456" t="str" cm="1">
        <f t="array" ref="M3456">IF(L3456="","",_xlfn.IFS(
  AND(L3456&gt;=TIME(9,0,0), L3456&lt;TIME(16,0,0)),"Morning",
  AND(L3456&gt;=TIME(16,0,0), L3456&lt;TIME(23,59,0)),"Evening",
  L3456&gt;=TIME(23,59,0),"Night",
  L3456&lt;TIME(9,0,0),"Night"
))</f>
        <v/>
      </c>
      <c r="O3456" t="str">
        <f t="shared" si="320"/>
        <v/>
      </c>
    </row>
    <row r="3457" spans="7:15" x14ac:dyDescent="0.25">
      <c r="G3457" t="str">
        <f t="shared" si="318"/>
        <v/>
      </c>
      <c r="H3457" s="13" t="str">
        <f t="shared" si="321"/>
        <v/>
      </c>
      <c r="I3457" t="str">
        <f>IFERROR(INDEX(Analysis!$D$116:$N$137, MATCH(B3457, Analysis!$C$116:$C$137, 0), MATCH(C3457, Analysis!$D$115:$N$115, 0)), "")</f>
        <v/>
      </c>
      <c r="J3457" t="str">
        <f t="shared" si="322"/>
        <v/>
      </c>
      <c r="K3457" s="28" t="str">
        <f t="shared" si="319"/>
        <v/>
      </c>
      <c r="L3457" s="46" t="str">
        <f t="shared" si="323"/>
        <v/>
      </c>
      <c r="M3457" t="str" cm="1">
        <f t="array" ref="M3457">IF(L3457="","",_xlfn.IFS(
  AND(L3457&gt;=TIME(9,0,0), L3457&lt;TIME(16,0,0)),"Morning",
  AND(L3457&gt;=TIME(16,0,0), L3457&lt;TIME(23,59,0)),"Evening",
  L3457&gt;=TIME(23,59,0),"Night",
  L3457&lt;TIME(9,0,0),"Night"
))</f>
        <v/>
      </c>
      <c r="O3457" t="str">
        <f t="shared" si="320"/>
        <v/>
      </c>
    </row>
    <row r="3458" spans="7:15" x14ac:dyDescent="0.25">
      <c r="G3458" t="str">
        <f t="shared" ref="G3458:G3521" si="324">IF(ISBLANK(A3458), "", IF(ISBLANK(F3458), 0, F3458))</f>
        <v/>
      </c>
      <c r="H3458" s="13" t="str">
        <f t="shared" si="321"/>
        <v/>
      </c>
      <c r="I3458" t="str">
        <f>IFERROR(INDEX(Analysis!$D$116:$N$137, MATCH(B3458, Analysis!$C$116:$C$137, 0), MATCH(C3458, Analysis!$D$115:$N$115, 0)), "")</f>
        <v/>
      </c>
      <c r="J3458" t="str">
        <f t="shared" si="322"/>
        <v/>
      </c>
      <c r="K3458" s="28" t="str">
        <f t="shared" ref="K3458:K3521" si="325">IF(ISBLANK(A3458),"",DATE(YEAR(A3458),MONTH(A3458),DAY(A3458)))</f>
        <v/>
      </c>
      <c r="L3458" s="46" t="str">
        <f t="shared" si="323"/>
        <v/>
      </c>
      <c r="M3458" t="str" cm="1">
        <f t="array" ref="M3458">IF(L3458="","",_xlfn.IFS(
  AND(L3458&gt;=TIME(9,0,0), L3458&lt;TIME(16,0,0)),"Morning",
  AND(L3458&gt;=TIME(16,0,0), L3458&lt;TIME(23,59,0)),"Evening",
  L3458&gt;=TIME(23,59,0),"Night",
  L3458&lt;TIME(9,0,0),"Night"
))</f>
        <v/>
      </c>
      <c r="O3458" t="str">
        <f t="shared" ref="O3458:O3521" si="326">IF(N3458="ON", _xlfn.IMAGE(E3458, 1), "")</f>
        <v/>
      </c>
    </row>
    <row r="3459" spans="7:15" x14ac:dyDescent="0.25">
      <c r="G3459" t="str">
        <f t="shared" si="324"/>
        <v/>
      </c>
      <c r="H3459" s="13" t="str">
        <f t="shared" ref="H3459:H3522" si="327">IF(ISBLANK(E3459),"",HYPERLINK(E3459,"Click here"))</f>
        <v/>
      </c>
      <c r="I3459" t="str">
        <f>IFERROR(INDEX(Analysis!$D$116:$N$137, MATCH(B3459, Analysis!$C$116:$C$137, 0), MATCH(C3459, Analysis!$D$115:$N$115, 0)), "")</f>
        <v/>
      </c>
      <c r="J3459" t="str">
        <f t="shared" ref="J3459:J3522" si="328">IF(ISBLANK(A3459),"",WEEKNUM(A3459))</f>
        <v/>
      </c>
      <c r="K3459" s="28" t="str">
        <f t="shared" si="325"/>
        <v/>
      </c>
      <c r="L3459" s="46" t="str">
        <f t="shared" ref="L3459:L3522" si="329">IF(A3459="", "", A3459 - INT(A3459))</f>
        <v/>
      </c>
      <c r="M3459" t="str" cm="1">
        <f t="array" ref="M3459">IF(L3459="","",_xlfn.IFS(
  AND(L3459&gt;=TIME(9,0,0), L3459&lt;TIME(16,0,0)),"Morning",
  AND(L3459&gt;=TIME(16,0,0), L3459&lt;TIME(23,59,0)),"Evening",
  L3459&gt;=TIME(23,59,0),"Night",
  L3459&lt;TIME(9,0,0),"Night"
))</f>
        <v/>
      </c>
      <c r="O3459" t="str">
        <f t="shared" si="326"/>
        <v/>
      </c>
    </row>
    <row r="3460" spans="7:15" x14ac:dyDescent="0.25">
      <c r="G3460" t="str">
        <f t="shared" si="324"/>
        <v/>
      </c>
      <c r="H3460" s="13" t="str">
        <f t="shared" si="327"/>
        <v/>
      </c>
      <c r="I3460" t="str">
        <f>IFERROR(INDEX(Analysis!$D$116:$N$137, MATCH(B3460, Analysis!$C$116:$C$137, 0), MATCH(C3460, Analysis!$D$115:$N$115, 0)), "")</f>
        <v/>
      </c>
      <c r="J3460" t="str">
        <f t="shared" si="328"/>
        <v/>
      </c>
      <c r="K3460" s="28" t="str">
        <f t="shared" si="325"/>
        <v/>
      </c>
      <c r="L3460" s="46" t="str">
        <f t="shared" si="329"/>
        <v/>
      </c>
      <c r="M3460" t="str" cm="1">
        <f t="array" ref="M3460">IF(L3460="","",_xlfn.IFS(
  AND(L3460&gt;=TIME(9,0,0), L3460&lt;TIME(16,0,0)),"Morning",
  AND(L3460&gt;=TIME(16,0,0), L3460&lt;TIME(23,59,0)),"Evening",
  L3460&gt;=TIME(23,59,0),"Night",
  L3460&lt;TIME(9,0,0),"Night"
))</f>
        <v/>
      </c>
      <c r="O3460" t="str">
        <f t="shared" si="326"/>
        <v/>
      </c>
    </row>
    <row r="3461" spans="7:15" x14ac:dyDescent="0.25">
      <c r="G3461" t="str">
        <f t="shared" si="324"/>
        <v/>
      </c>
      <c r="H3461" s="13" t="str">
        <f t="shared" si="327"/>
        <v/>
      </c>
      <c r="I3461" t="str">
        <f>IFERROR(INDEX(Analysis!$D$116:$N$137, MATCH(B3461, Analysis!$C$116:$C$137, 0), MATCH(C3461, Analysis!$D$115:$N$115, 0)), "")</f>
        <v/>
      </c>
      <c r="J3461" t="str">
        <f t="shared" si="328"/>
        <v/>
      </c>
      <c r="K3461" s="28" t="str">
        <f t="shared" si="325"/>
        <v/>
      </c>
      <c r="L3461" s="46" t="str">
        <f t="shared" si="329"/>
        <v/>
      </c>
      <c r="M3461" t="str" cm="1">
        <f t="array" ref="M3461">IF(L3461="","",_xlfn.IFS(
  AND(L3461&gt;=TIME(9,0,0), L3461&lt;TIME(16,0,0)),"Morning",
  AND(L3461&gt;=TIME(16,0,0), L3461&lt;TIME(23,59,0)),"Evening",
  L3461&gt;=TIME(23,59,0),"Night",
  L3461&lt;TIME(9,0,0),"Night"
))</f>
        <v/>
      </c>
      <c r="O3461" t="str">
        <f t="shared" si="326"/>
        <v/>
      </c>
    </row>
    <row r="3462" spans="7:15" x14ac:dyDescent="0.25">
      <c r="G3462" t="str">
        <f t="shared" si="324"/>
        <v/>
      </c>
      <c r="H3462" s="13" t="str">
        <f t="shared" si="327"/>
        <v/>
      </c>
      <c r="I3462" t="str">
        <f>IFERROR(INDEX(Analysis!$D$116:$N$137, MATCH(B3462, Analysis!$C$116:$C$137, 0), MATCH(C3462, Analysis!$D$115:$N$115, 0)), "")</f>
        <v/>
      </c>
      <c r="J3462" t="str">
        <f t="shared" si="328"/>
        <v/>
      </c>
      <c r="K3462" s="28" t="str">
        <f t="shared" si="325"/>
        <v/>
      </c>
      <c r="L3462" s="46" t="str">
        <f t="shared" si="329"/>
        <v/>
      </c>
      <c r="M3462" t="str" cm="1">
        <f t="array" ref="M3462">IF(L3462="","",_xlfn.IFS(
  AND(L3462&gt;=TIME(9,0,0), L3462&lt;TIME(16,0,0)),"Morning",
  AND(L3462&gt;=TIME(16,0,0), L3462&lt;TIME(23,59,0)),"Evening",
  L3462&gt;=TIME(23,59,0),"Night",
  L3462&lt;TIME(9,0,0),"Night"
))</f>
        <v/>
      </c>
      <c r="O3462" t="str">
        <f t="shared" si="326"/>
        <v/>
      </c>
    </row>
    <row r="3463" spans="7:15" x14ac:dyDescent="0.25">
      <c r="G3463" t="str">
        <f t="shared" si="324"/>
        <v/>
      </c>
      <c r="H3463" s="13" t="str">
        <f t="shared" si="327"/>
        <v/>
      </c>
      <c r="I3463" t="str">
        <f>IFERROR(INDEX(Analysis!$D$116:$N$137, MATCH(B3463, Analysis!$C$116:$C$137, 0), MATCH(C3463, Analysis!$D$115:$N$115, 0)), "")</f>
        <v/>
      </c>
      <c r="J3463" t="str">
        <f t="shared" si="328"/>
        <v/>
      </c>
      <c r="K3463" s="28" t="str">
        <f t="shared" si="325"/>
        <v/>
      </c>
      <c r="L3463" s="46" t="str">
        <f t="shared" si="329"/>
        <v/>
      </c>
      <c r="M3463" t="str" cm="1">
        <f t="array" ref="M3463">IF(L3463="","",_xlfn.IFS(
  AND(L3463&gt;=TIME(9,0,0), L3463&lt;TIME(16,0,0)),"Morning",
  AND(L3463&gt;=TIME(16,0,0), L3463&lt;TIME(23,59,0)),"Evening",
  L3463&gt;=TIME(23,59,0),"Night",
  L3463&lt;TIME(9,0,0),"Night"
))</f>
        <v/>
      </c>
      <c r="O3463" t="str">
        <f t="shared" si="326"/>
        <v/>
      </c>
    </row>
    <row r="3464" spans="7:15" x14ac:dyDescent="0.25">
      <c r="G3464" t="str">
        <f t="shared" si="324"/>
        <v/>
      </c>
      <c r="H3464" s="13" t="str">
        <f t="shared" si="327"/>
        <v/>
      </c>
      <c r="I3464" t="str">
        <f>IFERROR(INDEX(Analysis!$D$116:$N$137, MATCH(B3464, Analysis!$C$116:$C$137, 0), MATCH(C3464, Analysis!$D$115:$N$115, 0)), "")</f>
        <v/>
      </c>
      <c r="J3464" t="str">
        <f t="shared" si="328"/>
        <v/>
      </c>
      <c r="K3464" s="28" t="str">
        <f t="shared" si="325"/>
        <v/>
      </c>
      <c r="L3464" s="46" t="str">
        <f t="shared" si="329"/>
        <v/>
      </c>
      <c r="M3464" t="str" cm="1">
        <f t="array" ref="M3464">IF(L3464="","",_xlfn.IFS(
  AND(L3464&gt;=TIME(9,0,0), L3464&lt;TIME(16,0,0)),"Morning",
  AND(L3464&gt;=TIME(16,0,0), L3464&lt;TIME(23,59,0)),"Evening",
  L3464&gt;=TIME(23,59,0),"Night",
  L3464&lt;TIME(9,0,0),"Night"
))</f>
        <v/>
      </c>
      <c r="O3464" t="str">
        <f t="shared" si="326"/>
        <v/>
      </c>
    </row>
    <row r="3465" spans="7:15" x14ac:dyDescent="0.25">
      <c r="G3465" t="str">
        <f t="shared" si="324"/>
        <v/>
      </c>
      <c r="H3465" s="13" t="str">
        <f t="shared" si="327"/>
        <v/>
      </c>
      <c r="I3465" t="str">
        <f>IFERROR(INDEX(Analysis!$D$116:$N$137, MATCH(B3465, Analysis!$C$116:$C$137, 0), MATCH(C3465, Analysis!$D$115:$N$115, 0)), "")</f>
        <v/>
      </c>
      <c r="J3465" t="str">
        <f t="shared" si="328"/>
        <v/>
      </c>
      <c r="K3465" s="28" t="str">
        <f t="shared" si="325"/>
        <v/>
      </c>
      <c r="L3465" s="46" t="str">
        <f t="shared" si="329"/>
        <v/>
      </c>
      <c r="M3465" t="str" cm="1">
        <f t="array" ref="M3465">IF(L3465="","",_xlfn.IFS(
  AND(L3465&gt;=TIME(9,0,0), L3465&lt;TIME(16,0,0)),"Morning",
  AND(L3465&gt;=TIME(16,0,0), L3465&lt;TIME(23,59,0)),"Evening",
  L3465&gt;=TIME(23,59,0),"Night",
  L3465&lt;TIME(9,0,0),"Night"
))</f>
        <v/>
      </c>
      <c r="O3465" t="str">
        <f t="shared" si="326"/>
        <v/>
      </c>
    </row>
    <row r="3466" spans="7:15" x14ac:dyDescent="0.25">
      <c r="G3466" t="str">
        <f t="shared" si="324"/>
        <v/>
      </c>
      <c r="H3466" s="13" t="str">
        <f t="shared" si="327"/>
        <v/>
      </c>
      <c r="I3466" t="str">
        <f>IFERROR(INDEX(Analysis!$D$116:$N$137, MATCH(B3466, Analysis!$C$116:$C$137, 0), MATCH(C3466, Analysis!$D$115:$N$115, 0)), "")</f>
        <v/>
      </c>
      <c r="J3466" t="str">
        <f t="shared" si="328"/>
        <v/>
      </c>
      <c r="K3466" s="28" t="str">
        <f t="shared" si="325"/>
        <v/>
      </c>
      <c r="L3466" s="46" t="str">
        <f t="shared" si="329"/>
        <v/>
      </c>
      <c r="M3466" t="str" cm="1">
        <f t="array" ref="M3466">IF(L3466="","",_xlfn.IFS(
  AND(L3466&gt;=TIME(9,0,0), L3466&lt;TIME(16,0,0)),"Morning",
  AND(L3466&gt;=TIME(16,0,0), L3466&lt;TIME(23,59,0)),"Evening",
  L3466&gt;=TIME(23,59,0),"Night",
  L3466&lt;TIME(9,0,0),"Night"
))</f>
        <v/>
      </c>
      <c r="O3466" t="str">
        <f t="shared" si="326"/>
        <v/>
      </c>
    </row>
    <row r="3467" spans="7:15" x14ac:dyDescent="0.25">
      <c r="G3467" t="str">
        <f t="shared" si="324"/>
        <v/>
      </c>
      <c r="H3467" s="13" t="str">
        <f t="shared" si="327"/>
        <v/>
      </c>
      <c r="I3467" t="str">
        <f>IFERROR(INDEX(Analysis!$D$116:$N$137, MATCH(B3467, Analysis!$C$116:$C$137, 0), MATCH(C3467, Analysis!$D$115:$N$115, 0)), "")</f>
        <v/>
      </c>
      <c r="J3467" t="str">
        <f t="shared" si="328"/>
        <v/>
      </c>
      <c r="K3467" s="28" t="str">
        <f t="shared" si="325"/>
        <v/>
      </c>
      <c r="L3467" s="46" t="str">
        <f t="shared" si="329"/>
        <v/>
      </c>
      <c r="M3467" t="str" cm="1">
        <f t="array" ref="M3467">IF(L3467="","",_xlfn.IFS(
  AND(L3467&gt;=TIME(9,0,0), L3467&lt;TIME(16,0,0)),"Morning",
  AND(L3467&gt;=TIME(16,0,0), L3467&lt;TIME(23,59,0)),"Evening",
  L3467&gt;=TIME(23,59,0),"Night",
  L3467&lt;TIME(9,0,0),"Night"
))</f>
        <v/>
      </c>
      <c r="O3467" t="str">
        <f t="shared" si="326"/>
        <v/>
      </c>
    </row>
    <row r="3468" spans="7:15" x14ac:dyDescent="0.25">
      <c r="G3468" t="str">
        <f t="shared" si="324"/>
        <v/>
      </c>
      <c r="H3468" s="13" t="str">
        <f t="shared" si="327"/>
        <v/>
      </c>
      <c r="I3468" t="str">
        <f>IFERROR(INDEX(Analysis!$D$116:$N$137, MATCH(B3468, Analysis!$C$116:$C$137, 0), MATCH(C3468, Analysis!$D$115:$N$115, 0)), "")</f>
        <v/>
      </c>
      <c r="J3468" t="str">
        <f t="shared" si="328"/>
        <v/>
      </c>
      <c r="K3468" s="28" t="str">
        <f t="shared" si="325"/>
        <v/>
      </c>
      <c r="L3468" s="46" t="str">
        <f t="shared" si="329"/>
        <v/>
      </c>
      <c r="M3468" t="str" cm="1">
        <f t="array" ref="M3468">IF(L3468="","",_xlfn.IFS(
  AND(L3468&gt;=TIME(9,0,0), L3468&lt;TIME(16,0,0)),"Morning",
  AND(L3468&gt;=TIME(16,0,0), L3468&lt;TIME(23,59,0)),"Evening",
  L3468&gt;=TIME(23,59,0),"Night",
  L3468&lt;TIME(9,0,0),"Night"
))</f>
        <v/>
      </c>
      <c r="O3468" t="str">
        <f t="shared" si="326"/>
        <v/>
      </c>
    </row>
    <row r="3469" spans="7:15" x14ac:dyDescent="0.25">
      <c r="G3469" t="str">
        <f t="shared" si="324"/>
        <v/>
      </c>
      <c r="H3469" s="13" t="str">
        <f t="shared" si="327"/>
        <v/>
      </c>
      <c r="I3469" t="str">
        <f>IFERROR(INDEX(Analysis!$D$116:$N$137, MATCH(B3469, Analysis!$C$116:$C$137, 0), MATCH(C3469, Analysis!$D$115:$N$115, 0)), "")</f>
        <v/>
      </c>
      <c r="J3469" t="str">
        <f t="shared" si="328"/>
        <v/>
      </c>
      <c r="K3469" s="28" t="str">
        <f t="shared" si="325"/>
        <v/>
      </c>
      <c r="L3469" s="46" t="str">
        <f t="shared" si="329"/>
        <v/>
      </c>
      <c r="M3469" t="str" cm="1">
        <f t="array" ref="M3469">IF(L3469="","",_xlfn.IFS(
  AND(L3469&gt;=TIME(9,0,0), L3469&lt;TIME(16,0,0)),"Morning",
  AND(L3469&gt;=TIME(16,0,0), L3469&lt;TIME(23,59,0)),"Evening",
  L3469&gt;=TIME(23,59,0),"Night",
  L3469&lt;TIME(9,0,0),"Night"
))</f>
        <v/>
      </c>
      <c r="O3469" t="str">
        <f t="shared" si="326"/>
        <v/>
      </c>
    </row>
    <row r="3470" spans="7:15" x14ac:dyDescent="0.25">
      <c r="G3470" t="str">
        <f t="shared" si="324"/>
        <v/>
      </c>
      <c r="H3470" s="13" t="str">
        <f t="shared" si="327"/>
        <v/>
      </c>
      <c r="I3470" t="str">
        <f>IFERROR(INDEX(Analysis!$D$116:$N$137, MATCH(B3470, Analysis!$C$116:$C$137, 0), MATCH(C3470, Analysis!$D$115:$N$115, 0)), "")</f>
        <v/>
      </c>
      <c r="J3470" t="str">
        <f t="shared" si="328"/>
        <v/>
      </c>
      <c r="K3470" s="28" t="str">
        <f t="shared" si="325"/>
        <v/>
      </c>
      <c r="L3470" s="46" t="str">
        <f t="shared" si="329"/>
        <v/>
      </c>
      <c r="M3470" t="str" cm="1">
        <f t="array" ref="M3470">IF(L3470="","",_xlfn.IFS(
  AND(L3470&gt;=TIME(9,0,0), L3470&lt;TIME(16,0,0)),"Morning",
  AND(L3470&gt;=TIME(16,0,0), L3470&lt;TIME(23,59,0)),"Evening",
  L3470&gt;=TIME(23,59,0),"Night",
  L3470&lt;TIME(9,0,0),"Night"
))</f>
        <v/>
      </c>
      <c r="O3470" t="str">
        <f t="shared" si="326"/>
        <v/>
      </c>
    </row>
    <row r="3471" spans="7:15" x14ac:dyDescent="0.25">
      <c r="G3471" t="str">
        <f t="shared" si="324"/>
        <v/>
      </c>
      <c r="H3471" s="13" t="str">
        <f t="shared" si="327"/>
        <v/>
      </c>
      <c r="I3471" t="str">
        <f>IFERROR(INDEX(Analysis!$D$116:$N$137, MATCH(B3471, Analysis!$C$116:$C$137, 0), MATCH(C3471, Analysis!$D$115:$N$115, 0)), "")</f>
        <v/>
      </c>
      <c r="J3471" t="str">
        <f t="shared" si="328"/>
        <v/>
      </c>
      <c r="K3471" s="28" t="str">
        <f t="shared" si="325"/>
        <v/>
      </c>
      <c r="L3471" s="46" t="str">
        <f t="shared" si="329"/>
        <v/>
      </c>
      <c r="M3471" t="str" cm="1">
        <f t="array" ref="M3471">IF(L3471="","",_xlfn.IFS(
  AND(L3471&gt;=TIME(9,0,0), L3471&lt;TIME(16,0,0)),"Morning",
  AND(L3471&gt;=TIME(16,0,0), L3471&lt;TIME(23,59,0)),"Evening",
  L3471&gt;=TIME(23,59,0),"Night",
  L3471&lt;TIME(9,0,0),"Night"
))</f>
        <v/>
      </c>
      <c r="O3471" t="str">
        <f t="shared" si="326"/>
        <v/>
      </c>
    </row>
    <row r="3472" spans="7:15" x14ac:dyDescent="0.25">
      <c r="G3472" t="str">
        <f t="shared" si="324"/>
        <v/>
      </c>
      <c r="H3472" s="13" t="str">
        <f t="shared" si="327"/>
        <v/>
      </c>
      <c r="I3472" t="str">
        <f>IFERROR(INDEX(Analysis!$D$116:$N$137, MATCH(B3472, Analysis!$C$116:$C$137, 0), MATCH(C3472, Analysis!$D$115:$N$115, 0)), "")</f>
        <v/>
      </c>
      <c r="J3472" t="str">
        <f t="shared" si="328"/>
        <v/>
      </c>
      <c r="K3472" s="28" t="str">
        <f t="shared" si="325"/>
        <v/>
      </c>
      <c r="L3472" s="46" t="str">
        <f t="shared" si="329"/>
        <v/>
      </c>
      <c r="M3472" t="str" cm="1">
        <f t="array" ref="M3472">IF(L3472="","",_xlfn.IFS(
  AND(L3472&gt;=TIME(9,0,0), L3472&lt;TIME(16,0,0)),"Morning",
  AND(L3472&gt;=TIME(16,0,0), L3472&lt;TIME(23,59,0)),"Evening",
  L3472&gt;=TIME(23,59,0),"Night",
  L3472&lt;TIME(9,0,0),"Night"
))</f>
        <v/>
      </c>
      <c r="O3472" t="str">
        <f t="shared" si="326"/>
        <v/>
      </c>
    </row>
    <row r="3473" spans="7:15" x14ac:dyDescent="0.25">
      <c r="G3473" t="str">
        <f t="shared" si="324"/>
        <v/>
      </c>
      <c r="H3473" s="13" t="str">
        <f t="shared" si="327"/>
        <v/>
      </c>
      <c r="I3473" t="str">
        <f>IFERROR(INDEX(Analysis!$D$116:$N$137, MATCH(B3473, Analysis!$C$116:$C$137, 0), MATCH(C3473, Analysis!$D$115:$N$115, 0)), "")</f>
        <v/>
      </c>
      <c r="J3473" t="str">
        <f t="shared" si="328"/>
        <v/>
      </c>
      <c r="K3473" s="28" t="str">
        <f t="shared" si="325"/>
        <v/>
      </c>
      <c r="L3473" s="46" t="str">
        <f t="shared" si="329"/>
        <v/>
      </c>
      <c r="M3473" t="str" cm="1">
        <f t="array" ref="M3473">IF(L3473="","",_xlfn.IFS(
  AND(L3473&gt;=TIME(9,0,0), L3473&lt;TIME(16,0,0)),"Morning",
  AND(L3473&gt;=TIME(16,0,0), L3473&lt;TIME(23,59,0)),"Evening",
  L3473&gt;=TIME(23,59,0),"Night",
  L3473&lt;TIME(9,0,0),"Night"
))</f>
        <v/>
      </c>
      <c r="O3473" t="str">
        <f t="shared" si="326"/>
        <v/>
      </c>
    </row>
    <row r="3474" spans="7:15" x14ac:dyDescent="0.25">
      <c r="G3474" t="str">
        <f t="shared" si="324"/>
        <v/>
      </c>
      <c r="H3474" s="13" t="str">
        <f t="shared" si="327"/>
        <v/>
      </c>
      <c r="I3474" t="str">
        <f>IFERROR(INDEX(Analysis!$D$116:$N$137, MATCH(B3474, Analysis!$C$116:$C$137, 0), MATCH(C3474, Analysis!$D$115:$N$115, 0)), "")</f>
        <v/>
      </c>
      <c r="J3474" t="str">
        <f t="shared" si="328"/>
        <v/>
      </c>
      <c r="K3474" s="28" t="str">
        <f t="shared" si="325"/>
        <v/>
      </c>
      <c r="L3474" s="46" t="str">
        <f t="shared" si="329"/>
        <v/>
      </c>
      <c r="M3474" t="str" cm="1">
        <f t="array" ref="M3474">IF(L3474="","",_xlfn.IFS(
  AND(L3474&gt;=TIME(9,0,0), L3474&lt;TIME(16,0,0)),"Morning",
  AND(L3474&gt;=TIME(16,0,0), L3474&lt;TIME(23,59,0)),"Evening",
  L3474&gt;=TIME(23,59,0),"Night",
  L3474&lt;TIME(9,0,0),"Night"
))</f>
        <v/>
      </c>
      <c r="O3474" t="str">
        <f t="shared" si="326"/>
        <v/>
      </c>
    </row>
    <row r="3475" spans="7:15" x14ac:dyDescent="0.25">
      <c r="G3475" t="str">
        <f t="shared" si="324"/>
        <v/>
      </c>
      <c r="H3475" s="13" t="str">
        <f t="shared" si="327"/>
        <v/>
      </c>
      <c r="I3475" t="str">
        <f>IFERROR(INDEX(Analysis!$D$116:$N$137, MATCH(B3475, Analysis!$C$116:$C$137, 0), MATCH(C3475, Analysis!$D$115:$N$115, 0)), "")</f>
        <v/>
      </c>
      <c r="J3475" t="str">
        <f t="shared" si="328"/>
        <v/>
      </c>
      <c r="K3475" s="28" t="str">
        <f t="shared" si="325"/>
        <v/>
      </c>
      <c r="L3475" s="46" t="str">
        <f t="shared" si="329"/>
        <v/>
      </c>
      <c r="M3475" t="str" cm="1">
        <f t="array" ref="M3475">IF(L3475="","",_xlfn.IFS(
  AND(L3475&gt;=TIME(9,0,0), L3475&lt;TIME(16,0,0)),"Morning",
  AND(L3475&gt;=TIME(16,0,0), L3475&lt;TIME(23,59,0)),"Evening",
  L3475&gt;=TIME(23,59,0),"Night",
  L3475&lt;TIME(9,0,0),"Night"
))</f>
        <v/>
      </c>
      <c r="O3475" t="str">
        <f t="shared" si="326"/>
        <v/>
      </c>
    </row>
    <row r="3476" spans="7:15" x14ac:dyDescent="0.25">
      <c r="G3476" t="str">
        <f t="shared" si="324"/>
        <v/>
      </c>
      <c r="H3476" s="13" t="str">
        <f t="shared" si="327"/>
        <v/>
      </c>
      <c r="I3476" t="str">
        <f>IFERROR(INDEX(Analysis!$D$116:$N$137, MATCH(B3476, Analysis!$C$116:$C$137, 0), MATCH(C3476, Analysis!$D$115:$N$115, 0)), "")</f>
        <v/>
      </c>
      <c r="J3476" t="str">
        <f t="shared" si="328"/>
        <v/>
      </c>
      <c r="K3476" s="28" t="str">
        <f t="shared" si="325"/>
        <v/>
      </c>
      <c r="L3476" s="46" t="str">
        <f t="shared" si="329"/>
        <v/>
      </c>
      <c r="M3476" t="str" cm="1">
        <f t="array" ref="M3476">IF(L3476="","",_xlfn.IFS(
  AND(L3476&gt;=TIME(9,0,0), L3476&lt;TIME(16,0,0)),"Morning",
  AND(L3476&gt;=TIME(16,0,0), L3476&lt;TIME(23,59,0)),"Evening",
  L3476&gt;=TIME(23,59,0),"Night",
  L3476&lt;TIME(9,0,0),"Night"
))</f>
        <v/>
      </c>
      <c r="O3476" t="str">
        <f t="shared" si="326"/>
        <v/>
      </c>
    </row>
    <row r="3477" spans="7:15" x14ac:dyDescent="0.25">
      <c r="G3477" t="str">
        <f t="shared" si="324"/>
        <v/>
      </c>
      <c r="H3477" s="13" t="str">
        <f t="shared" si="327"/>
        <v/>
      </c>
      <c r="I3477" t="str">
        <f>IFERROR(INDEX(Analysis!$D$116:$N$137, MATCH(B3477, Analysis!$C$116:$C$137, 0), MATCH(C3477, Analysis!$D$115:$N$115, 0)), "")</f>
        <v/>
      </c>
      <c r="J3477" t="str">
        <f t="shared" si="328"/>
        <v/>
      </c>
      <c r="K3477" s="28" t="str">
        <f t="shared" si="325"/>
        <v/>
      </c>
      <c r="L3477" s="46" t="str">
        <f t="shared" si="329"/>
        <v/>
      </c>
      <c r="M3477" t="str" cm="1">
        <f t="array" ref="M3477">IF(L3477="","",_xlfn.IFS(
  AND(L3477&gt;=TIME(9,0,0), L3477&lt;TIME(16,0,0)),"Morning",
  AND(L3477&gt;=TIME(16,0,0), L3477&lt;TIME(23,59,0)),"Evening",
  L3477&gt;=TIME(23,59,0),"Night",
  L3477&lt;TIME(9,0,0),"Night"
))</f>
        <v/>
      </c>
      <c r="O3477" t="str">
        <f t="shared" si="326"/>
        <v/>
      </c>
    </row>
    <row r="3478" spans="7:15" x14ac:dyDescent="0.25">
      <c r="G3478" t="str">
        <f t="shared" si="324"/>
        <v/>
      </c>
      <c r="H3478" s="13" t="str">
        <f t="shared" si="327"/>
        <v/>
      </c>
      <c r="I3478" t="str">
        <f>IFERROR(INDEX(Analysis!$D$116:$N$137, MATCH(B3478, Analysis!$C$116:$C$137, 0), MATCH(C3478, Analysis!$D$115:$N$115, 0)), "")</f>
        <v/>
      </c>
      <c r="J3478" t="str">
        <f t="shared" si="328"/>
        <v/>
      </c>
      <c r="K3478" s="28" t="str">
        <f t="shared" si="325"/>
        <v/>
      </c>
      <c r="L3478" s="46" t="str">
        <f t="shared" si="329"/>
        <v/>
      </c>
      <c r="M3478" t="str" cm="1">
        <f t="array" ref="M3478">IF(L3478="","",_xlfn.IFS(
  AND(L3478&gt;=TIME(9,0,0), L3478&lt;TIME(16,0,0)),"Morning",
  AND(L3478&gt;=TIME(16,0,0), L3478&lt;TIME(23,59,0)),"Evening",
  L3478&gt;=TIME(23,59,0),"Night",
  L3478&lt;TIME(9,0,0),"Night"
))</f>
        <v/>
      </c>
      <c r="O3478" t="str">
        <f t="shared" si="326"/>
        <v/>
      </c>
    </row>
    <row r="3479" spans="7:15" x14ac:dyDescent="0.25">
      <c r="G3479" t="str">
        <f t="shared" si="324"/>
        <v/>
      </c>
      <c r="H3479" s="13" t="str">
        <f t="shared" si="327"/>
        <v/>
      </c>
      <c r="I3479" t="str">
        <f>IFERROR(INDEX(Analysis!$D$116:$N$137, MATCH(B3479, Analysis!$C$116:$C$137, 0), MATCH(C3479, Analysis!$D$115:$N$115, 0)), "")</f>
        <v/>
      </c>
      <c r="J3479" t="str">
        <f t="shared" si="328"/>
        <v/>
      </c>
      <c r="K3479" s="28" t="str">
        <f t="shared" si="325"/>
        <v/>
      </c>
      <c r="L3479" s="46" t="str">
        <f t="shared" si="329"/>
        <v/>
      </c>
      <c r="M3479" t="str" cm="1">
        <f t="array" ref="M3479">IF(L3479="","",_xlfn.IFS(
  AND(L3479&gt;=TIME(9,0,0), L3479&lt;TIME(16,0,0)),"Morning",
  AND(L3479&gt;=TIME(16,0,0), L3479&lt;TIME(23,59,0)),"Evening",
  L3479&gt;=TIME(23,59,0),"Night",
  L3479&lt;TIME(9,0,0),"Night"
))</f>
        <v/>
      </c>
      <c r="O3479" t="str">
        <f t="shared" si="326"/>
        <v/>
      </c>
    </row>
    <row r="3480" spans="7:15" x14ac:dyDescent="0.25">
      <c r="G3480" t="str">
        <f t="shared" si="324"/>
        <v/>
      </c>
      <c r="H3480" s="13" t="str">
        <f t="shared" si="327"/>
        <v/>
      </c>
      <c r="I3480" t="str">
        <f>IFERROR(INDEX(Analysis!$D$116:$N$137, MATCH(B3480, Analysis!$C$116:$C$137, 0), MATCH(C3480, Analysis!$D$115:$N$115, 0)), "")</f>
        <v/>
      </c>
      <c r="J3480" t="str">
        <f t="shared" si="328"/>
        <v/>
      </c>
      <c r="K3480" s="28" t="str">
        <f t="shared" si="325"/>
        <v/>
      </c>
      <c r="L3480" s="46" t="str">
        <f t="shared" si="329"/>
        <v/>
      </c>
      <c r="M3480" t="str" cm="1">
        <f t="array" ref="M3480">IF(L3480="","",_xlfn.IFS(
  AND(L3480&gt;=TIME(9,0,0), L3480&lt;TIME(16,0,0)),"Morning",
  AND(L3480&gt;=TIME(16,0,0), L3480&lt;TIME(23,59,0)),"Evening",
  L3480&gt;=TIME(23,59,0),"Night",
  L3480&lt;TIME(9,0,0),"Night"
))</f>
        <v/>
      </c>
      <c r="O3480" t="str">
        <f t="shared" si="326"/>
        <v/>
      </c>
    </row>
    <row r="3481" spans="7:15" x14ac:dyDescent="0.25">
      <c r="G3481" t="str">
        <f t="shared" si="324"/>
        <v/>
      </c>
      <c r="H3481" s="13" t="str">
        <f t="shared" si="327"/>
        <v/>
      </c>
      <c r="I3481" t="str">
        <f>IFERROR(INDEX(Analysis!$D$116:$N$137, MATCH(B3481, Analysis!$C$116:$C$137, 0), MATCH(C3481, Analysis!$D$115:$N$115, 0)), "")</f>
        <v/>
      </c>
      <c r="J3481" t="str">
        <f t="shared" si="328"/>
        <v/>
      </c>
      <c r="K3481" s="28" t="str">
        <f t="shared" si="325"/>
        <v/>
      </c>
      <c r="L3481" s="46" t="str">
        <f t="shared" si="329"/>
        <v/>
      </c>
      <c r="M3481" t="str" cm="1">
        <f t="array" ref="M3481">IF(L3481="","",_xlfn.IFS(
  AND(L3481&gt;=TIME(9,0,0), L3481&lt;TIME(16,0,0)),"Morning",
  AND(L3481&gt;=TIME(16,0,0), L3481&lt;TIME(23,59,0)),"Evening",
  L3481&gt;=TIME(23,59,0),"Night",
  L3481&lt;TIME(9,0,0),"Night"
))</f>
        <v/>
      </c>
      <c r="O3481" t="str">
        <f t="shared" si="326"/>
        <v/>
      </c>
    </row>
    <row r="3482" spans="7:15" x14ac:dyDescent="0.25">
      <c r="G3482" t="str">
        <f t="shared" si="324"/>
        <v/>
      </c>
      <c r="H3482" s="13" t="str">
        <f t="shared" si="327"/>
        <v/>
      </c>
      <c r="I3482" t="str">
        <f>IFERROR(INDEX(Analysis!$D$116:$N$137, MATCH(B3482, Analysis!$C$116:$C$137, 0), MATCH(C3482, Analysis!$D$115:$N$115, 0)), "")</f>
        <v/>
      </c>
      <c r="J3482" t="str">
        <f t="shared" si="328"/>
        <v/>
      </c>
      <c r="K3482" s="28" t="str">
        <f t="shared" si="325"/>
        <v/>
      </c>
      <c r="L3482" s="46" t="str">
        <f t="shared" si="329"/>
        <v/>
      </c>
      <c r="M3482" t="str" cm="1">
        <f t="array" ref="M3482">IF(L3482="","",_xlfn.IFS(
  AND(L3482&gt;=TIME(9,0,0), L3482&lt;TIME(16,0,0)),"Morning",
  AND(L3482&gt;=TIME(16,0,0), L3482&lt;TIME(23,59,0)),"Evening",
  L3482&gt;=TIME(23,59,0),"Night",
  L3482&lt;TIME(9,0,0),"Night"
))</f>
        <v/>
      </c>
      <c r="O3482" t="str">
        <f t="shared" si="326"/>
        <v/>
      </c>
    </row>
    <row r="3483" spans="7:15" x14ac:dyDescent="0.25">
      <c r="G3483" t="str">
        <f t="shared" si="324"/>
        <v/>
      </c>
      <c r="H3483" s="13" t="str">
        <f t="shared" si="327"/>
        <v/>
      </c>
      <c r="I3483" t="str">
        <f>IFERROR(INDEX(Analysis!$D$116:$N$137, MATCH(B3483, Analysis!$C$116:$C$137, 0), MATCH(C3483, Analysis!$D$115:$N$115, 0)), "")</f>
        <v/>
      </c>
      <c r="J3483" t="str">
        <f t="shared" si="328"/>
        <v/>
      </c>
      <c r="K3483" s="28" t="str">
        <f t="shared" si="325"/>
        <v/>
      </c>
      <c r="L3483" s="46" t="str">
        <f t="shared" si="329"/>
        <v/>
      </c>
      <c r="M3483" t="str" cm="1">
        <f t="array" ref="M3483">IF(L3483="","",_xlfn.IFS(
  AND(L3483&gt;=TIME(9,0,0), L3483&lt;TIME(16,0,0)),"Morning",
  AND(L3483&gt;=TIME(16,0,0), L3483&lt;TIME(23,59,0)),"Evening",
  L3483&gt;=TIME(23,59,0),"Night",
  L3483&lt;TIME(9,0,0),"Night"
))</f>
        <v/>
      </c>
      <c r="O3483" t="str">
        <f t="shared" si="326"/>
        <v/>
      </c>
    </row>
    <row r="3484" spans="7:15" x14ac:dyDescent="0.25">
      <c r="G3484" t="str">
        <f t="shared" si="324"/>
        <v/>
      </c>
      <c r="H3484" s="13" t="str">
        <f t="shared" si="327"/>
        <v/>
      </c>
      <c r="I3484" t="str">
        <f>IFERROR(INDEX(Analysis!$D$116:$N$137, MATCH(B3484, Analysis!$C$116:$C$137, 0), MATCH(C3484, Analysis!$D$115:$N$115, 0)), "")</f>
        <v/>
      </c>
      <c r="J3484" t="str">
        <f t="shared" si="328"/>
        <v/>
      </c>
      <c r="K3484" s="28" t="str">
        <f t="shared" si="325"/>
        <v/>
      </c>
      <c r="L3484" s="46" t="str">
        <f t="shared" si="329"/>
        <v/>
      </c>
      <c r="M3484" t="str" cm="1">
        <f t="array" ref="M3484">IF(L3484="","",_xlfn.IFS(
  AND(L3484&gt;=TIME(9,0,0), L3484&lt;TIME(16,0,0)),"Morning",
  AND(L3484&gt;=TIME(16,0,0), L3484&lt;TIME(23,59,0)),"Evening",
  L3484&gt;=TIME(23,59,0),"Night",
  L3484&lt;TIME(9,0,0),"Night"
))</f>
        <v/>
      </c>
      <c r="O3484" t="str">
        <f t="shared" si="326"/>
        <v/>
      </c>
    </row>
    <row r="3485" spans="7:15" x14ac:dyDescent="0.25">
      <c r="G3485" t="str">
        <f t="shared" si="324"/>
        <v/>
      </c>
      <c r="H3485" s="13" t="str">
        <f t="shared" si="327"/>
        <v/>
      </c>
      <c r="I3485" t="str">
        <f>IFERROR(INDEX(Analysis!$D$116:$N$137, MATCH(B3485, Analysis!$C$116:$C$137, 0), MATCH(C3485, Analysis!$D$115:$N$115, 0)), "")</f>
        <v/>
      </c>
      <c r="J3485" t="str">
        <f t="shared" si="328"/>
        <v/>
      </c>
      <c r="K3485" s="28" t="str">
        <f t="shared" si="325"/>
        <v/>
      </c>
      <c r="L3485" s="46" t="str">
        <f t="shared" si="329"/>
        <v/>
      </c>
      <c r="M3485" t="str" cm="1">
        <f t="array" ref="M3485">IF(L3485="","",_xlfn.IFS(
  AND(L3485&gt;=TIME(9,0,0), L3485&lt;TIME(16,0,0)),"Morning",
  AND(L3485&gt;=TIME(16,0,0), L3485&lt;TIME(23,59,0)),"Evening",
  L3485&gt;=TIME(23,59,0),"Night",
  L3485&lt;TIME(9,0,0),"Night"
))</f>
        <v/>
      </c>
      <c r="O3485" t="str">
        <f t="shared" si="326"/>
        <v/>
      </c>
    </row>
    <row r="3486" spans="7:15" x14ac:dyDescent="0.25">
      <c r="G3486" t="str">
        <f t="shared" si="324"/>
        <v/>
      </c>
      <c r="H3486" s="13" t="str">
        <f t="shared" si="327"/>
        <v/>
      </c>
      <c r="I3486" t="str">
        <f>IFERROR(INDEX(Analysis!$D$116:$N$137, MATCH(B3486, Analysis!$C$116:$C$137, 0), MATCH(C3486, Analysis!$D$115:$N$115, 0)), "")</f>
        <v/>
      </c>
      <c r="J3486" t="str">
        <f t="shared" si="328"/>
        <v/>
      </c>
      <c r="K3486" s="28" t="str">
        <f t="shared" si="325"/>
        <v/>
      </c>
      <c r="L3486" s="46" t="str">
        <f t="shared" si="329"/>
        <v/>
      </c>
      <c r="M3486" t="str" cm="1">
        <f t="array" ref="M3486">IF(L3486="","",_xlfn.IFS(
  AND(L3486&gt;=TIME(9,0,0), L3486&lt;TIME(16,0,0)),"Morning",
  AND(L3486&gt;=TIME(16,0,0), L3486&lt;TIME(23,59,0)),"Evening",
  L3486&gt;=TIME(23,59,0),"Night",
  L3486&lt;TIME(9,0,0),"Night"
))</f>
        <v/>
      </c>
      <c r="O3486" t="str">
        <f t="shared" si="326"/>
        <v/>
      </c>
    </row>
    <row r="3487" spans="7:15" x14ac:dyDescent="0.25">
      <c r="G3487" t="str">
        <f t="shared" si="324"/>
        <v/>
      </c>
      <c r="H3487" s="13" t="str">
        <f t="shared" si="327"/>
        <v/>
      </c>
      <c r="I3487" t="str">
        <f>IFERROR(INDEX(Analysis!$D$116:$N$137, MATCH(B3487, Analysis!$C$116:$C$137, 0), MATCH(C3487, Analysis!$D$115:$N$115, 0)), "")</f>
        <v/>
      </c>
      <c r="J3487" t="str">
        <f t="shared" si="328"/>
        <v/>
      </c>
      <c r="K3487" s="28" t="str">
        <f t="shared" si="325"/>
        <v/>
      </c>
      <c r="L3487" s="46" t="str">
        <f t="shared" si="329"/>
        <v/>
      </c>
      <c r="M3487" t="str" cm="1">
        <f t="array" ref="M3487">IF(L3487="","",_xlfn.IFS(
  AND(L3487&gt;=TIME(9,0,0), L3487&lt;TIME(16,0,0)),"Morning",
  AND(L3487&gt;=TIME(16,0,0), L3487&lt;TIME(23,59,0)),"Evening",
  L3487&gt;=TIME(23,59,0),"Night",
  L3487&lt;TIME(9,0,0),"Night"
))</f>
        <v/>
      </c>
      <c r="O3487" t="str">
        <f t="shared" si="326"/>
        <v/>
      </c>
    </row>
    <row r="3488" spans="7:15" x14ac:dyDescent="0.25">
      <c r="G3488" t="str">
        <f t="shared" si="324"/>
        <v/>
      </c>
      <c r="H3488" s="13" t="str">
        <f t="shared" si="327"/>
        <v/>
      </c>
      <c r="I3488" t="str">
        <f>IFERROR(INDEX(Analysis!$D$116:$N$137, MATCH(B3488, Analysis!$C$116:$C$137, 0), MATCH(C3488, Analysis!$D$115:$N$115, 0)), "")</f>
        <v/>
      </c>
      <c r="J3488" t="str">
        <f t="shared" si="328"/>
        <v/>
      </c>
      <c r="K3488" s="28" t="str">
        <f t="shared" si="325"/>
        <v/>
      </c>
      <c r="L3488" s="46" t="str">
        <f t="shared" si="329"/>
        <v/>
      </c>
      <c r="M3488" t="str" cm="1">
        <f t="array" ref="M3488">IF(L3488="","",_xlfn.IFS(
  AND(L3488&gt;=TIME(9,0,0), L3488&lt;TIME(16,0,0)),"Morning",
  AND(L3488&gt;=TIME(16,0,0), L3488&lt;TIME(23,59,0)),"Evening",
  L3488&gt;=TIME(23,59,0),"Night",
  L3488&lt;TIME(9,0,0),"Night"
))</f>
        <v/>
      </c>
      <c r="O3488" t="str">
        <f t="shared" si="326"/>
        <v/>
      </c>
    </row>
    <row r="3489" spans="7:15" x14ac:dyDescent="0.25">
      <c r="G3489" t="str">
        <f t="shared" si="324"/>
        <v/>
      </c>
      <c r="H3489" s="13" t="str">
        <f t="shared" si="327"/>
        <v/>
      </c>
      <c r="I3489" t="str">
        <f>IFERROR(INDEX(Analysis!$D$116:$N$137, MATCH(B3489, Analysis!$C$116:$C$137, 0), MATCH(C3489, Analysis!$D$115:$N$115, 0)), "")</f>
        <v/>
      </c>
      <c r="J3489" t="str">
        <f t="shared" si="328"/>
        <v/>
      </c>
      <c r="K3489" s="28" t="str">
        <f t="shared" si="325"/>
        <v/>
      </c>
      <c r="L3489" s="46" t="str">
        <f t="shared" si="329"/>
        <v/>
      </c>
      <c r="M3489" t="str" cm="1">
        <f t="array" ref="M3489">IF(L3489="","",_xlfn.IFS(
  AND(L3489&gt;=TIME(9,0,0), L3489&lt;TIME(16,0,0)),"Morning",
  AND(L3489&gt;=TIME(16,0,0), L3489&lt;TIME(23,59,0)),"Evening",
  L3489&gt;=TIME(23,59,0),"Night",
  L3489&lt;TIME(9,0,0),"Night"
))</f>
        <v/>
      </c>
      <c r="O3489" t="str">
        <f t="shared" si="326"/>
        <v/>
      </c>
    </row>
    <row r="3490" spans="7:15" x14ac:dyDescent="0.25">
      <c r="G3490" t="str">
        <f t="shared" si="324"/>
        <v/>
      </c>
      <c r="H3490" s="13" t="str">
        <f t="shared" si="327"/>
        <v/>
      </c>
      <c r="I3490" t="str">
        <f>IFERROR(INDEX(Analysis!$D$116:$N$137, MATCH(B3490, Analysis!$C$116:$C$137, 0), MATCH(C3490, Analysis!$D$115:$N$115, 0)), "")</f>
        <v/>
      </c>
      <c r="J3490" t="str">
        <f t="shared" si="328"/>
        <v/>
      </c>
      <c r="K3490" s="28" t="str">
        <f t="shared" si="325"/>
        <v/>
      </c>
      <c r="L3490" s="46" t="str">
        <f t="shared" si="329"/>
        <v/>
      </c>
      <c r="M3490" t="str" cm="1">
        <f t="array" ref="M3490">IF(L3490="","",_xlfn.IFS(
  AND(L3490&gt;=TIME(9,0,0), L3490&lt;TIME(16,0,0)),"Morning",
  AND(L3490&gt;=TIME(16,0,0), L3490&lt;TIME(23,59,0)),"Evening",
  L3490&gt;=TIME(23,59,0),"Night",
  L3490&lt;TIME(9,0,0),"Night"
))</f>
        <v/>
      </c>
      <c r="O3490" t="str">
        <f t="shared" si="326"/>
        <v/>
      </c>
    </row>
    <row r="3491" spans="7:15" x14ac:dyDescent="0.25">
      <c r="G3491" t="str">
        <f t="shared" si="324"/>
        <v/>
      </c>
      <c r="H3491" s="13" t="str">
        <f t="shared" si="327"/>
        <v/>
      </c>
      <c r="I3491" t="str">
        <f>IFERROR(INDEX(Analysis!$D$116:$N$137, MATCH(B3491, Analysis!$C$116:$C$137, 0), MATCH(C3491, Analysis!$D$115:$N$115, 0)), "")</f>
        <v/>
      </c>
      <c r="J3491" t="str">
        <f t="shared" si="328"/>
        <v/>
      </c>
      <c r="K3491" s="28" t="str">
        <f t="shared" si="325"/>
        <v/>
      </c>
      <c r="L3491" s="46" t="str">
        <f t="shared" si="329"/>
        <v/>
      </c>
      <c r="M3491" t="str" cm="1">
        <f t="array" ref="M3491">IF(L3491="","",_xlfn.IFS(
  AND(L3491&gt;=TIME(9,0,0), L3491&lt;TIME(16,0,0)),"Morning",
  AND(L3491&gt;=TIME(16,0,0), L3491&lt;TIME(23,59,0)),"Evening",
  L3491&gt;=TIME(23,59,0),"Night",
  L3491&lt;TIME(9,0,0),"Night"
))</f>
        <v/>
      </c>
      <c r="O3491" t="str">
        <f t="shared" si="326"/>
        <v/>
      </c>
    </row>
    <row r="3492" spans="7:15" x14ac:dyDescent="0.25">
      <c r="G3492" t="str">
        <f t="shared" si="324"/>
        <v/>
      </c>
      <c r="H3492" s="13" t="str">
        <f t="shared" si="327"/>
        <v/>
      </c>
      <c r="I3492" t="str">
        <f>IFERROR(INDEX(Analysis!$D$116:$N$137, MATCH(B3492, Analysis!$C$116:$C$137, 0), MATCH(C3492, Analysis!$D$115:$N$115, 0)), "")</f>
        <v/>
      </c>
      <c r="J3492" t="str">
        <f t="shared" si="328"/>
        <v/>
      </c>
      <c r="K3492" s="28" t="str">
        <f t="shared" si="325"/>
        <v/>
      </c>
      <c r="L3492" s="46" t="str">
        <f t="shared" si="329"/>
        <v/>
      </c>
      <c r="M3492" t="str" cm="1">
        <f t="array" ref="M3492">IF(L3492="","",_xlfn.IFS(
  AND(L3492&gt;=TIME(9,0,0), L3492&lt;TIME(16,0,0)),"Morning",
  AND(L3492&gt;=TIME(16,0,0), L3492&lt;TIME(23,59,0)),"Evening",
  L3492&gt;=TIME(23,59,0),"Night",
  L3492&lt;TIME(9,0,0),"Night"
))</f>
        <v/>
      </c>
      <c r="O3492" t="str">
        <f t="shared" si="326"/>
        <v/>
      </c>
    </row>
    <row r="3493" spans="7:15" x14ac:dyDescent="0.25">
      <c r="G3493" t="str">
        <f t="shared" si="324"/>
        <v/>
      </c>
      <c r="H3493" s="13" t="str">
        <f t="shared" si="327"/>
        <v/>
      </c>
      <c r="I3493" t="str">
        <f>IFERROR(INDEX(Analysis!$D$116:$N$137, MATCH(B3493, Analysis!$C$116:$C$137, 0), MATCH(C3493, Analysis!$D$115:$N$115, 0)), "")</f>
        <v/>
      </c>
      <c r="J3493" t="str">
        <f t="shared" si="328"/>
        <v/>
      </c>
      <c r="K3493" s="28" t="str">
        <f t="shared" si="325"/>
        <v/>
      </c>
      <c r="L3493" s="46" t="str">
        <f t="shared" si="329"/>
        <v/>
      </c>
      <c r="M3493" t="str" cm="1">
        <f t="array" ref="M3493">IF(L3493="","",_xlfn.IFS(
  AND(L3493&gt;=TIME(9,0,0), L3493&lt;TIME(16,0,0)),"Morning",
  AND(L3493&gt;=TIME(16,0,0), L3493&lt;TIME(23,59,0)),"Evening",
  L3493&gt;=TIME(23,59,0),"Night",
  L3493&lt;TIME(9,0,0),"Night"
))</f>
        <v/>
      </c>
      <c r="O3493" t="str">
        <f t="shared" si="326"/>
        <v/>
      </c>
    </row>
    <row r="3494" spans="7:15" x14ac:dyDescent="0.25">
      <c r="G3494" t="str">
        <f t="shared" si="324"/>
        <v/>
      </c>
      <c r="H3494" s="13" t="str">
        <f t="shared" si="327"/>
        <v/>
      </c>
      <c r="I3494" t="str">
        <f>IFERROR(INDEX(Analysis!$D$116:$N$137, MATCH(B3494, Analysis!$C$116:$C$137, 0), MATCH(C3494, Analysis!$D$115:$N$115, 0)), "")</f>
        <v/>
      </c>
      <c r="J3494" t="str">
        <f t="shared" si="328"/>
        <v/>
      </c>
      <c r="K3494" s="28" t="str">
        <f t="shared" si="325"/>
        <v/>
      </c>
      <c r="L3494" s="46" t="str">
        <f t="shared" si="329"/>
        <v/>
      </c>
      <c r="M3494" t="str" cm="1">
        <f t="array" ref="M3494">IF(L3494="","",_xlfn.IFS(
  AND(L3494&gt;=TIME(9,0,0), L3494&lt;TIME(16,0,0)),"Morning",
  AND(L3494&gt;=TIME(16,0,0), L3494&lt;TIME(23,59,0)),"Evening",
  L3494&gt;=TIME(23,59,0),"Night",
  L3494&lt;TIME(9,0,0),"Night"
))</f>
        <v/>
      </c>
      <c r="O3494" t="str">
        <f t="shared" si="326"/>
        <v/>
      </c>
    </row>
    <row r="3495" spans="7:15" x14ac:dyDescent="0.25">
      <c r="G3495" t="str">
        <f t="shared" si="324"/>
        <v/>
      </c>
      <c r="H3495" s="13" t="str">
        <f t="shared" si="327"/>
        <v/>
      </c>
      <c r="I3495" t="str">
        <f>IFERROR(INDEX(Analysis!$D$116:$N$137, MATCH(B3495, Analysis!$C$116:$C$137, 0), MATCH(C3495, Analysis!$D$115:$N$115, 0)), "")</f>
        <v/>
      </c>
      <c r="J3495" t="str">
        <f t="shared" si="328"/>
        <v/>
      </c>
      <c r="K3495" s="28" t="str">
        <f t="shared" si="325"/>
        <v/>
      </c>
      <c r="L3495" s="46" t="str">
        <f t="shared" si="329"/>
        <v/>
      </c>
      <c r="M3495" t="str" cm="1">
        <f t="array" ref="M3495">IF(L3495="","",_xlfn.IFS(
  AND(L3495&gt;=TIME(9,0,0), L3495&lt;TIME(16,0,0)),"Morning",
  AND(L3495&gt;=TIME(16,0,0), L3495&lt;TIME(23,59,0)),"Evening",
  L3495&gt;=TIME(23,59,0),"Night",
  L3495&lt;TIME(9,0,0),"Night"
))</f>
        <v/>
      </c>
      <c r="O3495" t="str">
        <f t="shared" si="326"/>
        <v/>
      </c>
    </row>
    <row r="3496" spans="7:15" x14ac:dyDescent="0.25">
      <c r="G3496" t="str">
        <f t="shared" si="324"/>
        <v/>
      </c>
      <c r="H3496" s="13" t="str">
        <f t="shared" si="327"/>
        <v/>
      </c>
      <c r="I3496" t="str">
        <f>IFERROR(INDEX(Analysis!$D$116:$N$137, MATCH(B3496, Analysis!$C$116:$C$137, 0), MATCH(C3496, Analysis!$D$115:$N$115, 0)), "")</f>
        <v/>
      </c>
      <c r="J3496" t="str">
        <f t="shared" si="328"/>
        <v/>
      </c>
      <c r="K3496" s="28" t="str">
        <f t="shared" si="325"/>
        <v/>
      </c>
      <c r="L3496" s="46" t="str">
        <f t="shared" si="329"/>
        <v/>
      </c>
      <c r="M3496" t="str" cm="1">
        <f t="array" ref="M3496">IF(L3496="","",_xlfn.IFS(
  AND(L3496&gt;=TIME(9,0,0), L3496&lt;TIME(16,0,0)),"Morning",
  AND(L3496&gt;=TIME(16,0,0), L3496&lt;TIME(23,59,0)),"Evening",
  L3496&gt;=TIME(23,59,0),"Night",
  L3496&lt;TIME(9,0,0),"Night"
))</f>
        <v/>
      </c>
      <c r="O3496" t="str">
        <f t="shared" si="326"/>
        <v/>
      </c>
    </row>
    <row r="3497" spans="7:15" x14ac:dyDescent="0.25">
      <c r="G3497" t="str">
        <f t="shared" si="324"/>
        <v/>
      </c>
      <c r="H3497" s="13" t="str">
        <f t="shared" si="327"/>
        <v/>
      </c>
      <c r="I3497" t="str">
        <f>IFERROR(INDEX(Analysis!$D$116:$N$137, MATCH(B3497, Analysis!$C$116:$C$137, 0), MATCH(C3497, Analysis!$D$115:$N$115, 0)), "")</f>
        <v/>
      </c>
      <c r="J3497" t="str">
        <f t="shared" si="328"/>
        <v/>
      </c>
      <c r="K3497" s="28" t="str">
        <f t="shared" si="325"/>
        <v/>
      </c>
      <c r="L3497" s="46" t="str">
        <f t="shared" si="329"/>
        <v/>
      </c>
      <c r="M3497" t="str" cm="1">
        <f t="array" ref="M3497">IF(L3497="","",_xlfn.IFS(
  AND(L3497&gt;=TIME(9,0,0), L3497&lt;TIME(16,0,0)),"Morning",
  AND(L3497&gt;=TIME(16,0,0), L3497&lt;TIME(23,59,0)),"Evening",
  L3497&gt;=TIME(23,59,0),"Night",
  L3497&lt;TIME(9,0,0),"Night"
))</f>
        <v/>
      </c>
      <c r="O3497" t="str">
        <f t="shared" si="326"/>
        <v/>
      </c>
    </row>
    <row r="3498" spans="7:15" x14ac:dyDescent="0.25">
      <c r="G3498" t="str">
        <f t="shared" si="324"/>
        <v/>
      </c>
      <c r="H3498" s="13" t="str">
        <f t="shared" si="327"/>
        <v/>
      </c>
      <c r="I3498" t="str">
        <f>IFERROR(INDEX(Analysis!$D$116:$N$137, MATCH(B3498, Analysis!$C$116:$C$137, 0), MATCH(C3498, Analysis!$D$115:$N$115, 0)), "")</f>
        <v/>
      </c>
      <c r="J3498" t="str">
        <f t="shared" si="328"/>
        <v/>
      </c>
      <c r="K3498" s="28" t="str">
        <f t="shared" si="325"/>
        <v/>
      </c>
      <c r="L3498" s="46" t="str">
        <f t="shared" si="329"/>
        <v/>
      </c>
      <c r="M3498" t="str" cm="1">
        <f t="array" ref="M3498">IF(L3498="","",_xlfn.IFS(
  AND(L3498&gt;=TIME(9,0,0), L3498&lt;TIME(16,0,0)),"Morning",
  AND(L3498&gt;=TIME(16,0,0), L3498&lt;TIME(23,59,0)),"Evening",
  L3498&gt;=TIME(23,59,0),"Night",
  L3498&lt;TIME(9,0,0),"Night"
))</f>
        <v/>
      </c>
      <c r="O3498" t="str">
        <f t="shared" si="326"/>
        <v/>
      </c>
    </row>
    <row r="3499" spans="7:15" x14ac:dyDescent="0.25">
      <c r="G3499" t="str">
        <f t="shared" si="324"/>
        <v/>
      </c>
      <c r="H3499" s="13" t="str">
        <f t="shared" si="327"/>
        <v/>
      </c>
      <c r="I3499" t="str">
        <f>IFERROR(INDEX(Analysis!$D$116:$N$137, MATCH(B3499, Analysis!$C$116:$C$137, 0), MATCH(C3499, Analysis!$D$115:$N$115, 0)), "")</f>
        <v/>
      </c>
      <c r="J3499" t="str">
        <f t="shared" si="328"/>
        <v/>
      </c>
      <c r="K3499" s="28" t="str">
        <f t="shared" si="325"/>
        <v/>
      </c>
      <c r="L3499" s="46" t="str">
        <f t="shared" si="329"/>
        <v/>
      </c>
      <c r="M3499" t="str" cm="1">
        <f t="array" ref="M3499">IF(L3499="","",_xlfn.IFS(
  AND(L3499&gt;=TIME(9,0,0), L3499&lt;TIME(16,0,0)),"Morning",
  AND(L3499&gt;=TIME(16,0,0), L3499&lt;TIME(23,59,0)),"Evening",
  L3499&gt;=TIME(23,59,0),"Night",
  L3499&lt;TIME(9,0,0),"Night"
))</f>
        <v/>
      </c>
      <c r="O3499" t="str">
        <f t="shared" si="326"/>
        <v/>
      </c>
    </row>
    <row r="3500" spans="7:15" x14ac:dyDescent="0.25">
      <c r="G3500" t="str">
        <f t="shared" si="324"/>
        <v/>
      </c>
      <c r="H3500" s="13" t="str">
        <f t="shared" si="327"/>
        <v/>
      </c>
      <c r="I3500" t="str">
        <f>IFERROR(INDEX(Analysis!$D$116:$N$137, MATCH(B3500, Analysis!$C$116:$C$137, 0), MATCH(C3500, Analysis!$D$115:$N$115, 0)), "")</f>
        <v/>
      </c>
      <c r="J3500" t="str">
        <f t="shared" si="328"/>
        <v/>
      </c>
      <c r="K3500" s="28" t="str">
        <f t="shared" si="325"/>
        <v/>
      </c>
      <c r="L3500" s="46" t="str">
        <f t="shared" si="329"/>
        <v/>
      </c>
      <c r="M3500" t="str" cm="1">
        <f t="array" ref="M3500">IF(L3500="","",_xlfn.IFS(
  AND(L3500&gt;=TIME(9,0,0), L3500&lt;TIME(16,0,0)),"Morning",
  AND(L3500&gt;=TIME(16,0,0), L3500&lt;TIME(23,59,0)),"Evening",
  L3500&gt;=TIME(23,59,0),"Night",
  L3500&lt;TIME(9,0,0),"Night"
))</f>
        <v/>
      </c>
      <c r="O3500" t="str">
        <f t="shared" si="326"/>
        <v/>
      </c>
    </row>
    <row r="3501" spans="7:15" x14ac:dyDescent="0.25">
      <c r="G3501" t="str">
        <f t="shared" si="324"/>
        <v/>
      </c>
      <c r="H3501" s="13" t="str">
        <f t="shared" si="327"/>
        <v/>
      </c>
      <c r="I3501" t="str">
        <f>IFERROR(INDEX(Analysis!$D$116:$N$137, MATCH(B3501, Analysis!$C$116:$C$137, 0), MATCH(C3501, Analysis!$D$115:$N$115, 0)), "")</f>
        <v/>
      </c>
      <c r="J3501" t="str">
        <f t="shared" si="328"/>
        <v/>
      </c>
      <c r="K3501" s="28" t="str">
        <f t="shared" si="325"/>
        <v/>
      </c>
      <c r="L3501" s="46" t="str">
        <f t="shared" si="329"/>
        <v/>
      </c>
      <c r="M3501" t="str" cm="1">
        <f t="array" ref="M3501">IF(L3501="","",_xlfn.IFS(
  AND(L3501&gt;=TIME(9,0,0), L3501&lt;TIME(16,0,0)),"Morning",
  AND(L3501&gt;=TIME(16,0,0), L3501&lt;TIME(23,59,0)),"Evening",
  L3501&gt;=TIME(23,59,0),"Night",
  L3501&lt;TIME(9,0,0),"Night"
))</f>
        <v/>
      </c>
      <c r="O3501" t="str">
        <f t="shared" si="326"/>
        <v/>
      </c>
    </row>
    <row r="3502" spans="7:15" x14ac:dyDescent="0.25">
      <c r="G3502" t="str">
        <f t="shared" si="324"/>
        <v/>
      </c>
      <c r="H3502" s="13" t="str">
        <f t="shared" si="327"/>
        <v/>
      </c>
      <c r="I3502" t="str">
        <f>IFERROR(INDEX(Analysis!$D$116:$N$137, MATCH(B3502, Analysis!$C$116:$C$137, 0), MATCH(C3502, Analysis!$D$115:$N$115, 0)), "")</f>
        <v/>
      </c>
      <c r="J3502" t="str">
        <f t="shared" si="328"/>
        <v/>
      </c>
      <c r="K3502" s="28" t="str">
        <f t="shared" si="325"/>
        <v/>
      </c>
      <c r="L3502" s="46" t="str">
        <f t="shared" si="329"/>
        <v/>
      </c>
      <c r="M3502" t="str" cm="1">
        <f t="array" ref="M3502">IF(L3502="","",_xlfn.IFS(
  AND(L3502&gt;=TIME(9,0,0), L3502&lt;TIME(16,0,0)),"Morning",
  AND(L3502&gt;=TIME(16,0,0), L3502&lt;TIME(23,59,0)),"Evening",
  L3502&gt;=TIME(23,59,0),"Night",
  L3502&lt;TIME(9,0,0),"Night"
))</f>
        <v/>
      </c>
      <c r="O3502" t="str">
        <f t="shared" si="326"/>
        <v/>
      </c>
    </row>
    <row r="3503" spans="7:15" x14ac:dyDescent="0.25">
      <c r="G3503" t="str">
        <f t="shared" si="324"/>
        <v/>
      </c>
      <c r="H3503" s="13" t="str">
        <f t="shared" si="327"/>
        <v/>
      </c>
      <c r="I3503" t="str">
        <f>IFERROR(INDEX(Analysis!$D$116:$N$137, MATCH(B3503, Analysis!$C$116:$C$137, 0), MATCH(C3503, Analysis!$D$115:$N$115, 0)), "")</f>
        <v/>
      </c>
      <c r="J3503" t="str">
        <f t="shared" si="328"/>
        <v/>
      </c>
      <c r="K3503" s="28" t="str">
        <f t="shared" si="325"/>
        <v/>
      </c>
      <c r="L3503" s="46" t="str">
        <f t="shared" si="329"/>
        <v/>
      </c>
      <c r="M3503" t="str" cm="1">
        <f t="array" ref="M3503">IF(L3503="","",_xlfn.IFS(
  AND(L3503&gt;=TIME(9,0,0), L3503&lt;TIME(16,0,0)),"Morning",
  AND(L3503&gt;=TIME(16,0,0), L3503&lt;TIME(23,59,0)),"Evening",
  L3503&gt;=TIME(23,59,0),"Night",
  L3503&lt;TIME(9,0,0),"Night"
))</f>
        <v/>
      </c>
      <c r="O3503" t="str">
        <f t="shared" si="326"/>
        <v/>
      </c>
    </row>
    <row r="3504" spans="7:15" x14ac:dyDescent="0.25">
      <c r="G3504" t="str">
        <f t="shared" si="324"/>
        <v/>
      </c>
      <c r="H3504" s="13" t="str">
        <f t="shared" si="327"/>
        <v/>
      </c>
      <c r="I3504" t="str">
        <f>IFERROR(INDEX(Analysis!$D$116:$N$137, MATCH(B3504, Analysis!$C$116:$C$137, 0), MATCH(C3504, Analysis!$D$115:$N$115, 0)), "")</f>
        <v/>
      </c>
      <c r="J3504" t="str">
        <f t="shared" si="328"/>
        <v/>
      </c>
      <c r="K3504" s="28" t="str">
        <f t="shared" si="325"/>
        <v/>
      </c>
      <c r="L3504" s="46" t="str">
        <f t="shared" si="329"/>
        <v/>
      </c>
      <c r="M3504" t="str" cm="1">
        <f t="array" ref="M3504">IF(L3504="","",_xlfn.IFS(
  AND(L3504&gt;=TIME(9,0,0), L3504&lt;TIME(16,0,0)),"Morning",
  AND(L3504&gt;=TIME(16,0,0), L3504&lt;TIME(23,59,0)),"Evening",
  L3504&gt;=TIME(23,59,0),"Night",
  L3504&lt;TIME(9,0,0),"Night"
))</f>
        <v/>
      </c>
      <c r="O3504" t="str">
        <f t="shared" si="326"/>
        <v/>
      </c>
    </row>
    <row r="3505" spans="7:15" x14ac:dyDescent="0.25">
      <c r="G3505" t="str">
        <f t="shared" si="324"/>
        <v/>
      </c>
      <c r="H3505" s="13" t="str">
        <f t="shared" si="327"/>
        <v/>
      </c>
      <c r="I3505" t="str">
        <f>IFERROR(INDEX(Analysis!$D$116:$N$137, MATCH(B3505, Analysis!$C$116:$C$137, 0), MATCH(C3505, Analysis!$D$115:$N$115, 0)), "")</f>
        <v/>
      </c>
      <c r="J3505" t="str">
        <f t="shared" si="328"/>
        <v/>
      </c>
      <c r="K3505" s="28" t="str">
        <f t="shared" si="325"/>
        <v/>
      </c>
      <c r="L3505" s="46" t="str">
        <f t="shared" si="329"/>
        <v/>
      </c>
      <c r="M3505" t="str" cm="1">
        <f t="array" ref="M3505">IF(L3505="","",_xlfn.IFS(
  AND(L3505&gt;=TIME(9,0,0), L3505&lt;TIME(16,0,0)),"Morning",
  AND(L3505&gt;=TIME(16,0,0), L3505&lt;TIME(23,59,0)),"Evening",
  L3505&gt;=TIME(23,59,0),"Night",
  L3505&lt;TIME(9,0,0),"Night"
))</f>
        <v/>
      </c>
      <c r="O3505" t="str">
        <f t="shared" si="326"/>
        <v/>
      </c>
    </row>
    <row r="3506" spans="7:15" x14ac:dyDescent="0.25">
      <c r="G3506" t="str">
        <f t="shared" si="324"/>
        <v/>
      </c>
      <c r="H3506" s="13" t="str">
        <f t="shared" si="327"/>
        <v/>
      </c>
      <c r="I3506" t="str">
        <f>IFERROR(INDEX(Analysis!$D$116:$N$137, MATCH(B3506, Analysis!$C$116:$C$137, 0), MATCH(C3506, Analysis!$D$115:$N$115, 0)), "")</f>
        <v/>
      </c>
      <c r="J3506" t="str">
        <f t="shared" si="328"/>
        <v/>
      </c>
      <c r="K3506" s="28" t="str">
        <f t="shared" si="325"/>
        <v/>
      </c>
      <c r="L3506" s="46" t="str">
        <f t="shared" si="329"/>
        <v/>
      </c>
      <c r="M3506" t="str" cm="1">
        <f t="array" ref="M3506">IF(L3506="","",_xlfn.IFS(
  AND(L3506&gt;=TIME(9,0,0), L3506&lt;TIME(16,0,0)),"Morning",
  AND(L3506&gt;=TIME(16,0,0), L3506&lt;TIME(23,59,0)),"Evening",
  L3506&gt;=TIME(23,59,0),"Night",
  L3506&lt;TIME(9,0,0),"Night"
))</f>
        <v/>
      </c>
      <c r="O3506" t="str">
        <f t="shared" si="326"/>
        <v/>
      </c>
    </row>
    <row r="3507" spans="7:15" x14ac:dyDescent="0.25">
      <c r="G3507" t="str">
        <f t="shared" si="324"/>
        <v/>
      </c>
      <c r="H3507" s="13" t="str">
        <f t="shared" si="327"/>
        <v/>
      </c>
      <c r="I3507" t="str">
        <f>IFERROR(INDEX(Analysis!$D$116:$N$137, MATCH(B3507, Analysis!$C$116:$C$137, 0), MATCH(C3507, Analysis!$D$115:$N$115, 0)), "")</f>
        <v/>
      </c>
      <c r="J3507" t="str">
        <f t="shared" si="328"/>
        <v/>
      </c>
      <c r="K3507" s="28" t="str">
        <f t="shared" si="325"/>
        <v/>
      </c>
      <c r="L3507" s="46" t="str">
        <f t="shared" si="329"/>
        <v/>
      </c>
      <c r="M3507" t="str" cm="1">
        <f t="array" ref="M3507">IF(L3507="","",_xlfn.IFS(
  AND(L3507&gt;=TIME(9,0,0), L3507&lt;TIME(16,0,0)),"Morning",
  AND(L3507&gt;=TIME(16,0,0), L3507&lt;TIME(23,59,0)),"Evening",
  L3507&gt;=TIME(23,59,0),"Night",
  L3507&lt;TIME(9,0,0),"Night"
))</f>
        <v/>
      </c>
      <c r="O3507" t="str">
        <f t="shared" si="326"/>
        <v/>
      </c>
    </row>
    <row r="3508" spans="7:15" x14ac:dyDescent="0.25">
      <c r="G3508" t="str">
        <f t="shared" si="324"/>
        <v/>
      </c>
      <c r="H3508" s="13" t="str">
        <f t="shared" si="327"/>
        <v/>
      </c>
      <c r="I3508" t="str">
        <f>IFERROR(INDEX(Analysis!$D$116:$N$137, MATCH(B3508, Analysis!$C$116:$C$137, 0), MATCH(C3508, Analysis!$D$115:$N$115, 0)), "")</f>
        <v/>
      </c>
      <c r="J3508" t="str">
        <f t="shared" si="328"/>
        <v/>
      </c>
      <c r="K3508" s="28" t="str">
        <f t="shared" si="325"/>
        <v/>
      </c>
      <c r="L3508" s="46" t="str">
        <f t="shared" si="329"/>
        <v/>
      </c>
      <c r="M3508" t="str" cm="1">
        <f t="array" ref="M3508">IF(L3508="","",_xlfn.IFS(
  AND(L3508&gt;=TIME(9,0,0), L3508&lt;TIME(16,0,0)),"Morning",
  AND(L3508&gt;=TIME(16,0,0), L3508&lt;TIME(23,59,0)),"Evening",
  L3508&gt;=TIME(23,59,0),"Night",
  L3508&lt;TIME(9,0,0),"Night"
))</f>
        <v/>
      </c>
      <c r="O3508" t="str">
        <f t="shared" si="326"/>
        <v/>
      </c>
    </row>
    <row r="3509" spans="7:15" x14ac:dyDescent="0.25">
      <c r="G3509" t="str">
        <f t="shared" si="324"/>
        <v/>
      </c>
      <c r="H3509" s="13" t="str">
        <f t="shared" si="327"/>
        <v/>
      </c>
      <c r="I3509" t="str">
        <f>IFERROR(INDEX(Analysis!$D$116:$N$137, MATCH(B3509, Analysis!$C$116:$C$137, 0), MATCH(C3509, Analysis!$D$115:$N$115, 0)), "")</f>
        <v/>
      </c>
      <c r="J3509" t="str">
        <f t="shared" si="328"/>
        <v/>
      </c>
      <c r="K3509" s="28" t="str">
        <f t="shared" si="325"/>
        <v/>
      </c>
      <c r="L3509" s="46" t="str">
        <f t="shared" si="329"/>
        <v/>
      </c>
      <c r="M3509" t="str" cm="1">
        <f t="array" ref="M3509">IF(L3509="","",_xlfn.IFS(
  AND(L3509&gt;=TIME(9,0,0), L3509&lt;TIME(16,0,0)),"Morning",
  AND(L3509&gt;=TIME(16,0,0), L3509&lt;TIME(23,59,0)),"Evening",
  L3509&gt;=TIME(23,59,0),"Night",
  L3509&lt;TIME(9,0,0),"Night"
))</f>
        <v/>
      </c>
      <c r="O3509" t="str">
        <f t="shared" si="326"/>
        <v/>
      </c>
    </row>
    <row r="3510" spans="7:15" x14ac:dyDescent="0.25">
      <c r="G3510" t="str">
        <f t="shared" si="324"/>
        <v/>
      </c>
      <c r="H3510" s="13" t="str">
        <f t="shared" si="327"/>
        <v/>
      </c>
      <c r="I3510" t="str">
        <f>IFERROR(INDEX(Analysis!$D$116:$N$137, MATCH(B3510, Analysis!$C$116:$C$137, 0), MATCH(C3510, Analysis!$D$115:$N$115, 0)), "")</f>
        <v/>
      </c>
      <c r="J3510" t="str">
        <f t="shared" si="328"/>
        <v/>
      </c>
      <c r="K3510" s="28" t="str">
        <f t="shared" si="325"/>
        <v/>
      </c>
      <c r="L3510" s="46" t="str">
        <f t="shared" si="329"/>
        <v/>
      </c>
      <c r="M3510" t="str" cm="1">
        <f t="array" ref="M3510">IF(L3510="","",_xlfn.IFS(
  AND(L3510&gt;=TIME(9,0,0), L3510&lt;TIME(16,0,0)),"Morning",
  AND(L3510&gt;=TIME(16,0,0), L3510&lt;TIME(23,59,0)),"Evening",
  L3510&gt;=TIME(23,59,0),"Night",
  L3510&lt;TIME(9,0,0),"Night"
))</f>
        <v/>
      </c>
      <c r="O3510" t="str">
        <f t="shared" si="326"/>
        <v/>
      </c>
    </row>
    <row r="3511" spans="7:15" x14ac:dyDescent="0.25">
      <c r="G3511" t="str">
        <f t="shared" si="324"/>
        <v/>
      </c>
      <c r="H3511" s="13" t="str">
        <f t="shared" si="327"/>
        <v/>
      </c>
      <c r="I3511" t="str">
        <f>IFERROR(INDEX(Analysis!$D$116:$N$137, MATCH(B3511, Analysis!$C$116:$C$137, 0), MATCH(C3511, Analysis!$D$115:$N$115, 0)), "")</f>
        <v/>
      </c>
      <c r="J3511" t="str">
        <f t="shared" si="328"/>
        <v/>
      </c>
      <c r="K3511" s="28" t="str">
        <f t="shared" si="325"/>
        <v/>
      </c>
      <c r="L3511" s="46" t="str">
        <f t="shared" si="329"/>
        <v/>
      </c>
      <c r="M3511" t="str" cm="1">
        <f t="array" ref="M3511">IF(L3511="","",_xlfn.IFS(
  AND(L3511&gt;=TIME(9,0,0), L3511&lt;TIME(16,0,0)),"Morning",
  AND(L3511&gt;=TIME(16,0,0), L3511&lt;TIME(23,59,0)),"Evening",
  L3511&gt;=TIME(23,59,0),"Night",
  L3511&lt;TIME(9,0,0),"Night"
))</f>
        <v/>
      </c>
      <c r="O3511" t="str">
        <f t="shared" si="326"/>
        <v/>
      </c>
    </row>
    <row r="3512" spans="7:15" x14ac:dyDescent="0.25">
      <c r="G3512" t="str">
        <f t="shared" si="324"/>
        <v/>
      </c>
      <c r="H3512" s="13" t="str">
        <f t="shared" si="327"/>
        <v/>
      </c>
      <c r="I3512" t="str">
        <f>IFERROR(INDEX(Analysis!$D$116:$N$137, MATCH(B3512, Analysis!$C$116:$C$137, 0), MATCH(C3512, Analysis!$D$115:$N$115, 0)), "")</f>
        <v/>
      </c>
      <c r="J3512" t="str">
        <f t="shared" si="328"/>
        <v/>
      </c>
      <c r="K3512" s="28" t="str">
        <f t="shared" si="325"/>
        <v/>
      </c>
      <c r="L3512" s="46" t="str">
        <f t="shared" si="329"/>
        <v/>
      </c>
      <c r="M3512" t="str" cm="1">
        <f t="array" ref="M3512">IF(L3512="","",_xlfn.IFS(
  AND(L3512&gt;=TIME(9,0,0), L3512&lt;TIME(16,0,0)),"Morning",
  AND(L3512&gt;=TIME(16,0,0), L3512&lt;TIME(23,59,0)),"Evening",
  L3512&gt;=TIME(23,59,0),"Night",
  L3512&lt;TIME(9,0,0),"Night"
))</f>
        <v/>
      </c>
      <c r="O3512" t="str">
        <f t="shared" si="326"/>
        <v/>
      </c>
    </row>
    <row r="3513" spans="7:15" x14ac:dyDescent="0.25">
      <c r="G3513" t="str">
        <f t="shared" si="324"/>
        <v/>
      </c>
      <c r="H3513" s="13" t="str">
        <f t="shared" si="327"/>
        <v/>
      </c>
      <c r="I3513" t="str">
        <f>IFERROR(INDEX(Analysis!$D$116:$N$137, MATCH(B3513, Analysis!$C$116:$C$137, 0), MATCH(C3513, Analysis!$D$115:$N$115, 0)), "")</f>
        <v/>
      </c>
      <c r="J3513" t="str">
        <f t="shared" si="328"/>
        <v/>
      </c>
      <c r="K3513" s="28" t="str">
        <f t="shared" si="325"/>
        <v/>
      </c>
      <c r="L3513" s="46" t="str">
        <f t="shared" si="329"/>
        <v/>
      </c>
      <c r="M3513" t="str" cm="1">
        <f t="array" ref="M3513">IF(L3513="","",_xlfn.IFS(
  AND(L3513&gt;=TIME(9,0,0), L3513&lt;TIME(16,0,0)),"Morning",
  AND(L3513&gt;=TIME(16,0,0), L3513&lt;TIME(23,59,0)),"Evening",
  L3513&gt;=TIME(23,59,0),"Night",
  L3513&lt;TIME(9,0,0),"Night"
))</f>
        <v/>
      </c>
      <c r="O3513" t="str">
        <f t="shared" si="326"/>
        <v/>
      </c>
    </row>
    <row r="3514" spans="7:15" x14ac:dyDescent="0.25">
      <c r="G3514" t="str">
        <f t="shared" si="324"/>
        <v/>
      </c>
      <c r="H3514" s="13" t="str">
        <f t="shared" si="327"/>
        <v/>
      </c>
      <c r="I3514" t="str">
        <f>IFERROR(INDEX(Analysis!$D$116:$N$137, MATCH(B3514, Analysis!$C$116:$C$137, 0), MATCH(C3514, Analysis!$D$115:$N$115, 0)), "")</f>
        <v/>
      </c>
      <c r="J3514" t="str">
        <f t="shared" si="328"/>
        <v/>
      </c>
      <c r="K3514" s="28" t="str">
        <f t="shared" si="325"/>
        <v/>
      </c>
      <c r="L3514" s="46" t="str">
        <f t="shared" si="329"/>
        <v/>
      </c>
      <c r="M3514" t="str" cm="1">
        <f t="array" ref="M3514">IF(L3514="","",_xlfn.IFS(
  AND(L3514&gt;=TIME(9,0,0), L3514&lt;TIME(16,0,0)),"Morning",
  AND(L3514&gt;=TIME(16,0,0), L3514&lt;TIME(23,59,0)),"Evening",
  L3514&gt;=TIME(23,59,0),"Night",
  L3514&lt;TIME(9,0,0),"Night"
))</f>
        <v/>
      </c>
      <c r="O3514" t="str">
        <f t="shared" si="326"/>
        <v/>
      </c>
    </row>
    <row r="3515" spans="7:15" x14ac:dyDescent="0.25">
      <c r="G3515" t="str">
        <f t="shared" si="324"/>
        <v/>
      </c>
      <c r="H3515" s="13" t="str">
        <f t="shared" si="327"/>
        <v/>
      </c>
      <c r="I3515" t="str">
        <f>IFERROR(INDEX(Analysis!$D$116:$N$137, MATCH(B3515, Analysis!$C$116:$C$137, 0), MATCH(C3515, Analysis!$D$115:$N$115, 0)), "")</f>
        <v/>
      </c>
      <c r="J3515" t="str">
        <f t="shared" si="328"/>
        <v/>
      </c>
      <c r="K3515" s="28" t="str">
        <f t="shared" si="325"/>
        <v/>
      </c>
      <c r="L3515" s="46" t="str">
        <f t="shared" si="329"/>
        <v/>
      </c>
      <c r="M3515" t="str" cm="1">
        <f t="array" ref="M3515">IF(L3515="","",_xlfn.IFS(
  AND(L3515&gt;=TIME(9,0,0), L3515&lt;TIME(16,0,0)),"Morning",
  AND(L3515&gt;=TIME(16,0,0), L3515&lt;TIME(23,59,0)),"Evening",
  L3515&gt;=TIME(23,59,0),"Night",
  L3515&lt;TIME(9,0,0),"Night"
))</f>
        <v/>
      </c>
      <c r="O3515" t="str">
        <f t="shared" si="326"/>
        <v/>
      </c>
    </row>
    <row r="3516" spans="7:15" x14ac:dyDescent="0.25">
      <c r="G3516" t="str">
        <f t="shared" si="324"/>
        <v/>
      </c>
      <c r="H3516" s="13" t="str">
        <f t="shared" si="327"/>
        <v/>
      </c>
      <c r="I3516" t="str">
        <f>IFERROR(INDEX(Analysis!$D$116:$N$137, MATCH(B3516, Analysis!$C$116:$C$137, 0), MATCH(C3516, Analysis!$D$115:$N$115, 0)), "")</f>
        <v/>
      </c>
      <c r="J3516" t="str">
        <f t="shared" si="328"/>
        <v/>
      </c>
      <c r="K3516" s="28" t="str">
        <f t="shared" si="325"/>
        <v/>
      </c>
      <c r="L3516" s="46" t="str">
        <f t="shared" si="329"/>
        <v/>
      </c>
      <c r="M3516" t="str" cm="1">
        <f t="array" ref="M3516">IF(L3516="","",_xlfn.IFS(
  AND(L3516&gt;=TIME(9,0,0), L3516&lt;TIME(16,0,0)),"Morning",
  AND(L3516&gt;=TIME(16,0,0), L3516&lt;TIME(23,59,0)),"Evening",
  L3516&gt;=TIME(23,59,0),"Night",
  L3516&lt;TIME(9,0,0),"Night"
))</f>
        <v/>
      </c>
      <c r="O3516" t="str">
        <f t="shared" si="326"/>
        <v/>
      </c>
    </row>
    <row r="3517" spans="7:15" x14ac:dyDescent="0.25">
      <c r="G3517" t="str">
        <f t="shared" si="324"/>
        <v/>
      </c>
      <c r="H3517" s="13" t="str">
        <f t="shared" si="327"/>
        <v/>
      </c>
      <c r="I3517" t="str">
        <f>IFERROR(INDEX(Analysis!$D$116:$N$137, MATCH(B3517, Analysis!$C$116:$C$137, 0), MATCH(C3517, Analysis!$D$115:$N$115, 0)), "")</f>
        <v/>
      </c>
      <c r="J3517" t="str">
        <f t="shared" si="328"/>
        <v/>
      </c>
      <c r="K3517" s="28" t="str">
        <f t="shared" si="325"/>
        <v/>
      </c>
      <c r="L3517" s="46" t="str">
        <f t="shared" si="329"/>
        <v/>
      </c>
      <c r="M3517" t="str" cm="1">
        <f t="array" ref="M3517">IF(L3517="","",_xlfn.IFS(
  AND(L3517&gt;=TIME(9,0,0), L3517&lt;TIME(16,0,0)),"Morning",
  AND(L3517&gt;=TIME(16,0,0), L3517&lt;TIME(23,59,0)),"Evening",
  L3517&gt;=TIME(23,59,0),"Night",
  L3517&lt;TIME(9,0,0),"Night"
))</f>
        <v/>
      </c>
      <c r="O3517" t="str">
        <f t="shared" si="326"/>
        <v/>
      </c>
    </row>
    <row r="3518" spans="7:15" x14ac:dyDescent="0.25">
      <c r="G3518" t="str">
        <f t="shared" si="324"/>
        <v/>
      </c>
      <c r="H3518" s="13" t="str">
        <f t="shared" si="327"/>
        <v/>
      </c>
      <c r="I3518" t="str">
        <f>IFERROR(INDEX(Analysis!$D$116:$N$137, MATCH(B3518, Analysis!$C$116:$C$137, 0), MATCH(C3518, Analysis!$D$115:$N$115, 0)), "")</f>
        <v/>
      </c>
      <c r="J3518" t="str">
        <f t="shared" si="328"/>
        <v/>
      </c>
      <c r="K3518" s="28" t="str">
        <f t="shared" si="325"/>
        <v/>
      </c>
      <c r="L3518" s="46" t="str">
        <f t="shared" si="329"/>
        <v/>
      </c>
      <c r="M3518" t="str" cm="1">
        <f t="array" ref="M3518">IF(L3518="","",_xlfn.IFS(
  AND(L3518&gt;=TIME(9,0,0), L3518&lt;TIME(16,0,0)),"Morning",
  AND(L3518&gt;=TIME(16,0,0), L3518&lt;TIME(23,59,0)),"Evening",
  L3518&gt;=TIME(23,59,0),"Night",
  L3518&lt;TIME(9,0,0),"Night"
))</f>
        <v/>
      </c>
      <c r="O3518" t="str">
        <f t="shared" si="326"/>
        <v/>
      </c>
    </row>
    <row r="3519" spans="7:15" x14ac:dyDescent="0.25">
      <c r="G3519" t="str">
        <f t="shared" si="324"/>
        <v/>
      </c>
      <c r="H3519" s="13" t="str">
        <f t="shared" si="327"/>
        <v/>
      </c>
      <c r="I3519" t="str">
        <f>IFERROR(INDEX(Analysis!$D$116:$N$137, MATCH(B3519, Analysis!$C$116:$C$137, 0), MATCH(C3519, Analysis!$D$115:$N$115, 0)), "")</f>
        <v/>
      </c>
      <c r="J3519" t="str">
        <f t="shared" si="328"/>
        <v/>
      </c>
      <c r="K3519" s="28" t="str">
        <f t="shared" si="325"/>
        <v/>
      </c>
      <c r="L3519" s="46" t="str">
        <f t="shared" si="329"/>
        <v/>
      </c>
      <c r="M3519" t="str" cm="1">
        <f t="array" ref="M3519">IF(L3519="","",_xlfn.IFS(
  AND(L3519&gt;=TIME(9,0,0), L3519&lt;TIME(16,0,0)),"Morning",
  AND(L3519&gt;=TIME(16,0,0), L3519&lt;TIME(23,59,0)),"Evening",
  L3519&gt;=TIME(23,59,0),"Night",
  L3519&lt;TIME(9,0,0),"Night"
))</f>
        <v/>
      </c>
      <c r="O3519" t="str">
        <f t="shared" si="326"/>
        <v/>
      </c>
    </row>
    <row r="3520" spans="7:15" x14ac:dyDescent="0.25">
      <c r="G3520" t="str">
        <f t="shared" si="324"/>
        <v/>
      </c>
      <c r="H3520" s="13" t="str">
        <f t="shared" si="327"/>
        <v/>
      </c>
      <c r="I3520" t="str">
        <f>IFERROR(INDEX(Analysis!$D$116:$N$137, MATCH(B3520, Analysis!$C$116:$C$137, 0), MATCH(C3520, Analysis!$D$115:$N$115, 0)), "")</f>
        <v/>
      </c>
      <c r="J3520" t="str">
        <f t="shared" si="328"/>
        <v/>
      </c>
      <c r="K3520" s="28" t="str">
        <f t="shared" si="325"/>
        <v/>
      </c>
      <c r="L3520" s="46" t="str">
        <f t="shared" si="329"/>
        <v/>
      </c>
      <c r="M3520" t="str" cm="1">
        <f t="array" ref="M3520">IF(L3520="","",_xlfn.IFS(
  AND(L3520&gt;=TIME(9,0,0), L3520&lt;TIME(16,0,0)),"Morning",
  AND(L3520&gt;=TIME(16,0,0), L3520&lt;TIME(23,59,0)),"Evening",
  L3520&gt;=TIME(23,59,0),"Night",
  L3520&lt;TIME(9,0,0),"Night"
))</f>
        <v/>
      </c>
      <c r="O3520" t="str">
        <f t="shared" si="326"/>
        <v/>
      </c>
    </row>
    <row r="3521" spans="7:15" x14ac:dyDescent="0.25">
      <c r="G3521" t="str">
        <f t="shared" si="324"/>
        <v/>
      </c>
      <c r="H3521" s="13" t="str">
        <f t="shared" si="327"/>
        <v/>
      </c>
      <c r="I3521" t="str">
        <f>IFERROR(INDEX(Analysis!$D$116:$N$137, MATCH(B3521, Analysis!$C$116:$C$137, 0), MATCH(C3521, Analysis!$D$115:$N$115, 0)), "")</f>
        <v/>
      </c>
      <c r="J3521" t="str">
        <f t="shared" si="328"/>
        <v/>
      </c>
      <c r="K3521" s="28" t="str">
        <f t="shared" si="325"/>
        <v/>
      </c>
      <c r="L3521" s="46" t="str">
        <f t="shared" si="329"/>
        <v/>
      </c>
      <c r="M3521" t="str" cm="1">
        <f t="array" ref="M3521">IF(L3521="","",_xlfn.IFS(
  AND(L3521&gt;=TIME(9,0,0), L3521&lt;TIME(16,0,0)),"Morning",
  AND(L3521&gt;=TIME(16,0,0), L3521&lt;TIME(23,59,0)),"Evening",
  L3521&gt;=TIME(23,59,0),"Night",
  L3521&lt;TIME(9,0,0),"Night"
))</f>
        <v/>
      </c>
      <c r="O3521" t="str">
        <f t="shared" si="326"/>
        <v/>
      </c>
    </row>
    <row r="3522" spans="7:15" x14ac:dyDescent="0.25">
      <c r="G3522" t="str">
        <f t="shared" ref="G3522:G3585" si="330">IF(ISBLANK(A3522), "", IF(ISBLANK(F3522), 0, F3522))</f>
        <v/>
      </c>
      <c r="H3522" s="13" t="str">
        <f t="shared" si="327"/>
        <v/>
      </c>
      <c r="I3522" t="str">
        <f>IFERROR(INDEX(Analysis!$D$116:$N$137, MATCH(B3522, Analysis!$C$116:$C$137, 0), MATCH(C3522, Analysis!$D$115:$N$115, 0)), "")</f>
        <v/>
      </c>
      <c r="J3522" t="str">
        <f t="shared" si="328"/>
        <v/>
      </c>
      <c r="K3522" s="28" t="str">
        <f t="shared" ref="K3522:K3585" si="331">IF(ISBLANK(A3522),"",DATE(YEAR(A3522),MONTH(A3522),DAY(A3522)))</f>
        <v/>
      </c>
      <c r="L3522" s="46" t="str">
        <f t="shared" si="329"/>
        <v/>
      </c>
      <c r="M3522" t="str" cm="1">
        <f t="array" ref="M3522">IF(L3522="","",_xlfn.IFS(
  AND(L3522&gt;=TIME(9,0,0), L3522&lt;TIME(16,0,0)),"Morning",
  AND(L3522&gt;=TIME(16,0,0), L3522&lt;TIME(23,59,0)),"Evening",
  L3522&gt;=TIME(23,59,0),"Night",
  L3522&lt;TIME(9,0,0),"Night"
))</f>
        <v/>
      </c>
      <c r="O3522" t="str">
        <f t="shared" ref="O3522:O3585" si="332">IF(N3522="ON", _xlfn.IMAGE(E3522, 1), "")</f>
        <v/>
      </c>
    </row>
    <row r="3523" spans="7:15" x14ac:dyDescent="0.25">
      <c r="G3523" t="str">
        <f t="shared" si="330"/>
        <v/>
      </c>
      <c r="H3523" s="13" t="str">
        <f t="shared" ref="H3523:H3586" si="333">IF(ISBLANK(E3523),"",HYPERLINK(E3523,"Click here"))</f>
        <v/>
      </c>
      <c r="I3523" t="str">
        <f>IFERROR(INDEX(Analysis!$D$116:$N$137, MATCH(B3523, Analysis!$C$116:$C$137, 0), MATCH(C3523, Analysis!$D$115:$N$115, 0)), "")</f>
        <v/>
      </c>
      <c r="J3523" t="str">
        <f t="shared" ref="J3523:J3586" si="334">IF(ISBLANK(A3523),"",WEEKNUM(A3523))</f>
        <v/>
      </c>
      <c r="K3523" s="28" t="str">
        <f t="shared" si="331"/>
        <v/>
      </c>
      <c r="L3523" s="46" t="str">
        <f t="shared" ref="L3523:L3586" si="335">IF(A3523="", "", A3523 - INT(A3523))</f>
        <v/>
      </c>
      <c r="M3523" t="str" cm="1">
        <f t="array" ref="M3523">IF(L3523="","",_xlfn.IFS(
  AND(L3523&gt;=TIME(9,0,0), L3523&lt;TIME(16,0,0)),"Morning",
  AND(L3523&gt;=TIME(16,0,0), L3523&lt;TIME(23,59,0)),"Evening",
  L3523&gt;=TIME(23,59,0),"Night",
  L3523&lt;TIME(9,0,0),"Night"
))</f>
        <v/>
      </c>
      <c r="O3523" t="str">
        <f t="shared" si="332"/>
        <v/>
      </c>
    </row>
    <row r="3524" spans="7:15" x14ac:dyDescent="0.25">
      <c r="G3524" t="str">
        <f t="shared" si="330"/>
        <v/>
      </c>
      <c r="H3524" s="13" t="str">
        <f t="shared" si="333"/>
        <v/>
      </c>
      <c r="I3524" t="str">
        <f>IFERROR(INDEX(Analysis!$D$116:$N$137, MATCH(B3524, Analysis!$C$116:$C$137, 0), MATCH(C3524, Analysis!$D$115:$N$115, 0)), "")</f>
        <v/>
      </c>
      <c r="J3524" t="str">
        <f t="shared" si="334"/>
        <v/>
      </c>
      <c r="K3524" s="28" t="str">
        <f t="shared" si="331"/>
        <v/>
      </c>
      <c r="L3524" s="46" t="str">
        <f t="shared" si="335"/>
        <v/>
      </c>
      <c r="M3524" t="str" cm="1">
        <f t="array" ref="M3524">IF(L3524="","",_xlfn.IFS(
  AND(L3524&gt;=TIME(9,0,0), L3524&lt;TIME(16,0,0)),"Morning",
  AND(L3524&gt;=TIME(16,0,0), L3524&lt;TIME(23,59,0)),"Evening",
  L3524&gt;=TIME(23,59,0),"Night",
  L3524&lt;TIME(9,0,0),"Night"
))</f>
        <v/>
      </c>
      <c r="O3524" t="str">
        <f t="shared" si="332"/>
        <v/>
      </c>
    </row>
    <row r="3525" spans="7:15" x14ac:dyDescent="0.25">
      <c r="G3525" t="str">
        <f t="shared" si="330"/>
        <v/>
      </c>
      <c r="H3525" s="13" t="str">
        <f t="shared" si="333"/>
        <v/>
      </c>
      <c r="I3525" t="str">
        <f>IFERROR(INDEX(Analysis!$D$116:$N$137, MATCH(B3525, Analysis!$C$116:$C$137, 0), MATCH(C3525, Analysis!$D$115:$N$115, 0)), "")</f>
        <v/>
      </c>
      <c r="J3525" t="str">
        <f t="shared" si="334"/>
        <v/>
      </c>
      <c r="K3525" s="28" t="str">
        <f t="shared" si="331"/>
        <v/>
      </c>
      <c r="L3525" s="46" t="str">
        <f t="shared" si="335"/>
        <v/>
      </c>
      <c r="M3525" t="str" cm="1">
        <f t="array" ref="M3525">IF(L3525="","",_xlfn.IFS(
  AND(L3525&gt;=TIME(9,0,0), L3525&lt;TIME(16,0,0)),"Morning",
  AND(L3525&gt;=TIME(16,0,0), L3525&lt;TIME(23,59,0)),"Evening",
  L3525&gt;=TIME(23,59,0),"Night",
  L3525&lt;TIME(9,0,0),"Night"
))</f>
        <v/>
      </c>
      <c r="O3525" t="str">
        <f t="shared" si="332"/>
        <v/>
      </c>
    </row>
    <row r="3526" spans="7:15" x14ac:dyDescent="0.25">
      <c r="G3526" t="str">
        <f t="shared" si="330"/>
        <v/>
      </c>
      <c r="H3526" s="13" t="str">
        <f t="shared" si="333"/>
        <v/>
      </c>
      <c r="I3526" t="str">
        <f>IFERROR(INDEX(Analysis!$D$116:$N$137, MATCH(B3526, Analysis!$C$116:$C$137, 0), MATCH(C3526, Analysis!$D$115:$N$115, 0)), "")</f>
        <v/>
      </c>
      <c r="J3526" t="str">
        <f t="shared" si="334"/>
        <v/>
      </c>
      <c r="K3526" s="28" t="str">
        <f t="shared" si="331"/>
        <v/>
      </c>
      <c r="L3526" s="46" t="str">
        <f t="shared" si="335"/>
        <v/>
      </c>
      <c r="M3526" t="str" cm="1">
        <f t="array" ref="M3526">IF(L3526="","",_xlfn.IFS(
  AND(L3526&gt;=TIME(9,0,0), L3526&lt;TIME(16,0,0)),"Morning",
  AND(L3526&gt;=TIME(16,0,0), L3526&lt;TIME(23,59,0)),"Evening",
  L3526&gt;=TIME(23,59,0),"Night",
  L3526&lt;TIME(9,0,0),"Night"
))</f>
        <v/>
      </c>
      <c r="O3526" t="str">
        <f t="shared" si="332"/>
        <v/>
      </c>
    </row>
    <row r="3527" spans="7:15" x14ac:dyDescent="0.25">
      <c r="G3527" t="str">
        <f t="shared" si="330"/>
        <v/>
      </c>
      <c r="H3527" s="13" t="str">
        <f t="shared" si="333"/>
        <v/>
      </c>
      <c r="I3527" t="str">
        <f>IFERROR(INDEX(Analysis!$D$116:$N$137, MATCH(B3527, Analysis!$C$116:$C$137, 0), MATCH(C3527, Analysis!$D$115:$N$115, 0)), "")</f>
        <v/>
      </c>
      <c r="J3527" t="str">
        <f t="shared" si="334"/>
        <v/>
      </c>
      <c r="K3527" s="28" t="str">
        <f t="shared" si="331"/>
        <v/>
      </c>
      <c r="L3527" s="46" t="str">
        <f t="shared" si="335"/>
        <v/>
      </c>
      <c r="M3527" t="str" cm="1">
        <f t="array" ref="M3527">IF(L3527="","",_xlfn.IFS(
  AND(L3527&gt;=TIME(9,0,0), L3527&lt;TIME(16,0,0)),"Morning",
  AND(L3527&gt;=TIME(16,0,0), L3527&lt;TIME(23,59,0)),"Evening",
  L3527&gt;=TIME(23,59,0),"Night",
  L3527&lt;TIME(9,0,0),"Night"
))</f>
        <v/>
      </c>
      <c r="O3527" t="str">
        <f t="shared" si="332"/>
        <v/>
      </c>
    </row>
    <row r="3528" spans="7:15" x14ac:dyDescent="0.25">
      <c r="G3528" t="str">
        <f t="shared" si="330"/>
        <v/>
      </c>
      <c r="H3528" s="13" t="str">
        <f t="shared" si="333"/>
        <v/>
      </c>
      <c r="I3528" t="str">
        <f>IFERROR(INDEX(Analysis!$D$116:$N$137, MATCH(B3528, Analysis!$C$116:$C$137, 0), MATCH(C3528, Analysis!$D$115:$N$115, 0)), "")</f>
        <v/>
      </c>
      <c r="J3528" t="str">
        <f t="shared" si="334"/>
        <v/>
      </c>
      <c r="K3528" s="28" t="str">
        <f t="shared" si="331"/>
        <v/>
      </c>
      <c r="L3528" s="46" t="str">
        <f t="shared" si="335"/>
        <v/>
      </c>
      <c r="M3528" t="str" cm="1">
        <f t="array" ref="M3528">IF(L3528="","",_xlfn.IFS(
  AND(L3528&gt;=TIME(9,0,0), L3528&lt;TIME(16,0,0)),"Morning",
  AND(L3528&gt;=TIME(16,0,0), L3528&lt;TIME(23,59,0)),"Evening",
  L3528&gt;=TIME(23,59,0),"Night",
  L3528&lt;TIME(9,0,0),"Night"
))</f>
        <v/>
      </c>
      <c r="O3528" t="str">
        <f t="shared" si="332"/>
        <v/>
      </c>
    </row>
    <row r="3529" spans="7:15" x14ac:dyDescent="0.25">
      <c r="G3529" t="str">
        <f t="shared" si="330"/>
        <v/>
      </c>
      <c r="H3529" s="13" t="str">
        <f t="shared" si="333"/>
        <v/>
      </c>
      <c r="I3529" t="str">
        <f>IFERROR(INDEX(Analysis!$D$116:$N$137, MATCH(B3529, Analysis!$C$116:$C$137, 0), MATCH(C3529, Analysis!$D$115:$N$115, 0)), "")</f>
        <v/>
      </c>
      <c r="J3529" t="str">
        <f t="shared" si="334"/>
        <v/>
      </c>
      <c r="K3529" s="28" t="str">
        <f t="shared" si="331"/>
        <v/>
      </c>
      <c r="L3529" s="46" t="str">
        <f t="shared" si="335"/>
        <v/>
      </c>
      <c r="M3529" t="str" cm="1">
        <f t="array" ref="M3529">IF(L3529="","",_xlfn.IFS(
  AND(L3529&gt;=TIME(9,0,0), L3529&lt;TIME(16,0,0)),"Morning",
  AND(L3529&gt;=TIME(16,0,0), L3529&lt;TIME(23,59,0)),"Evening",
  L3529&gt;=TIME(23,59,0),"Night",
  L3529&lt;TIME(9,0,0),"Night"
))</f>
        <v/>
      </c>
      <c r="O3529" t="str">
        <f t="shared" si="332"/>
        <v/>
      </c>
    </row>
    <row r="3530" spans="7:15" x14ac:dyDescent="0.25">
      <c r="G3530" t="str">
        <f t="shared" si="330"/>
        <v/>
      </c>
      <c r="H3530" s="13" t="str">
        <f t="shared" si="333"/>
        <v/>
      </c>
      <c r="I3530" t="str">
        <f>IFERROR(INDEX(Analysis!$D$116:$N$137, MATCH(B3530, Analysis!$C$116:$C$137, 0), MATCH(C3530, Analysis!$D$115:$N$115, 0)), "")</f>
        <v/>
      </c>
      <c r="J3530" t="str">
        <f t="shared" si="334"/>
        <v/>
      </c>
      <c r="K3530" s="28" t="str">
        <f t="shared" si="331"/>
        <v/>
      </c>
      <c r="L3530" s="46" t="str">
        <f t="shared" si="335"/>
        <v/>
      </c>
      <c r="M3530" t="str" cm="1">
        <f t="array" ref="M3530">IF(L3530="","",_xlfn.IFS(
  AND(L3530&gt;=TIME(9,0,0), L3530&lt;TIME(16,0,0)),"Morning",
  AND(L3530&gt;=TIME(16,0,0), L3530&lt;TIME(23,59,0)),"Evening",
  L3530&gt;=TIME(23,59,0),"Night",
  L3530&lt;TIME(9,0,0),"Night"
))</f>
        <v/>
      </c>
      <c r="O3530" t="str">
        <f t="shared" si="332"/>
        <v/>
      </c>
    </row>
    <row r="3531" spans="7:15" x14ac:dyDescent="0.25">
      <c r="G3531" t="str">
        <f t="shared" si="330"/>
        <v/>
      </c>
      <c r="H3531" s="13" t="str">
        <f t="shared" si="333"/>
        <v/>
      </c>
      <c r="I3531" t="str">
        <f>IFERROR(INDEX(Analysis!$D$116:$N$137, MATCH(B3531, Analysis!$C$116:$C$137, 0), MATCH(C3531, Analysis!$D$115:$N$115, 0)), "")</f>
        <v/>
      </c>
      <c r="J3531" t="str">
        <f t="shared" si="334"/>
        <v/>
      </c>
      <c r="K3531" s="28" t="str">
        <f t="shared" si="331"/>
        <v/>
      </c>
      <c r="L3531" s="46" t="str">
        <f t="shared" si="335"/>
        <v/>
      </c>
      <c r="M3531" t="str" cm="1">
        <f t="array" ref="M3531">IF(L3531="","",_xlfn.IFS(
  AND(L3531&gt;=TIME(9,0,0), L3531&lt;TIME(16,0,0)),"Morning",
  AND(L3531&gt;=TIME(16,0,0), L3531&lt;TIME(23,59,0)),"Evening",
  L3531&gt;=TIME(23,59,0),"Night",
  L3531&lt;TIME(9,0,0),"Night"
))</f>
        <v/>
      </c>
      <c r="O3531" t="str">
        <f t="shared" si="332"/>
        <v/>
      </c>
    </row>
    <row r="3532" spans="7:15" x14ac:dyDescent="0.25">
      <c r="G3532" t="str">
        <f t="shared" si="330"/>
        <v/>
      </c>
      <c r="H3532" s="13" t="str">
        <f t="shared" si="333"/>
        <v/>
      </c>
      <c r="I3532" t="str">
        <f>IFERROR(INDEX(Analysis!$D$116:$N$137, MATCH(B3532, Analysis!$C$116:$C$137, 0), MATCH(C3532, Analysis!$D$115:$N$115, 0)), "")</f>
        <v/>
      </c>
      <c r="J3532" t="str">
        <f t="shared" si="334"/>
        <v/>
      </c>
      <c r="K3532" s="28" t="str">
        <f t="shared" si="331"/>
        <v/>
      </c>
      <c r="L3532" s="46" t="str">
        <f t="shared" si="335"/>
        <v/>
      </c>
      <c r="M3532" t="str" cm="1">
        <f t="array" ref="M3532">IF(L3532="","",_xlfn.IFS(
  AND(L3532&gt;=TIME(9,0,0), L3532&lt;TIME(16,0,0)),"Morning",
  AND(L3532&gt;=TIME(16,0,0), L3532&lt;TIME(23,59,0)),"Evening",
  L3532&gt;=TIME(23,59,0),"Night",
  L3532&lt;TIME(9,0,0),"Night"
))</f>
        <v/>
      </c>
      <c r="O3532" t="str">
        <f t="shared" si="332"/>
        <v/>
      </c>
    </row>
    <row r="3533" spans="7:15" x14ac:dyDescent="0.25">
      <c r="G3533" t="str">
        <f t="shared" si="330"/>
        <v/>
      </c>
      <c r="H3533" s="13" t="str">
        <f t="shared" si="333"/>
        <v/>
      </c>
      <c r="I3533" t="str">
        <f>IFERROR(INDEX(Analysis!$D$116:$N$137, MATCH(B3533, Analysis!$C$116:$C$137, 0), MATCH(C3533, Analysis!$D$115:$N$115, 0)), "")</f>
        <v/>
      </c>
      <c r="J3533" t="str">
        <f t="shared" si="334"/>
        <v/>
      </c>
      <c r="K3533" s="28" t="str">
        <f t="shared" si="331"/>
        <v/>
      </c>
      <c r="L3533" s="46" t="str">
        <f t="shared" si="335"/>
        <v/>
      </c>
      <c r="M3533" t="str" cm="1">
        <f t="array" ref="M3533">IF(L3533="","",_xlfn.IFS(
  AND(L3533&gt;=TIME(9,0,0), L3533&lt;TIME(16,0,0)),"Morning",
  AND(L3533&gt;=TIME(16,0,0), L3533&lt;TIME(23,59,0)),"Evening",
  L3533&gt;=TIME(23,59,0),"Night",
  L3533&lt;TIME(9,0,0),"Night"
))</f>
        <v/>
      </c>
      <c r="O3533" t="str">
        <f t="shared" si="332"/>
        <v/>
      </c>
    </row>
    <row r="3534" spans="7:15" x14ac:dyDescent="0.25">
      <c r="G3534" t="str">
        <f t="shared" si="330"/>
        <v/>
      </c>
      <c r="H3534" s="13" t="str">
        <f t="shared" si="333"/>
        <v/>
      </c>
      <c r="I3534" t="str">
        <f>IFERROR(INDEX(Analysis!$D$116:$N$137, MATCH(B3534, Analysis!$C$116:$C$137, 0), MATCH(C3534, Analysis!$D$115:$N$115, 0)), "")</f>
        <v/>
      </c>
      <c r="J3534" t="str">
        <f t="shared" si="334"/>
        <v/>
      </c>
      <c r="K3534" s="28" t="str">
        <f t="shared" si="331"/>
        <v/>
      </c>
      <c r="L3534" s="46" t="str">
        <f t="shared" si="335"/>
        <v/>
      </c>
      <c r="M3534" t="str" cm="1">
        <f t="array" ref="M3534">IF(L3534="","",_xlfn.IFS(
  AND(L3534&gt;=TIME(9,0,0), L3534&lt;TIME(16,0,0)),"Morning",
  AND(L3534&gt;=TIME(16,0,0), L3534&lt;TIME(23,59,0)),"Evening",
  L3534&gt;=TIME(23,59,0),"Night",
  L3534&lt;TIME(9,0,0),"Night"
))</f>
        <v/>
      </c>
      <c r="O3534" t="str">
        <f t="shared" si="332"/>
        <v/>
      </c>
    </row>
    <row r="3535" spans="7:15" x14ac:dyDescent="0.25">
      <c r="G3535" t="str">
        <f t="shared" si="330"/>
        <v/>
      </c>
      <c r="H3535" s="13" t="str">
        <f t="shared" si="333"/>
        <v/>
      </c>
      <c r="I3535" t="str">
        <f>IFERROR(INDEX(Analysis!$D$116:$N$137, MATCH(B3535, Analysis!$C$116:$C$137, 0), MATCH(C3535, Analysis!$D$115:$N$115, 0)), "")</f>
        <v/>
      </c>
      <c r="J3535" t="str">
        <f t="shared" si="334"/>
        <v/>
      </c>
      <c r="K3535" s="28" t="str">
        <f t="shared" si="331"/>
        <v/>
      </c>
      <c r="L3535" s="46" t="str">
        <f t="shared" si="335"/>
        <v/>
      </c>
      <c r="M3535" t="str" cm="1">
        <f t="array" ref="M3535">IF(L3535="","",_xlfn.IFS(
  AND(L3535&gt;=TIME(9,0,0), L3535&lt;TIME(16,0,0)),"Morning",
  AND(L3535&gt;=TIME(16,0,0), L3535&lt;TIME(23,59,0)),"Evening",
  L3535&gt;=TIME(23,59,0),"Night",
  L3535&lt;TIME(9,0,0),"Night"
))</f>
        <v/>
      </c>
      <c r="O3535" t="str">
        <f t="shared" si="332"/>
        <v/>
      </c>
    </row>
    <row r="3536" spans="7:15" x14ac:dyDescent="0.25">
      <c r="G3536" t="str">
        <f t="shared" si="330"/>
        <v/>
      </c>
      <c r="H3536" s="13" t="str">
        <f t="shared" si="333"/>
        <v/>
      </c>
      <c r="I3536" t="str">
        <f>IFERROR(INDEX(Analysis!$D$116:$N$137, MATCH(B3536, Analysis!$C$116:$C$137, 0), MATCH(C3536, Analysis!$D$115:$N$115, 0)), "")</f>
        <v/>
      </c>
      <c r="J3536" t="str">
        <f t="shared" si="334"/>
        <v/>
      </c>
      <c r="K3536" s="28" t="str">
        <f t="shared" si="331"/>
        <v/>
      </c>
      <c r="L3536" s="46" t="str">
        <f t="shared" si="335"/>
        <v/>
      </c>
      <c r="M3536" t="str" cm="1">
        <f t="array" ref="M3536">IF(L3536="","",_xlfn.IFS(
  AND(L3536&gt;=TIME(9,0,0), L3536&lt;TIME(16,0,0)),"Morning",
  AND(L3536&gt;=TIME(16,0,0), L3536&lt;TIME(23,59,0)),"Evening",
  L3536&gt;=TIME(23,59,0),"Night",
  L3536&lt;TIME(9,0,0),"Night"
))</f>
        <v/>
      </c>
      <c r="O3536" t="str">
        <f t="shared" si="332"/>
        <v/>
      </c>
    </row>
    <row r="3537" spans="7:15" x14ac:dyDescent="0.25">
      <c r="G3537" t="str">
        <f t="shared" si="330"/>
        <v/>
      </c>
      <c r="H3537" s="13" t="str">
        <f t="shared" si="333"/>
        <v/>
      </c>
      <c r="I3537" t="str">
        <f>IFERROR(INDEX(Analysis!$D$116:$N$137, MATCH(B3537, Analysis!$C$116:$C$137, 0), MATCH(C3537, Analysis!$D$115:$N$115, 0)), "")</f>
        <v/>
      </c>
      <c r="J3537" t="str">
        <f t="shared" si="334"/>
        <v/>
      </c>
      <c r="K3537" s="28" t="str">
        <f t="shared" si="331"/>
        <v/>
      </c>
      <c r="L3537" s="46" t="str">
        <f t="shared" si="335"/>
        <v/>
      </c>
      <c r="M3537" t="str" cm="1">
        <f t="array" ref="M3537">IF(L3537="","",_xlfn.IFS(
  AND(L3537&gt;=TIME(9,0,0), L3537&lt;TIME(16,0,0)),"Morning",
  AND(L3537&gt;=TIME(16,0,0), L3537&lt;TIME(23,59,0)),"Evening",
  L3537&gt;=TIME(23,59,0),"Night",
  L3537&lt;TIME(9,0,0),"Night"
))</f>
        <v/>
      </c>
      <c r="O3537" t="str">
        <f t="shared" si="332"/>
        <v/>
      </c>
    </row>
    <row r="3538" spans="7:15" x14ac:dyDescent="0.25">
      <c r="G3538" t="str">
        <f t="shared" si="330"/>
        <v/>
      </c>
      <c r="H3538" s="13" t="str">
        <f t="shared" si="333"/>
        <v/>
      </c>
      <c r="I3538" t="str">
        <f>IFERROR(INDEX(Analysis!$D$116:$N$137, MATCH(B3538, Analysis!$C$116:$C$137, 0), MATCH(C3538, Analysis!$D$115:$N$115, 0)), "")</f>
        <v/>
      </c>
      <c r="J3538" t="str">
        <f t="shared" si="334"/>
        <v/>
      </c>
      <c r="K3538" s="28" t="str">
        <f t="shared" si="331"/>
        <v/>
      </c>
      <c r="L3538" s="46" t="str">
        <f t="shared" si="335"/>
        <v/>
      </c>
      <c r="M3538" t="str" cm="1">
        <f t="array" ref="M3538">IF(L3538="","",_xlfn.IFS(
  AND(L3538&gt;=TIME(9,0,0), L3538&lt;TIME(16,0,0)),"Morning",
  AND(L3538&gt;=TIME(16,0,0), L3538&lt;TIME(23,59,0)),"Evening",
  L3538&gt;=TIME(23,59,0),"Night",
  L3538&lt;TIME(9,0,0),"Night"
))</f>
        <v/>
      </c>
      <c r="O3538" t="str">
        <f t="shared" si="332"/>
        <v/>
      </c>
    </row>
    <row r="3539" spans="7:15" x14ac:dyDescent="0.25">
      <c r="G3539" t="str">
        <f t="shared" si="330"/>
        <v/>
      </c>
      <c r="H3539" s="13" t="str">
        <f t="shared" si="333"/>
        <v/>
      </c>
      <c r="I3539" t="str">
        <f>IFERROR(INDEX(Analysis!$D$116:$N$137, MATCH(B3539, Analysis!$C$116:$C$137, 0), MATCH(C3539, Analysis!$D$115:$N$115, 0)), "")</f>
        <v/>
      </c>
      <c r="J3539" t="str">
        <f t="shared" si="334"/>
        <v/>
      </c>
      <c r="K3539" s="28" t="str">
        <f t="shared" si="331"/>
        <v/>
      </c>
      <c r="L3539" s="46" t="str">
        <f t="shared" si="335"/>
        <v/>
      </c>
      <c r="M3539" t="str" cm="1">
        <f t="array" ref="M3539">IF(L3539="","",_xlfn.IFS(
  AND(L3539&gt;=TIME(9,0,0), L3539&lt;TIME(16,0,0)),"Morning",
  AND(L3539&gt;=TIME(16,0,0), L3539&lt;TIME(23,59,0)),"Evening",
  L3539&gt;=TIME(23,59,0),"Night",
  L3539&lt;TIME(9,0,0),"Night"
))</f>
        <v/>
      </c>
      <c r="O3539" t="str">
        <f t="shared" si="332"/>
        <v/>
      </c>
    </row>
    <row r="3540" spans="7:15" x14ac:dyDescent="0.25">
      <c r="G3540" t="str">
        <f t="shared" si="330"/>
        <v/>
      </c>
      <c r="H3540" s="13" t="str">
        <f t="shared" si="333"/>
        <v/>
      </c>
      <c r="I3540" t="str">
        <f>IFERROR(INDEX(Analysis!$D$116:$N$137, MATCH(B3540, Analysis!$C$116:$C$137, 0), MATCH(C3540, Analysis!$D$115:$N$115, 0)), "")</f>
        <v/>
      </c>
      <c r="J3540" t="str">
        <f t="shared" si="334"/>
        <v/>
      </c>
      <c r="K3540" s="28" t="str">
        <f t="shared" si="331"/>
        <v/>
      </c>
      <c r="L3540" s="46" t="str">
        <f t="shared" si="335"/>
        <v/>
      </c>
      <c r="M3540" t="str" cm="1">
        <f t="array" ref="M3540">IF(L3540="","",_xlfn.IFS(
  AND(L3540&gt;=TIME(9,0,0), L3540&lt;TIME(16,0,0)),"Morning",
  AND(L3540&gt;=TIME(16,0,0), L3540&lt;TIME(23,59,0)),"Evening",
  L3540&gt;=TIME(23,59,0),"Night",
  L3540&lt;TIME(9,0,0),"Night"
))</f>
        <v/>
      </c>
      <c r="O3540" t="str">
        <f t="shared" si="332"/>
        <v/>
      </c>
    </row>
    <row r="3541" spans="7:15" x14ac:dyDescent="0.25">
      <c r="G3541" t="str">
        <f t="shared" si="330"/>
        <v/>
      </c>
      <c r="H3541" s="13" t="str">
        <f t="shared" si="333"/>
        <v/>
      </c>
      <c r="I3541" t="str">
        <f>IFERROR(INDEX(Analysis!$D$116:$N$137, MATCH(B3541, Analysis!$C$116:$C$137, 0), MATCH(C3541, Analysis!$D$115:$N$115, 0)), "")</f>
        <v/>
      </c>
      <c r="J3541" t="str">
        <f t="shared" si="334"/>
        <v/>
      </c>
      <c r="K3541" s="28" t="str">
        <f t="shared" si="331"/>
        <v/>
      </c>
      <c r="L3541" s="46" t="str">
        <f t="shared" si="335"/>
        <v/>
      </c>
      <c r="M3541" t="str" cm="1">
        <f t="array" ref="M3541">IF(L3541="","",_xlfn.IFS(
  AND(L3541&gt;=TIME(9,0,0), L3541&lt;TIME(16,0,0)),"Morning",
  AND(L3541&gt;=TIME(16,0,0), L3541&lt;TIME(23,59,0)),"Evening",
  L3541&gt;=TIME(23,59,0),"Night",
  L3541&lt;TIME(9,0,0),"Night"
))</f>
        <v/>
      </c>
      <c r="O3541" t="str">
        <f t="shared" si="332"/>
        <v/>
      </c>
    </row>
    <row r="3542" spans="7:15" x14ac:dyDescent="0.25">
      <c r="G3542" t="str">
        <f t="shared" si="330"/>
        <v/>
      </c>
      <c r="H3542" s="13" t="str">
        <f t="shared" si="333"/>
        <v/>
      </c>
      <c r="I3542" t="str">
        <f>IFERROR(INDEX(Analysis!$D$116:$N$137, MATCH(B3542, Analysis!$C$116:$C$137, 0), MATCH(C3542, Analysis!$D$115:$N$115, 0)), "")</f>
        <v/>
      </c>
      <c r="J3542" t="str">
        <f t="shared" si="334"/>
        <v/>
      </c>
      <c r="K3542" s="28" t="str">
        <f t="shared" si="331"/>
        <v/>
      </c>
      <c r="L3542" s="46" t="str">
        <f t="shared" si="335"/>
        <v/>
      </c>
      <c r="M3542" t="str" cm="1">
        <f t="array" ref="M3542">IF(L3542="","",_xlfn.IFS(
  AND(L3542&gt;=TIME(9,0,0), L3542&lt;TIME(16,0,0)),"Morning",
  AND(L3542&gt;=TIME(16,0,0), L3542&lt;TIME(23,59,0)),"Evening",
  L3542&gt;=TIME(23,59,0),"Night",
  L3542&lt;TIME(9,0,0),"Night"
))</f>
        <v/>
      </c>
      <c r="O3542" t="str">
        <f t="shared" si="332"/>
        <v/>
      </c>
    </row>
    <row r="3543" spans="7:15" x14ac:dyDescent="0.25">
      <c r="G3543" t="str">
        <f t="shared" si="330"/>
        <v/>
      </c>
      <c r="H3543" s="13" t="str">
        <f t="shared" si="333"/>
        <v/>
      </c>
      <c r="I3543" t="str">
        <f>IFERROR(INDEX(Analysis!$D$116:$N$137, MATCH(B3543, Analysis!$C$116:$C$137, 0), MATCH(C3543, Analysis!$D$115:$N$115, 0)), "")</f>
        <v/>
      </c>
      <c r="J3543" t="str">
        <f t="shared" si="334"/>
        <v/>
      </c>
      <c r="K3543" s="28" t="str">
        <f t="shared" si="331"/>
        <v/>
      </c>
      <c r="L3543" s="46" t="str">
        <f t="shared" si="335"/>
        <v/>
      </c>
      <c r="M3543" t="str" cm="1">
        <f t="array" ref="M3543">IF(L3543="","",_xlfn.IFS(
  AND(L3543&gt;=TIME(9,0,0), L3543&lt;TIME(16,0,0)),"Morning",
  AND(L3543&gt;=TIME(16,0,0), L3543&lt;TIME(23,59,0)),"Evening",
  L3543&gt;=TIME(23,59,0),"Night",
  L3543&lt;TIME(9,0,0),"Night"
))</f>
        <v/>
      </c>
      <c r="O3543" t="str">
        <f t="shared" si="332"/>
        <v/>
      </c>
    </row>
    <row r="3544" spans="7:15" x14ac:dyDescent="0.25">
      <c r="G3544" t="str">
        <f t="shared" si="330"/>
        <v/>
      </c>
      <c r="H3544" s="13" t="str">
        <f t="shared" si="333"/>
        <v/>
      </c>
      <c r="I3544" t="str">
        <f>IFERROR(INDEX(Analysis!$D$116:$N$137, MATCH(B3544, Analysis!$C$116:$C$137, 0), MATCH(C3544, Analysis!$D$115:$N$115, 0)), "")</f>
        <v/>
      </c>
      <c r="J3544" t="str">
        <f t="shared" si="334"/>
        <v/>
      </c>
      <c r="K3544" s="28" t="str">
        <f t="shared" si="331"/>
        <v/>
      </c>
      <c r="L3544" s="46" t="str">
        <f t="shared" si="335"/>
        <v/>
      </c>
      <c r="M3544" t="str" cm="1">
        <f t="array" ref="M3544">IF(L3544="","",_xlfn.IFS(
  AND(L3544&gt;=TIME(9,0,0), L3544&lt;TIME(16,0,0)),"Morning",
  AND(L3544&gt;=TIME(16,0,0), L3544&lt;TIME(23,59,0)),"Evening",
  L3544&gt;=TIME(23,59,0),"Night",
  L3544&lt;TIME(9,0,0),"Night"
))</f>
        <v/>
      </c>
      <c r="O3544" t="str">
        <f t="shared" si="332"/>
        <v/>
      </c>
    </row>
    <row r="3545" spans="7:15" x14ac:dyDescent="0.25">
      <c r="G3545" t="str">
        <f t="shared" si="330"/>
        <v/>
      </c>
      <c r="H3545" s="13" t="str">
        <f t="shared" si="333"/>
        <v/>
      </c>
      <c r="I3545" t="str">
        <f>IFERROR(INDEX(Analysis!$D$116:$N$137, MATCH(B3545, Analysis!$C$116:$C$137, 0), MATCH(C3545, Analysis!$D$115:$N$115, 0)), "")</f>
        <v/>
      </c>
      <c r="J3545" t="str">
        <f t="shared" si="334"/>
        <v/>
      </c>
      <c r="K3545" s="28" t="str">
        <f t="shared" si="331"/>
        <v/>
      </c>
      <c r="L3545" s="46" t="str">
        <f t="shared" si="335"/>
        <v/>
      </c>
      <c r="M3545" t="str" cm="1">
        <f t="array" ref="M3545">IF(L3545="","",_xlfn.IFS(
  AND(L3545&gt;=TIME(9,0,0), L3545&lt;TIME(16,0,0)),"Morning",
  AND(L3545&gt;=TIME(16,0,0), L3545&lt;TIME(23,59,0)),"Evening",
  L3545&gt;=TIME(23,59,0),"Night",
  L3545&lt;TIME(9,0,0),"Night"
))</f>
        <v/>
      </c>
      <c r="O3545" t="str">
        <f t="shared" si="332"/>
        <v/>
      </c>
    </row>
    <row r="3546" spans="7:15" x14ac:dyDescent="0.25">
      <c r="G3546" t="str">
        <f t="shared" si="330"/>
        <v/>
      </c>
      <c r="H3546" s="13" t="str">
        <f t="shared" si="333"/>
        <v/>
      </c>
      <c r="I3546" t="str">
        <f>IFERROR(INDEX(Analysis!$D$116:$N$137, MATCH(B3546, Analysis!$C$116:$C$137, 0), MATCH(C3546, Analysis!$D$115:$N$115, 0)), "")</f>
        <v/>
      </c>
      <c r="J3546" t="str">
        <f t="shared" si="334"/>
        <v/>
      </c>
      <c r="K3546" s="28" t="str">
        <f t="shared" si="331"/>
        <v/>
      </c>
      <c r="L3546" s="46" t="str">
        <f t="shared" si="335"/>
        <v/>
      </c>
      <c r="M3546" t="str" cm="1">
        <f t="array" ref="M3546">IF(L3546="","",_xlfn.IFS(
  AND(L3546&gt;=TIME(9,0,0), L3546&lt;TIME(16,0,0)),"Morning",
  AND(L3546&gt;=TIME(16,0,0), L3546&lt;TIME(23,59,0)),"Evening",
  L3546&gt;=TIME(23,59,0),"Night",
  L3546&lt;TIME(9,0,0),"Night"
))</f>
        <v/>
      </c>
      <c r="O3546" t="str">
        <f t="shared" si="332"/>
        <v/>
      </c>
    </row>
    <row r="3547" spans="7:15" x14ac:dyDescent="0.25">
      <c r="G3547" t="str">
        <f t="shared" si="330"/>
        <v/>
      </c>
      <c r="H3547" s="13" t="str">
        <f t="shared" si="333"/>
        <v/>
      </c>
      <c r="I3547" t="str">
        <f>IFERROR(INDEX(Analysis!$D$116:$N$137, MATCH(B3547, Analysis!$C$116:$C$137, 0), MATCH(C3547, Analysis!$D$115:$N$115, 0)), "")</f>
        <v/>
      </c>
      <c r="J3547" t="str">
        <f t="shared" si="334"/>
        <v/>
      </c>
      <c r="K3547" s="28" t="str">
        <f t="shared" si="331"/>
        <v/>
      </c>
      <c r="L3547" s="46" t="str">
        <f t="shared" si="335"/>
        <v/>
      </c>
      <c r="M3547" t="str" cm="1">
        <f t="array" ref="M3547">IF(L3547="","",_xlfn.IFS(
  AND(L3547&gt;=TIME(9,0,0), L3547&lt;TIME(16,0,0)),"Morning",
  AND(L3547&gt;=TIME(16,0,0), L3547&lt;TIME(23,59,0)),"Evening",
  L3547&gt;=TIME(23,59,0),"Night",
  L3547&lt;TIME(9,0,0),"Night"
))</f>
        <v/>
      </c>
      <c r="O3547" t="str">
        <f t="shared" si="332"/>
        <v/>
      </c>
    </row>
    <row r="3548" spans="7:15" x14ac:dyDescent="0.25">
      <c r="G3548" t="str">
        <f t="shared" si="330"/>
        <v/>
      </c>
      <c r="H3548" s="13" t="str">
        <f t="shared" si="333"/>
        <v/>
      </c>
      <c r="I3548" t="str">
        <f>IFERROR(INDEX(Analysis!$D$116:$N$137, MATCH(B3548, Analysis!$C$116:$C$137, 0), MATCH(C3548, Analysis!$D$115:$N$115, 0)), "")</f>
        <v/>
      </c>
      <c r="J3548" t="str">
        <f t="shared" si="334"/>
        <v/>
      </c>
      <c r="K3548" s="28" t="str">
        <f t="shared" si="331"/>
        <v/>
      </c>
      <c r="L3548" s="46" t="str">
        <f t="shared" si="335"/>
        <v/>
      </c>
      <c r="M3548" t="str" cm="1">
        <f t="array" ref="M3548">IF(L3548="","",_xlfn.IFS(
  AND(L3548&gt;=TIME(9,0,0), L3548&lt;TIME(16,0,0)),"Morning",
  AND(L3548&gt;=TIME(16,0,0), L3548&lt;TIME(23,59,0)),"Evening",
  L3548&gt;=TIME(23,59,0),"Night",
  L3548&lt;TIME(9,0,0),"Night"
))</f>
        <v/>
      </c>
      <c r="O3548" t="str">
        <f t="shared" si="332"/>
        <v/>
      </c>
    </row>
    <row r="3549" spans="7:15" x14ac:dyDescent="0.25">
      <c r="G3549" t="str">
        <f t="shared" si="330"/>
        <v/>
      </c>
      <c r="H3549" s="13" t="str">
        <f t="shared" si="333"/>
        <v/>
      </c>
      <c r="I3549" t="str">
        <f>IFERROR(INDEX(Analysis!$D$116:$N$137, MATCH(B3549, Analysis!$C$116:$C$137, 0), MATCH(C3549, Analysis!$D$115:$N$115, 0)), "")</f>
        <v/>
      </c>
      <c r="J3549" t="str">
        <f t="shared" si="334"/>
        <v/>
      </c>
      <c r="K3549" s="28" t="str">
        <f t="shared" si="331"/>
        <v/>
      </c>
      <c r="L3549" s="46" t="str">
        <f t="shared" si="335"/>
        <v/>
      </c>
      <c r="M3549" t="str" cm="1">
        <f t="array" ref="M3549">IF(L3549="","",_xlfn.IFS(
  AND(L3549&gt;=TIME(9,0,0), L3549&lt;TIME(16,0,0)),"Morning",
  AND(L3549&gt;=TIME(16,0,0), L3549&lt;TIME(23,59,0)),"Evening",
  L3549&gt;=TIME(23,59,0),"Night",
  L3549&lt;TIME(9,0,0),"Night"
))</f>
        <v/>
      </c>
      <c r="O3549" t="str">
        <f t="shared" si="332"/>
        <v/>
      </c>
    </row>
    <row r="3550" spans="7:15" x14ac:dyDescent="0.25">
      <c r="G3550" t="str">
        <f t="shared" si="330"/>
        <v/>
      </c>
      <c r="H3550" s="13" t="str">
        <f t="shared" si="333"/>
        <v/>
      </c>
      <c r="I3550" t="str">
        <f>IFERROR(INDEX(Analysis!$D$116:$N$137, MATCH(B3550, Analysis!$C$116:$C$137, 0), MATCH(C3550, Analysis!$D$115:$N$115, 0)), "")</f>
        <v/>
      </c>
      <c r="J3550" t="str">
        <f t="shared" si="334"/>
        <v/>
      </c>
      <c r="K3550" s="28" t="str">
        <f t="shared" si="331"/>
        <v/>
      </c>
      <c r="L3550" s="46" t="str">
        <f t="shared" si="335"/>
        <v/>
      </c>
      <c r="M3550" t="str" cm="1">
        <f t="array" ref="M3550">IF(L3550="","",_xlfn.IFS(
  AND(L3550&gt;=TIME(9,0,0), L3550&lt;TIME(16,0,0)),"Morning",
  AND(L3550&gt;=TIME(16,0,0), L3550&lt;TIME(23,59,0)),"Evening",
  L3550&gt;=TIME(23,59,0),"Night",
  L3550&lt;TIME(9,0,0),"Night"
))</f>
        <v/>
      </c>
      <c r="O3550" t="str">
        <f t="shared" si="332"/>
        <v/>
      </c>
    </row>
    <row r="3551" spans="7:15" x14ac:dyDescent="0.25">
      <c r="G3551" t="str">
        <f t="shared" si="330"/>
        <v/>
      </c>
      <c r="H3551" s="13" t="str">
        <f t="shared" si="333"/>
        <v/>
      </c>
      <c r="I3551" t="str">
        <f>IFERROR(INDEX(Analysis!$D$116:$N$137, MATCH(B3551, Analysis!$C$116:$C$137, 0), MATCH(C3551, Analysis!$D$115:$N$115, 0)), "")</f>
        <v/>
      </c>
      <c r="J3551" t="str">
        <f t="shared" si="334"/>
        <v/>
      </c>
      <c r="K3551" s="28" t="str">
        <f t="shared" si="331"/>
        <v/>
      </c>
      <c r="L3551" s="46" t="str">
        <f t="shared" si="335"/>
        <v/>
      </c>
      <c r="M3551" t="str" cm="1">
        <f t="array" ref="M3551">IF(L3551="","",_xlfn.IFS(
  AND(L3551&gt;=TIME(9,0,0), L3551&lt;TIME(16,0,0)),"Morning",
  AND(L3551&gt;=TIME(16,0,0), L3551&lt;TIME(23,59,0)),"Evening",
  L3551&gt;=TIME(23,59,0),"Night",
  L3551&lt;TIME(9,0,0),"Night"
))</f>
        <v/>
      </c>
      <c r="O3551" t="str">
        <f t="shared" si="332"/>
        <v/>
      </c>
    </row>
    <row r="3552" spans="7:15" x14ac:dyDescent="0.25">
      <c r="G3552" t="str">
        <f t="shared" si="330"/>
        <v/>
      </c>
      <c r="H3552" s="13" t="str">
        <f t="shared" si="333"/>
        <v/>
      </c>
      <c r="I3552" t="str">
        <f>IFERROR(INDEX(Analysis!$D$116:$N$137, MATCH(B3552, Analysis!$C$116:$C$137, 0), MATCH(C3552, Analysis!$D$115:$N$115, 0)), "")</f>
        <v/>
      </c>
      <c r="J3552" t="str">
        <f t="shared" si="334"/>
        <v/>
      </c>
      <c r="K3552" s="28" t="str">
        <f t="shared" si="331"/>
        <v/>
      </c>
      <c r="L3552" s="46" t="str">
        <f t="shared" si="335"/>
        <v/>
      </c>
      <c r="M3552" t="str" cm="1">
        <f t="array" ref="M3552">IF(L3552="","",_xlfn.IFS(
  AND(L3552&gt;=TIME(9,0,0), L3552&lt;TIME(16,0,0)),"Morning",
  AND(L3552&gt;=TIME(16,0,0), L3552&lt;TIME(23,59,0)),"Evening",
  L3552&gt;=TIME(23,59,0),"Night",
  L3552&lt;TIME(9,0,0),"Night"
))</f>
        <v/>
      </c>
      <c r="O3552" t="str">
        <f t="shared" si="332"/>
        <v/>
      </c>
    </row>
    <row r="3553" spans="7:15" x14ac:dyDescent="0.25">
      <c r="G3553" t="str">
        <f t="shared" si="330"/>
        <v/>
      </c>
      <c r="H3553" s="13" t="str">
        <f t="shared" si="333"/>
        <v/>
      </c>
      <c r="I3553" t="str">
        <f>IFERROR(INDEX(Analysis!$D$116:$N$137, MATCH(B3553, Analysis!$C$116:$C$137, 0), MATCH(C3553, Analysis!$D$115:$N$115, 0)), "")</f>
        <v/>
      </c>
      <c r="J3553" t="str">
        <f t="shared" si="334"/>
        <v/>
      </c>
      <c r="K3553" s="28" t="str">
        <f t="shared" si="331"/>
        <v/>
      </c>
      <c r="L3553" s="46" t="str">
        <f t="shared" si="335"/>
        <v/>
      </c>
      <c r="M3553" t="str" cm="1">
        <f t="array" ref="M3553">IF(L3553="","",_xlfn.IFS(
  AND(L3553&gt;=TIME(9,0,0), L3553&lt;TIME(16,0,0)),"Morning",
  AND(L3553&gt;=TIME(16,0,0), L3553&lt;TIME(23,59,0)),"Evening",
  L3553&gt;=TIME(23,59,0),"Night",
  L3553&lt;TIME(9,0,0),"Night"
))</f>
        <v/>
      </c>
      <c r="O3553" t="str">
        <f t="shared" si="332"/>
        <v/>
      </c>
    </row>
    <row r="3554" spans="7:15" x14ac:dyDescent="0.25">
      <c r="G3554" t="str">
        <f t="shared" si="330"/>
        <v/>
      </c>
      <c r="H3554" s="13" t="str">
        <f t="shared" si="333"/>
        <v/>
      </c>
      <c r="I3554" t="str">
        <f>IFERROR(INDEX(Analysis!$D$116:$N$137, MATCH(B3554, Analysis!$C$116:$C$137, 0), MATCH(C3554, Analysis!$D$115:$N$115, 0)), "")</f>
        <v/>
      </c>
      <c r="J3554" t="str">
        <f t="shared" si="334"/>
        <v/>
      </c>
      <c r="K3554" s="28" t="str">
        <f t="shared" si="331"/>
        <v/>
      </c>
      <c r="L3554" s="46" t="str">
        <f t="shared" si="335"/>
        <v/>
      </c>
      <c r="M3554" t="str" cm="1">
        <f t="array" ref="M3554">IF(L3554="","",_xlfn.IFS(
  AND(L3554&gt;=TIME(9,0,0), L3554&lt;TIME(16,0,0)),"Morning",
  AND(L3554&gt;=TIME(16,0,0), L3554&lt;TIME(23,59,0)),"Evening",
  L3554&gt;=TIME(23,59,0),"Night",
  L3554&lt;TIME(9,0,0),"Night"
))</f>
        <v/>
      </c>
      <c r="O3554" t="str">
        <f t="shared" si="332"/>
        <v/>
      </c>
    </row>
    <row r="3555" spans="7:15" x14ac:dyDescent="0.25">
      <c r="G3555" t="str">
        <f t="shared" si="330"/>
        <v/>
      </c>
      <c r="H3555" s="13" t="str">
        <f t="shared" si="333"/>
        <v/>
      </c>
      <c r="I3555" t="str">
        <f>IFERROR(INDEX(Analysis!$D$116:$N$137, MATCH(B3555, Analysis!$C$116:$C$137, 0), MATCH(C3555, Analysis!$D$115:$N$115, 0)), "")</f>
        <v/>
      </c>
      <c r="J3555" t="str">
        <f t="shared" si="334"/>
        <v/>
      </c>
      <c r="K3555" s="28" t="str">
        <f t="shared" si="331"/>
        <v/>
      </c>
      <c r="L3555" s="46" t="str">
        <f t="shared" si="335"/>
        <v/>
      </c>
      <c r="M3555" t="str" cm="1">
        <f t="array" ref="M3555">IF(L3555="","",_xlfn.IFS(
  AND(L3555&gt;=TIME(9,0,0), L3555&lt;TIME(16,0,0)),"Morning",
  AND(L3555&gt;=TIME(16,0,0), L3555&lt;TIME(23,59,0)),"Evening",
  L3555&gt;=TIME(23,59,0),"Night",
  L3555&lt;TIME(9,0,0),"Night"
))</f>
        <v/>
      </c>
      <c r="O3555" t="str">
        <f t="shared" si="332"/>
        <v/>
      </c>
    </row>
    <row r="3556" spans="7:15" x14ac:dyDescent="0.25">
      <c r="G3556" t="str">
        <f t="shared" si="330"/>
        <v/>
      </c>
      <c r="H3556" s="13" t="str">
        <f t="shared" si="333"/>
        <v/>
      </c>
      <c r="I3556" t="str">
        <f>IFERROR(INDEX(Analysis!$D$116:$N$137, MATCH(B3556, Analysis!$C$116:$C$137, 0), MATCH(C3556, Analysis!$D$115:$N$115, 0)), "")</f>
        <v/>
      </c>
      <c r="J3556" t="str">
        <f t="shared" si="334"/>
        <v/>
      </c>
      <c r="K3556" s="28" t="str">
        <f t="shared" si="331"/>
        <v/>
      </c>
      <c r="L3556" s="46" t="str">
        <f t="shared" si="335"/>
        <v/>
      </c>
      <c r="M3556" t="str" cm="1">
        <f t="array" ref="M3556">IF(L3556="","",_xlfn.IFS(
  AND(L3556&gt;=TIME(9,0,0), L3556&lt;TIME(16,0,0)),"Morning",
  AND(L3556&gt;=TIME(16,0,0), L3556&lt;TIME(23,59,0)),"Evening",
  L3556&gt;=TIME(23,59,0),"Night",
  L3556&lt;TIME(9,0,0),"Night"
))</f>
        <v/>
      </c>
      <c r="O3556" t="str">
        <f t="shared" si="332"/>
        <v/>
      </c>
    </row>
    <row r="3557" spans="7:15" x14ac:dyDescent="0.25">
      <c r="G3557" t="str">
        <f t="shared" si="330"/>
        <v/>
      </c>
      <c r="H3557" s="13" t="str">
        <f t="shared" si="333"/>
        <v/>
      </c>
      <c r="I3557" t="str">
        <f>IFERROR(INDEX(Analysis!$D$116:$N$137, MATCH(B3557, Analysis!$C$116:$C$137, 0), MATCH(C3557, Analysis!$D$115:$N$115, 0)), "")</f>
        <v/>
      </c>
      <c r="J3557" t="str">
        <f t="shared" si="334"/>
        <v/>
      </c>
      <c r="K3557" s="28" t="str">
        <f t="shared" si="331"/>
        <v/>
      </c>
      <c r="L3557" s="46" t="str">
        <f t="shared" si="335"/>
        <v/>
      </c>
      <c r="M3557" t="str" cm="1">
        <f t="array" ref="M3557">IF(L3557="","",_xlfn.IFS(
  AND(L3557&gt;=TIME(9,0,0), L3557&lt;TIME(16,0,0)),"Morning",
  AND(L3557&gt;=TIME(16,0,0), L3557&lt;TIME(23,59,0)),"Evening",
  L3557&gt;=TIME(23,59,0),"Night",
  L3557&lt;TIME(9,0,0),"Night"
))</f>
        <v/>
      </c>
      <c r="O3557" t="str">
        <f t="shared" si="332"/>
        <v/>
      </c>
    </row>
    <row r="3558" spans="7:15" x14ac:dyDescent="0.25">
      <c r="G3558" t="str">
        <f t="shared" si="330"/>
        <v/>
      </c>
      <c r="H3558" s="13" t="str">
        <f t="shared" si="333"/>
        <v/>
      </c>
      <c r="I3558" t="str">
        <f>IFERROR(INDEX(Analysis!$D$116:$N$137, MATCH(B3558, Analysis!$C$116:$C$137, 0), MATCH(C3558, Analysis!$D$115:$N$115, 0)), "")</f>
        <v/>
      </c>
      <c r="J3558" t="str">
        <f t="shared" si="334"/>
        <v/>
      </c>
      <c r="K3558" s="28" t="str">
        <f t="shared" si="331"/>
        <v/>
      </c>
      <c r="L3558" s="46" t="str">
        <f t="shared" si="335"/>
        <v/>
      </c>
      <c r="M3558" t="str" cm="1">
        <f t="array" ref="M3558">IF(L3558="","",_xlfn.IFS(
  AND(L3558&gt;=TIME(9,0,0), L3558&lt;TIME(16,0,0)),"Morning",
  AND(L3558&gt;=TIME(16,0,0), L3558&lt;TIME(23,59,0)),"Evening",
  L3558&gt;=TIME(23,59,0),"Night",
  L3558&lt;TIME(9,0,0),"Night"
))</f>
        <v/>
      </c>
      <c r="O3558" t="str">
        <f t="shared" si="332"/>
        <v/>
      </c>
    </row>
    <row r="3559" spans="7:15" x14ac:dyDescent="0.25">
      <c r="G3559" t="str">
        <f t="shared" si="330"/>
        <v/>
      </c>
      <c r="H3559" s="13" t="str">
        <f t="shared" si="333"/>
        <v/>
      </c>
      <c r="I3559" t="str">
        <f>IFERROR(INDEX(Analysis!$D$116:$N$137, MATCH(B3559, Analysis!$C$116:$C$137, 0), MATCH(C3559, Analysis!$D$115:$N$115, 0)), "")</f>
        <v/>
      </c>
      <c r="J3559" t="str">
        <f t="shared" si="334"/>
        <v/>
      </c>
      <c r="K3559" s="28" t="str">
        <f t="shared" si="331"/>
        <v/>
      </c>
      <c r="L3559" s="46" t="str">
        <f t="shared" si="335"/>
        <v/>
      </c>
      <c r="M3559" t="str" cm="1">
        <f t="array" ref="M3559">IF(L3559="","",_xlfn.IFS(
  AND(L3559&gt;=TIME(9,0,0), L3559&lt;TIME(16,0,0)),"Morning",
  AND(L3559&gt;=TIME(16,0,0), L3559&lt;TIME(23,59,0)),"Evening",
  L3559&gt;=TIME(23,59,0),"Night",
  L3559&lt;TIME(9,0,0),"Night"
))</f>
        <v/>
      </c>
      <c r="O3559" t="str">
        <f t="shared" si="332"/>
        <v/>
      </c>
    </row>
    <row r="3560" spans="7:15" x14ac:dyDescent="0.25">
      <c r="G3560" t="str">
        <f t="shared" si="330"/>
        <v/>
      </c>
      <c r="H3560" s="13" t="str">
        <f t="shared" si="333"/>
        <v/>
      </c>
      <c r="I3560" t="str">
        <f>IFERROR(INDEX(Analysis!$D$116:$N$137, MATCH(B3560, Analysis!$C$116:$C$137, 0), MATCH(C3560, Analysis!$D$115:$N$115, 0)), "")</f>
        <v/>
      </c>
      <c r="J3560" t="str">
        <f t="shared" si="334"/>
        <v/>
      </c>
      <c r="K3560" s="28" t="str">
        <f t="shared" si="331"/>
        <v/>
      </c>
      <c r="L3560" s="46" t="str">
        <f t="shared" si="335"/>
        <v/>
      </c>
      <c r="M3560" t="str" cm="1">
        <f t="array" ref="M3560">IF(L3560="","",_xlfn.IFS(
  AND(L3560&gt;=TIME(9,0,0), L3560&lt;TIME(16,0,0)),"Morning",
  AND(L3560&gt;=TIME(16,0,0), L3560&lt;TIME(23,59,0)),"Evening",
  L3560&gt;=TIME(23,59,0),"Night",
  L3560&lt;TIME(9,0,0),"Night"
))</f>
        <v/>
      </c>
      <c r="O3560" t="str">
        <f t="shared" si="332"/>
        <v/>
      </c>
    </row>
    <row r="3561" spans="7:15" x14ac:dyDescent="0.25">
      <c r="G3561" t="str">
        <f t="shared" si="330"/>
        <v/>
      </c>
      <c r="H3561" s="13" t="str">
        <f t="shared" si="333"/>
        <v/>
      </c>
      <c r="I3561" t="str">
        <f>IFERROR(INDEX(Analysis!$D$116:$N$137, MATCH(B3561, Analysis!$C$116:$C$137, 0), MATCH(C3561, Analysis!$D$115:$N$115, 0)), "")</f>
        <v/>
      </c>
      <c r="J3561" t="str">
        <f t="shared" si="334"/>
        <v/>
      </c>
      <c r="K3561" s="28" t="str">
        <f t="shared" si="331"/>
        <v/>
      </c>
      <c r="L3561" s="46" t="str">
        <f t="shared" si="335"/>
        <v/>
      </c>
      <c r="M3561" t="str" cm="1">
        <f t="array" ref="M3561">IF(L3561="","",_xlfn.IFS(
  AND(L3561&gt;=TIME(9,0,0), L3561&lt;TIME(16,0,0)),"Morning",
  AND(L3561&gt;=TIME(16,0,0), L3561&lt;TIME(23,59,0)),"Evening",
  L3561&gt;=TIME(23,59,0),"Night",
  L3561&lt;TIME(9,0,0),"Night"
))</f>
        <v/>
      </c>
      <c r="O3561" t="str">
        <f t="shared" si="332"/>
        <v/>
      </c>
    </row>
    <row r="3562" spans="7:15" x14ac:dyDescent="0.25">
      <c r="G3562" t="str">
        <f t="shared" si="330"/>
        <v/>
      </c>
      <c r="H3562" s="13" t="str">
        <f t="shared" si="333"/>
        <v/>
      </c>
      <c r="I3562" t="str">
        <f>IFERROR(INDEX(Analysis!$D$116:$N$137, MATCH(B3562, Analysis!$C$116:$C$137, 0), MATCH(C3562, Analysis!$D$115:$N$115, 0)), "")</f>
        <v/>
      </c>
      <c r="J3562" t="str">
        <f t="shared" si="334"/>
        <v/>
      </c>
      <c r="K3562" s="28" t="str">
        <f t="shared" si="331"/>
        <v/>
      </c>
      <c r="L3562" s="46" t="str">
        <f t="shared" si="335"/>
        <v/>
      </c>
      <c r="M3562" t="str" cm="1">
        <f t="array" ref="M3562">IF(L3562="","",_xlfn.IFS(
  AND(L3562&gt;=TIME(9,0,0), L3562&lt;TIME(16,0,0)),"Morning",
  AND(L3562&gt;=TIME(16,0,0), L3562&lt;TIME(23,59,0)),"Evening",
  L3562&gt;=TIME(23,59,0),"Night",
  L3562&lt;TIME(9,0,0),"Night"
))</f>
        <v/>
      </c>
      <c r="O3562" t="str">
        <f t="shared" si="332"/>
        <v/>
      </c>
    </row>
    <row r="3563" spans="7:15" x14ac:dyDescent="0.25">
      <c r="G3563" t="str">
        <f t="shared" si="330"/>
        <v/>
      </c>
      <c r="H3563" s="13" t="str">
        <f t="shared" si="333"/>
        <v/>
      </c>
      <c r="I3563" t="str">
        <f>IFERROR(INDEX(Analysis!$D$116:$N$137, MATCH(B3563, Analysis!$C$116:$C$137, 0), MATCH(C3563, Analysis!$D$115:$N$115, 0)), "")</f>
        <v/>
      </c>
      <c r="J3563" t="str">
        <f t="shared" si="334"/>
        <v/>
      </c>
      <c r="K3563" s="28" t="str">
        <f t="shared" si="331"/>
        <v/>
      </c>
      <c r="L3563" s="46" t="str">
        <f t="shared" si="335"/>
        <v/>
      </c>
      <c r="M3563" t="str" cm="1">
        <f t="array" ref="M3563">IF(L3563="","",_xlfn.IFS(
  AND(L3563&gt;=TIME(9,0,0), L3563&lt;TIME(16,0,0)),"Morning",
  AND(L3563&gt;=TIME(16,0,0), L3563&lt;TIME(23,59,0)),"Evening",
  L3563&gt;=TIME(23,59,0),"Night",
  L3563&lt;TIME(9,0,0),"Night"
))</f>
        <v/>
      </c>
      <c r="O3563" t="str">
        <f t="shared" si="332"/>
        <v/>
      </c>
    </row>
    <row r="3564" spans="7:15" x14ac:dyDescent="0.25">
      <c r="G3564" t="str">
        <f t="shared" si="330"/>
        <v/>
      </c>
      <c r="H3564" s="13" t="str">
        <f t="shared" si="333"/>
        <v/>
      </c>
      <c r="I3564" t="str">
        <f>IFERROR(INDEX(Analysis!$D$116:$N$137, MATCH(B3564, Analysis!$C$116:$C$137, 0), MATCH(C3564, Analysis!$D$115:$N$115, 0)), "")</f>
        <v/>
      </c>
      <c r="J3564" t="str">
        <f t="shared" si="334"/>
        <v/>
      </c>
      <c r="K3564" s="28" t="str">
        <f t="shared" si="331"/>
        <v/>
      </c>
      <c r="L3564" s="46" t="str">
        <f t="shared" si="335"/>
        <v/>
      </c>
      <c r="M3564" t="str" cm="1">
        <f t="array" ref="M3564">IF(L3564="","",_xlfn.IFS(
  AND(L3564&gt;=TIME(9,0,0), L3564&lt;TIME(16,0,0)),"Morning",
  AND(L3564&gt;=TIME(16,0,0), L3564&lt;TIME(23,59,0)),"Evening",
  L3564&gt;=TIME(23,59,0),"Night",
  L3564&lt;TIME(9,0,0),"Night"
))</f>
        <v/>
      </c>
      <c r="O3564" t="str">
        <f t="shared" si="332"/>
        <v/>
      </c>
    </row>
    <row r="3565" spans="7:15" x14ac:dyDescent="0.25">
      <c r="G3565" t="str">
        <f t="shared" si="330"/>
        <v/>
      </c>
      <c r="H3565" s="13" t="str">
        <f t="shared" si="333"/>
        <v/>
      </c>
      <c r="I3565" t="str">
        <f>IFERROR(INDEX(Analysis!$D$116:$N$137, MATCH(B3565, Analysis!$C$116:$C$137, 0), MATCH(C3565, Analysis!$D$115:$N$115, 0)), "")</f>
        <v/>
      </c>
      <c r="J3565" t="str">
        <f t="shared" si="334"/>
        <v/>
      </c>
      <c r="K3565" s="28" t="str">
        <f t="shared" si="331"/>
        <v/>
      </c>
      <c r="L3565" s="46" t="str">
        <f t="shared" si="335"/>
        <v/>
      </c>
      <c r="M3565" t="str" cm="1">
        <f t="array" ref="M3565">IF(L3565="","",_xlfn.IFS(
  AND(L3565&gt;=TIME(9,0,0), L3565&lt;TIME(16,0,0)),"Morning",
  AND(L3565&gt;=TIME(16,0,0), L3565&lt;TIME(23,59,0)),"Evening",
  L3565&gt;=TIME(23,59,0),"Night",
  L3565&lt;TIME(9,0,0),"Night"
))</f>
        <v/>
      </c>
      <c r="O3565" t="str">
        <f t="shared" si="332"/>
        <v/>
      </c>
    </row>
    <row r="3566" spans="7:15" x14ac:dyDescent="0.25">
      <c r="G3566" t="str">
        <f t="shared" si="330"/>
        <v/>
      </c>
      <c r="H3566" s="13" t="str">
        <f t="shared" si="333"/>
        <v/>
      </c>
      <c r="I3566" t="str">
        <f>IFERROR(INDEX(Analysis!$D$116:$N$137, MATCH(B3566, Analysis!$C$116:$C$137, 0), MATCH(C3566, Analysis!$D$115:$N$115, 0)), "")</f>
        <v/>
      </c>
      <c r="J3566" t="str">
        <f t="shared" si="334"/>
        <v/>
      </c>
      <c r="K3566" s="28" t="str">
        <f t="shared" si="331"/>
        <v/>
      </c>
      <c r="L3566" s="46" t="str">
        <f t="shared" si="335"/>
        <v/>
      </c>
      <c r="M3566" t="str" cm="1">
        <f t="array" ref="M3566">IF(L3566="","",_xlfn.IFS(
  AND(L3566&gt;=TIME(9,0,0), L3566&lt;TIME(16,0,0)),"Morning",
  AND(L3566&gt;=TIME(16,0,0), L3566&lt;TIME(23,59,0)),"Evening",
  L3566&gt;=TIME(23,59,0),"Night",
  L3566&lt;TIME(9,0,0),"Night"
))</f>
        <v/>
      </c>
      <c r="O3566" t="str">
        <f t="shared" si="332"/>
        <v/>
      </c>
    </row>
    <row r="3567" spans="7:15" x14ac:dyDescent="0.25">
      <c r="G3567" t="str">
        <f t="shared" si="330"/>
        <v/>
      </c>
      <c r="H3567" s="13" t="str">
        <f t="shared" si="333"/>
        <v/>
      </c>
      <c r="I3567" t="str">
        <f>IFERROR(INDEX(Analysis!$D$116:$N$137, MATCH(B3567, Analysis!$C$116:$C$137, 0), MATCH(C3567, Analysis!$D$115:$N$115, 0)), "")</f>
        <v/>
      </c>
      <c r="J3567" t="str">
        <f t="shared" si="334"/>
        <v/>
      </c>
      <c r="K3567" s="28" t="str">
        <f t="shared" si="331"/>
        <v/>
      </c>
      <c r="L3567" s="46" t="str">
        <f t="shared" si="335"/>
        <v/>
      </c>
      <c r="M3567" t="str" cm="1">
        <f t="array" ref="M3567">IF(L3567="","",_xlfn.IFS(
  AND(L3567&gt;=TIME(9,0,0), L3567&lt;TIME(16,0,0)),"Morning",
  AND(L3567&gt;=TIME(16,0,0), L3567&lt;TIME(23,59,0)),"Evening",
  L3567&gt;=TIME(23,59,0),"Night",
  L3567&lt;TIME(9,0,0),"Night"
))</f>
        <v/>
      </c>
      <c r="O3567" t="str">
        <f t="shared" si="332"/>
        <v/>
      </c>
    </row>
    <row r="3568" spans="7:15" x14ac:dyDescent="0.25">
      <c r="G3568" t="str">
        <f t="shared" si="330"/>
        <v/>
      </c>
      <c r="H3568" s="13" t="str">
        <f t="shared" si="333"/>
        <v/>
      </c>
      <c r="I3568" t="str">
        <f>IFERROR(INDEX(Analysis!$D$116:$N$137, MATCH(B3568, Analysis!$C$116:$C$137, 0), MATCH(C3568, Analysis!$D$115:$N$115, 0)), "")</f>
        <v/>
      </c>
      <c r="J3568" t="str">
        <f t="shared" si="334"/>
        <v/>
      </c>
      <c r="K3568" s="28" t="str">
        <f t="shared" si="331"/>
        <v/>
      </c>
      <c r="L3568" s="46" t="str">
        <f t="shared" si="335"/>
        <v/>
      </c>
      <c r="M3568" t="str" cm="1">
        <f t="array" ref="M3568">IF(L3568="","",_xlfn.IFS(
  AND(L3568&gt;=TIME(9,0,0), L3568&lt;TIME(16,0,0)),"Morning",
  AND(L3568&gt;=TIME(16,0,0), L3568&lt;TIME(23,59,0)),"Evening",
  L3568&gt;=TIME(23,59,0),"Night",
  L3568&lt;TIME(9,0,0),"Night"
))</f>
        <v/>
      </c>
      <c r="O3568" t="str">
        <f t="shared" si="332"/>
        <v/>
      </c>
    </row>
    <row r="3569" spans="7:15" x14ac:dyDescent="0.25">
      <c r="G3569" t="str">
        <f t="shared" si="330"/>
        <v/>
      </c>
      <c r="H3569" s="13" t="str">
        <f t="shared" si="333"/>
        <v/>
      </c>
      <c r="I3569" t="str">
        <f>IFERROR(INDEX(Analysis!$D$116:$N$137, MATCH(B3569, Analysis!$C$116:$C$137, 0), MATCH(C3569, Analysis!$D$115:$N$115, 0)), "")</f>
        <v/>
      </c>
      <c r="J3569" t="str">
        <f t="shared" si="334"/>
        <v/>
      </c>
      <c r="K3569" s="28" t="str">
        <f t="shared" si="331"/>
        <v/>
      </c>
      <c r="L3569" s="46" t="str">
        <f t="shared" si="335"/>
        <v/>
      </c>
      <c r="M3569" t="str" cm="1">
        <f t="array" ref="M3569">IF(L3569="","",_xlfn.IFS(
  AND(L3569&gt;=TIME(9,0,0), L3569&lt;TIME(16,0,0)),"Morning",
  AND(L3569&gt;=TIME(16,0,0), L3569&lt;TIME(23,59,0)),"Evening",
  L3569&gt;=TIME(23,59,0),"Night",
  L3569&lt;TIME(9,0,0),"Night"
))</f>
        <v/>
      </c>
      <c r="O3569" t="str">
        <f t="shared" si="332"/>
        <v/>
      </c>
    </row>
    <row r="3570" spans="7:15" x14ac:dyDescent="0.25">
      <c r="G3570" t="str">
        <f t="shared" si="330"/>
        <v/>
      </c>
      <c r="H3570" s="13" t="str">
        <f t="shared" si="333"/>
        <v/>
      </c>
      <c r="I3570" t="str">
        <f>IFERROR(INDEX(Analysis!$D$116:$N$137, MATCH(B3570, Analysis!$C$116:$C$137, 0), MATCH(C3570, Analysis!$D$115:$N$115, 0)), "")</f>
        <v/>
      </c>
      <c r="J3570" t="str">
        <f t="shared" si="334"/>
        <v/>
      </c>
      <c r="K3570" s="28" t="str">
        <f t="shared" si="331"/>
        <v/>
      </c>
      <c r="L3570" s="46" t="str">
        <f t="shared" si="335"/>
        <v/>
      </c>
      <c r="M3570" t="str" cm="1">
        <f t="array" ref="M3570">IF(L3570="","",_xlfn.IFS(
  AND(L3570&gt;=TIME(9,0,0), L3570&lt;TIME(16,0,0)),"Morning",
  AND(L3570&gt;=TIME(16,0,0), L3570&lt;TIME(23,59,0)),"Evening",
  L3570&gt;=TIME(23,59,0),"Night",
  L3570&lt;TIME(9,0,0),"Night"
))</f>
        <v/>
      </c>
      <c r="O3570" t="str">
        <f t="shared" si="332"/>
        <v/>
      </c>
    </row>
    <row r="3571" spans="7:15" x14ac:dyDescent="0.25">
      <c r="G3571" t="str">
        <f t="shared" si="330"/>
        <v/>
      </c>
      <c r="H3571" s="13" t="str">
        <f t="shared" si="333"/>
        <v/>
      </c>
      <c r="I3571" t="str">
        <f>IFERROR(INDEX(Analysis!$D$116:$N$137, MATCH(B3571, Analysis!$C$116:$C$137, 0), MATCH(C3571, Analysis!$D$115:$N$115, 0)), "")</f>
        <v/>
      </c>
      <c r="J3571" t="str">
        <f t="shared" si="334"/>
        <v/>
      </c>
      <c r="K3571" s="28" t="str">
        <f t="shared" si="331"/>
        <v/>
      </c>
      <c r="L3571" s="46" t="str">
        <f t="shared" si="335"/>
        <v/>
      </c>
      <c r="M3571" t="str" cm="1">
        <f t="array" ref="M3571">IF(L3571="","",_xlfn.IFS(
  AND(L3571&gt;=TIME(9,0,0), L3571&lt;TIME(16,0,0)),"Morning",
  AND(L3571&gt;=TIME(16,0,0), L3571&lt;TIME(23,59,0)),"Evening",
  L3571&gt;=TIME(23,59,0),"Night",
  L3571&lt;TIME(9,0,0),"Night"
))</f>
        <v/>
      </c>
      <c r="O3571" t="str">
        <f t="shared" si="332"/>
        <v/>
      </c>
    </row>
    <row r="3572" spans="7:15" x14ac:dyDescent="0.25">
      <c r="G3572" t="str">
        <f t="shared" si="330"/>
        <v/>
      </c>
      <c r="H3572" s="13" t="str">
        <f t="shared" si="333"/>
        <v/>
      </c>
      <c r="I3572" t="str">
        <f>IFERROR(INDEX(Analysis!$D$116:$N$137, MATCH(B3572, Analysis!$C$116:$C$137, 0), MATCH(C3572, Analysis!$D$115:$N$115, 0)), "")</f>
        <v/>
      </c>
      <c r="J3572" t="str">
        <f t="shared" si="334"/>
        <v/>
      </c>
      <c r="K3572" s="28" t="str">
        <f t="shared" si="331"/>
        <v/>
      </c>
      <c r="L3572" s="46" t="str">
        <f t="shared" si="335"/>
        <v/>
      </c>
      <c r="M3572" t="str" cm="1">
        <f t="array" ref="M3572">IF(L3572="","",_xlfn.IFS(
  AND(L3572&gt;=TIME(9,0,0), L3572&lt;TIME(16,0,0)),"Morning",
  AND(L3572&gt;=TIME(16,0,0), L3572&lt;TIME(23,59,0)),"Evening",
  L3572&gt;=TIME(23,59,0),"Night",
  L3572&lt;TIME(9,0,0),"Night"
))</f>
        <v/>
      </c>
      <c r="O3572" t="str">
        <f t="shared" si="332"/>
        <v/>
      </c>
    </row>
    <row r="3573" spans="7:15" x14ac:dyDescent="0.25">
      <c r="G3573" t="str">
        <f t="shared" si="330"/>
        <v/>
      </c>
      <c r="H3573" s="13" t="str">
        <f t="shared" si="333"/>
        <v/>
      </c>
      <c r="I3573" t="str">
        <f>IFERROR(INDEX(Analysis!$D$116:$N$137, MATCH(B3573, Analysis!$C$116:$C$137, 0), MATCH(C3573, Analysis!$D$115:$N$115, 0)), "")</f>
        <v/>
      </c>
      <c r="J3573" t="str">
        <f t="shared" si="334"/>
        <v/>
      </c>
      <c r="K3573" s="28" t="str">
        <f t="shared" si="331"/>
        <v/>
      </c>
      <c r="L3573" s="46" t="str">
        <f t="shared" si="335"/>
        <v/>
      </c>
      <c r="M3573" t="str" cm="1">
        <f t="array" ref="M3573">IF(L3573="","",_xlfn.IFS(
  AND(L3573&gt;=TIME(9,0,0), L3573&lt;TIME(16,0,0)),"Morning",
  AND(L3573&gt;=TIME(16,0,0), L3573&lt;TIME(23,59,0)),"Evening",
  L3573&gt;=TIME(23,59,0),"Night",
  L3573&lt;TIME(9,0,0),"Night"
))</f>
        <v/>
      </c>
      <c r="O3573" t="str">
        <f t="shared" si="332"/>
        <v/>
      </c>
    </row>
    <row r="3574" spans="7:15" x14ac:dyDescent="0.25">
      <c r="G3574" t="str">
        <f t="shared" si="330"/>
        <v/>
      </c>
      <c r="H3574" s="13" t="str">
        <f t="shared" si="333"/>
        <v/>
      </c>
      <c r="I3574" t="str">
        <f>IFERROR(INDEX(Analysis!$D$116:$N$137, MATCH(B3574, Analysis!$C$116:$C$137, 0), MATCH(C3574, Analysis!$D$115:$N$115, 0)), "")</f>
        <v/>
      </c>
      <c r="J3574" t="str">
        <f t="shared" si="334"/>
        <v/>
      </c>
      <c r="K3574" s="28" t="str">
        <f t="shared" si="331"/>
        <v/>
      </c>
      <c r="L3574" s="46" t="str">
        <f t="shared" si="335"/>
        <v/>
      </c>
      <c r="M3574" t="str" cm="1">
        <f t="array" ref="M3574">IF(L3574="","",_xlfn.IFS(
  AND(L3574&gt;=TIME(9,0,0), L3574&lt;TIME(16,0,0)),"Morning",
  AND(L3574&gt;=TIME(16,0,0), L3574&lt;TIME(23,59,0)),"Evening",
  L3574&gt;=TIME(23,59,0),"Night",
  L3574&lt;TIME(9,0,0),"Night"
))</f>
        <v/>
      </c>
      <c r="O3574" t="str">
        <f t="shared" si="332"/>
        <v/>
      </c>
    </row>
    <row r="3575" spans="7:15" x14ac:dyDescent="0.25">
      <c r="G3575" t="str">
        <f t="shared" si="330"/>
        <v/>
      </c>
      <c r="H3575" s="13" t="str">
        <f t="shared" si="333"/>
        <v/>
      </c>
      <c r="I3575" t="str">
        <f>IFERROR(INDEX(Analysis!$D$116:$N$137, MATCH(B3575, Analysis!$C$116:$C$137, 0), MATCH(C3575, Analysis!$D$115:$N$115, 0)), "")</f>
        <v/>
      </c>
      <c r="J3575" t="str">
        <f t="shared" si="334"/>
        <v/>
      </c>
      <c r="K3575" s="28" t="str">
        <f t="shared" si="331"/>
        <v/>
      </c>
      <c r="L3575" s="46" t="str">
        <f t="shared" si="335"/>
        <v/>
      </c>
      <c r="M3575" t="str" cm="1">
        <f t="array" ref="M3575">IF(L3575="","",_xlfn.IFS(
  AND(L3575&gt;=TIME(9,0,0), L3575&lt;TIME(16,0,0)),"Morning",
  AND(L3575&gt;=TIME(16,0,0), L3575&lt;TIME(23,59,0)),"Evening",
  L3575&gt;=TIME(23,59,0),"Night",
  L3575&lt;TIME(9,0,0),"Night"
))</f>
        <v/>
      </c>
      <c r="O3575" t="str">
        <f t="shared" si="332"/>
        <v/>
      </c>
    </row>
    <row r="3576" spans="7:15" x14ac:dyDescent="0.25">
      <c r="G3576" t="str">
        <f t="shared" si="330"/>
        <v/>
      </c>
      <c r="H3576" s="13" t="str">
        <f t="shared" si="333"/>
        <v/>
      </c>
      <c r="I3576" t="str">
        <f>IFERROR(INDEX(Analysis!$D$116:$N$137, MATCH(B3576, Analysis!$C$116:$C$137, 0), MATCH(C3576, Analysis!$D$115:$N$115, 0)), "")</f>
        <v/>
      </c>
      <c r="J3576" t="str">
        <f t="shared" si="334"/>
        <v/>
      </c>
      <c r="K3576" s="28" t="str">
        <f t="shared" si="331"/>
        <v/>
      </c>
      <c r="L3576" s="46" t="str">
        <f t="shared" si="335"/>
        <v/>
      </c>
      <c r="M3576" t="str" cm="1">
        <f t="array" ref="M3576">IF(L3576="","",_xlfn.IFS(
  AND(L3576&gt;=TIME(9,0,0), L3576&lt;TIME(16,0,0)),"Morning",
  AND(L3576&gt;=TIME(16,0,0), L3576&lt;TIME(23,59,0)),"Evening",
  L3576&gt;=TIME(23,59,0),"Night",
  L3576&lt;TIME(9,0,0),"Night"
))</f>
        <v/>
      </c>
      <c r="O3576" t="str">
        <f t="shared" si="332"/>
        <v/>
      </c>
    </row>
    <row r="3577" spans="7:15" x14ac:dyDescent="0.25">
      <c r="G3577" t="str">
        <f t="shared" si="330"/>
        <v/>
      </c>
      <c r="H3577" s="13" t="str">
        <f t="shared" si="333"/>
        <v/>
      </c>
      <c r="I3577" t="str">
        <f>IFERROR(INDEX(Analysis!$D$116:$N$137, MATCH(B3577, Analysis!$C$116:$C$137, 0), MATCH(C3577, Analysis!$D$115:$N$115, 0)), "")</f>
        <v/>
      </c>
      <c r="J3577" t="str">
        <f t="shared" si="334"/>
        <v/>
      </c>
      <c r="K3577" s="28" t="str">
        <f t="shared" si="331"/>
        <v/>
      </c>
      <c r="L3577" s="46" t="str">
        <f t="shared" si="335"/>
        <v/>
      </c>
      <c r="M3577" t="str" cm="1">
        <f t="array" ref="M3577">IF(L3577="","",_xlfn.IFS(
  AND(L3577&gt;=TIME(9,0,0), L3577&lt;TIME(16,0,0)),"Morning",
  AND(L3577&gt;=TIME(16,0,0), L3577&lt;TIME(23,59,0)),"Evening",
  L3577&gt;=TIME(23,59,0),"Night",
  L3577&lt;TIME(9,0,0),"Night"
))</f>
        <v/>
      </c>
      <c r="O3577" t="str">
        <f t="shared" si="332"/>
        <v/>
      </c>
    </row>
    <row r="3578" spans="7:15" x14ac:dyDescent="0.25">
      <c r="G3578" t="str">
        <f t="shared" si="330"/>
        <v/>
      </c>
      <c r="H3578" s="13" t="str">
        <f t="shared" si="333"/>
        <v/>
      </c>
      <c r="I3578" t="str">
        <f>IFERROR(INDEX(Analysis!$D$116:$N$137, MATCH(B3578, Analysis!$C$116:$C$137, 0), MATCH(C3578, Analysis!$D$115:$N$115, 0)), "")</f>
        <v/>
      </c>
      <c r="J3578" t="str">
        <f t="shared" si="334"/>
        <v/>
      </c>
      <c r="K3578" s="28" t="str">
        <f t="shared" si="331"/>
        <v/>
      </c>
      <c r="L3578" s="46" t="str">
        <f t="shared" si="335"/>
        <v/>
      </c>
      <c r="M3578" t="str" cm="1">
        <f t="array" ref="M3578">IF(L3578="","",_xlfn.IFS(
  AND(L3578&gt;=TIME(9,0,0), L3578&lt;TIME(16,0,0)),"Morning",
  AND(L3578&gt;=TIME(16,0,0), L3578&lt;TIME(23,59,0)),"Evening",
  L3578&gt;=TIME(23,59,0),"Night",
  L3578&lt;TIME(9,0,0),"Night"
))</f>
        <v/>
      </c>
      <c r="O3578" t="str">
        <f t="shared" si="332"/>
        <v/>
      </c>
    </row>
    <row r="3579" spans="7:15" x14ac:dyDescent="0.25">
      <c r="G3579" t="str">
        <f t="shared" si="330"/>
        <v/>
      </c>
      <c r="H3579" s="13" t="str">
        <f t="shared" si="333"/>
        <v/>
      </c>
      <c r="I3579" t="str">
        <f>IFERROR(INDEX(Analysis!$D$116:$N$137, MATCH(B3579, Analysis!$C$116:$C$137, 0), MATCH(C3579, Analysis!$D$115:$N$115, 0)), "")</f>
        <v/>
      </c>
      <c r="J3579" t="str">
        <f t="shared" si="334"/>
        <v/>
      </c>
      <c r="K3579" s="28" t="str">
        <f t="shared" si="331"/>
        <v/>
      </c>
      <c r="L3579" s="46" t="str">
        <f t="shared" si="335"/>
        <v/>
      </c>
      <c r="M3579" t="str" cm="1">
        <f t="array" ref="M3579">IF(L3579="","",_xlfn.IFS(
  AND(L3579&gt;=TIME(9,0,0), L3579&lt;TIME(16,0,0)),"Morning",
  AND(L3579&gt;=TIME(16,0,0), L3579&lt;TIME(23,59,0)),"Evening",
  L3579&gt;=TIME(23,59,0),"Night",
  L3579&lt;TIME(9,0,0),"Night"
))</f>
        <v/>
      </c>
      <c r="O3579" t="str">
        <f t="shared" si="332"/>
        <v/>
      </c>
    </row>
    <row r="3580" spans="7:15" x14ac:dyDescent="0.25">
      <c r="G3580" t="str">
        <f t="shared" si="330"/>
        <v/>
      </c>
      <c r="H3580" s="13" t="str">
        <f t="shared" si="333"/>
        <v/>
      </c>
      <c r="I3580" t="str">
        <f>IFERROR(INDEX(Analysis!$D$116:$N$137, MATCH(B3580, Analysis!$C$116:$C$137, 0), MATCH(C3580, Analysis!$D$115:$N$115, 0)), "")</f>
        <v/>
      </c>
      <c r="J3580" t="str">
        <f t="shared" si="334"/>
        <v/>
      </c>
      <c r="K3580" s="28" t="str">
        <f t="shared" si="331"/>
        <v/>
      </c>
      <c r="L3580" s="46" t="str">
        <f t="shared" si="335"/>
        <v/>
      </c>
      <c r="M3580" t="str" cm="1">
        <f t="array" ref="M3580">IF(L3580="","",_xlfn.IFS(
  AND(L3580&gt;=TIME(9,0,0), L3580&lt;TIME(16,0,0)),"Morning",
  AND(L3580&gt;=TIME(16,0,0), L3580&lt;TIME(23,59,0)),"Evening",
  L3580&gt;=TIME(23,59,0),"Night",
  L3580&lt;TIME(9,0,0),"Night"
))</f>
        <v/>
      </c>
      <c r="O3580" t="str">
        <f t="shared" si="332"/>
        <v/>
      </c>
    </row>
    <row r="3581" spans="7:15" x14ac:dyDescent="0.25">
      <c r="G3581" t="str">
        <f t="shared" si="330"/>
        <v/>
      </c>
      <c r="H3581" s="13" t="str">
        <f t="shared" si="333"/>
        <v/>
      </c>
      <c r="I3581" t="str">
        <f>IFERROR(INDEX(Analysis!$D$116:$N$137, MATCH(B3581, Analysis!$C$116:$C$137, 0), MATCH(C3581, Analysis!$D$115:$N$115, 0)), "")</f>
        <v/>
      </c>
      <c r="J3581" t="str">
        <f t="shared" si="334"/>
        <v/>
      </c>
      <c r="K3581" s="28" t="str">
        <f t="shared" si="331"/>
        <v/>
      </c>
      <c r="L3581" s="46" t="str">
        <f t="shared" si="335"/>
        <v/>
      </c>
      <c r="M3581" t="str" cm="1">
        <f t="array" ref="M3581">IF(L3581="","",_xlfn.IFS(
  AND(L3581&gt;=TIME(9,0,0), L3581&lt;TIME(16,0,0)),"Morning",
  AND(L3581&gt;=TIME(16,0,0), L3581&lt;TIME(23,59,0)),"Evening",
  L3581&gt;=TIME(23,59,0),"Night",
  L3581&lt;TIME(9,0,0),"Night"
))</f>
        <v/>
      </c>
      <c r="O3581" t="str">
        <f t="shared" si="332"/>
        <v/>
      </c>
    </row>
    <row r="3582" spans="7:15" x14ac:dyDescent="0.25">
      <c r="G3582" t="str">
        <f t="shared" si="330"/>
        <v/>
      </c>
      <c r="H3582" s="13" t="str">
        <f t="shared" si="333"/>
        <v/>
      </c>
      <c r="I3582" t="str">
        <f>IFERROR(INDEX(Analysis!$D$116:$N$137, MATCH(B3582, Analysis!$C$116:$C$137, 0), MATCH(C3582, Analysis!$D$115:$N$115, 0)), "")</f>
        <v/>
      </c>
      <c r="J3582" t="str">
        <f t="shared" si="334"/>
        <v/>
      </c>
      <c r="K3582" s="28" t="str">
        <f t="shared" si="331"/>
        <v/>
      </c>
      <c r="L3582" s="46" t="str">
        <f t="shared" si="335"/>
        <v/>
      </c>
      <c r="M3582" t="str" cm="1">
        <f t="array" ref="M3582">IF(L3582="","",_xlfn.IFS(
  AND(L3582&gt;=TIME(9,0,0), L3582&lt;TIME(16,0,0)),"Morning",
  AND(L3582&gt;=TIME(16,0,0), L3582&lt;TIME(23,59,0)),"Evening",
  L3582&gt;=TIME(23,59,0),"Night",
  L3582&lt;TIME(9,0,0),"Night"
))</f>
        <v/>
      </c>
      <c r="O3582" t="str">
        <f t="shared" si="332"/>
        <v/>
      </c>
    </row>
    <row r="3583" spans="7:15" x14ac:dyDescent="0.25">
      <c r="G3583" t="str">
        <f t="shared" si="330"/>
        <v/>
      </c>
      <c r="H3583" s="13" t="str">
        <f t="shared" si="333"/>
        <v/>
      </c>
      <c r="I3583" t="str">
        <f>IFERROR(INDEX(Analysis!$D$116:$N$137, MATCH(B3583, Analysis!$C$116:$C$137, 0), MATCH(C3583, Analysis!$D$115:$N$115, 0)), "")</f>
        <v/>
      </c>
      <c r="J3583" t="str">
        <f t="shared" si="334"/>
        <v/>
      </c>
      <c r="K3583" s="28" t="str">
        <f t="shared" si="331"/>
        <v/>
      </c>
      <c r="L3583" s="46" t="str">
        <f t="shared" si="335"/>
        <v/>
      </c>
      <c r="M3583" t="str" cm="1">
        <f t="array" ref="M3583">IF(L3583="","",_xlfn.IFS(
  AND(L3583&gt;=TIME(9,0,0), L3583&lt;TIME(16,0,0)),"Morning",
  AND(L3583&gt;=TIME(16,0,0), L3583&lt;TIME(23,59,0)),"Evening",
  L3583&gt;=TIME(23,59,0),"Night",
  L3583&lt;TIME(9,0,0),"Night"
))</f>
        <v/>
      </c>
      <c r="O3583" t="str">
        <f t="shared" si="332"/>
        <v/>
      </c>
    </row>
    <row r="3584" spans="7:15" x14ac:dyDescent="0.25">
      <c r="G3584" t="str">
        <f t="shared" si="330"/>
        <v/>
      </c>
      <c r="H3584" s="13" t="str">
        <f t="shared" si="333"/>
        <v/>
      </c>
      <c r="I3584" t="str">
        <f>IFERROR(INDEX(Analysis!$D$116:$N$137, MATCH(B3584, Analysis!$C$116:$C$137, 0), MATCH(C3584, Analysis!$D$115:$N$115, 0)), "")</f>
        <v/>
      </c>
      <c r="J3584" t="str">
        <f t="shared" si="334"/>
        <v/>
      </c>
      <c r="K3584" s="28" t="str">
        <f t="shared" si="331"/>
        <v/>
      </c>
      <c r="L3584" s="46" t="str">
        <f t="shared" si="335"/>
        <v/>
      </c>
      <c r="M3584" t="str" cm="1">
        <f t="array" ref="M3584">IF(L3584="","",_xlfn.IFS(
  AND(L3584&gt;=TIME(9,0,0), L3584&lt;TIME(16,0,0)),"Morning",
  AND(L3584&gt;=TIME(16,0,0), L3584&lt;TIME(23,59,0)),"Evening",
  L3584&gt;=TIME(23,59,0),"Night",
  L3584&lt;TIME(9,0,0),"Night"
))</f>
        <v/>
      </c>
      <c r="O3584" t="str">
        <f t="shared" si="332"/>
        <v/>
      </c>
    </row>
    <row r="3585" spans="7:15" x14ac:dyDescent="0.25">
      <c r="G3585" t="str">
        <f t="shared" si="330"/>
        <v/>
      </c>
      <c r="H3585" s="13" t="str">
        <f t="shared" si="333"/>
        <v/>
      </c>
      <c r="I3585" t="str">
        <f>IFERROR(INDEX(Analysis!$D$116:$N$137, MATCH(B3585, Analysis!$C$116:$C$137, 0), MATCH(C3585, Analysis!$D$115:$N$115, 0)), "")</f>
        <v/>
      </c>
      <c r="J3585" t="str">
        <f t="shared" si="334"/>
        <v/>
      </c>
      <c r="K3585" s="28" t="str">
        <f t="shared" si="331"/>
        <v/>
      </c>
      <c r="L3585" s="46" t="str">
        <f t="shared" si="335"/>
        <v/>
      </c>
      <c r="M3585" t="str" cm="1">
        <f t="array" ref="M3585">IF(L3585="","",_xlfn.IFS(
  AND(L3585&gt;=TIME(9,0,0), L3585&lt;TIME(16,0,0)),"Morning",
  AND(L3585&gt;=TIME(16,0,0), L3585&lt;TIME(23,59,0)),"Evening",
  L3585&gt;=TIME(23,59,0),"Night",
  L3585&lt;TIME(9,0,0),"Night"
))</f>
        <v/>
      </c>
      <c r="O3585" t="str">
        <f t="shared" si="332"/>
        <v/>
      </c>
    </row>
    <row r="3586" spans="7:15" x14ac:dyDescent="0.25">
      <c r="G3586" t="str">
        <f t="shared" ref="G3586:G3649" si="336">IF(ISBLANK(A3586), "", IF(ISBLANK(F3586), 0, F3586))</f>
        <v/>
      </c>
      <c r="H3586" s="13" t="str">
        <f t="shared" si="333"/>
        <v/>
      </c>
      <c r="I3586" t="str">
        <f>IFERROR(INDEX(Analysis!$D$116:$N$137, MATCH(B3586, Analysis!$C$116:$C$137, 0), MATCH(C3586, Analysis!$D$115:$N$115, 0)), "")</f>
        <v/>
      </c>
      <c r="J3586" t="str">
        <f t="shared" si="334"/>
        <v/>
      </c>
      <c r="K3586" s="28" t="str">
        <f t="shared" ref="K3586:K3649" si="337">IF(ISBLANK(A3586),"",DATE(YEAR(A3586),MONTH(A3586),DAY(A3586)))</f>
        <v/>
      </c>
      <c r="L3586" s="46" t="str">
        <f t="shared" si="335"/>
        <v/>
      </c>
      <c r="M3586" t="str" cm="1">
        <f t="array" ref="M3586">IF(L3586="","",_xlfn.IFS(
  AND(L3586&gt;=TIME(9,0,0), L3586&lt;TIME(16,0,0)),"Morning",
  AND(L3586&gt;=TIME(16,0,0), L3586&lt;TIME(23,59,0)),"Evening",
  L3586&gt;=TIME(23,59,0),"Night",
  L3586&lt;TIME(9,0,0),"Night"
))</f>
        <v/>
      </c>
      <c r="O3586" t="str">
        <f t="shared" ref="O3586:O3649" si="338">IF(N3586="ON", _xlfn.IMAGE(E3586, 1), "")</f>
        <v/>
      </c>
    </row>
    <row r="3587" spans="7:15" x14ac:dyDescent="0.25">
      <c r="G3587" t="str">
        <f t="shared" si="336"/>
        <v/>
      </c>
      <c r="H3587" s="13" t="str">
        <f t="shared" ref="H3587:H3650" si="339">IF(ISBLANK(E3587),"",HYPERLINK(E3587,"Click here"))</f>
        <v/>
      </c>
      <c r="I3587" t="str">
        <f>IFERROR(INDEX(Analysis!$D$116:$N$137, MATCH(B3587, Analysis!$C$116:$C$137, 0), MATCH(C3587, Analysis!$D$115:$N$115, 0)), "")</f>
        <v/>
      </c>
      <c r="J3587" t="str">
        <f t="shared" ref="J3587:J3650" si="340">IF(ISBLANK(A3587),"",WEEKNUM(A3587))</f>
        <v/>
      </c>
      <c r="K3587" s="28" t="str">
        <f t="shared" si="337"/>
        <v/>
      </c>
      <c r="L3587" s="46" t="str">
        <f t="shared" ref="L3587:L3650" si="341">IF(A3587="", "", A3587 - INT(A3587))</f>
        <v/>
      </c>
      <c r="M3587" t="str" cm="1">
        <f t="array" ref="M3587">IF(L3587="","",_xlfn.IFS(
  AND(L3587&gt;=TIME(9,0,0), L3587&lt;TIME(16,0,0)),"Morning",
  AND(L3587&gt;=TIME(16,0,0), L3587&lt;TIME(23,59,0)),"Evening",
  L3587&gt;=TIME(23,59,0),"Night",
  L3587&lt;TIME(9,0,0),"Night"
))</f>
        <v/>
      </c>
      <c r="O3587" t="str">
        <f t="shared" si="338"/>
        <v/>
      </c>
    </row>
    <row r="3588" spans="7:15" x14ac:dyDescent="0.25">
      <c r="G3588" t="str">
        <f t="shared" si="336"/>
        <v/>
      </c>
      <c r="H3588" s="13" t="str">
        <f t="shared" si="339"/>
        <v/>
      </c>
      <c r="I3588" t="str">
        <f>IFERROR(INDEX(Analysis!$D$116:$N$137, MATCH(B3588, Analysis!$C$116:$C$137, 0), MATCH(C3588, Analysis!$D$115:$N$115, 0)), "")</f>
        <v/>
      </c>
      <c r="J3588" t="str">
        <f t="shared" si="340"/>
        <v/>
      </c>
      <c r="K3588" s="28" t="str">
        <f t="shared" si="337"/>
        <v/>
      </c>
      <c r="L3588" s="46" t="str">
        <f t="shared" si="341"/>
        <v/>
      </c>
      <c r="M3588" t="str" cm="1">
        <f t="array" ref="M3588">IF(L3588="","",_xlfn.IFS(
  AND(L3588&gt;=TIME(9,0,0), L3588&lt;TIME(16,0,0)),"Morning",
  AND(L3588&gt;=TIME(16,0,0), L3588&lt;TIME(23,59,0)),"Evening",
  L3588&gt;=TIME(23,59,0),"Night",
  L3588&lt;TIME(9,0,0),"Night"
))</f>
        <v/>
      </c>
      <c r="O3588" t="str">
        <f t="shared" si="338"/>
        <v/>
      </c>
    </row>
    <row r="3589" spans="7:15" x14ac:dyDescent="0.25">
      <c r="G3589" t="str">
        <f t="shared" si="336"/>
        <v/>
      </c>
      <c r="H3589" s="13" t="str">
        <f t="shared" si="339"/>
        <v/>
      </c>
      <c r="I3589" t="str">
        <f>IFERROR(INDEX(Analysis!$D$116:$N$137, MATCH(B3589, Analysis!$C$116:$C$137, 0), MATCH(C3589, Analysis!$D$115:$N$115, 0)), "")</f>
        <v/>
      </c>
      <c r="J3589" t="str">
        <f t="shared" si="340"/>
        <v/>
      </c>
      <c r="K3589" s="28" t="str">
        <f t="shared" si="337"/>
        <v/>
      </c>
      <c r="L3589" s="46" t="str">
        <f t="shared" si="341"/>
        <v/>
      </c>
      <c r="M3589" t="str" cm="1">
        <f t="array" ref="M3589">IF(L3589="","",_xlfn.IFS(
  AND(L3589&gt;=TIME(9,0,0), L3589&lt;TIME(16,0,0)),"Morning",
  AND(L3589&gt;=TIME(16,0,0), L3589&lt;TIME(23,59,0)),"Evening",
  L3589&gt;=TIME(23,59,0),"Night",
  L3589&lt;TIME(9,0,0),"Night"
))</f>
        <v/>
      </c>
      <c r="O3589" t="str">
        <f t="shared" si="338"/>
        <v/>
      </c>
    </row>
    <row r="3590" spans="7:15" x14ac:dyDescent="0.25">
      <c r="G3590" t="str">
        <f t="shared" si="336"/>
        <v/>
      </c>
      <c r="H3590" s="13" t="str">
        <f t="shared" si="339"/>
        <v/>
      </c>
      <c r="I3590" t="str">
        <f>IFERROR(INDEX(Analysis!$D$116:$N$137, MATCH(B3590, Analysis!$C$116:$C$137, 0), MATCH(C3590, Analysis!$D$115:$N$115, 0)), "")</f>
        <v/>
      </c>
      <c r="J3590" t="str">
        <f t="shared" si="340"/>
        <v/>
      </c>
      <c r="K3590" s="28" t="str">
        <f t="shared" si="337"/>
        <v/>
      </c>
      <c r="L3590" s="46" t="str">
        <f t="shared" si="341"/>
        <v/>
      </c>
      <c r="M3590" t="str" cm="1">
        <f t="array" ref="M3590">IF(L3590="","",_xlfn.IFS(
  AND(L3590&gt;=TIME(9,0,0), L3590&lt;TIME(16,0,0)),"Morning",
  AND(L3590&gt;=TIME(16,0,0), L3590&lt;TIME(23,59,0)),"Evening",
  L3590&gt;=TIME(23,59,0),"Night",
  L3590&lt;TIME(9,0,0),"Night"
))</f>
        <v/>
      </c>
      <c r="O3590" t="str">
        <f t="shared" si="338"/>
        <v/>
      </c>
    </row>
    <row r="3591" spans="7:15" x14ac:dyDescent="0.25">
      <c r="G3591" t="str">
        <f t="shared" si="336"/>
        <v/>
      </c>
      <c r="H3591" s="13" t="str">
        <f t="shared" si="339"/>
        <v/>
      </c>
      <c r="I3591" t="str">
        <f>IFERROR(INDEX(Analysis!$D$116:$N$137, MATCH(B3591, Analysis!$C$116:$C$137, 0), MATCH(C3591, Analysis!$D$115:$N$115, 0)), "")</f>
        <v/>
      </c>
      <c r="J3591" t="str">
        <f t="shared" si="340"/>
        <v/>
      </c>
      <c r="K3591" s="28" t="str">
        <f t="shared" si="337"/>
        <v/>
      </c>
      <c r="L3591" s="46" t="str">
        <f t="shared" si="341"/>
        <v/>
      </c>
      <c r="M3591" t="str" cm="1">
        <f t="array" ref="M3591">IF(L3591="","",_xlfn.IFS(
  AND(L3591&gt;=TIME(9,0,0), L3591&lt;TIME(16,0,0)),"Morning",
  AND(L3591&gt;=TIME(16,0,0), L3591&lt;TIME(23,59,0)),"Evening",
  L3591&gt;=TIME(23,59,0),"Night",
  L3591&lt;TIME(9,0,0),"Night"
))</f>
        <v/>
      </c>
      <c r="O3591" t="str">
        <f t="shared" si="338"/>
        <v/>
      </c>
    </row>
    <row r="3592" spans="7:15" x14ac:dyDescent="0.25">
      <c r="G3592" t="str">
        <f t="shared" si="336"/>
        <v/>
      </c>
      <c r="H3592" s="13" t="str">
        <f t="shared" si="339"/>
        <v/>
      </c>
      <c r="I3592" t="str">
        <f>IFERROR(INDEX(Analysis!$D$116:$N$137, MATCH(B3592, Analysis!$C$116:$C$137, 0), MATCH(C3592, Analysis!$D$115:$N$115, 0)), "")</f>
        <v/>
      </c>
      <c r="J3592" t="str">
        <f t="shared" si="340"/>
        <v/>
      </c>
      <c r="K3592" s="28" t="str">
        <f t="shared" si="337"/>
        <v/>
      </c>
      <c r="L3592" s="46" t="str">
        <f t="shared" si="341"/>
        <v/>
      </c>
      <c r="M3592" t="str" cm="1">
        <f t="array" ref="M3592">IF(L3592="","",_xlfn.IFS(
  AND(L3592&gt;=TIME(9,0,0), L3592&lt;TIME(16,0,0)),"Morning",
  AND(L3592&gt;=TIME(16,0,0), L3592&lt;TIME(23,59,0)),"Evening",
  L3592&gt;=TIME(23,59,0),"Night",
  L3592&lt;TIME(9,0,0),"Night"
))</f>
        <v/>
      </c>
      <c r="O3592" t="str">
        <f t="shared" si="338"/>
        <v/>
      </c>
    </row>
    <row r="3593" spans="7:15" x14ac:dyDescent="0.25">
      <c r="G3593" t="str">
        <f t="shared" si="336"/>
        <v/>
      </c>
      <c r="H3593" s="13" t="str">
        <f t="shared" si="339"/>
        <v/>
      </c>
      <c r="I3593" t="str">
        <f>IFERROR(INDEX(Analysis!$D$116:$N$137, MATCH(B3593, Analysis!$C$116:$C$137, 0), MATCH(C3593, Analysis!$D$115:$N$115, 0)), "")</f>
        <v/>
      </c>
      <c r="J3593" t="str">
        <f t="shared" si="340"/>
        <v/>
      </c>
      <c r="K3593" s="28" t="str">
        <f t="shared" si="337"/>
        <v/>
      </c>
      <c r="L3593" s="46" t="str">
        <f t="shared" si="341"/>
        <v/>
      </c>
      <c r="M3593" t="str" cm="1">
        <f t="array" ref="M3593">IF(L3593="","",_xlfn.IFS(
  AND(L3593&gt;=TIME(9,0,0), L3593&lt;TIME(16,0,0)),"Morning",
  AND(L3593&gt;=TIME(16,0,0), L3593&lt;TIME(23,59,0)),"Evening",
  L3593&gt;=TIME(23,59,0),"Night",
  L3593&lt;TIME(9,0,0),"Night"
))</f>
        <v/>
      </c>
      <c r="O3593" t="str">
        <f t="shared" si="338"/>
        <v/>
      </c>
    </row>
    <row r="3594" spans="7:15" x14ac:dyDescent="0.25">
      <c r="G3594" t="str">
        <f t="shared" si="336"/>
        <v/>
      </c>
      <c r="H3594" s="13" t="str">
        <f t="shared" si="339"/>
        <v/>
      </c>
      <c r="I3594" t="str">
        <f>IFERROR(INDEX(Analysis!$D$116:$N$137, MATCH(B3594, Analysis!$C$116:$C$137, 0), MATCH(C3594, Analysis!$D$115:$N$115, 0)), "")</f>
        <v/>
      </c>
      <c r="J3594" t="str">
        <f t="shared" si="340"/>
        <v/>
      </c>
      <c r="K3594" s="28" t="str">
        <f t="shared" si="337"/>
        <v/>
      </c>
      <c r="L3594" s="46" t="str">
        <f t="shared" si="341"/>
        <v/>
      </c>
      <c r="M3594" t="str" cm="1">
        <f t="array" ref="M3594">IF(L3594="","",_xlfn.IFS(
  AND(L3594&gt;=TIME(9,0,0), L3594&lt;TIME(16,0,0)),"Morning",
  AND(L3594&gt;=TIME(16,0,0), L3594&lt;TIME(23,59,0)),"Evening",
  L3594&gt;=TIME(23,59,0),"Night",
  L3594&lt;TIME(9,0,0),"Night"
))</f>
        <v/>
      </c>
      <c r="O3594" t="str">
        <f t="shared" si="338"/>
        <v/>
      </c>
    </row>
    <row r="3595" spans="7:15" x14ac:dyDescent="0.25">
      <c r="G3595" t="str">
        <f t="shared" si="336"/>
        <v/>
      </c>
      <c r="H3595" s="13" t="str">
        <f t="shared" si="339"/>
        <v/>
      </c>
      <c r="I3595" t="str">
        <f>IFERROR(INDEX(Analysis!$D$116:$N$137, MATCH(B3595, Analysis!$C$116:$C$137, 0), MATCH(C3595, Analysis!$D$115:$N$115, 0)), "")</f>
        <v/>
      </c>
      <c r="J3595" t="str">
        <f t="shared" si="340"/>
        <v/>
      </c>
      <c r="K3595" s="28" t="str">
        <f t="shared" si="337"/>
        <v/>
      </c>
      <c r="L3595" s="46" t="str">
        <f t="shared" si="341"/>
        <v/>
      </c>
      <c r="M3595" t="str" cm="1">
        <f t="array" ref="M3595">IF(L3595="","",_xlfn.IFS(
  AND(L3595&gt;=TIME(9,0,0), L3595&lt;TIME(16,0,0)),"Morning",
  AND(L3595&gt;=TIME(16,0,0), L3595&lt;TIME(23,59,0)),"Evening",
  L3595&gt;=TIME(23,59,0),"Night",
  L3595&lt;TIME(9,0,0),"Night"
))</f>
        <v/>
      </c>
      <c r="O3595" t="str">
        <f t="shared" si="338"/>
        <v/>
      </c>
    </row>
    <row r="3596" spans="7:15" x14ac:dyDescent="0.25">
      <c r="G3596" t="str">
        <f t="shared" si="336"/>
        <v/>
      </c>
      <c r="H3596" s="13" t="str">
        <f t="shared" si="339"/>
        <v/>
      </c>
      <c r="I3596" t="str">
        <f>IFERROR(INDEX(Analysis!$D$116:$N$137, MATCH(B3596, Analysis!$C$116:$C$137, 0), MATCH(C3596, Analysis!$D$115:$N$115, 0)), "")</f>
        <v/>
      </c>
      <c r="J3596" t="str">
        <f t="shared" si="340"/>
        <v/>
      </c>
      <c r="K3596" s="28" t="str">
        <f t="shared" si="337"/>
        <v/>
      </c>
      <c r="L3596" s="46" t="str">
        <f t="shared" si="341"/>
        <v/>
      </c>
      <c r="M3596" t="str" cm="1">
        <f t="array" ref="M3596">IF(L3596="","",_xlfn.IFS(
  AND(L3596&gt;=TIME(9,0,0), L3596&lt;TIME(16,0,0)),"Morning",
  AND(L3596&gt;=TIME(16,0,0), L3596&lt;TIME(23,59,0)),"Evening",
  L3596&gt;=TIME(23,59,0),"Night",
  L3596&lt;TIME(9,0,0),"Night"
))</f>
        <v/>
      </c>
      <c r="O3596" t="str">
        <f t="shared" si="338"/>
        <v/>
      </c>
    </row>
    <row r="3597" spans="7:15" x14ac:dyDescent="0.25">
      <c r="G3597" t="str">
        <f t="shared" si="336"/>
        <v/>
      </c>
      <c r="H3597" s="13" t="str">
        <f t="shared" si="339"/>
        <v/>
      </c>
      <c r="I3597" t="str">
        <f>IFERROR(INDEX(Analysis!$D$116:$N$137, MATCH(B3597, Analysis!$C$116:$C$137, 0), MATCH(C3597, Analysis!$D$115:$N$115, 0)), "")</f>
        <v/>
      </c>
      <c r="J3597" t="str">
        <f t="shared" si="340"/>
        <v/>
      </c>
      <c r="K3597" s="28" t="str">
        <f t="shared" si="337"/>
        <v/>
      </c>
      <c r="L3597" s="46" t="str">
        <f t="shared" si="341"/>
        <v/>
      </c>
      <c r="M3597" t="str" cm="1">
        <f t="array" ref="M3597">IF(L3597="","",_xlfn.IFS(
  AND(L3597&gt;=TIME(9,0,0), L3597&lt;TIME(16,0,0)),"Morning",
  AND(L3597&gt;=TIME(16,0,0), L3597&lt;TIME(23,59,0)),"Evening",
  L3597&gt;=TIME(23,59,0),"Night",
  L3597&lt;TIME(9,0,0),"Night"
))</f>
        <v/>
      </c>
      <c r="O3597" t="str">
        <f t="shared" si="338"/>
        <v/>
      </c>
    </row>
    <row r="3598" spans="7:15" x14ac:dyDescent="0.25">
      <c r="G3598" t="str">
        <f t="shared" si="336"/>
        <v/>
      </c>
      <c r="H3598" s="13" t="str">
        <f t="shared" si="339"/>
        <v/>
      </c>
      <c r="I3598" t="str">
        <f>IFERROR(INDEX(Analysis!$D$116:$N$137, MATCH(B3598, Analysis!$C$116:$C$137, 0), MATCH(C3598, Analysis!$D$115:$N$115, 0)), "")</f>
        <v/>
      </c>
      <c r="J3598" t="str">
        <f t="shared" si="340"/>
        <v/>
      </c>
      <c r="K3598" s="28" t="str">
        <f t="shared" si="337"/>
        <v/>
      </c>
      <c r="L3598" s="46" t="str">
        <f t="shared" si="341"/>
        <v/>
      </c>
      <c r="M3598" t="str" cm="1">
        <f t="array" ref="M3598">IF(L3598="","",_xlfn.IFS(
  AND(L3598&gt;=TIME(9,0,0), L3598&lt;TIME(16,0,0)),"Morning",
  AND(L3598&gt;=TIME(16,0,0), L3598&lt;TIME(23,59,0)),"Evening",
  L3598&gt;=TIME(23,59,0),"Night",
  L3598&lt;TIME(9,0,0),"Night"
))</f>
        <v/>
      </c>
      <c r="O3598" t="str">
        <f t="shared" si="338"/>
        <v/>
      </c>
    </row>
    <row r="3599" spans="7:15" x14ac:dyDescent="0.25">
      <c r="G3599" t="str">
        <f t="shared" si="336"/>
        <v/>
      </c>
      <c r="H3599" s="13" t="str">
        <f t="shared" si="339"/>
        <v/>
      </c>
      <c r="I3599" t="str">
        <f>IFERROR(INDEX(Analysis!$D$116:$N$137, MATCH(B3599, Analysis!$C$116:$C$137, 0), MATCH(C3599, Analysis!$D$115:$N$115, 0)), "")</f>
        <v/>
      </c>
      <c r="J3599" t="str">
        <f t="shared" si="340"/>
        <v/>
      </c>
      <c r="K3599" s="28" t="str">
        <f t="shared" si="337"/>
        <v/>
      </c>
      <c r="L3599" s="46" t="str">
        <f t="shared" si="341"/>
        <v/>
      </c>
      <c r="M3599" t="str" cm="1">
        <f t="array" ref="M3599">IF(L3599="","",_xlfn.IFS(
  AND(L3599&gt;=TIME(9,0,0), L3599&lt;TIME(16,0,0)),"Morning",
  AND(L3599&gt;=TIME(16,0,0), L3599&lt;TIME(23,59,0)),"Evening",
  L3599&gt;=TIME(23,59,0),"Night",
  L3599&lt;TIME(9,0,0),"Night"
))</f>
        <v/>
      </c>
      <c r="O3599" t="str">
        <f t="shared" si="338"/>
        <v/>
      </c>
    </row>
    <row r="3600" spans="7:15" x14ac:dyDescent="0.25">
      <c r="G3600" t="str">
        <f t="shared" si="336"/>
        <v/>
      </c>
      <c r="H3600" s="13" t="str">
        <f t="shared" si="339"/>
        <v/>
      </c>
      <c r="I3600" t="str">
        <f>IFERROR(INDEX(Analysis!$D$116:$N$137, MATCH(B3600, Analysis!$C$116:$C$137, 0), MATCH(C3600, Analysis!$D$115:$N$115, 0)), "")</f>
        <v/>
      </c>
      <c r="J3600" t="str">
        <f t="shared" si="340"/>
        <v/>
      </c>
      <c r="K3600" s="28" t="str">
        <f t="shared" si="337"/>
        <v/>
      </c>
      <c r="L3600" s="46" t="str">
        <f t="shared" si="341"/>
        <v/>
      </c>
      <c r="M3600" t="str" cm="1">
        <f t="array" ref="M3600">IF(L3600="","",_xlfn.IFS(
  AND(L3600&gt;=TIME(9,0,0), L3600&lt;TIME(16,0,0)),"Morning",
  AND(L3600&gt;=TIME(16,0,0), L3600&lt;TIME(23,59,0)),"Evening",
  L3600&gt;=TIME(23,59,0),"Night",
  L3600&lt;TIME(9,0,0),"Night"
))</f>
        <v/>
      </c>
      <c r="O3600" t="str">
        <f t="shared" si="338"/>
        <v/>
      </c>
    </row>
    <row r="3601" spans="7:15" x14ac:dyDescent="0.25">
      <c r="G3601" t="str">
        <f t="shared" si="336"/>
        <v/>
      </c>
      <c r="H3601" s="13" t="str">
        <f t="shared" si="339"/>
        <v/>
      </c>
      <c r="I3601" t="str">
        <f>IFERROR(INDEX(Analysis!$D$116:$N$137, MATCH(B3601, Analysis!$C$116:$C$137, 0), MATCH(C3601, Analysis!$D$115:$N$115, 0)), "")</f>
        <v/>
      </c>
      <c r="J3601" t="str">
        <f t="shared" si="340"/>
        <v/>
      </c>
      <c r="K3601" s="28" t="str">
        <f t="shared" si="337"/>
        <v/>
      </c>
      <c r="L3601" s="46" t="str">
        <f t="shared" si="341"/>
        <v/>
      </c>
      <c r="M3601" t="str" cm="1">
        <f t="array" ref="M3601">IF(L3601="","",_xlfn.IFS(
  AND(L3601&gt;=TIME(9,0,0), L3601&lt;TIME(16,0,0)),"Morning",
  AND(L3601&gt;=TIME(16,0,0), L3601&lt;TIME(23,59,0)),"Evening",
  L3601&gt;=TIME(23,59,0),"Night",
  L3601&lt;TIME(9,0,0),"Night"
))</f>
        <v/>
      </c>
      <c r="O3601" t="str">
        <f t="shared" si="338"/>
        <v/>
      </c>
    </row>
    <row r="3602" spans="7:15" x14ac:dyDescent="0.25">
      <c r="G3602" t="str">
        <f t="shared" si="336"/>
        <v/>
      </c>
      <c r="H3602" s="13" t="str">
        <f t="shared" si="339"/>
        <v/>
      </c>
      <c r="I3602" t="str">
        <f>IFERROR(INDEX(Analysis!$D$116:$N$137, MATCH(B3602, Analysis!$C$116:$C$137, 0), MATCH(C3602, Analysis!$D$115:$N$115, 0)), "")</f>
        <v/>
      </c>
      <c r="J3602" t="str">
        <f t="shared" si="340"/>
        <v/>
      </c>
      <c r="K3602" s="28" t="str">
        <f t="shared" si="337"/>
        <v/>
      </c>
      <c r="L3602" s="46" t="str">
        <f t="shared" si="341"/>
        <v/>
      </c>
      <c r="M3602" t="str" cm="1">
        <f t="array" ref="M3602">IF(L3602="","",_xlfn.IFS(
  AND(L3602&gt;=TIME(9,0,0), L3602&lt;TIME(16,0,0)),"Morning",
  AND(L3602&gt;=TIME(16,0,0), L3602&lt;TIME(23,59,0)),"Evening",
  L3602&gt;=TIME(23,59,0),"Night",
  L3602&lt;TIME(9,0,0),"Night"
))</f>
        <v/>
      </c>
      <c r="O3602" t="str">
        <f t="shared" si="338"/>
        <v/>
      </c>
    </row>
    <row r="3603" spans="7:15" x14ac:dyDescent="0.25">
      <c r="G3603" t="str">
        <f t="shared" si="336"/>
        <v/>
      </c>
      <c r="H3603" s="13" t="str">
        <f t="shared" si="339"/>
        <v/>
      </c>
      <c r="I3603" t="str">
        <f>IFERROR(INDEX(Analysis!$D$116:$N$137, MATCH(B3603, Analysis!$C$116:$C$137, 0), MATCH(C3603, Analysis!$D$115:$N$115, 0)), "")</f>
        <v/>
      </c>
      <c r="J3603" t="str">
        <f t="shared" si="340"/>
        <v/>
      </c>
      <c r="K3603" s="28" t="str">
        <f t="shared" si="337"/>
        <v/>
      </c>
      <c r="L3603" s="46" t="str">
        <f t="shared" si="341"/>
        <v/>
      </c>
      <c r="M3603" t="str" cm="1">
        <f t="array" ref="M3603">IF(L3603="","",_xlfn.IFS(
  AND(L3603&gt;=TIME(9,0,0), L3603&lt;TIME(16,0,0)),"Morning",
  AND(L3603&gt;=TIME(16,0,0), L3603&lt;TIME(23,59,0)),"Evening",
  L3603&gt;=TIME(23,59,0),"Night",
  L3603&lt;TIME(9,0,0),"Night"
))</f>
        <v/>
      </c>
      <c r="O3603" t="str">
        <f t="shared" si="338"/>
        <v/>
      </c>
    </row>
    <row r="3604" spans="7:15" x14ac:dyDescent="0.25">
      <c r="G3604" t="str">
        <f t="shared" si="336"/>
        <v/>
      </c>
      <c r="H3604" s="13" t="str">
        <f t="shared" si="339"/>
        <v/>
      </c>
      <c r="I3604" t="str">
        <f>IFERROR(INDEX(Analysis!$D$116:$N$137, MATCH(B3604, Analysis!$C$116:$C$137, 0), MATCH(C3604, Analysis!$D$115:$N$115, 0)), "")</f>
        <v/>
      </c>
      <c r="J3604" t="str">
        <f t="shared" si="340"/>
        <v/>
      </c>
      <c r="K3604" s="28" t="str">
        <f t="shared" si="337"/>
        <v/>
      </c>
      <c r="L3604" s="46" t="str">
        <f t="shared" si="341"/>
        <v/>
      </c>
      <c r="M3604" t="str" cm="1">
        <f t="array" ref="M3604">IF(L3604="","",_xlfn.IFS(
  AND(L3604&gt;=TIME(9,0,0), L3604&lt;TIME(16,0,0)),"Morning",
  AND(L3604&gt;=TIME(16,0,0), L3604&lt;TIME(23,59,0)),"Evening",
  L3604&gt;=TIME(23,59,0),"Night",
  L3604&lt;TIME(9,0,0),"Night"
))</f>
        <v/>
      </c>
      <c r="O3604" t="str">
        <f t="shared" si="338"/>
        <v/>
      </c>
    </row>
    <row r="3605" spans="7:15" x14ac:dyDescent="0.25">
      <c r="G3605" t="str">
        <f t="shared" si="336"/>
        <v/>
      </c>
      <c r="H3605" s="13" t="str">
        <f t="shared" si="339"/>
        <v/>
      </c>
      <c r="I3605" t="str">
        <f>IFERROR(INDEX(Analysis!$D$116:$N$137, MATCH(B3605, Analysis!$C$116:$C$137, 0), MATCH(C3605, Analysis!$D$115:$N$115, 0)), "")</f>
        <v/>
      </c>
      <c r="J3605" t="str">
        <f t="shared" si="340"/>
        <v/>
      </c>
      <c r="K3605" s="28" t="str">
        <f t="shared" si="337"/>
        <v/>
      </c>
      <c r="L3605" s="46" t="str">
        <f t="shared" si="341"/>
        <v/>
      </c>
      <c r="M3605" t="str" cm="1">
        <f t="array" ref="M3605">IF(L3605="","",_xlfn.IFS(
  AND(L3605&gt;=TIME(9,0,0), L3605&lt;TIME(16,0,0)),"Morning",
  AND(L3605&gt;=TIME(16,0,0), L3605&lt;TIME(23,59,0)),"Evening",
  L3605&gt;=TIME(23,59,0),"Night",
  L3605&lt;TIME(9,0,0),"Night"
))</f>
        <v/>
      </c>
      <c r="O3605" t="str">
        <f t="shared" si="338"/>
        <v/>
      </c>
    </row>
    <row r="3606" spans="7:15" x14ac:dyDescent="0.25">
      <c r="G3606" t="str">
        <f t="shared" si="336"/>
        <v/>
      </c>
      <c r="H3606" s="13" t="str">
        <f t="shared" si="339"/>
        <v/>
      </c>
      <c r="I3606" t="str">
        <f>IFERROR(INDEX(Analysis!$D$116:$N$137, MATCH(B3606, Analysis!$C$116:$C$137, 0), MATCH(C3606, Analysis!$D$115:$N$115, 0)), "")</f>
        <v/>
      </c>
      <c r="J3606" t="str">
        <f t="shared" si="340"/>
        <v/>
      </c>
      <c r="K3606" s="28" t="str">
        <f t="shared" si="337"/>
        <v/>
      </c>
      <c r="L3606" s="46" t="str">
        <f t="shared" si="341"/>
        <v/>
      </c>
      <c r="M3606" t="str" cm="1">
        <f t="array" ref="M3606">IF(L3606="","",_xlfn.IFS(
  AND(L3606&gt;=TIME(9,0,0), L3606&lt;TIME(16,0,0)),"Morning",
  AND(L3606&gt;=TIME(16,0,0), L3606&lt;TIME(23,59,0)),"Evening",
  L3606&gt;=TIME(23,59,0),"Night",
  L3606&lt;TIME(9,0,0),"Night"
))</f>
        <v/>
      </c>
      <c r="O3606" t="str">
        <f t="shared" si="338"/>
        <v/>
      </c>
    </row>
    <row r="3607" spans="7:15" x14ac:dyDescent="0.25">
      <c r="G3607" t="str">
        <f t="shared" si="336"/>
        <v/>
      </c>
      <c r="H3607" s="13" t="str">
        <f t="shared" si="339"/>
        <v/>
      </c>
      <c r="I3607" t="str">
        <f>IFERROR(INDEX(Analysis!$D$116:$N$137, MATCH(B3607, Analysis!$C$116:$C$137, 0), MATCH(C3607, Analysis!$D$115:$N$115, 0)), "")</f>
        <v/>
      </c>
      <c r="J3607" t="str">
        <f t="shared" si="340"/>
        <v/>
      </c>
      <c r="K3607" s="28" t="str">
        <f t="shared" si="337"/>
        <v/>
      </c>
      <c r="L3607" s="46" t="str">
        <f t="shared" si="341"/>
        <v/>
      </c>
      <c r="M3607" t="str" cm="1">
        <f t="array" ref="M3607">IF(L3607="","",_xlfn.IFS(
  AND(L3607&gt;=TIME(9,0,0), L3607&lt;TIME(16,0,0)),"Morning",
  AND(L3607&gt;=TIME(16,0,0), L3607&lt;TIME(23,59,0)),"Evening",
  L3607&gt;=TIME(23,59,0),"Night",
  L3607&lt;TIME(9,0,0),"Night"
))</f>
        <v/>
      </c>
      <c r="O3607" t="str">
        <f t="shared" si="338"/>
        <v/>
      </c>
    </row>
    <row r="3608" spans="7:15" x14ac:dyDescent="0.25">
      <c r="G3608" t="str">
        <f t="shared" si="336"/>
        <v/>
      </c>
      <c r="H3608" s="13" t="str">
        <f t="shared" si="339"/>
        <v/>
      </c>
      <c r="I3608" t="str">
        <f>IFERROR(INDEX(Analysis!$D$116:$N$137, MATCH(B3608, Analysis!$C$116:$C$137, 0), MATCH(C3608, Analysis!$D$115:$N$115, 0)), "")</f>
        <v/>
      </c>
      <c r="J3608" t="str">
        <f t="shared" si="340"/>
        <v/>
      </c>
      <c r="K3608" s="28" t="str">
        <f t="shared" si="337"/>
        <v/>
      </c>
      <c r="L3608" s="46" t="str">
        <f t="shared" si="341"/>
        <v/>
      </c>
      <c r="M3608" t="str" cm="1">
        <f t="array" ref="M3608">IF(L3608="","",_xlfn.IFS(
  AND(L3608&gt;=TIME(9,0,0), L3608&lt;TIME(16,0,0)),"Morning",
  AND(L3608&gt;=TIME(16,0,0), L3608&lt;TIME(23,59,0)),"Evening",
  L3608&gt;=TIME(23,59,0),"Night",
  L3608&lt;TIME(9,0,0),"Night"
))</f>
        <v/>
      </c>
      <c r="O3608" t="str">
        <f t="shared" si="338"/>
        <v/>
      </c>
    </row>
    <row r="3609" spans="7:15" x14ac:dyDescent="0.25">
      <c r="G3609" t="str">
        <f t="shared" si="336"/>
        <v/>
      </c>
      <c r="H3609" s="13" t="str">
        <f t="shared" si="339"/>
        <v/>
      </c>
      <c r="I3609" t="str">
        <f>IFERROR(INDEX(Analysis!$D$116:$N$137, MATCH(B3609, Analysis!$C$116:$C$137, 0), MATCH(C3609, Analysis!$D$115:$N$115, 0)), "")</f>
        <v/>
      </c>
      <c r="J3609" t="str">
        <f t="shared" si="340"/>
        <v/>
      </c>
      <c r="K3609" s="28" t="str">
        <f t="shared" si="337"/>
        <v/>
      </c>
      <c r="L3609" s="46" t="str">
        <f t="shared" si="341"/>
        <v/>
      </c>
      <c r="M3609" t="str" cm="1">
        <f t="array" ref="M3609">IF(L3609="","",_xlfn.IFS(
  AND(L3609&gt;=TIME(9,0,0), L3609&lt;TIME(16,0,0)),"Morning",
  AND(L3609&gt;=TIME(16,0,0), L3609&lt;TIME(23,59,0)),"Evening",
  L3609&gt;=TIME(23,59,0),"Night",
  L3609&lt;TIME(9,0,0),"Night"
))</f>
        <v/>
      </c>
      <c r="O3609" t="str">
        <f t="shared" si="338"/>
        <v/>
      </c>
    </row>
    <row r="3610" spans="7:15" x14ac:dyDescent="0.25">
      <c r="G3610" t="str">
        <f t="shared" si="336"/>
        <v/>
      </c>
      <c r="H3610" s="13" t="str">
        <f t="shared" si="339"/>
        <v/>
      </c>
      <c r="I3610" t="str">
        <f>IFERROR(INDEX(Analysis!$D$116:$N$137, MATCH(B3610, Analysis!$C$116:$C$137, 0), MATCH(C3610, Analysis!$D$115:$N$115, 0)), "")</f>
        <v/>
      </c>
      <c r="J3610" t="str">
        <f t="shared" si="340"/>
        <v/>
      </c>
      <c r="K3610" s="28" t="str">
        <f t="shared" si="337"/>
        <v/>
      </c>
      <c r="L3610" s="46" t="str">
        <f t="shared" si="341"/>
        <v/>
      </c>
      <c r="M3610" t="str" cm="1">
        <f t="array" ref="M3610">IF(L3610="","",_xlfn.IFS(
  AND(L3610&gt;=TIME(9,0,0), L3610&lt;TIME(16,0,0)),"Morning",
  AND(L3610&gt;=TIME(16,0,0), L3610&lt;TIME(23,59,0)),"Evening",
  L3610&gt;=TIME(23,59,0),"Night",
  L3610&lt;TIME(9,0,0),"Night"
))</f>
        <v/>
      </c>
      <c r="O3610" t="str">
        <f t="shared" si="338"/>
        <v/>
      </c>
    </row>
    <row r="3611" spans="7:15" x14ac:dyDescent="0.25">
      <c r="G3611" t="str">
        <f t="shared" si="336"/>
        <v/>
      </c>
      <c r="H3611" s="13" t="str">
        <f t="shared" si="339"/>
        <v/>
      </c>
      <c r="I3611" t="str">
        <f>IFERROR(INDEX(Analysis!$D$116:$N$137, MATCH(B3611, Analysis!$C$116:$C$137, 0), MATCH(C3611, Analysis!$D$115:$N$115, 0)), "")</f>
        <v/>
      </c>
      <c r="J3611" t="str">
        <f t="shared" si="340"/>
        <v/>
      </c>
      <c r="K3611" s="28" t="str">
        <f t="shared" si="337"/>
        <v/>
      </c>
      <c r="L3611" s="46" t="str">
        <f t="shared" si="341"/>
        <v/>
      </c>
      <c r="M3611" t="str" cm="1">
        <f t="array" ref="M3611">IF(L3611="","",_xlfn.IFS(
  AND(L3611&gt;=TIME(9,0,0), L3611&lt;TIME(16,0,0)),"Morning",
  AND(L3611&gt;=TIME(16,0,0), L3611&lt;TIME(23,59,0)),"Evening",
  L3611&gt;=TIME(23,59,0),"Night",
  L3611&lt;TIME(9,0,0),"Night"
))</f>
        <v/>
      </c>
      <c r="O3611" t="str">
        <f t="shared" si="338"/>
        <v/>
      </c>
    </row>
    <row r="3612" spans="7:15" x14ac:dyDescent="0.25">
      <c r="G3612" t="str">
        <f t="shared" si="336"/>
        <v/>
      </c>
      <c r="H3612" s="13" t="str">
        <f t="shared" si="339"/>
        <v/>
      </c>
      <c r="I3612" t="str">
        <f>IFERROR(INDEX(Analysis!$D$116:$N$137, MATCH(B3612, Analysis!$C$116:$C$137, 0), MATCH(C3612, Analysis!$D$115:$N$115, 0)), "")</f>
        <v/>
      </c>
      <c r="J3612" t="str">
        <f t="shared" si="340"/>
        <v/>
      </c>
      <c r="K3612" s="28" t="str">
        <f t="shared" si="337"/>
        <v/>
      </c>
      <c r="L3612" s="46" t="str">
        <f t="shared" si="341"/>
        <v/>
      </c>
      <c r="M3612" t="str" cm="1">
        <f t="array" ref="M3612">IF(L3612="","",_xlfn.IFS(
  AND(L3612&gt;=TIME(9,0,0), L3612&lt;TIME(16,0,0)),"Morning",
  AND(L3612&gt;=TIME(16,0,0), L3612&lt;TIME(23,59,0)),"Evening",
  L3612&gt;=TIME(23,59,0),"Night",
  L3612&lt;TIME(9,0,0),"Night"
))</f>
        <v/>
      </c>
      <c r="O3612" t="str">
        <f t="shared" si="338"/>
        <v/>
      </c>
    </row>
    <row r="3613" spans="7:15" x14ac:dyDescent="0.25">
      <c r="G3613" t="str">
        <f t="shared" si="336"/>
        <v/>
      </c>
      <c r="H3613" s="13" t="str">
        <f t="shared" si="339"/>
        <v/>
      </c>
      <c r="I3613" t="str">
        <f>IFERROR(INDEX(Analysis!$D$116:$N$137, MATCH(B3613, Analysis!$C$116:$C$137, 0), MATCH(C3613, Analysis!$D$115:$N$115, 0)), "")</f>
        <v/>
      </c>
      <c r="J3613" t="str">
        <f t="shared" si="340"/>
        <v/>
      </c>
      <c r="K3613" s="28" t="str">
        <f t="shared" si="337"/>
        <v/>
      </c>
      <c r="L3613" s="46" t="str">
        <f t="shared" si="341"/>
        <v/>
      </c>
      <c r="M3613" t="str" cm="1">
        <f t="array" ref="M3613">IF(L3613="","",_xlfn.IFS(
  AND(L3613&gt;=TIME(9,0,0), L3613&lt;TIME(16,0,0)),"Morning",
  AND(L3613&gt;=TIME(16,0,0), L3613&lt;TIME(23,59,0)),"Evening",
  L3613&gt;=TIME(23,59,0),"Night",
  L3613&lt;TIME(9,0,0),"Night"
))</f>
        <v/>
      </c>
      <c r="O3613" t="str">
        <f t="shared" si="338"/>
        <v/>
      </c>
    </row>
    <row r="3614" spans="7:15" x14ac:dyDescent="0.25">
      <c r="G3614" t="str">
        <f t="shared" si="336"/>
        <v/>
      </c>
      <c r="H3614" s="13" t="str">
        <f t="shared" si="339"/>
        <v/>
      </c>
      <c r="I3614" t="str">
        <f>IFERROR(INDEX(Analysis!$D$116:$N$137, MATCH(B3614, Analysis!$C$116:$C$137, 0), MATCH(C3614, Analysis!$D$115:$N$115, 0)), "")</f>
        <v/>
      </c>
      <c r="J3614" t="str">
        <f t="shared" si="340"/>
        <v/>
      </c>
      <c r="K3614" s="28" t="str">
        <f t="shared" si="337"/>
        <v/>
      </c>
      <c r="L3614" s="46" t="str">
        <f t="shared" si="341"/>
        <v/>
      </c>
      <c r="M3614" t="str" cm="1">
        <f t="array" ref="M3614">IF(L3614="","",_xlfn.IFS(
  AND(L3614&gt;=TIME(9,0,0), L3614&lt;TIME(16,0,0)),"Morning",
  AND(L3614&gt;=TIME(16,0,0), L3614&lt;TIME(23,59,0)),"Evening",
  L3614&gt;=TIME(23,59,0),"Night",
  L3614&lt;TIME(9,0,0),"Night"
))</f>
        <v/>
      </c>
      <c r="O3614" t="str">
        <f t="shared" si="338"/>
        <v/>
      </c>
    </row>
    <row r="3615" spans="7:15" x14ac:dyDescent="0.25">
      <c r="G3615" t="str">
        <f t="shared" si="336"/>
        <v/>
      </c>
      <c r="H3615" s="13" t="str">
        <f t="shared" si="339"/>
        <v/>
      </c>
      <c r="I3615" t="str">
        <f>IFERROR(INDEX(Analysis!$D$116:$N$137, MATCH(B3615, Analysis!$C$116:$C$137, 0), MATCH(C3615, Analysis!$D$115:$N$115, 0)), "")</f>
        <v/>
      </c>
      <c r="J3615" t="str">
        <f t="shared" si="340"/>
        <v/>
      </c>
      <c r="K3615" s="28" t="str">
        <f t="shared" si="337"/>
        <v/>
      </c>
      <c r="L3615" s="46" t="str">
        <f t="shared" si="341"/>
        <v/>
      </c>
      <c r="M3615" t="str" cm="1">
        <f t="array" ref="M3615">IF(L3615="","",_xlfn.IFS(
  AND(L3615&gt;=TIME(9,0,0), L3615&lt;TIME(16,0,0)),"Morning",
  AND(L3615&gt;=TIME(16,0,0), L3615&lt;TIME(23,59,0)),"Evening",
  L3615&gt;=TIME(23,59,0),"Night",
  L3615&lt;TIME(9,0,0),"Night"
))</f>
        <v/>
      </c>
      <c r="O3615" t="str">
        <f t="shared" si="338"/>
        <v/>
      </c>
    </row>
    <row r="3616" spans="7:15" x14ac:dyDescent="0.25">
      <c r="G3616" t="str">
        <f t="shared" si="336"/>
        <v/>
      </c>
      <c r="H3616" s="13" t="str">
        <f t="shared" si="339"/>
        <v/>
      </c>
      <c r="I3616" t="str">
        <f>IFERROR(INDEX(Analysis!$D$116:$N$137, MATCH(B3616, Analysis!$C$116:$C$137, 0), MATCH(C3616, Analysis!$D$115:$N$115, 0)), "")</f>
        <v/>
      </c>
      <c r="J3616" t="str">
        <f t="shared" si="340"/>
        <v/>
      </c>
      <c r="K3616" s="28" t="str">
        <f t="shared" si="337"/>
        <v/>
      </c>
      <c r="L3616" s="46" t="str">
        <f t="shared" si="341"/>
        <v/>
      </c>
      <c r="M3616" t="str" cm="1">
        <f t="array" ref="M3616">IF(L3616="","",_xlfn.IFS(
  AND(L3616&gt;=TIME(9,0,0), L3616&lt;TIME(16,0,0)),"Morning",
  AND(L3616&gt;=TIME(16,0,0), L3616&lt;TIME(23,59,0)),"Evening",
  L3616&gt;=TIME(23,59,0),"Night",
  L3616&lt;TIME(9,0,0),"Night"
))</f>
        <v/>
      </c>
      <c r="O3616" t="str">
        <f t="shared" si="338"/>
        <v/>
      </c>
    </row>
    <row r="3617" spans="7:15" x14ac:dyDescent="0.25">
      <c r="G3617" t="str">
        <f t="shared" si="336"/>
        <v/>
      </c>
      <c r="H3617" s="13" t="str">
        <f t="shared" si="339"/>
        <v/>
      </c>
      <c r="I3617" t="str">
        <f>IFERROR(INDEX(Analysis!$D$116:$N$137, MATCH(B3617, Analysis!$C$116:$C$137, 0), MATCH(C3617, Analysis!$D$115:$N$115, 0)), "")</f>
        <v/>
      </c>
      <c r="J3617" t="str">
        <f t="shared" si="340"/>
        <v/>
      </c>
      <c r="K3617" s="28" t="str">
        <f t="shared" si="337"/>
        <v/>
      </c>
      <c r="L3617" s="46" t="str">
        <f t="shared" si="341"/>
        <v/>
      </c>
      <c r="M3617" t="str" cm="1">
        <f t="array" ref="M3617">IF(L3617="","",_xlfn.IFS(
  AND(L3617&gt;=TIME(9,0,0), L3617&lt;TIME(16,0,0)),"Morning",
  AND(L3617&gt;=TIME(16,0,0), L3617&lt;TIME(23,59,0)),"Evening",
  L3617&gt;=TIME(23,59,0),"Night",
  L3617&lt;TIME(9,0,0),"Night"
))</f>
        <v/>
      </c>
      <c r="O3617" t="str">
        <f t="shared" si="338"/>
        <v/>
      </c>
    </row>
    <row r="3618" spans="7:15" x14ac:dyDescent="0.25">
      <c r="G3618" t="str">
        <f t="shared" si="336"/>
        <v/>
      </c>
      <c r="H3618" s="13" t="str">
        <f t="shared" si="339"/>
        <v/>
      </c>
      <c r="I3618" t="str">
        <f>IFERROR(INDEX(Analysis!$D$116:$N$137, MATCH(B3618, Analysis!$C$116:$C$137, 0), MATCH(C3618, Analysis!$D$115:$N$115, 0)), "")</f>
        <v/>
      </c>
      <c r="J3618" t="str">
        <f t="shared" si="340"/>
        <v/>
      </c>
      <c r="K3618" s="28" t="str">
        <f t="shared" si="337"/>
        <v/>
      </c>
      <c r="L3618" s="46" t="str">
        <f t="shared" si="341"/>
        <v/>
      </c>
      <c r="M3618" t="str" cm="1">
        <f t="array" ref="M3618">IF(L3618="","",_xlfn.IFS(
  AND(L3618&gt;=TIME(9,0,0), L3618&lt;TIME(16,0,0)),"Morning",
  AND(L3618&gt;=TIME(16,0,0), L3618&lt;TIME(23,59,0)),"Evening",
  L3618&gt;=TIME(23,59,0),"Night",
  L3618&lt;TIME(9,0,0),"Night"
))</f>
        <v/>
      </c>
      <c r="O3618" t="str">
        <f t="shared" si="338"/>
        <v/>
      </c>
    </row>
    <row r="3619" spans="7:15" x14ac:dyDescent="0.25">
      <c r="G3619" t="str">
        <f t="shared" si="336"/>
        <v/>
      </c>
      <c r="H3619" s="13" t="str">
        <f t="shared" si="339"/>
        <v/>
      </c>
      <c r="I3619" t="str">
        <f>IFERROR(INDEX(Analysis!$D$116:$N$137, MATCH(B3619, Analysis!$C$116:$C$137, 0), MATCH(C3619, Analysis!$D$115:$N$115, 0)), "")</f>
        <v/>
      </c>
      <c r="J3619" t="str">
        <f t="shared" si="340"/>
        <v/>
      </c>
      <c r="K3619" s="28" t="str">
        <f t="shared" si="337"/>
        <v/>
      </c>
      <c r="L3619" s="46" t="str">
        <f t="shared" si="341"/>
        <v/>
      </c>
      <c r="M3619" t="str" cm="1">
        <f t="array" ref="M3619">IF(L3619="","",_xlfn.IFS(
  AND(L3619&gt;=TIME(9,0,0), L3619&lt;TIME(16,0,0)),"Morning",
  AND(L3619&gt;=TIME(16,0,0), L3619&lt;TIME(23,59,0)),"Evening",
  L3619&gt;=TIME(23,59,0),"Night",
  L3619&lt;TIME(9,0,0),"Night"
))</f>
        <v/>
      </c>
      <c r="O3619" t="str">
        <f t="shared" si="338"/>
        <v/>
      </c>
    </row>
    <row r="3620" spans="7:15" x14ac:dyDescent="0.25">
      <c r="G3620" t="str">
        <f t="shared" si="336"/>
        <v/>
      </c>
      <c r="H3620" s="13" t="str">
        <f t="shared" si="339"/>
        <v/>
      </c>
      <c r="I3620" t="str">
        <f>IFERROR(INDEX(Analysis!$D$116:$N$137, MATCH(B3620, Analysis!$C$116:$C$137, 0), MATCH(C3620, Analysis!$D$115:$N$115, 0)), "")</f>
        <v/>
      </c>
      <c r="J3620" t="str">
        <f t="shared" si="340"/>
        <v/>
      </c>
      <c r="K3620" s="28" t="str">
        <f t="shared" si="337"/>
        <v/>
      </c>
      <c r="L3620" s="46" t="str">
        <f t="shared" si="341"/>
        <v/>
      </c>
      <c r="M3620" t="str" cm="1">
        <f t="array" ref="M3620">IF(L3620="","",_xlfn.IFS(
  AND(L3620&gt;=TIME(9,0,0), L3620&lt;TIME(16,0,0)),"Morning",
  AND(L3620&gt;=TIME(16,0,0), L3620&lt;TIME(23,59,0)),"Evening",
  L3620&gt;=TIME(23,59,0),"Night",
  L3620&lt;TIME(9,0,0),"Night"
))</f>
        <v/>
      </c>
      <c r="O3620" t="str">
        <f t="shared" si="338"/>
        <v/>
      </c>
    </row>
    <row r="3621" spans="7:15" x14ac:dyDescent="0.25">
      <c r="G3621" t="str">
        <f t="shared" si="336"/>
        <v/>
      </c>
      <c r="H3621" s="13" t="str">
        <f t="shared" si="339"/>
        <v/>
      </c>
      <c r="I3621" t="str">
        <f>IFERROR(INDEX(Analysis!$D$116:$N$137, MATCH(B3621, Analysis!$C$116:$C$137, 0), MATCH(C3621, Analysis!$D$115:$N$115, 0)), "")</f>
        <v/>
      </c>
      <c r="J3621" t="str">
        <f t="shared" si="340"/>
        <v/>
      </c>
      <c r="K3621" s="28" t="str">
        <f t="shared" si="337"/>
        <v/>
      </c>
      <c r="L3621" s="46" t="str">
        <f t="shared" si="341"/>
        <v/>
      </c>
      <c r="M3621" t="str" cm="1">
        <f t="array" ref="M3621">IF(L3621="","",_xlfn.IFS(
  AND(L3621&gt;=TIME(9,0,0), L3621&lt;TIME(16,0,0)),"Morning",
  AND(L3621&gt;=TIME(16,0,0), L3621&lt;TIME(23,59,0)),"Evening",
  L3621&gt;=TIME(23,59,0),"Night",
  L3621&lt;TIME(9,0,0),"Night"
))</f>
        <v/>
      </c>
      <c r="O3621" t="str">
        <f t="shared" si="338"/>
        <v/>
      </c>
    </row>
    <row r="3622" spans="7:15" x14ac:dyDescent="0.25">
      <c r="G3622" t="str">
        <f t="shared" si="336"/>
        <v/>
      </c>
      <c r="H3622" s="13" t="str">
        <f t="shared" si="339"/>
        <v/>
      </c>
      <c r="I3622" t="str">
        <f>IFERROR(INDEX(Analysis!$D$116:$N$137, MATCH(B3622, Analysis!$C$116:$C$137, 0), MATCH(C3622, Analysis!$D$115:$N$115, 0)), "")</f>
        <v/>
      </c>
      <c r="J3622" t="str">
        <f t="shared" si="340"/>
        <v/>
      </c>
      <c r="K3622" s="28" t="str">
        <f t="shared" si="337"/>
        <v/>
      </c>
      <c r="L3622" s="46" t="str">
        <f t="shared" si="341"/>
        <v/>
      </c>
      <c r="M3622" t="str" cm="1">
        <f t="array" ref="M3622">IF(L3622="","",_xlfn.IFS(
  AND(L3622&gt;=TIME(9,0,0), L3622&lt;TIME(16,0,0)),"Morning",
  AND(L3622&gt;=TIME(16,0,0), L3622&lt;TIME(23,59,0)),"Evening",
  L3622&gt;=TIME(23,59,0),"Night",
  L3622&lt;TIME(9,0,0),"Night"
))</f>
        <v/>
      </c>
      <c r="O3622" t="str">
        <f t="shared" si="338"/>
        <v/>
      </c>
    </row>
    <row r="3623" spans="7:15" x14ac:dyDescent="0.25">
      <c r="G3623" t="str">
        <f t="shared" si="336"/>
        <v/>
      </c>
      <c r="H3623" s="13" t="str">
        <f t="shared" si="339"/>
        <v/>
      </c>
      <c r="I3623" t="str">
        <f>IFERROR(INDEX(Analysis!$D$116:$N$137, MATCH(B3623, Analysis!$C$116:$C$137, 0), MATCH(C3623, Analysis!$D$115:$N$115, 0)), "")</f>
        <v/>
      </c>
      <c r="J3623" t="str">
        <f t="shared" si="340"/>
        <v/>
      </c>
      <c r="K3623" s="28" t="str">
        <f t="shared" si="337"/>
        <v/>
      </c>
      <c r="L3623" s="46" t="str">
        <f t="shared" si="341"/>
        <v/>
      </c>
      <c r="M3623" t="str" cm="1">
        <f t="array" ref="M3623">IF(L3623="","",_xlfn.IFS(
  AND(L3623&gt;=TIME(9,0,0), L3623&lt;TIME(16,0,0)),"Morning",
  AND(L3623&gt;=TIME(16,0,0), L3623&lt;TIME(23,59,0)),"Evening",
  L3623&gt;=TIME(23,59,0),"Night",
  L3623&lt;TIME(9,0,0),"Night"
))</f>
        <v/>
      </c>
      <c r="O3623" t="str">
        <f t="shared" si="338"/>
        <v/>
      </c>
    </row>
    <row r="3624" spans="7:15" x14ac:dyDescent="0.25">
      <c r="G3624" t="str">
        <f t="shared" si="336"/>
        <v/>
      </c>
      <c r="H3624" s="13" t="str">
        <f t="shared" si="339"/>
        <v/>
      </c>
      <c r="I3624" t="str">
        <f>IFERROR(INDEX(Analysis!$D$116:$N$137, MATCH(B3624, Analysis!$C$116:$C$137, 0), MATCH(C3624, Analysis!$D$115:$N$115, 0)), "")</f>
        <v/>
      </c>
      <c r="J3624" t="str">
        <f t="shared" si="340"/>
        <v/>
      </c>
      <c r="K3624" s="28" t="str">
        <f t="shared" si="337"/>
        <v/>
      </c>
      <c r="L3624" s="46" t="str">
        <f t="shared" si="341"/>
        <v/>
      </c>
      <c r="M3624" t="str" cm="1">
        <f t="array" ref="M3624">IF(L3624="","",_xlfn.IFS(
  AND(L3624&gt;=TIME(9,0,0), L3624&lt;TIME(16,0,0)),"Morning",
  AND(L3624&gt;=TIME(16,0,0), L3624&lt;TIME(23,59,0)),"Evening",
  L3624&gt;=TIME(23,59,0),"Night",
  L3624&lt;TIME(9,0,0),"Night"
))</f>
        <v/>
      </c>
      <c r="O3624" t="str">
        <f t="shared" si="338"/>
        <v/>
      </c>
    </row>
    <row r="3625" spans="7:15" x14ac:dyDescent="0.25">
      <c r="G3625" t="str">
        <f t="shared" si="336"/>
        <v/>
      </c>
      <c r="H3625" s="13" t="str">
        <f t="shared" si="339"/>
        <v/>
      </c>
      <c r="I3625" t="str">
        <f>IFERROR(INDEX(Analysis!$D$116:$N$137, MATCH(B3625, Analysis!$C$116:$C$137, 0), MATCH(C3625, Analysis!$D$115:$N$115, 0)), "")</f>
        <v/>
      </c>
      <c r="J3625" t="str">
        <f t="shared" si="340"/>
        <v/>
      </c>
      <c r="K3625" s="28" t="str">
        <f t="shared" si="337"/>
        <v/>
      </c>
      <c r="L3625" s="46" t="str">
        <f t="shared" si="341"/>
        <v/>
      </c>
      <c r="M3625" t="str" cm="1">
        <f t="array" ref="M3625">IF(L3625="","",_xlfn.IFS(
  AND(L3625&gt;=TIME(9,0,0), L3625&lt;TIME(16,0,0)),"Morning",
  AND(L3625&gt;=TIME(16,0,0), L3625&lt;TIME(23,59,0)),"Evening",
  L3625&gt;=TIME(23,59,0),"Night",
  L3625&lt;TIME(9,0,0),"Night"
))</f>
        <v/>
      </c>
      <c r="O3625" t="str">
        <f t="shared" si="338"/>
        <v/>
      </c>
    </row>
    <row r="3626" spans="7:15" x14ac:dyDescent="0.25">
      <c r="G3626" t="str">
        <f t="shared" si="336"/>
        <v/>
      </c>
      <c r="H3626" s="13" t="str">
        <f t="shared" si="339"/>
        <v/>
      </c>
      <c r="I3626" t="str">
        <f>IFERROR(INDEX(Analysis!$D$116:$N$137, MATCH(B3626, Analysis!$C$116:$C$137, 0), MATCH(C3626, Analysis!$D$115:$N$115, 0)), "")</f>
        <v/>
      </c>
      <c r="J3626" t="str">
        <f t="shared" si="340"/>
        <v/>
      </c>
      <c r="K3626" s="28" t="str">
        <f t="shared" si="337"/>
        <v/>
      </c>
      <c r="L3626" s="46" t="str">
        <f t="shared" si="341"/>
        <v/>
      </c>
      <c r="M3626" t="str" cm="1">
        <f t="array" ref="M3626">IF(L3626="","",_xlfn.IFS(
  AND(L3626&gt;=TIME(9,0,0), L3626&lt;TIME(16,0,0)),"Morning",
  AND(L3626&gt;=TIME(16,0,0), L3626&lt;TIME(23,59,0)),"Evening",
  L3626&gt;=TIME(23,59,0),"Night",
  L3626&lt;TIME(9,0,0),"Night"
))</f>
        <v/>
      </c>
      <c r="O3626" t="str">
        <f t="shared" si="338"/>
        <v/>
      </c>
    </row>
    <row r="3627" spans="7:15" x14ac:dyDescent="0.25">
      <c r="G3627" t="str">
        <f t="shared" si="336"/>
        <v/>
      </c>
      <c r="H3627" s="13" t="str">
        <f t="shared" si="339"/>
        <v/>
      </c>
      <c r="I3627" t="str">
        <f>IFERROR(INDEX(Analysis!$D$116:$N$137, MATCH(B3627, Analysis!$C$116:$C$137, 0), MATCH(C3627, Analysis!$D$115:$N$115, 0)), "")</f>
        <v/>
      </c>
      <c r="J3627" t="str">
        <f t="shared" si="340"/>
        <v/>
      </c>
      <c r="K3627" s="28" t="str">
        <f t="shared" si="337"/>
        <v/>
      </c>
      <c r="L3627" s="46" t="str">
        <f t="shared" si="341"/>
        <v/>
      </c>
      <c r="M3627" t="str" cm="1">
        <f t="array" ref="M3627">IF(L3627="","",_xlfn.IFS(
  AND(L3627&gt;=TIME(9,0,0), L3627&lt;TIME(16,0,0)),"Morning",
  AND(L3627&gt;=TIME(16,0,0), L3627&lt;TIME(23,59,0)),"Evening",
  L3627&gt;=TIME(23,59,0),"Night",
  L3627&lt;TIME(9,0,0),"Night"
))</f>
        <v/>
      </c>
      <c r="O3627" t="str">
        <f t="shared" si="338"/>
        <v/>
      </c>
    </row>
    <row r="3628" spans="7:15" x14ac:dyDescent="0.25">
      <c r="G3628" t="str">
        <f t="shared" si="336"/>
        <v/>
      </c>
      <c r="H3628" s="13" t="str">
        <f t="shared" si="339"/>
        <v/>
      </c>
      <c r="I3628" t="str">
        <f>IFERROR(INDEX(Analysis!$D$116:$N$137, MATCH(B3628, Analysis!$C$116:$C$137, 0), MATCH(C3628, Analysis!$D$115:$N$115, 0)), "")</f>
        <v/>
      </c>
      <c r="J3628" t="str">
        <f t="shared" si="340"/>
        <v/>
      </c>
      <c r="K3628" s="28" t="str">
        <f t="shared" si="337"/>
        <v/>
      </c>
      <c r="L3628" s="46" t="str">
        <f t="shared" si="341"/>
        <v/>
      </c>
      <c r="M3628" t="str" cm="1">
        <f t="array" ref="M3628">IF(L3628="","",_xlfn.IFS(
  AND(L3628&gt;=TIME(9,0,0), L3628&lt;TIME(16,0,0)),"Morning",
  AND(L3628&gt;=TIME(16,0,0), L3628&lt;TIME(23,59,0)),"Evening",
  L3628&gt;=TIME(23,59,0),"Night",
  L3628&lt;TIME(9,0,0),"Night"
))</f>
        <v/>
      </c>
      <c r="O3628" t="str">
        <f t="shared" si="338"/>
        <v/>
      </c>
    </row>
    <row r="3629" spans="7:15" x14ac:dyDescent="0.25">
      <c r="G3629" t="str">
        <f t="shared" si="336"/>
        <v/>
      </c>
      <c r="H3629" s="13" t="str">
        <f t="shared" si="339"/>
        <v/>
      </c>
      <c r="I3629" t="str">
        <f>IFERROR(INDEX(Analysis!$D$116:$N$137, MATCH(B3629, Analysis!$C$116:$C$137, 0), MATCH(C3629, Analysis!$D$115:$N$115, 0)), "")</f>
        <v/>
      </c>
      <c r="J3629" t="str">
        <f t="shared" si="340"/>
        <v/>
      </c>
      <c r="K3629" s="28" t="str">
        <f t="shared" si="337"/>
        <v/>
      </c>
      <c r="L3629" s="46" t="str">
        <f t="shared" si="341"/>
        <v/>
      </c>
      <c r="M3629" t="str" cm="1">
        <f t="array" ref="M3629">IF(L3629="","",_xlfn.IFS(
  AND(L3629&gt;=TIME(9,0,0), L3629&lt;TIME(16,0,0)),"Morning",
  AND(L3629&gt;=TIME(16,0,0), L3629&lt;TIME(23,59,0)),"Evening",
  L3629&gt;=TIME(23,59,0),"Night",
  L3629&lt;TIME(9,0,0),"Night"
))</f>
        <v/>
      </c>
      <c r="O3629" t="str">
        <f t="shared" si="338"/>
        <v/>
      </c>
    </row>
    <row r="3630" spans="7:15" x14ac:dyDescent="0.25">
      <c r="G3630" t="str">
        <f t="shared" si="336"/>
        <v/>
      </c>
      <c r="H3630" s="13" t="str">
        <f t="shared" si="339"/>
        <v/>
      </c>
      <c r="I3630" t="str">
        <f>IFERROR(INDEX(Analysis!$D$116:$N$137, MATCH(B3630, Analysis!$C$116:$C$137, 0), MATCH(C3630, Analysis!$D$115:$N$115, 0)), "")</f>
        <v/>
      </c>
      <c r="J3630" t="str">
        <f t="shared" si="340"/>
        <v/>
      </c>
      <c r="K3630" s="28" t="str">
        <f t="shared" si="337"/>
        <v/>
      </c>
      <c r="L3630" s="46" t="str">
        <f t="shared" si="341"/>
        <v/>
      </c>
      <c r="M3630" t="str" cm="1">
        <f t="array" ref="M3630">IF(L3630="","",_xlfn.IFS(
  AND(L3630&gt;=TIME(9,0,0), L3630&lt;TIME(16,0,0)),"Morning",
  AND(L3630&gt;=TIME(16,0,0), L3630&lt;TIME(23,59,0)),"Evening",
  L3630&gt;=TIME(23,59,0),"Night",
  L3630&lt;TIME(9,0,0),"Night"
))</f>
        <v/>
      </c>
      <c r="O3630" t="str">
        <f t="shared" si="338"/>
        <v/>
      </c>
    </row>
    <row r="3631" spans="7:15" x14ac:dyDescent="0.25">
      <c r="G3631" t="str">
        <f t="shared" si="336"/>
        <v/>
      </c>
      <c r="H3631" s="13" t="str">
        <f t="shared" si="339"/>
        <v/>
      </c>
      <c r="I3631" t="str">
        <f>IFERROR(INDEX(Analysis!$D$116:$N$137, MATCH(B3631, Analysis!$C$116:$C$137, 0), MATCH(C3631, Analysis!$D$115:$N$115, 0)), "")</f>
        <v/>
      </c>
      <c r="J3631" t="str">
        <f t="shared" si="340"/>
        <v/>
      </c>
      <c r="K3631" s="28" t="str">
        <f t="shared" si="337"/>
        <v/>
      </c>
      <c r="L3631" s="46" t="str">
        <f t="shared" si="341"/>
        <v/>
      </c>
      <c r="M3631" t="str" cm="1">
        <f t="array" ref="M3631">IF(L3631="","",_xlfn.IFS(
  AND(L3631&gt;=TIME(9,0,0), L3631&lt;TIME(16,0,0)),"Morning",
  AND(L3631&gt;=TIME(16,0,0), L3631&lt;TIME(23,59,0)),"Evening",
  L3631&gt;=TIME(23,59,0),"Night",
  L3631&lt;TIME(9,0,0),"Night"
))</f>
        <v/>
      </c>
      <c r="O3631" t="str">
        <f t="shared" si="338"/>
        <v/>
      </c>
    </row>
    <row r="3632" spans="7:15" x14ac:dyDescent="0.25">
      <c r="G3632" t="str">
        <f t="shared" si="336"/>
        <v/>
      </c>
      <c r="H3632" s="13" t="str">
        <f t="shared" si="339"/>
        <v/>
      </c>
      <c r="I3632" t="str">
        <f>IFERROR(INDEX(Analysis!$D$116:$N$137, MATCH(B3632, Analysis!$C$116:$C$137, 0), MATCH(C3632, Analysis!$D$115:$N$115, 0)), "")</f>
        <v/>
      </c>
      <c r="J3632" t="str">
        <f t="shared" si="340"/>
        <v/>
      </c>
      <c r="K3632" s="28" t="str">
        <f t="shared" si="337"/>
        <v/>
      </c>
      <c r="L3632" s="46" t="str">
        <f t="shared" si="341"/>
        <v/>
      </c>
      <c r="M3632" t="str" cm="1">
        <f t="array" ref="M3632">IF(L3632="","",_xlfn.IFS(
  AND(L3632&gt;=TIME(9,0,0), L3632&lt;TIME(16,0,0)),"Morning",
  AND(L3632&gt;=TIME(16,0,0), L3632&lt;TIME(23,59,0)),"Evening",
  L3632&gt;=TIME(23,59,0),"Night",
  L3632&lt;TIME(9,0,0),"Night"
))</f>
        <v/>
      </c>
      <c r="O3632" t="str">
        <f t="shared" si="338"/>
        <v/>
      </c>
    </row>
    <row r="3633" spans="7:15" x14ac:dyDescent="0.25">
      <c r="G3633" t="str">
        <f t="shared" si="336"/>
        <v/>
      </c>
      <c r="H3633" s="13" t="str">
        <f t="shared" si="339"/>
        <v/>
      </c>
      <c r="I3633" t="str">
        <f>IFERROR(INDEX(Analysis!$D$116:$N$137, MATCH(B3633, Analysis!$C$116:$C$137, 0), MATCH(C3633, Analysis!$D$115:$N$115, 0)), "")</f>
        <v/>
      </c>
      <c r="J3633" t="str">
        <f t="shared" si="340"/>
        <v/>
      </c>
      <c r="K3633" s="28" t="str">
        <f t="shared" si="337"/>
        <v/>
      </c>
      <c r="L3633" s="46" t="str">
        <f t="shared" si="341"/>
        <v/>
      </c>
      <c r="M3633" t="str" cm="1">
        <f t="array" ref="M3633">IF(L3633="","",_xlfn.IFS(
  AND(L3633&gt;=TIME(9,0,0), L3633&lt;TIME(16,0,0)),"Morning",
  AND(L3633&gt;=TIME(16,0,0), L3633&lt;TIME(23,59,0)),"Evening",
  L3633&gt;=TIME(23,59,0),"Night",
  L3633&lt;TIME(9,0,0),"Night"
))</f>
        <v/>
      </c>
      <c r="O3633" t="str">
        <f t="shared" si="338"/>
        <v/>
      </c>
    </row>
    <row r="3634" spans="7:15" x14ac:dyDescent="0.25">
      <c r="G3634" t="str">
        <f t="shared" si="336"/>
        <v/>
      </c>
      <c r="H3634" s="13" t="str">
        <f t="shared" si="339"/>
        <v/>
      </c>
      <c r="I3634" t="str">
        <f>IFERROR(INDEX(Analysis!$D$116:$N$137, MATCH(B3634, Analysis!$C$116:$C$137, 0), MATCH(C3634, Analysis!$D$115:$N$115, 0)), "")</f>
        <v/>
      </c>
      <c r="J3634" t="str">
        <f t="shared" si="340"/>
        <v/>
      </c>
      <c r="K3634" s="28" t="str">
        <f t="shared" si="337"/>
        <v/>
      </c>
      <c r="L3634" s="46" t="str">
        <f t="shared" si="341"/>
        <v/>
      </c>
      <c r="M3634" t="str" cm="1">
        <f t="array" ref="M3634">IF(L3634="","",_xlfn.IFS(
  AND(L3634&gt;=TIME(9,0,0), L3634&lt;TIME(16,0,0)),"Morning",
  AND(L3634&gt;=TIME(16,0,0), L3634&lt;TIME(23,59,0)),"Evening",
  L3634&gt;=TIME(23,59,0),"Night",
  L3634&lt;TIME(9,0,0),"Night"
))</f>
        <v/>
      </c>
      <c r="O3634" t="str">
        <f t="shared" si="338"/>
        <v/>
      </c>
    </row>
    <row r="3635" spans="7:15" x14ac:dyDescent="0.25">
      <c r="G3635" t="str">
        <f t="shared" si="336"/>
        <v/>
      </c>
      <c r="H3635" s="13" t="str">
        <f t="shared" si="339"/>
        <v/>
      </c>
      <c r="I3635" t="str">
        <f>IFERROR(INDEX(Analysis!$D$116:$N$137, MATCH(B3635, Analysis!$C$116:$C$137, 0), MATCH(C3635, Analysis!$D$115:$N$115, 0)), "")</f>
        <v/>
      </c>
      <c r="J3635" t="str">
        <f t="shared" si="340"/>
        <v/>
      </c>
      <c r="K3635" s="28" t="str">
        <f t="shared" si="337"/>
        <v/>
      </c>
      <c r="L3635" s="46" t="str">
        <f t="shared" si="341"/>
        <v/>
      </c>
      <c r="M3635" t="str" cm="1">
        <f t="array" ref="M3635">IF(L3635="","",_xlfn.IFS(
  AND(L3635&gt;=TIME(9,0,0), L3635&lt;TIME(16,0,0)),"Morning",
  AND(L3635&gt;=TIME(16,0,0), L3635&lt;TIME(23,59,0)),"Evening",
  L3635&gt;=TIME(23,59,0),"Night",
  L3635&lt;TIME(9,0,0),"Night"
))</f>
        <v/>
      </c>
      <c r="O3635" t="str">
        <f t="shared" si="338"/>
        <v/>
      </c>
    </row>
    <row r="3636" spans="7:15" x14ac:dyDescent="0.25">
      <c r="G3636" t="str">
        <f t="shared" si="336"/>
        <v/>
      </c>
      <c r="H3636" s="13" t="str">
        <f t="shared" si="339"/>
        <v/>
      </c>
      <c r="I3636" t="str">
        <f>IFERROR(INDEX(Analysis!$D$116:$N$137, MATCH(B3636, Analysis!$C$116:$C$137, 0), MATCH(C3636, Analysis!$D$115:$N$115, 0)), "")</f>
        <v/>
      </c>
      <c r="J3636" t="str">
        <f t="shared" si="340"/>
        <v/>
      </c>
      <c r="K3636" s="28" t="str">
        <f t="shared" si="337"/>
        <v/>
      </c>
      <c r="L3636" s="46" t="str">
        <f t="shared" si="341"/>
        <v/>
      </c>
      <c r="M3636" t="str" cm="1">
        <f t="array" ref="M3636">IF(L3636="","",_xlfn.IFS(
  AND(L3636&gt;=TIME(9,0,0), L3636&lt;TIME(16,0,0)),"Morning",
  AND(L3636&gt;=TIME(16,0,0), L3636&lt;TIME(23,59,0)),"Evening",
  L3636&gt;=TIME(23,59,0),"Night",
  L3636&lt;TIME(9,0,0),"Night"
))</f>
        <v/>
      </c>
      <c r="O3636" t="str">
        <f t="shared" si="338"/>
        <v/>
      </c>
    </row>
    <row r="3637" spans="7:15" x14ac:dyDescent="0.25">
      <c r="G3637" t="str">
        <f t="shared" si="336"/>
        <v/>
      </c>
      <c r="H3637" s="13" t="str">
        <f t="shared" si="339"/>
        <v/>
      </c>
      <c r="I3637" t="str">
        <f>IFERROR(INDEX(Analysis!$D$116:$N$137, MATCH(B3637, Analysis!$C$116:$C$137, 0), MATCH(C3637, Analysis!$D$115:$N$115, 0)), "")</f>
        <v/>
      </c>
      <c r="J3637" t="str">
        <f t="shared" si="340"/>
        <v/>
      </c>
      <c r="K3637" s="28" t="str">
        <f t="shared" si="337"/>
        <v/>
      </c>
      <c r="L3637" s="46" t="str">
        <f t="shared" si="341"/>
        <v/>
      </c>
      <c r="M3637" t="str" cm="1">
        <f t="array" ref="M3637">IF(L3637="","",_xlfn.IFS(
  AND(L3637&gt;=TIME(9,0,0), L3637&lt;TIME(16,0,0)),"Morning",
  AND(L3637&gt;=TIME(16,0,0), L3637&lt;TIME(23,59,0)),"Evening",
  L3637&gt;=TIME(23,59,0),"Night",
  L3637&lt;TIME(9,0,0),"Night"
))</f>
        <v/>
      </c>
      <c r="O3637" t="str">
        <f t="shared" si="338"/>
        <v/>
      </c>
    </row>
    <row r="3638" spans="7:15" x14ac:dyDescent="0.25">
      <c r="G3638" t="str">
        <f t="shared" si="336"/>
        <v/>
      </c>
      <c r="H3638" s="13" t="str">
        <f t="shared" si="339"/>
        <v/>
      </c>
      <c r="I3638" t="str">
        <f>IFERROR(INDEX(Analysis!$D$116:$N$137, MATCH(B3638, Analysis!$C$116:$C$137, 0), MATCH(C3638, Analysis!$D$115:$N$115, 0)), "")</f>
        <v/>
      </c>
      <c r="J3638" t="str">
        <f t="shared" si="340"/>
        <v/>
      </c>
      <c r="K3638" s="28" t="str">
        <f t="shared" si="337"/>
        <v/>
      </c>
      <c r="L3638" s="46" t="str">
        <f t="shared" si="341"/>
        <v/>
      </c>
      <c r="M3638" t="str" cm="1">
        <f t="array" ref="M3638">IF(L3638="","",_xlfn.IFS(
  AND(L3638&gt;=TIME(9,0,0), L3638&lt;TIME(16,0,0)),"Morning",
  AND(L3638&gt;=TIME(16,0,0), L3638&lt;TIME(23,59,0)),"Evening",
  L3638&gt;=TIME(23,59,0),"Night",
  L3638&lt;TIME(9,0,0),"Night"
))</f>
        <v/>
      </c>
      <c r="O3638" t="str">
        <f t="shared" si="338"/>
        <v/>
      </c>
    </row>
    <row r="3639" spans="7:15" x14ac:dyDescent="0.25">
      <c r="G3639" t="str">
        <f t="shared" si="336"/>
        <v/>
      </c>
      <c r="H3639" s="13" t="str">
        <f t="shared" si="339"/>
        <v/>
      </c>
      <c r="I3639" t="str">
        <f>IFERROR(INDEX(Analysis!$D$116:$N$137, MATCH(B3639, Analysis!$C$116:$C$137, 0), MATCH(C3639, Analysis!$D$115:$N$115, 0)), "")</f>
        <v/>
      </c>
      <c r="J3639" t="str">
        <f t="shared" si="340"/>
        <v/>
      </c>
      <c r="K3639" s="28" t="str">
        <f t="shared" si="337"/>
        <v/>
      </c>
      <c r="L3639" s="46" t="str">
        <f t="shared" si="341"/>
        <v/>
      </c>
      <c r="M3639" t="str" cm="1">
        <f t="array" ref="M3639">IF(L3639="","",_xlfn.IFS(
  AND(L3639&gt;=TIME(9,0,0), L3639&lt;TIME(16,0,0)),"Morning",
  AND(L3639&gt;=TIME(16,0,0), L3639&lt;TIME(23,59,0)),"Evening",
  L3639&gt;=TIME(23,59,0),"Night",
  L3639&lt;TIME(9,0,0),"Night"
))</f>
        <v/>
      </c>
      <c r="O3639" t="str">
        <f t="shared" si="338"/>
        <v/>
      </c>
    </row>
    <row r="3640" spans="7:15" x14ac:dyDescent="0.25">
      <c r="G3640" t="str">
        <f t="shared" si="336"/>
        <v/>
      </c>
      <c r="H3640" s="13" t="str">
        <f t="shared" si="339"/>
        <v/>
      </c>
      <c r="I3640" t="str">
        <f>IFERROR(INDEX(Analysis!$D$116:$N$137, MATCH(B3640, Analysis!$C$116:$C$137, 0), MATCH(C3640, Analysis!$D$115:$N$115, 0)), "")</f>
        <v/>
      </c>
      <c r="J3640" t="str">
        <f t="shared" si="340"/>
        <v/>
      </c>
      <c r="K3640" s="28" t="str">
        <f t="shared" si="337"/>
        <v/>
      </c>
      <c r="L3640" s="46" t="str">
        <f t="shared" si="341"/>
        <v/>
      </c>
      <c r="M3640" t="str" cm="1">
        <f t="array" ref="M3640">IF(L3640="","",_xlfn.IFS(
  AND(L3640&gt;=TIME(9,0,0), L3640&lt;TIME(16,0,0)),"Morning",
  AND(L3640&gt;=TIME(16,0,0), L3640&lt;TIME(23,59,0)),"Evening",
  L3640&gt;=TIME(23,59,0),"Night",
  L3640&lt;TIME(9,0,0),"Night"
))</f>
        <v/>
      </c>
      <c r="O3640" t="str">
        <f t="shared" si="338"/>
        <v/>
      </c>
    </row>
    <row r="3641" spans="7:15" x14ac:dyDescent="0.25">
      <c r="G3641" t="str">
        <f t="shared" si="336"/>
        <v/>
      </c>
      <c r="H3641" s="13" t="str">
        <f t="shared" si="339"/>
        <v/>
      </c>
      <c r="I3641" t="str">
        <f>IFERROR(INDEX(Analysis!$D$116:$N$137, MATCH(B3641, Analysis!$C$116:$C$137, 0), MATCH(C3641, Analysis!$D$115:$N$115, 0)), "")</f>
        <v/>
      </c>
      <c r="J3641" t="str">
        <f t="shared" si="340"/>
        <v/>
      </c>
      <c r="K3641" s="28" t="str">
        <f t="shared" si="337"/>
        <v/>
      </c>
      <c r="L3641" s="46" t="str">
        <f t="shared" si="341"/>
        <v/>
      </c>
      <c r="M3641" t="str" cm="1">
        <f t="array" ref="M3641">IF(L3641="","",_xlfn.IFS(
  AND(L3641&gt;=TIME(9,0,0), L3641&lt;TIME(16,0,0)),"Morning",
  AND(L3641&gt;=TIME(16,0,0), L3641&lt;TIME(23,59,0)),"Evening",
  L3641&gt;=TIME(23,59,0),"Night",
  L3641&lt;TIME(9,0,0),"Night"
))</f>
        <v/>
      </c>
      <c r="O3641" t="str">
        <f t="shared" si="338"/>
        <v/>
      </c>
    </row>
    <row r="3642" spans="7:15" x14ac:dyDescent="0.25">
      <c r="G3642" t="str">
        <f t="shared" si="336"/>
        <v/>
      </c>
      <c r="H3642" s="13" t="str">
        <f t="shared" si="339"/>
        <v/>
      </c>
      <c r="I3642" t="str">
        <f>IFERROR(INDEX(Analysis!$D$116:$N$137, MATCH(B3642, Analysis!$C$116:$C$137, 0), MATCH(C3642, Analysis!$D$115:$N$115, 0)), "")</f>
        <v/>
      </c>
      <c r="J3642" t="str">
        <f t="shared" si="340"/>
        <v/>
      </c>
      <c r="K3642" s="28" t="str">
        <f t="shared" si="337"/>
        <v/>
      </c>
      <c r="L3642" s="46" t="str">
        <f t="shared" si="341"/>
        <v/>
      </c>
      <c r="M3642" t="str" cm="1">
        <f t="array" ref="M3642">IF(L3642="","",_xlfn.IFS(
  AND(L3642&gt;=TIME(9,0,0), L3642&lt;TIME(16,0,0)),"Morning",
  AND(L3642&gt;=TIME(16,0,0), L3642&lt;TIME(23,59,0)),"Evening",
  L3642&gt;=TIME(23,59,0),"Night",
  L3642&lt;TIME(9,0,0),"Night"
))</f>
        <v/>
      </c>
      <c r="O3642" t="str">
        <f t="shared" si="338"/>
        <v/>
      </c>
    </row>
    <row r="3643" spans="7:15" x14ac:dyDescent="0.25">
      <c r="G3643" t="str">
        <f t="shared" si="336"/>
        <v/>
      </c>
      <c r="H3643" s="13" t="str">
        <f t="shared" si="339"/>
        <v/>
      </c>
      <c r="I3643" t="str">
        <f>IFERROR(INDEX(Analysis!$D$116:$N$137, MATCH(B3643, Analysis!$C$116:$C$137, 0), MATCH(C3643, Analysis!$D$115:$N$115, 0)), "")</f>
        <v/>
      </c>
      <c r="J3643" t="str">
        <f t="shared" si="340"/>
        <v/>
      </c>
      <c r="K3643" s="28" t="str">
        <f t="shared" si="337"/>
        <v/>
      </c>
      <c r="L3643" s="46" t="str">
        <f t="shared" si="341"/>
        <v/>
      </c>
      <c r="M3643" t="str" cm="1">
        <f t="array" ref="M3643">IF(L3643="","",_xlfn.IFS(
  AND(L3643&gt;=TIME(9,0,0), L3643&lt;TIME(16,0,0)),"Morning",
  AND(L3643&gt;=TIME(16,0,0), L3643&lt;TIME(23,59,0)),"Evening",
  L3643&gt;=TIME(23,59,0),"Night",
  L3643&lt;TIME(9,0,0),"Night"
))</f>
        <v/>
      </c>
      <c r="O3643" t="str">
        <f t="shared" si="338"/>
        <v/>
      </c>
    </row>
    <row r="3644" spans="7:15" x14ac:dyDescent="0.25">
      <c r="G3644" t="str">
        <f t="shared" si="336"/>
        <v/>
      </c>
      <c r="H3644" s="13" t="str">
        <f t="shared" si="339"/>
        <v/>
      </c>
      <c r="I3644" t="str">
        <f>IFERROR(INDEX(Analysis!$D$116:$N$137, MATCH(B3644, Analysis!$C$116:$C$137, 0), MATCH(C3644, Analysis!$D$115:$N$115, 0)), "")</f>
        <v/>
      </c>
      <c r="J3644" t="str">
        <f t="shared" si="340"/>
        <v/>
      </c>
      <c r="K3644" s="28" t="str">
        <f t="shared" si="337"/>
        <v/>
      </c>
      <c r="L3644" s="46" t="str">
        <f t="shared" si="341"/>
        <v/>
      </c>
      <c r="M3644" t="str" cm="1">
        <f t="array" ref="M3644">IF(L3644="","",_xlfn.IFS(
  AND(L3644&gt;=TIME(9,0,0), L3644&lt;TIME(16,0,0)),"Morning",
  AND(L3644&gt;=TIME(16,0,0), L3644&lt;TIME(23,59,0)),"Evening",
  L3644&gt;=TIME(23,59,0),"Night",
  L3644&lt;TIME(9,0,0),"Night"
))</f>
        <v/>
      </c>
      <c r="O3644" t="str">
        <f t="shared" si="338"/>
        <v/>
      </c>
    </row>
    <row r="3645" spans="7:15" x14ac:dyDescent="0.25">
      <c r="G3645" t="str">
        <f t="shared" si="336"/>
        <v/>
      </c>
      <c r="H3645" s="13" t="str">
        <f t="shared" si="339"/>
        <v/>
      </c>
      <c r="I3645" t="str">
        <f>IFERROR(INDEX(Analysis!$D$116:$N$137, MATCH(B3645, Analysis!$C$116:$C$137, 0), MATCH(C3645, Analysis!$D$115:$N$115, 0)), "")</f>
        <v/>
      </c>
      <c r="J3645" t="str">
        <f t="shared" si="340"/>
        <v/>
      </c>
      <c r="K3645" s="28" t="str">
        <f t="shared" si="337"/>
        <v/>
      </c>
      <c r="L3645" s="46" t="str">
        <f t="shared" si="341"/>
        <v/>
      </c>
      <c r="M3645" t="str" cm="1">
        <f t="array" ref="M3645">IF(L3645="","",_xlfn.IFS(
  AND(L3645&gt;=TIME(9,0,0), L3645&lt;TIME(16,0,0)),"Morning",
  AND(L3645&gt;=TIME(16,0,0), L3645&lt;TIME(23,59,0)),"Evening",
  L3645&gt;=TIME(23,59,0),"Night",
  L3645&lt;TIME(9,0,0),"Night"
))</f>
        <v/>
      </c>
      <c r="O3645" t="str">
        <f t="shared" si="338"/>
        <v/>
      </c>
    </row>
    <row r="3646" spans="7:15" x14ac:dyDescent="0.25">
      <c r="G3646" t="str">
        <f t="shared" si="336"/>
        <v/>
      </c>
      <c r="H3646" s="13" t="str">
        <f t="shared" si="339"/>
        <v/>
      </c>
      <c r="I3646" t="str">
        <f>IFERROR(INDEX(Analysis!$D$116:$N$137, MATCH(B3646, Analysis!$C$116:$C$137, 0), MATCH(C3646, Analysis!$D$115:$N$115, 0)), "")</f>
        <v/>
      </c>
      <c r="J3646" t="str">
        <f t="shared" si="340"/>
        <v/>
      </c>
      <c r="K3646" s="28" t="str">
        <f t="shared" si="337"/>
        <v/>
      </c>
      <c r="L3646" s="46" t="str">
        <f t="shared" si="341"/>
        <v/>
      </c>
      <c r="M3646" t="str" cm="1">
        <f t="array" ref="M3646">IF(L3646="","",_xlfn.IFS(
  AND(L3646&gt;=TIME(9,0,0), L3646&lt;TIME(16,0,0)),"Morning",
  AND(L3646&gt;=TIME(16,0,0), L3646&lt;TIME(23,59,0)),"Evening",
  L3646&gt;=TIME(23,59,0),"Night",
  L3646&lt;TIME(9,0,0),"Night"
))</f>
        <v/>
      </c>
      <c r="O3646" t="str">
        <f t="shared" si="338"/>
        <v/>
      </c>
    </row>
    <row r="3647" spans="7:15" x14ac:dyDescent="0.25">
      <c r="G3647" t="str">
        <f t="shared" si="336"/>
        <v/>
      </c>
      <c r="H3647" s="13" t="str">
        <f t="shared" si="339"/>
        <v/>
      </c>
      <c r="I3647" t="str">
        <f>IFERROR(INDEX(Analysis!$D$116:$N$137, MATCH(B3647, Analysis!$C$116:$C$137, 0), MATCH(C3647, Analysis!$D$115:$N$115, 0)), "")</f>
        <v/>
      </c>
      <c r="J3647" t="str">
        <f t="shared" si="340"/>
        <v/>
      </c>
      <c r="K3647" s="28" t="str">
        <f t="shared" si="337"/>
        <v/>
      </c>
      <c r="L3647" s="46" t="str">
        <f t="shared" si="341"/>
        <v/>
      </c>
      <c r="M3647" t="str" cm="1">
        <f t="array" ref="M3647">IF(L3647="","",_xlfn.IFS(
  AND(L3647&gt;=TIME(9,0,0), L3647&lt;TIME(16,0,0)),"Morning",
  AND(L3647&gt;=TIME(16,0,0), L3647&lt;TIME(23,59,0)),"Evening",
  L3647&gt;=TIME(23,59,0),"Night",
  L3647&lt;TIME(9,0,0),"Night"
))</f>
        <v/>
      </c>
      <c r="O3647" t="str">
        <f t="shared" si="338"/>
        <v/>
      </c>
    </row>
    <row r="3648" spans="7:15" x14ac:dyDescent="0.25">
      <c r="G3648" t="str">
        <f t="shared" si="336"/>
        <v/>
      </c>
      <c r="H3648" s="13" t="str">
        <f t="shared" si="339"/>
        <v/>
      </c>
      <c r="I3648" t="str">
        <f>IFERROR(INDEX(Analysis!$D$116:$N$137, MATCH(B3648, Analysis!$C$116:$C$137, 0), MATCH(C3648, Analysis!$D$115:$N$115, 0)), "")</f>
        <v/>
      </c>
      <c r="J3648" t="str">
        <f t="shared" si="340"/>
        <v/>
      </c>
      <c r="K3648" s="28" t="str">
        <f t="shared" si="337"/>
        <v/>
      </c>
      <c r="L3648" s="46" t="str">
        <f t="shared" si="341"/>
        <v/>
      </c>
      <c r="M3648" t="str" cm="1">
        <f t="array" ref="M3648">IF(L3648="","",_xlfn.IFS(
  AND(L3648&gt;=TIME(9,0,0), L3648&lt;TIME(16,0,0)),"Morning",
  AND(L3648&gt;=TIME(16,0,0), L3648&lt;TIME(23,59,0)),"Evening",
  L3648&gt;=TIME(23,59,0),"Night",
  L3648&lt;TIME(9,0,0),"Night"
))</f>
        <v/>
      </c>
      <c r="O3648" t="str">
        <f t="shared" si="338"/>
        <v/>
      </c>
    </row>
    <row r="3649" spans="7:15" x14ac:dyDescent="0.25">
      <c r="G3649" t="str">
        <f t="shared" si="336"/>
        <v/>
      </c>
      <c r="H3649" s="13" t="str">
        <f t="shared" si="339"/>
        <v/>
      </c>
      <c r="I3649" t="str">
        <f>IFERROR(INDEX(Analysis!$D$116:$N$137, MATCH(B3649, Analysis!$C$116:$C$137, 0), MATCH(C3649, Analysis!$D$115:$N$115, 0)), "")</f>
        <v/>
      </c>
      <c r="J3649" t="str">
        <f t="shared" si="340"/>
        <v/>
      </c>
      <c r="K3649" s="28" t="str">
        <f t="shared" si="337"/>
        <v/>
      </c>
      <c r="L3649" s="46" t="str">
        <f t="shared" si="341"/>
        <v/>
      </c>
      <c r="M3649" t="str" cm="1">
        <f t="array" ref="M3649">IF(L3649="","",_xlfn.IFS(
  AND(L3649&gt;=TIME(9,0,0), L3649&lt;TIME(16,0,0)),"Morning",
  AND(L3649&gt;=TIME(16,0,0), L3649&lt;TIME(23,59,0)),"Evening",
  L3649&gt;=TIME(23,59,0),"Night",
  L3649&lt;TIME(9,0,0),"Night"
))</f>
        <v/>
      </c>
      <c r="O3649" t="str">
        <f t="shared" si="338"/>
        <v/>
      </c>
    </row>
    <row r="3650" spans="7:15" x14ac:dyDescent="0.25">
      <c r="G3650" t="str">
        <f t="shared" ref="G3650:G3713" si="342">IF(ISBLANK(A3650), "", IF(ISBLANK(F3650), 0, F3650))</f>
        <v/>
      </c>
      <c r="H3650" s="13" t="str">
        <f t="shared" si="339"/>
        <v/>
      </c>
      <c r="I3650" t="str">
        <f>IFERROR(INDEX(Analysis!$D$116:$N$137, MATCH(B3650, Analysis!$C$116:$C$137, 0), MATCH(C3650, Analysis!$D$115:$N$115, 0)), "")</f>
        <v/>
      </c>
      <c r="J3650" t="str">
        <f t="shared" si="340"/>
        <v/>
      </c>
      <c r="K3650" s="28" t="str">
        <f t="shared" ref="K3650:K3713" si="343">IF(ISBLANK(A3650),"",DATE(YEAR(A3650),MONTH(A3650),DAY(A3650)))</f>
        <v/>
      </c>
      <c r="L3650" s="46" t="str">
        <f t="shared" si="341"/>
        <v/>
      </c>
      <c r="M3650" t="str" cm="1">
        <f t="array" ref="M3650">IF(L3650="","",_xlfn.IFS(
  AND(L3650&gt;=TIME(9,0,0), L3650&lt;TIME(16,0,0)),"Morning",
  AND(L3650&gt;=TIME(16,0,0), L3650&lt;TIME(23,59,0)),"Evening",
  L3650&gt;=TIME(23,59,0),"Night",
  L3650&lt;TIME(9,0,0),"Night"
))</f>
        <v/>
      </c>
      <c r="O3650" t="str">
        <f t="shared" ref="O3650:O3713" si="344">IF(N3650="ON", _xlfn.IMAGE(E3650, 1), "")</f>
        <v/>
      </c>
    </row>
    <row r="3651" spans="7:15" x14ac:dyDescent="0.25">
      <c r="G3651" t="str">
        <f t="shared" si="342"/>
        <v/>
      </c>
      <c r="H3651" s="13" t="str">
        <f t="shared" ref="H3651:H3714" si="345">IF(ISBLANK(E3651),"",HYPERLINK(E3651,"Click here"))</f>
        <v/>
      </c>
      <c r="I3651" t="str">
        <f>IFERROR(INDEX(Analysis!$D$116:$N$137, MATCH(B3651, Analysis!$C$116:$C$137, 0), MATCH(C3651, Analysis!$D$115:$N$115, 0)), "")</f>
        <v/>
      </c>
      <c r="J3651" t="str">
        <f t="shared" ref="J3651:J3714" si="346">IF(ISBLANK(A3651),"",WEEKNUM(A3651))</f>
        <v/>
      </c>
      <c r="K3651" s="28" t="str">
        <f t="shared" si="343"/>
        <v/>
      </c>
      <c r="L3651" s="46" t="str">
        <f t="shared" ref="L3651:L3714" si="347">IF(A3651="", "", A3651 - INT(A3651))</f>
        <v/>
      </c>
      <c r="M3651" t="str" cm="1">
        <f t="array" ref="M3651">IF(L3651="","",_xlfn.IFS(
  AND(L3651&gt;=TIME(9,0,0), L3651&lt;TIME(16,0,0)),"Morning",
  AND(L3651&gt;=TIME(16,0,0), L3651&lt;TIME(23,59,0)),"Evening",
  L3651&gt;=TIME(23,59,0),"Night",
  L3651&lt;TIME(9,0,0),"Night"
))</f>
        <v/>
      </c>
      <c r="O3651" t="str">
        <f t="shared" si="344"/>
        <v/>
      </c>
    </row>
    <row r="3652" spans="7:15" x14ac:dyDescent="0.25">
      <c r="G3652" t="str">
        <f t="shared" si="342"/>
        <v/>
      </c>
      <c r="H3652" s="13" t="str">
        <f t="shared" si="345"/>
        <v/>
      </c>
      <c r="I3652" t="str">
        <f>IFERROR(INDEX(Analysis!$D$116:$N$137, MATCH(B3652, Analysis!$C$116:$C$137, 0), MATCH(C3652, Analysis!$D$115:$N$115, 0)), "")</f>
        <v/>
      </c>
      <c r="J3652" t="str">
        <f t="shared" si="346"/>
        <v/>
      </c>
      <c r="K3652" s="28" t="str">
        <f t="shared" si="343"/>
        <v/>
      </c>
      <c r="L3652" s="46" t="str">
        <f t="shared" si="347"/>
        <v/>
      </c>
      <c r="M3652" t="str" cm="1">
        <f t="array" ref="M3652">IF(L3652="","",_xlfn.IFS(
  AND(L3652&gt;=TIME(9,0,0), L3652&lt;TIME(16,0,0)),"Morning",
  AND(L3652&gt;=TIME(16,0,0), L3652&lt;TIME(23,59,0)),"Evening",
  L3652&gt;=TIME(23,59,0),"Night",
  L3652&lt;TIME(9,0,0),"Night"
))</f>
        <v/>
      </c>
      <c r="O3652" t="str">
        <f t="shared" si="344"/>
        <v/>
      </c>
    </row>
    <row r="3653" spans="7:15" x14ac:dyDescent="0.25">
      <c r="G3653" t="str">
        <f t="shared" si="342"/>
        <v/>
      </c>
      <c r="H3653" s="13" t="str">
        <f t="shared" si="345"/>
        <v/>
      </c>
      <c r="I3653" t="str">
        <f>IFERROR(INDEX(Analysis!$D$116:$N$137, MATCH(B3653, Analysis!$C$116:$C$137, 0), MATCH(C3653, Analysis!$D$115:$N$115, 0)), "")</f>
        <v/>
      </c>
      <c r="J3653" t="str">
        <f t="shared" si="346"/>
        <v/>
      </c>
      <c r="K3653" s="28" t="str">
        <f t="shared" si="343"/>
        <v/>
      </c>
      <c r="L3653" s="46" t="str">
        <f t="shared" si="347"/>
        <v/>
      </c>
      <c r="M3653" t="str" cm="1">
        <f t="array" ref="M3653">IF(L3653="","",_xlfn.IFS(
  AND(L3653&gt;=TIME(9,0,0), L3653&lt;TIME(16,0,0)),"Morning",
  AND(L3653&gt;=TIME(16,0,0), L3653&lt;TIME(23,59,0)),"Evening",
  L3653&gt;=TIME(23,59,0),"Night",
  L3653&lt;TIME(9,0,0),"Night"
))</f>
        <v/>
      </c>
      <c r="O3653" t="str">
        <f t="shared" si="344"/>
        <v/>
      </c>
    </row>
    <row r="3654" spans="7:15" x14ac:dyDescent="0.25">
      <c r="G3654" t="str">
        <f t="shared" si="342"/>
        <v/>
      </c>
      <c r="H3654" s="13" t="str">
        <f t="shared" si="345"/>
        <v/>
      </c>
      <c r="I3654" t="str">
        <f>IFERROR(INDEX(Analysis!$D$116:$N$137, MATCH(B3654, Analysis!$C$116:$C$137, 0), MATCH(C3654, Analysis!$D$115:$N$115, 0)), "")</f>
        <v/>
      </c>
      <c r="J3654" t="str">
        <f t="shared" si="346"/>
        <v/>
      </c>
      <c r="K3654" s="28" t="str">
        <f t="shared" si="343"/>
        <v/>
      </c>
      <c r="L3654" s="46" t="str">
        <f t="shared" si="347"/>
        <v/>
      </c>
      <c r="M3654" t="str" cm="1">
        <f t="array" ref="M3654">IF(L3654="","",_xlfn.IFS(
  AND(L3654&gt;=TIME(9,0,0), L3654&lt;TIME(16,0,0)),"Morning",
  AND(L3654&gt;=TIME(16,0,0), L3654&lt;TIME(23,59,0)),"Evening",
  L3654&gt;=TIME(23,59,0),"Night",
  L3654&lt;TIME(9,0,0),"Night"
))</f>
        <v/>
      </c>
      <c r="O3654" t="str">
        <f t="shared" si="344"/>
        <v/>
      </c>
    </row>
    <row r="3655" spans="7:15" x14ac:dyDescent="0.25">
      <c r="G3655" t="str">
        <f t="shared" si="342"/>
        <v/>
      </c>
      <c r="H3655" s="13" t="str">
        <f t="shared" si="345"/>
        <v/>
      </c>
      <c r="I3655" t="str">
        <f>IFERROR(INDEX(Analysis!$D$116:$N$137, MATCH(B3655, Analysis!$C$116:$C$137, 0), MATCH(C3655, Analysis!$D$115:$N$115, 0)), "")</f>
        <v/>
      </c>
      <c r="J3655" t="str">
        <f t="shared" si="346"/>
        <v/>
      </c>
      <c r="K3655" s="28" t="str">
        <f t="shared" si="343"/>
        <v/>
      </c>
      <c r="L3655" s="46" t="str">
        <f t="shared" si="347"/>
        <v/>
      </c>
      <c r="M3655" t="str" cm="1">
        <f t="array" ref="M3655">IF(L3655="","",_xlfn.IFS(
  AND(L3655&gt;=TIME(9,0,0), L3655&lt;TIME(16,0,0)),"Morning",
  AND(L3655&gt;=TIME(16,0,0), L3655&lt;TIME(23,59,0)),"Evening",
  L3655&gt;=TIME(23,59,0),"Night",
  L3655&lt;TIME(9,0,0),"Night"
))</f>
        <v/>
      </c>
      <c r="O3655" t="str">
        <f t="shared" si="344"/>
        <v/>
      </c>
    </row>
    <row r="3656" spans="7:15" x14ac:dyDescent="0.25">
      <c r="G3656" t="str">
        <f t="shared" si="342"/>
        <v/>
      </c>
      <c r="H3656" s="13" t="str">
        <f t="shared" si="345"/>
        <v/>
      </c>
      <c r="I3656" t="str">
        <f>IFERROR(INDEX(Analysis!$D$116:$N$137, MATCH(B3656, Analysis!$C$116:$C$137, 0), MATCH(C3656, Analysis!$D$115:$N$115, 0)), "")</f>
        <v/>
      </c>
      <c r="J3656" t="str">
        <f t="shared" si="346"/>
        <v/>
      </c>
      <c r="K3656" s="28" t="str">
        <f t="shared" si="343"/>
        <v/>
      </c>
      <c r="L3656" s="46" t="str">
        <f t="shared" si="347"/>
        <v/>
      </c>
      <c r="M3656" t="str" cm="1">
        <f t="array" ref="M3656">IF(L3656="","",_xlfn.IFS(
  AND(L3656&gt;=TIME(9,0,0), L3656&lt;TIME(16,0,0)),"Morning",
  AND(L3656&gt;=TIME(16,0,0), L3656&lt;TIME(23,59,0)),"Evening",
  L3656&gt;=TIME(23,59,0),"Night",
  L3656&lt;TIME(9,0,0),"Night"
))</f>
        <v/>
      </c>
      <c r="O3656" t="str">
        <f t="shared" si="344"/>
        <v/>
      </c>
    </row>
    <row r="3657" spans="7:15" x14ac:dyDescent="0.25">
      <c r="G3657" t="str">
        <f t="shared" si="342"/>
        <v/>
      </c>
      <c r="H3657" s="13" t="str">
        <f t="shared" si="345"/>
        <v/>
      </c>
      <c r="I3657" t="str">
        <f>IFERROR(INDEX(Analysis!$D$116:$N$137, MATCH(B3657, Analysis!$C$116:$C$137, 0), MATCH(C3657, Analysis!$D$115:$N$115, 0)), "")</f>
        <v/>
      </c>
      <c r="J3657" t="str">
        <f t="shared" si="346"/>
        <v/>
      </c>
      <c r="K3657" s="28" t="str">
        <f t="shared" si="343"/>
        <v/>
      </c>
      <c r="L3657" s="46" t="str">
        <f t="shared" si="347"/>
        <v/>
      </c>
      <c r="M3657" t="str" cm="1">
        <f t="array" ref="M3657">IF(L3657="","",_xlfn.IFS(
  AND(L3657&gt;=TIME(9,0,0), L3657&lt;TIME(16,0,0)),"Morning",
  AND(L3657&gt;=TIME(16,0,0), L3657&lt;TIME(23,59,0)),"Evening",
  L3657&gt;=TIME(23,59,0),"Night",
  L3657&lt;TIME(9,0,0),"Night"
))</f>
        <v/>
      </c>
      <c r="O3657" t="str">
        <f t="shared" si="344"/>
        <v/>
      </c>
    </row>
    <row r="3658" spans="7:15" x14ac:dyDescent="0.25">
      <c r="G3658" t="str">
        <f t="shared" si="342"/>
        <v/>
      </c>
      <c r="H3658" s="13" t="str">
        <f t="shared" si="345"/>
        <v/>
      </c>
      <c r="I3658" t="str">
        <f>IFERROR(INDEX(Analysis!$D$116:$N$137, MATCH(B3658, Analysis!$C$116:$C$137, 0), MATCH(C3658, Analysis!$D$115:$N$115, 0)), "")</f>
        <v/>
      </c>
      <c r="J3658" t="str">
        <f t="shared" si="346"/>
        <v/>
      </c>
      <c r="K3658" s="28" t="str">
        <f t="shared" si="343"/>
        <v/>
      </c>
      <c r="L3658" s="46" t="str">
        <f t="shared" si="347"/>
        <v/>
      </c>
      <c r="M3658" t="str" cm="1">
        <f t="array" ref="M3658">IF(L3658="","",_xlfn.IFS(
  AND(L3658&gt;=TIME(9,0,0), L3658&lt;TIME(16,0,0)),"Morning",
  AND(L3658&gt;=TIME(16,0,0), L3658&lt;TIME(23,59,0)),"Evening",
  L3658&gt;=TIME(23,59,0),"Night",
  L3658&lt;TIME(9,0,0),"Night"
))</f>
        <v/>
      </c>
      <c r="O3658" t="str">
        <f t="shared" si="344"/>
        <v/>
      </c>
    </row>
    <row r="3659" spans="7:15" x14ac:dyDescent="0.25">
      <c r="G3659" t="str">
        <f t="shared" si="342"/>
        <v/>
      </c>
      <c r="H3659" s="13" t="str">
        <f t="shared" si="345"/>
        <v/>
      </c>
      <c r="I3659" t="str">
        <f>IFERROR(INDEX(Analysis!$D$116:$N$137, MATCH(B3659, Analysis!$C$116:$C$137, 0), MATCH(C3659, Analysis!$D$115:$N$115, 0)), "")</f>
        <v/>
      </c>
      <c r="J3659" t="str">
        <f t="shared" si="346"/>
        <v/>
      </c>
      <c r="K3659" s="28" t="str">
        <f t="shared" si="343"/>
        <v/>
      </c>
      <c r="L3659" s="46" t="str">
        <f t="shared" si="347"/>
        <v/>
      </c>
      <c r="M3659" t="str" cm="1">
        <f t="array" ref="M3659">IF(L3659="","",_xlfn.IFS(
  AND(L3659&gt;=TIME(9,0,0), L3659&lt;TIME(16,0,0)),"Morning",
  AND(L3659&gt;=TIME(16,0,0), L3659&lt;TIME(23,59,0)),"Evening",
  L3659&gt;=TIME(23,59,0),"Night",
  L3659&lt;TIME(9,0,0),"Night"
))</f>
        <v/>
      </c>
      <c r="O3659" t="str">
        <f t="shared" si="344"/>
        <v/>
      </c>
    </row>
    <row r="3660" spans="7:15" x14ac:dyDescent="0.25">
      <c r="G3660" t="str">
        <f t="shared" si="342"/>
        <v/>
      </c>
      <c r="H3660" s="13" t="str">
        <f t="shared" si="345"/>
        <v/>
      </c>
      <c r="I3660" t="str">
        <f>IFERROR(INDEX(Analysis!$D$116:$N$137, MATCH(B3660, Analysis!$C$116:$C$137, 0), MATCH(C3660, Analysis!$D$115:$N$115, 0)), "")</f>
        <v/>
      </c>
      <c r="J3660" t="str">
        <f t="shared" si="346"/>
        <v/>
      </c>
      <c r="K3660" s="28" t="str">
        <f t="shared" si="343"/>
        <v/>
      </c>
      <c r="L3660" s="46" t="str">
        <f t="shared" si="347"/>
        <v/>
      </c>
      <c r="M3660" t="str" cm="1">
        <f t="array" ref="M3660">IF(L3660="","",_xlfn.IFS(
  AND(L3660&gt;=TIME(9,0,0), L3660&lt;TIME(16,0,0)),"Morning",
  AND(L3660&gt;=TIME(16,0,0), L3660&lt;TIME(23,59,0)),"Evening",
  L3660&gt;=TIME(23,59,0),"Night",
  L3660&lt;TIME(9,0,0),"Night"
))</f>
        <v/>
      </c>
      <c r="O3660" t="str">
        <f t="shared" si="344"/>
        <v/>
      </c>
    </row>
    <row r="3661" spans="7:15" x14ac:dyDescent="0.25">
      <c r="G3661" t="str">
        <f t="shared" si="342"/>
        <v/>
      </c>
      <c r="H3661" s="13" t="str">
        <f t="shared" si="345"/>
        <v/>
      </c>
      <c r="I3661" t="str">
        <f>IFERROR(INDEX(Analysis!$D$116:$N$137, MATCH(B3661, Analysis!$C$116:$C$137, 0), MATCH(C3661, Analysis!$D$115:$N$115, 0)), "")</f>
        <v/>
      </c>
      <c r="J3661" t="str">
        <f t="shared" si="346"/>
        <v/>
      </c>
      <c r="K3661" s="28" t="str">
        <f t="shared" si="343"/>
        <v/>
      </c>
      <c r="L3661" s="46" t="str">
        <f t="shared" si="347"/>
        <v/>
      </c>
      <c r="M3661" t="str" cm="1">
        <f t="array" ref="M3661">IF(L3661="","",_xlfn.IFS(
  AND(L3661&gt;=TIME(9,0,0), L3661&lt;TIME(16,0,0)),"Morning",
  AND(L3661&gt;=TIME(16,0,0), L3661&lt;TIME(23,59,0)),"Evening",
  L3661&gt;=TIME(23,59,0),"Night",
  L3661&lt;TIME(9,0,0),"Night"
))</f>
        <v/>
      </c>
      <c r="O3661" t="str">
        <f t="shared" si="344"/>
        <v/>
      </c>
    </row>
    <row r="3662" spans="7:15" x14ac:dyDescent="0.25">
      <c r="G3662" t="str">
        <f t="shared" si="342"/>
        <v/>
      </c>
      <c r="H3662" s="13" t="str">
        <f t="shared" si="345"/>
        <v/>
      </c>
      <c r="I3662" t="str">
        <f>IFERROR(INDEX(Analysis!$D$116:$N$137, MATCH(B3662, Analysis!$C$116:$C$137, 0), MATCH(C3662, Analysis!$D$115:$N$115, 0)), "")</f>
        <v/>
      </c>
      <c r="J3662" t="str">
        <f t="shared" si="346"/>
        <v/>
      </c>
      <c r="K3662" s="28" t="str">
        <f t="shared" si="343"/>
        <v/>
      </c>
      <c r="L3662" s="46" t="str">
        <f t="shared" si="347"/>
        <v/>
      </c>
      <c r="M3662" t="str" cm="1">
        <f t="array" ref="M3662">IF(L3662="","",_xlfn.IFS(
  AND(L3662&gt;=TIME(9,0,0), L3662&lt;TIME(16,0,0)),"Morning",
  AND(L3662&gt;=TIME(16,0,0), L3662&lt;TIME(23,59,0)),"Evening",
  L3662&gt;=TIME(23,59,0),"Night",
  L3662&lt;TIME(9,0,0),"Night"
))</f>
        <v/>
      </c>
      <c r="O3662" t="str">
        <f t="shared" si="344"/>
        <v/>
      </c>
    </row>
    <row r="3663" spans="7:15" x14ac:dyDescent="0.25">
      <c r="G3663" t="str">
        <f t="shared" si="342"/>
        <v/>
      </c>
      <c r="H3663" s="13" t="str">
        <f t="shared" si="345"/>
        <v/>
      </c>
      <c r="I3663" t="str">
        <f>IFERROR(INDEX(Analysis!$D$116:$N$137, MATCH(B3663, Analysis!$C$116:$C$137, 0), MATCH(C3663, Analysis!$D$115:$N$115, 0)), "")</f>
        <v/>
      </c>
      <c r="J3663" t="str">
        <f t="shared" si="346"/>
        <v/>
      </c>
      <c r="K3663" s="28" t="str">
        <f t="shared" si="343"/>
        <v/>
      </c>
      <c r="L3663" s="46" t="str">
        <f t="shared" si="347"/>
        <v/>
      </c>
      <c r="M3663" t="str" cm="1">
        <f t="array" ref="M3663">IF(L3663="","",_xlfn.IFS(
  AND(L3663&gt;=TIME(9,0,0), L3663&lt;TIME(16,0,0)),"Morning",
  AND(L3663&gt;=TIME(16,0,0), L3663&lt;TIME(23,59,0)),"Evening",
  L3663&gt;=TIME(23,59,0),"Night",
  L3663&lt;TIME(9,0,0),"Night"
))</f>
        <v/>
      </c>
      <c r="O3663" t="str">
        <f t="shared" si="344"/>
        <v/>
      </c>
    </row>
    <row r="3664" spans="7:15" x14ac:dyDescent="0.25">
      <c r="G3664" t="str">
        <f t="shared" si="342"/>
        <v/>
      </c>
      <c r="H3664" s="13" t="str">
        <f t="shared" si="345"/>
        <v/>
      </c>
      <c r="I3664" t="str">
        <f>IFERROR(INDEX(Analysis!$D$116:$N$137, MATCH(B3664, Analysis!$C$116:$C$137, 0), MATCH(C3664, Analysis!$D$115:$N$115, 0)), "")</f>
        <v/>
      </c>
      <c r="J3664" t="str">
        <f t="shared" si="346"/>
        <v/>
      </c>
      <c r="K3664" s="28" t="str">
        <f t="shared" si="343"/>
        <v/>
      </c>
      <c r="L3664" s="46" t="str">
        <f t="shared" si="347"/>
        <v/>
      </c>
      <c r="M3664" t="str" cm="1">
        <f t="array" ref="M3664">IF(L3664="","",_xlfn.IFS(
  AND(L3664&gt;=TIME(9,0,0), L3664&lt;TIME(16,0,0)),"Morning",
  AND(L3664&gt;=TIME(16,0,0), L3664&lt;TIME(23,59,0)),"Evening",
  L3664&gt;=TIME(23,59,0),"Night",
  L3664&lt;TIME(9,0,0),"Night"
))</f>
        <v/>
      </c>
      <c r="O3664" t="str">
        <f t="shared" si="344"/>
        <v/>
      </c>
    </row>
    <row r="3665" spans="7:15" x14ac:dyDescent="0.25">
      <c r="G3665" t="str">
        <f t="shared" si="342"/>
        <v/>
      </c>
      <c r="H3665" s="13" t="str">
        <f t="shared" si="345"/>
        <v/>
      </c>
      <c r="I3665" t="str">
        <f>IFERROR(INDEX(Analysis!$D$116:$N$137, MATCH(B3665, Analysis!$C$116:$C$137, 0), MATCH(C3665, Analysis!$D$115:$N$115, 0)), "")</f>
        <v/>
      </c>
      <c r="J3665" t="str">
        <f t="shared" si="346"/>
        <v/>
      </c>
      <c r="K3665" s="28" t="str">
        <f t="shared" si="343"/>
        <v/>
      </c>
      <c r="L3665" s="46" t="str">
        <f t="shared" si="347"/>
        <v/>
      </c>
      <c r="M3665" t="str" cm="1">
        <f t="array" ref="M3665">IF(L3665="","",_xlfn.IFS(
  AND(L3665&gt;=TIME(9,0,0), L3665&lt;TIME(16,0,0)),"Morning",
  AND(L3665&gt;=TIME(16,0,0), L3665&lt;TIME(23,59,0)),"Evening",
  L3665&gt;=TIME(23,59,0),"Night",
  L3665&lt;TIME(9,0,0),"Night"
))</f>
        <v/>
      </c>
      <c r="O3665" t="str">
        <f t="shared" si="344"/>
        <v/>
      </c>
    </row>
    <row r="3666" spans="7:15" x14ac:dyDescent="0.25">
      <c r="G3666" t="str">
        <f t="shared" si="342"/>
        <v/>
      </c>
      <c r="H3666" s="13" t="str">
        <f t="shared" si="345"/>
        <v/>
      </c>
      <c r="I3666" t="str">
        <f>IFERROR(INDEX(Analysis!$D$116:$N$137, MATCH(B3666, Analysis!$C$116:$C$137, 0), MATCH(C3666, Analysis!$D$115:$N$115, 0)), "")</f>
        <v/>
      </c>
      <c r="J3666" t="str">
        <f t="shared" si="346"/>
        <v/>
      </c>
      <c r="K3666" s="28" t="str">
        <f t="shared" si="343"/>
        <v/>
      </c>
      <c r="L3666" s="46" t="str">
        <f t="shared" si="347"/>
        <v/>
      </c>
      <c r="M3666" t="str" cm="1">
        <f t="array" ref="M3666">IF(L3666="","",_xlfn.IFS(
  AND(L3666&gt;=TIME(9,0,0), L3666&lt;TIME(16,0,0)),"Morning",
  AND(L3666&gt;=TIME(16,0,0), L3666&lt;TIME(23,59,0)),"Evening",
  L3666&gt;=TIME(23,59,0),"Night",
  L3666&lt;TIME(9,0,0),"Night"
))</f>
        <v/>
      </c>
      <c r="O3666" t="str">
        <f t="shared" si="344"/>
        <v/>
      </c>
    </row>
    <row r="3667" spans="7:15" x14ac:dyDescent="0.25">
      <c r="G3667" t="str">
        <f t="shared" si="342"/>
        <v/>
      </c>
      <c r="H3667" s="13" t="str">
        <f t="shared" si="345"/>
        <v/>
      </c>
      <c r="I3667" t="str">
        <f>IFERROR(INDEX(Analysis!$D$116:$N$137, MATCH(B3667, Analysis!$C$116:$C$137, 0), MATCH(C3667, Analysis!$D$115:$N$115, 0)), "")</f>
        <v/>
      </c>
      <c r="J3667" t="str">
        <f t="shared" si="346"/>
        <v/>
      </c>
      <c r="K3667" s="28" t="str">
        <f t="shared" si="343"/>
        <v/>
      </c>
      <c r="L3667" s="46" t="str">
        <f t="shared" si="347"/>
        <v/>
      </c>
      <c r="M3667" t="str" cm="1">
        <f t="array" ref="M3667">IF(L3667="","",_xlfn.IFS(
  AND(L3667&gt;=TIME(9,0,0), L3667&lt;TIME(16,0,0)),"Morning",
  AND(L3667&gt;=TIME(16,0,0), L3667&lt;TIME(23,59,0)),"Evening",
  L3667&gt;=TIME(23,59,0),"Night",
  L3667&lt;TIME(9,0,0),"Night"
))</f>
        <v/>
      </c>
      <c r="O3667" t="str">
        <f t="shared" si="344"/>
        <v/>
      </c>
    </row>
    <row r="3668" spans="7:15" x14ac:dyDescent="0.25">
      <c r="G3668" t="str">
        <f t="shared" si="342"/>
        <v/>
      </c>
      <c r="H3668" s="13" t="str">
        <f t="shared" si="345"/>
        <v/>
      </c>
      <c r="I3668" t="str">
        <f>IFERROR(INDEX(Analysis!$D$116:$N$137, MATCH(B3668, Analysis!$C$116:$C$137, 0), MATCH(C3668, Analysis!$D$115:$N$115, 0)), "")</f>
        <v/>
      </c>
      <c r="J3668" t="str">
        <f t="shared" si="346"/>
        <v/>
      </c>
      <c r="K3668" s="28" t="str">
        <f t="shared" si="343"/>
        <v/>
      </c>
      <c r="L3668" s="46" t="str">
        <f t="shared" si="347"/>
        <v/>
      </c>
      <c r="M3668" t="str" cm="1">
        <f t="array" ref="M3668">IF(L3668="","",_xlfn.IFS(
  AND(L3668&gt;=TIME(9,0,0), L3668&lt;TIME(16,0,0)),"Morning",
  AND(L3668&gt;=TIME(16,0,0), L3668&lt;TIME(23,59,0)),"Evening",
  L3668&gt;=TIME(23,59,0),"Night",
  L3668&lt;TIME(9,0,0),"Night"
))</f>
        <v/>
      </c>
      <c r="O3668" t="str">
        <f t="shared" si="344"/>
        <v/>
      </c>
    </row>
    <row r="3669" spans="7:15" x14ac:dyDescent="0.25">
      <c r="G3669" t="str">
        <f t="shared" si="342"/>
        <v/>
      </c>
      <c r="H3669" s="13" t="str">
        <f t="shared" si="345"/>
        <v/>
      </c>
      <c r="I3669" t="str">
        <f>IFERROR(INDEX(Analysis!$D$116:$N$137, MATCH(B3669, Analysis!$C$116:$C$137, 0), MATCH(C3669, Analysis!$D$115:$N$115, 0)), "")</f>
        <v/>
      </c>
      <c r="J3669" t="str">
        <f t="shared" si="346"/>
        <v/>
      </c>
      <c r="K3669" s="28" t="str">
        <f t="shared" si="343"/>
        <v/>
      </c>
      <c r="L3669" s="46" t="str">
        <f t="shared" si="347"/>
        <v/>
      </c>
      <c r="M3669" t="str" cm="1">
        <f t="array" ref="M3669">IF(L3669="","",_xlfn.IFS(
  AND(L3669&gt;=TIME(9,0,0), L3669&lt;TIME(16,0,0)),"Morning",
  AND(L3669&gt;=TIME(16,0,0), L3669&lt;TIME(23,59,0)),"Evening",
  L3669&gt;=TIME(23,59,0),"Night",
  L3669&lt;TIME(9,0,0),"Night"
))</f>
        <v/>
      </c>
      <c r="O3669" t="str">
        <f t="shared" si="344"/>
        <v/>
      </c>
    </row>
    <row r="3670" spans="7:15" x14ac:dyDescent="0.25">
      <c r="G3670" t="str">
        <f t="shared" si="342"/>
        <v/>
      </c>
      <c r="H3670" s="13" t="str">
        <f t="shared" si="345"/>
        <v/>
      </c>
      <c r="I3670" t="str">
        <f>IFERROR(INDEX(Analysis!$D$116:$N$137, MATCH(B3670, Analysis!$C$116:$C$137, 0), MATCH(C3670, Analysis!$D$115:$N$115, 0)), "")</f>
        <v/>
      </c>
      <c r="J3670" t="str">
        <f t="shared" si="346"/>
        <v/>
      </c>
      <c r="K3670" s="28" t="str">
        <f t="shared" si="343"/>
        <v/>
      </c>
      <c r="L3670" s="46" t="str">
        <f t="shared" si="347"/>
        <v/>
      </c>
      <c r="M3670" t="str" cm="1">
        <f t="array" ref="M3670">IF(L3670="","",_xlfn.IFS(
  AND(L3670&gt;=TIME(9,0,0), L3670&lt;TIME(16,0,0)),"Morning",
  AND(L3670&gt;=TIME(16,0,0), L3670&lt;TIME(23,59,0)),"Evening",
  L3670&gt;=TIME(23,59,0),"Night",
  L3670&lt;TIME(9,0,0),"Night"
))</f>
        <v/>
      </c>
      <c r="O3670" t="str">
        <f t="shared" si="344"/>
        <v/>
      </c>
    </row>
    <row r="3671" spans="7:15" x14ac:dyDescent="0.25">
      <c r="G3671" t="str">
        <f t="shared" si="342"/>
        <v/>
      </c>
      <c r="H3671" s="13" t="str">
        <f t="shared" si="345"/>
        <v/>
      </c>
      <c r="I3671" t="str">
        <f>IFERROR(INDEX(Analysis!$D$116:$N$137, MATCH(B3671, Analysis!$C$116:$C$137, 0), MATCH(C3671, Analysis!$D$115:$N$115, 0)), "")</f>
        <v/>
      </c>
      <c r="J3671" t="str">
        <f t="shared" si="346"/>
        <v/>
      </c>
      <c r="K3671" s="28" t="str">
        <f t="shared" si="343"/>
        <v/>
      </c>
      <c r="L3671" s="46" t="str">
        <f t="shared" si="347"/>
        <v/>
      </c>
      <c r="M3671" t="str" cm="1">
        <f t="array" ref="M3671">IF(L3671="","",_xlfn.IFS(
  AND(L3671&gt;=TIME(9,0,0), L3671&lt;TIME(16,0,0)),"Morning",
  AND(L3671&gt;=TIME(16,0,0), L3671&lt;TIME(23,59,0)),"Evening",
  L3671&gt;=TIME(23,59,0),"Night",
  L3671&lt;TIME(9,0,0),"Night"
))</f>
        <v/>
      </c>
      <c r="O3671" t="str">
        <f t="shared" si="344"/>
        <v/>
      </c>
    </row>
    <row r="3672" spans="7:15" x14ac:dyDescent="0.25">
      <c r="G3672" t="str">
        <f t="shared" si="342"/>
        <v/>
      </c>
      <c r="H3672" s="13" t="str">
        <f t="shared" si="345"/>
        <v/>
      </c>
      <c r="I3672" t="str">
        <f>IFERROR(INDEX(Analysis!$D$116:$N$137, MATCH(B3672, Analysis!$C$116:$C$137, 0), MATCH(C3672, Analysis!$D$115:$N$115, 0)), "")</f>
        <v/>
      </c>
      <c r="J3672" t="str">
        <f t="shared" si="346"/>
        <v/>
      </c>
      <c r="K3672" s="28" t="str">
        <f t="shared" si="343"/>
        <v/>
      </c>
      <c r="L3672" s="46" t="str">
        <f t="shared" si="347"/>
        <v/>
      </c>
      <c r="M3672" t="str" cm="1">
        <f t="array" ref="M3672">IF(L3672="","",_xlfn.IFS(
  AND(L3672&gt;=TIME(9,0,0), L3672&lt;TIME(16,0,0)),"Morning",
  AND(L3672&gt;=TIME(16,0,0), L3672&lt;TIME(23,59,0)),"Evening",
  L3672&gt;=TIME(23,59,0),"Night",
  L3672&lt;TIME(9,0,0),"Night"
))</f>
        <v/>
      </c>
      <c r="O3672" t="str">
        <f t="shared" si="344"/>
        <v/>
      </c>
    </row>
    <row r="3673" spans="7:15" x14ac:dyDescent="0.25">
      <c r="G3673" t="str">
        <f t="shared" si="342"/>
        <v/>
      </c>
      <c r="H3673" s="13" t="str">
        <f t="shared" si="345"/>
        <v/>
      </c>
      <c r="I3673" t="str">
        <f>IFERROR(INDEX(Analysis!$D$116:$N$137, MATCH(B3673, Analysis!$C$116:$C$137, 0), MATCH(C3673, Analysis!$D$115:$N$115, 0)), "")</f>
        <v/>
      </c>
      <c r="J3673" t="str">
        <f t="shared" si="346"/>
        <v/>
      </c>
      <c r="K3673" s="28" t="str">
        <f t="shared" si="343"/>
        <v/>
      </c>
      <c r="L3673" s="46" t="str">
        <f t="shared" si="347"/>
        <v/>
      </c>
      <c r="M3673" t="str" cm="1">
        <f t="array" ref="M3673">IF(L3673="","",_xlfn.IFS(
  AND(L3673&gt;=TIME(9,0,0), L3673&lt;TIME(16,0,0)),"Morning",
  AND(L3673&gt;=TIME(16,0,0), L3673&lt;TIME(23,59,0)),"Evening",
  L3673&gt;=TIME(23,59,0),"Night",
  L3673&lt;TIME(9,0,0),"Night"
))</f>
        <v/>
      </c>
      <c r="O3673" t="str">
        <f t="shared" si="344"/>
        <v/>
      </c>
    </row>
    <row r="3674" spans="7:15" x14ac:dyDescent="0.25">
      <c r="G3674" t="str">
        <f t="shared" si="342"/>
        <v/>
      </c>
      <c r="H3674" s="13" t="str">
        <f t="shared" si="345"/>
        <v/>
      </c>
      <c r="I3674" t="str">
        <f>IFERROR(INDEX(Analysis!$D$116:$N$137, MATCH(B3674, Analysis!$C$116:$C$137, 0), MATCH(C3674, Analysis!$D$115:$N$115, 0)), "")</f>
        <v/>
      </c>
      <c r="J3674" t="str">
        <f t="shared" si="346"/>
        <v/>
      </c>
      <c r="K3674" s="28" t="str">
        <f t="shared" si="343"/>
        <v/>
      </c>
      <c r="L3674" s="46" t="str">
        <f t="shared" si="347"/>
        <v/>
      </c>
      <c r="M3674" t="str" cm="1">
        <f t="array" ref="M3674">IF(L3674="","",_xlfn.IFS(
  AND(L3674&gt;=TIME(9,0,0), L3674&lt;TIME(16,0,0)),"Morning",
  AND(L3674&gt;=TIME(16,0,0), L3674&lt;TIME(23,59,0)),"Evening",
  L3674&gt;=TIME(23,59,0),"Night",
  L3674&lt;TIME(9,0,0),"Night"
))</f>
        <v/>
      </c>
      <c r="O3674" t="str">
        <f t="shared" si="344"/>
        <v/>
      </c>
    </row>
    <row r="3675" spans="7:15" x14ac:dyDescent="0.25">
      <c r="G3675" t="str">
        <f t="shared" si="342"/>
        <v/>
      </c>
      <c r="H3675" s="13" t="str">
        <f t="shared" si="345"/>
        <v/>
      </c>
      <c r="I3675" t="str">
        <f>IFERROR(INDEX(Analysis!$D$116:$N$137, MATCH(B3675, Analysis!$C$116:$C$137, 0), MATCH(C3675, Analysis!$D$115:$N$115, 0)), "")</f>
        <v/>
      </c>
      <c r="J3675" t="str">
        <f t="shared" si="346"/>
        <v/>
      </c>
      <c r="K3675" s="28" t="str">
        <f t="shared" si="343"/>
        <v/>
      </c>
      <c r="L3675" s="46" t="str">
        <f t="shared" si="347"/>
        <v/>
      </c>
      <c r="M3675" t="str" cm="1">
        <f t="array" ref="M3675">IF(L3675="","",_xlfn.IFS(
  AND(L3675&gt;=TIME(9,0,0), L3675&lt;TIME(16,0,0)),"Morning",
  AND(L3675&gt;=TIME(16,0,0), L3675&lt;TIME(23,59,0)),"Evening",
  L3675&gt;=TIME(23,59,0),"Night",
  L3675&lt;TIME(9,0,0),"Night"
))</f>
        <v/>
      </c>
      <c r="O3675" t="str">
        <f t="shared" si="344"/>
        <v/>
      </c>
    </row>
    <row r="3676" spans="7:15" x14ac:dyDescent="0.25">
      <c r="G3676" t="str">
        <f t="shared" si="342"/>
        <v/>
      </c>
      <c r="H3676" s="13" t="str">
        <f t="shared" si="345"/>
        <v/>
      </c>
      <c r="I3676" t="str">
        <f>IFERROR(INDEX(Analysis!$D$116:$N$137, MATCH(B3676, Analysis!$C$116:$C$137, 0), MATCH(C3676, Analysis!$D$115:$N$115, 0)), "")</f>
        <v/>
      </c>
      <c r="J3676" t="str">
        <f t="shared" si="346"/>
        <v/>
      </c>
      <c r="K3676" s="28" t="str">
        <f t="shared" si="343"/>
        <v/>
      </c>
      <c r="L3676" s="46" t="str">
        <f t="shared" si="347"/>
        <v/>
      </c>
      <c r="M3676" t="str" cm="1">
        <f t="array" ref="M3676">IF(L3676="","",_xlfn.IFS(
  AND(L3676&gt;=TIME(9,0,0), L3676&lt;TIME(16,0,0)),"Morning",
  AND(L3676&gt;=TIME(16,0,0), L3676&lt;TIME(23,59,0)),"Evening",
  L3676&gt;=TIME(23,59,0),"Night",
  L3676&lt;TIME(9,0,0),"Night"
))</f>
        <v/>
      </c>
      <c r="O3676" t="str">
        <f t="shared" si="344"/>
        <v/>
      </c>
    </row>
    <row r="3677" spans="7:15" x14ac:dyDescent="0.25">
      <c r="G3677" t="str">
        <f t="shared" si="342"/>
        <v/>
      </c>
      <c r="H3677" s="13" t="str">
        <f t="shared" si="345"/>
        <v/>
      </c>
      <c r="I3677" t="str">
        <f>IFERROR(INDEX(Analysis!$D$116:$N$137, MATCH(B3677, Analysis!$C$116:$C$137, 0), MATCH(C3677, Analysis!$D$115:$N$115, 0)), "")</f>
        <v/>
      </c>
      <c r="J3677" t="str">
        <f t="shared" si="346"/>
        <v/>
      </c>
      <c r="K3677" s="28" t="str">
        <f t="shared" si="343"/>
        <v/>
      </c>
      <c r="L3677" s="46" t="str">
        <f t="shared" si="347"/>
        <v/>
      </c>
      <c r="M3677" t="str" cm="1">
        <f t="array" ref="M3677">IF(L3677="","",_xlfn.IFS(
  AND(L3677&gt;=TIME(9,0,0), L3677&lt;TIME(16,0,0)),"Morning",
  AND(L3677&gt;=TIME(16,0,0), L3677&lt;TIME(23,59,0)),"Evening",
  L3677&gt;=TIME(23,59,0),"Night",
  L3677&lt;TIME(9,0,0),"Night"
))</f>
        <v/>
      </c>
      <c r="O3677" t="str">
        <f t="shared" si="344"/>
        <v/>
      </c>
    </row>
    <row r="3678" spans="7:15" x14ac:dyDescent="0.25">
      <c r="G3678" t="str">
        <f t="shared" si="342"/>
        <v/>
      </c>
      <c r="H3678" s="13" t="str">
        <f t="shared" si="345"/>
        <v/>
      </c>
      <c r="I3678" t="str">
        <f>IFERROR(INDEX(Analysis!$D$116:$N$137, MATCH(B3678, Analysis!$C$116:$C$137, 0), MATCH(C3678, Analysis!$D$115:$N$115, 0)), "")</f>
        <v/>
      </c>
      <c r="J3678" t="str">
        <f t="shared" si="346"/>
        <v/>
      </c>
      <c r="K3678" s="28" t="str">
        <f t="shared" si="343"/>
        <v/>
      </c>
      <c r="L3678" s="46" t="str">
        <f t="shared" si="347"/>
        <v/>
      </c>
      <c r="M3678" t="str" cm="1">
        <f t="array" ref="M3678">IF(L3678="","",_xlfn.IFS(
  AND(L3678&gt;=TIME(9,0,0), L3678&lt;TIME(16,0,0)),"Morning",
  AND(L3678&gt;=TIME(16,0,0), L3678&lt;TIME(23,59,0)),"Evening",
  L3678&gt;=TIME(23,59,0),"Night",
  L3678&lt;TIME(9,0,0),"Night"
))</f>
        <v/>
      </c>
      <c r="O3678" t="str">
        <f t="shared" si="344"/>
        <v/>
      </c>
    </row>
    <row r="3679" spans="7:15" x14ac:dyDescent="0.25">
      <c r="G3679" t="str">
        <f t="shared" si="342"/>
        <v/>
      </c>
      <c r="H3679" s="13" t="str">
        <f t="shared" si="345"/>
        <v/>
      </c>
      <c r="I3679" t="str">
        <f>IFERROR(INDEX(Analysis!$D$116:$N$137, MATCH(B3679, Analysis!$C$116:$C$137, 0), MATCH(C3679, Analysis!$D$115:$N$115, 0)), "")</f>
        <v/>
      </c>
      <c r="J3679" t="str">
        <f t="shared" si="346"/>
        <v/>
      </c>
      <c r="K3679" s="28" t="str">
        <f t="shared" si="343"/>
        <v/>
      </c>
      <c r="L3679" s="46" t="str">
        <f t="shared" si="347"/>
        <v/>
      </c>
      <c r="M3679" t="str" cm="1">
        <f t="array" ref="M3679">IF(L3679="","",_xlfn.IFS(
  AND(L3679&gt;=TIME(9,0,0), L3679&lt;TIME(16,0,0)),"Morning",
  AND(L3679&gt;=TIME(16,0,0), L3679&lt;TIME(23,59,0)),"Evening",
  L3679&gt;=TIME(23,59,0),"Night",
  L3679&lt;TIME(9,0,0),"Night"
))</f>
        <v/>
      </c>
      <c r="O3679" t="str">
        <f t="shared" si="344"/>
        <v/>
      </c>
    </row>
    <row r="3680" spans="7:15" x14ac:dyDescent="0.25">
      <c r="G3680" t="str">
        <f t="shared" si="342"/>
        <v/>
      </c>
      <c r="H3680" s="13" t="str">
        <f t="shared" si="345"/>
        <v/>
      </c>
      <c r="I3680" t="str">
        <f>IFERROR(INDEX(Analysis!$D$116:$N$137, MATCH(B3680, Analysis!$C$116:$C$137, 0), MATCH(C3680, Analysis!$D$115:$N$115, 0)), "")</f>
        <v/>
      </c>
      <c r="J3680" t="str">
        <f t="shared" si="346"/>
        <v/>
      </c>
      <c r="K3680" s="28" t="str">
        <f t="shared" si="343"/>
        <v/>
      </c>
      <c r="L3680" s="46" t="str">
        <f t="shared" si="347"/>
        <v/>
      </c>
      <c r="M3680" t="str" cm="1">
        <f t="array" ref="M3680">IF(L3680="","",_xlfn.IFS(
  AND(L3680&gt;=TIME(9,0,0), L3680&lt;TIME(16,0,0)),"Morning",
  AND(L3680&gt;=TIME(16,0,0), L3680&lt;TIME(23,59,0)),"Evening",
  L3680&gt;=TIME(23,59,0),"Night",
  L3680&lt;TIME(9,0,0),"Night"
))</f>
        <v/>
      </c>
      <c r="O3680" t="str">
        <f t="shared" si="344"/>
        <v/>
      </c>
    </row>
    <row r="3681" spans="7:15" x14ac:dyDescent="0.25">
      <c r="G3681" t="str">
        <f t="shared" si="342"/>
        <v/>
      </c>
      <c r="H3681" s="13" t="str">
        <f t="shared" si="345"/>
        <v/>
      </c>
      <c r="I3681" t="str">
        <f>IFERROR(INDEX(Analysis!$D$116:$N$137, MATCH(B3681, Analysis!$C$116:$C$137, 0), MATCH(C3681, Analysis!$D$115:$N$115, 0)), "")</f>
        <v/>
      </c>
      <c r="J3681" t="str">
        <f t="shared" si="346"/>
        <v/>
      </c>
      <c r="K3681" s="28" t="str">
        <f t="shared" si="343"/>
        <v/>
      </c>
      <c r="L3681" s="46" t="str">
        <f t="shared" si="347"/>
        <v/>
      </c>
      <c r="M3681" t="str" cm="1">
        <f t="array" ref="M3681">IF(L3681="","",_xlfn.IFS(
  AND(L3681&gt;=TIME(9,0,0), L3681&lt;TIME(16,0,0)),"Morning",
  AND(L3681&gt;=TIME(16,0,0), L3681&lt;TIME(23,59,0)),"Evening",
  L3681&gt;=TIME(23,59,0),"Night",
  L3681&lt;TIME(9,0,0),"Night"
))</f>
        <v/>
      </c>
      <c r="O3681" t="str">
        <f t="shared" si="344"/>
        <v/>
      </c>
    </row>
    <row r="3682" spans="7:15" x14ac:dyDescent="0.25">
      <c r="G3682" t="str">
        <f t="shared" si="342"/>
        <v/>
      </c>
      <c r="H3682" s="13" t="str">
        <f t="shared" si="345"/>
        <v/>
      </c>
      <c r="I3682" t="str">
        <f>IFERROR(INDEX(Analysis!$D$116:$N$137, MATCH(B3682, Analysis!$C$116:$C$137, 0), MATCH(C3682, Analysis!$D$115:$N$115, 0)), "")</f>
        <v/>
      </c>
      <c r="J3682" t="str">
        <f t="shared" si="346"/>
        <v/>
      </c>
      <c r="K3682" s="28" t="str">
        <f t="shared" si="343"/>
        <v/>
      </c>
      <c r="L3682" s="46" t="str">
        <f t="shared" si="347"/>
        <v/>
      </c>
      <c r="M3682" t="str" cm="1">
        <f t="array" ref="M3682">IF(L3682="","",_xlfn.IFS(
  AND(L3682&gt;=TIME(9,0,0), L3682&lt;TIME(16,0,0)),"Morning",
  AND(L3682&gt;=TIME(16,0,0), L3682&lt;TIME(23,59,0)),"Evening",
  L3682&gt;=TIME(23,59,0),"Night",
  L3682&lt;TIME(9,0,0),"Night"
))</f>
        <v/>
      </c>
      <c r="O3682" t="str">
        <f t="shared" si="344"/>
        <v/>
      </c>
    </row>
    <row r="3683" spans="7:15" x14ac:dyDescent="0.25">
      <c r="G3683" t="str">
        <f t="shared" si="342"/>
        <v/>
      </c>
      <c r="H3683" s="13" t="str">
        <f t="shared" si="345"/>
        <v/>
      </c>
      <c r="I3683" t="str">
        <f>IFERROR(INDEX(Analysis!$D$116:$N$137, MATCH(B3683, Analysis!$C$116:$C$137, 0), MATCH(C3683, Analysis!$D$115:$N$115, 0)), "")</f>
        <v/>
      </c>
      <c r="J3683" t="str">
        <f t="shared" si="346"/>
        <v/>
      </c>
      <c r="K3683" s="28" t="str">
        <f t="shared" si="343"/>
        <v/>
      </c>
      <c r="L3683" s="46" t="str">
        <f t="shared" si="347"/>
        <v/>
      </c>
      <c r="M3683" t="str" cm="1">
        <f t="array" ref="M3683">IF(L3683="","",_xlfn.IFS(
  AND(L3683&gt;=TIME(9,0,0), L3683&lt;TIME(16,0,0)),"Morning",
  AND(L3683&gt;=TIME(16,0,0), L3683&lt;TIME(23,59,0)),"Evening",
  L3683&gt;=TIME(23,59,0),"Night",
  L3683&lt;TIME(9,0,0),"Night"
))</f>
        <v/>
      </c>
      <c r="O3683" t="str">
        <f t="shared" si="344"/>
        <v/>
      </c>
    </row>
    <row r="3684" spans="7:15" x14ac:dyDescent="0.25">
      <c r="G3684" t="str">
        <f t="shared" si="342"/>
        <v/>
      </c>
      <c r="H3684" s="13" t="str">
        <f t="shared" si="345"/>
        <v/>
      </c>
      <c r="I3684" t="str">
        <f>IFERROR(INDEX(Analysis!$D$116:$N$137, MATCH(B3684, Analysis!$C$116:$C$137, 0), MATCH(C3684, Analysis!$D$115:$N$115, 0)), "")</f>
        <v/>
      </c>
      <c r="J3684" t="str">
        <f t="shared" si="346"/>
        <v/>
      </c>
      <c r="K3684" s="28" t="str">
        <f t="shared" si="343"/>
        <v/>
      </c>
      <c r="L3684" s="46" t="str">
        <f t="shared" si="347"/>
        <v/>
      </c>
      <c r="M3684" t="str" cm="1">
        <f t="array" ref="M3684">IF(L3684="","",_xlfn.IFS(
  AND(L3684&gt;=TIME(9,0,0), L3684&lt;TIME(16,0,0)),"Morning",
  AND(L3684&gt;=TIME(16,0,0), L3684&lt;TIME(23,59,0)),"Evening",
  L3684&gt;=TIME(23,59,0),"Night",
  L3684&lt;TIME(9,0,0),"Night"
))</f>
        <v/>
      </c>
      <c r="O3684" t="str">
        <f t="shared" si="344"/>
        <v/>
      </c>
    </row>
    <row r="3685" spans="7:15" x14ac:dyDescent="0.25">
      <c r="G3685" t="str">
        <f t="shared" si="342"/>
        <v/>
      </c>
      <c r="H3685" s="13" t="str">
        <f t="shared" si="345"/>
        <v/>
      </c>
      <c r="I3685" t="str">
        <f>IFERROR(INDEX(Analysis!$D$116:$N$137, MATCH(B3685, Analysis!$C$116:$C$137, 0), MATCH(C3685, Analysis!$D$115:$N$115, 0)), "")</f>
        <v/>
      </c>
      <c r="J3685" t="str">
        <f t="shared" si="346"/>
        <v/>
      </c>
      <c r="K3685" s="28" t="str">
        <f t="shared" si="343"/>
        <v/>
      </c>
      <c r="L3685" s="46" t="str">
        <f t="shared" si="347"/>
        <v/>
      </c>
      <c r="M3685" t="str" cm="1">
        <f t="array" ref="M3685">IF(L3685="","",_xlfn.IFS(
  AND(L3685&gt;=TIME(9,0,0), L3685&lt;TIME(16,0,0)),"Morning",
  AND(L3685&gt;=TIME(16,0,0), L3685&lt;TIME(23,59,0)),"Evening",
  L3685&gt;=TIME(23,59,0),"Night",
  L3685&lt;TIME(9,0,0),"Night"
))</f>
        <v/>
      </c>
      <c r="O3685" t="str">
        <f t="shared" si="344"/>
        <v/>
      </c>
    </row>
    <row r="3686" spans="7:15" x14ac:dyDescent="0.25">
      <c r="G3686" t="str">
        <f t="shared" si="342"/>
        <v/>
      </c>
      <c r="H3686" s="13" t="str">
        <f t="shared" si="345"/>
        <v/>
      </c>
      <c r="I3686" t="str">
        <f>IFERROR(INDEX(Analysis!$D$116:$N$137, MATCH(B3686, Analysis!$C$116:$C$137, 0), MATCH(C3686, Analysis!$D$115:$N$115, 0)), "")</f>
        <v/>
      </c>
      <c r="J3686" t="str">
        <f t="shared" si="346"/>
        <v/>
      </c>
      <c r="K3686" s="28" t="str">
        <f t="shared" si="343"/>
        <v/>
      </c>
      <c r="L3686" s="46" t="str">
        <f t="shared" si="347"/>
        <v/>
      </c>
      <c r="M3686" t="str" cm="1">
        <f t="array" ref="M3686">IF(L3686="","",_xlfn.IFS(
  AND(L3686&gt;=TIME(9,0,0), L3686&lt;TIME(16,0,0)),"Morning",
  AND(L3686&gt;=TIME(16,0,0), L3686&lt;TIME(23,59,0)),"Evening",
  L3686&gt;=TIME(23,59,0),"Night",
  L3686&lt;TIME(9,0,0),"Night"
))</f>
        <v/>
      </c>
      <c r="O3686" t="str">
        <f t="shared" si="344"/>
        <v/>
      </c>
    </row>
    <row r="3687" spans="7:15" x14ac:dyDescent="0.25">
      <c r="G3687" t="str">
        <f t="shared" si="342"/>
        <v/>
      </c>
      <c r="H3687" s="13" t="str">
        <f t="shared" si="345"/>
        <v/>
      </c>
      <c r="I3687" t="str">
        <f>IFERROR(INDEX(Analysis!$D$116:$N$137, MATCH(B3687, Analysis!$C$116:$C$137, 0), MATCH(C3687, Analysis!$D$115:$N$115, 0)), "")</f>
        <v/>
      </c>
      <c r="J3687" t="str">
        <f t="shared" si="346"/>
        <v/>
      </c>
      <c r="K3687" s="28" t="str">
        <f t="shared" si="343"/>
        <v/>
      </c>
      <c r="L3687" s="46" t="str">
        <f t="shared" si="347"/>
        <v/>
      </c>
      <c r="M3687" t="str" cm="1">
        <f t="array" ref="M3687">IF(L3687="","",_xlfn.IFS(
  AND(L3687&gt;=TIME(9,0,0), L3687&lt;TIME(16,0,0)),"Morning",
  AND(L3687&gt;=TIME(16,0,0), L3687&lt;TIME(23,59,0)),"Evening",
  L3687&gt;=TIME(23,59,0),"Night",
  L3687&lt;TIME(9,0,0),"Night"
))</f>
        <v/>
      </c>
      <c r="O3687" t="str">
        <f t="shared" si="344"/>
        <v/>
      </c>
    </row>
    <row r="3688" spans="7:15" x14ac:dyDescent="0.25">
      <c r="G3688" t="str">
        <f t="shared" si="342"/>
        <v/>
      </c>
      <c r="H3688" s="13" t="str">
        <f t="shared" si="345"/>
        <v/>
      </c>
      <c r="I3688" t="str">
        <f>IFERROR(INDEX(Analysis!$D$116:$N$137, MATCH(B3688, Analysis!$C$116:$C$137, 0), MATCH(C3688, Analysis!$D$115:$N$115, 0)), "")</f>
        <v/>
      </c>
      <c r="J3688" t="str">
        <f t="shared" si="346"/>
        <v/>
      </c>
      <c r="K3688" s="28" t="str">
        <f t="shared" si="343"/>
        <v/>
      </c>
      <c r="L3688" s="46" t="str">
        <f t="shared" si="347"/>
        <v/>
      </c>
      <c r="M3688" t="str" cm="1">
        <f t="array" ref="M3688">IF(L3688="","",_xlfn.IFS(
  AND(L3688&gt;=TIME(9,0,0), L3688&lt;TIME(16,0,0)),"Morning",
  AND(L3688&gt;=TIME(16,0,0), L3688&lt;TIME(23,59,0)),"Evening",
  L3688&gt;=TIME(23,59,0),"Night",
  L3688&lt;TIME(9,0,0),"Night"
))</f>
        <v/>
      </c>
      <c r="O3688" t="str">
        <f t="shared" si="344"/>
        <v/>
      </c>
    </row>
    <row r="3689" spans="7:15" x14ac:dyDescent="0.25">
      <c r="G3689" t="str">
        <f t="shared" si="342"/>
        <v/>
      </c>
      <c r="H3689" s="13" t="str">
        <f t="shared" si="345"/>
        <v/>
      </c>
      <c r="I3689" t="str">
        <f>IFERROR(INDEX(Analysis!$D$116:$N$137, MATCH(B3689, Analysis!$C$116:$C$137, 0), MATCH(C3689, Analysis!$D$115:$N$115, 0)), "")</f>
        <v/>
      </c>
      <c r="J3689" t="str">
        <f t="shared" si="346"/>
        <v/>
      </c>
      <c r="K3689" s="28" t="str">
        <f t="shared" si="343"/>
        <v/>
      </c>
      <c r="L3689" s="46" t="str">
        <f t="shared" si="347"/>
        <v/>
      </c>
      <c r="M3689" t="str" cm="1">
        <f t="array" ref="M3689">IF(L3689="","",_xlfn.IFS(
  AND(L3689&gt;=TIME(9,0,0), L3689&lt;TIME(16,0,0)),"Morning",
  AND(L3689&gt;=TIME(16,0,0), L3689&lt;TIME(23,59,0)),"Evening",
  L3689&gt;=TIME(23,59,0),"Night",
  L3689&lt;TIME(9,0,0),"Night"
))</f>
        <v/>
      </c>
      <c r="O3689" t="str">
        <f t="shared" si="344"/>
        <v/>
      </c>
    </row>
    <row r="3690" spans="7:15" x14ac:dyDescent="0.25">
      <c r="G3690" t="str">
        <f t="shared" si="342"/>
        <v/>
      </c>
      <c r="H3690" s="13" t="str">
        <f t="shared" si="345"/>
        <v/>
      </c>
      <c r="I3690" t="str">
        <f>IFERROR(INDEX(Analysis!$D$116:$N$137, MATCH(B3690, Analysis!$C$116:$C$137, 0), MATCH(C3690, Analysis!$D$115:$N$115, 0)), "")</f>
        <v/>
      </c>
      <c r="J3690" t="str">
        <f t="shared" si="346"/>
        <v/>
      </c>
      <c r="K3690" s="28" t="str">
        <f t="shared" si="343"/>
        <v/>
      </c>
      <c r="L3690" s="46" t="str">
        <f t="shared" si="347"/>
        <v/>
      </c>
      <c r="M3690" t="str" cm="1">
        <f t="array" ref="M3690">IF(L3690="","",_xlfn.IFS(
  AND(L3690&gt;=TIME(9,0,0), L3690&lt;TIME(16,0,0)),"Morning",
  AND(L3690&gt;=TIME(16,0,0), L3690&lt;TIME(23,59,0)),"Evening",
  L3690&gt;=TIME(23,59,0),"Night",
  L3690&lt;TIME(9,0,0),"Night"
))</f>
        <v/>
      </c>
      <c r="O3690" t="str">
        <f t="shared" si="344"/>
        <v/>
      </c>
    </row>
    <row r="3691" spans="7:15" x14ac:dyDescent="0.25">
      <c r="G3691" t="str">
        <f t="shared" si="342"/>
        <v/>
      </c>
      <c r="H3691" s="13" t="str">
        <f t="shared" si="345"/>
        <v/>
      </c>
      <c r="I3691" t="str">
        <f>IFERROR(INDEX(Analysis!$D$116:$N$137, MATCH(B3691, Analysis!$C$116:$C$137, 0), MATCH(C3691, Analysis!$D$115:$N$115, 0)), "")</f>
        <v/>
      </c>
      <c r="J3691" t="str">
        <f t="shared" si="346"/>
        <v/>
      </c>
      <c r="K3691" s="28" t="str">
        <f t="shared" si="343"/>
        <v/>
      </c>
      <c r="L3691" s="46" t="str">
        <f t="shared" si="347"/>
        <v/>
      </c>
      <c r="M3691" t="str" cm="1">
        <f t="array" ref="M3691">IF(L3691="","",_xlfn.IFS(
  AND(L3691&gt;=TIME(9,0,0), L3691&lt;TIME(16,0,0)),"Morning",
  AND(L3691&gt;=TIME(16,0,0), L3691&lt;TIME(23,59,0)),"Evening",
  L3691&gt;=TIME(23,59,0),"Night",
  L3691&lt;TIME(9,0,0),"Night"
))</f>
        <v/>
      </c>
      <c r="O3691" t="str">
        <f t="shared" si="344"/>
        <v/>
      </c>
    </row>
    <row r="3692" spans="7:15" x14ac:dyDescent="0.25">
      <c r="G3692" t="str">
        <f t="shared" si="342"/>
        <v/>
      </c>
      <c r="H3692" s="13" t="str">
        <f t="shared" si="345"/>
        <v/>
      </c>
      <c r="I3692" t="str">
        <f>IFERROR(INDEX(Analysis!$D$116:$N$137, MATCH(B3692, Analysis!$C$116:$C$137, 0), MATCH(C3692, Analysis!$D$115:$N$115, 0)), "")</f>
        <v/>
      </c>
      <c r="J3692" t="str">
        <f t="shared" si="346"/>
        <v/>
      </c>
      <c r="K3692" s="28" t="str">
        <f t="shared" si="343"/>
        <v/>
      </c>
      <c r="L3692" s="46" t="str">
        <f t="shared" si="347"/>
        <v/>
      </c>
      <c r="M3692" t="str" cm="1">
        <f t="array" ref="M3692">IF(L3692="","",_xlfn.IFS(
  AND(L3692&gt;=TIME(9,0,0), L3692&lt;TIME(16,0,0)),"Morning",
  AND(L3692&gt;=TIME(16,0,0), L3692&lt;TIME(23,59,0)),"Evening",
  L3692&gt;=TIME(23,59,0),"Night",
  L3692&lt;TIME(9,0,0),"Night"
))</f>
        <v/>
      </c>
      <c r="O3692" t="str">
        <f t="shared" si="344"/>
        <v/>
      </c>
    </row>
    <row r="3693" spans="7:15" x14ac:dyDescent="0.25">
      <c r="G3693" t="str">
        <f t="shared" si="342"/>
        <v/>
      </c>
      <c r="H3693" s="13" t="str">
        <f t="shared" si="345"/>
        <v/>
      </c>
      <c r="I3693" t="str">
        <f>IFERROR(INDEX(Analysis!$D$116:$N$137, MATCH(B3693, Analysis!$C$116:$C$137, 0), MATCH(C3693, Analysis!$D$115:$N$115, 0)), "")</f>
        <v/>
      </c>
      <c r="J3693" t="str">
        <f t="shared" si="346"/>
        <v/>
      </c>
      <c r="K3693" s="28" t="str">
        <f t="shared" si="343"/>
        <v/>
      </c>
      <c r="L3693" s="46" t="str">
        <f t="shared" si="347"/>
        <v/>
      </c>
      <c r="M3693" t="str" cm="1">
        <f t="array" ref="M3693">IF(L3693="","",_xlfn.IFS(
  AND(L3693&gt;=TIME(9,0,0), L3693&lt;TIME(16,0,0)),"Morning",
  AND(L3693&gt;=TIME(16,0,0), L3693&lt;TIME(23,59,0)),"Evening",
  L3693&gt;=TIME(23,59,0),"Night",
  L3693&lt;TIME(9,0,0),"Night"
))</f>
        <v/>
      </c>
      <c r="O3693" t="str">
        <f t="shared" si="344"/>
        <v/>
      </c>
    </row>
    <row r="3694" spans="7:15" x14ac:dyDescent="0.25">
      <c r="G3694" t="str">
        <f t="shared" si="342"/>
        <v/>
      </c>
      <c r="H3694" s="13" t="str">
        <f t="shared" si="345"/>
        <v/>
      </c>
      <c r="I3694" t="str">
        <f>IFERROR(INDEX(Analysis!$D$116:$N$137, MATCH(B3694, Analysis!$C$116:$C$137, 0), MATCH(C3694, Analysis!$D$115:$N$115, 0)), "")</f>
        <v/>
      </c>
      <c r="J3694" t="str">
        <f t="shared" si="346"/>
        <v/>
      </c>
      <c r="K3694" s="28" t="str">
        <f t="shared" si="343"/>
        <v/>
      </c>
      <c r="L3694" s="46" t="str">
        <f t="shared" si="347"/>
        <v/>
      </c>
      <c r="M3694" t="str" cm="1">
        <f t="array" ref="M3694">IF(L3694="","",_xlfn.IFS(
  AND(L3694&gt;=TIME(9,0,0), L3694&lt;TIME(16,0,0)),"Morning",
  AND(L3694&gt;=TIME(16,0,0), L3694&lt;TIME(23,59,0)),"Evening",
  L3694&gt;=TIME(23,59,0),"Night",
  L3694&lt;TIME(9,0,0),"Night"
))</f>
        <v/>
      </c>
      <c r="O3694" t="str">
        <f t="shared" si="344"/>
        <v/>
      </c>
    </row>
    <row r="3695" spans="7:15" x14ac:dyDescent="0.25">
      <c r="G3695" t="str">
        <f t="shared" si="342"/>
        <v/>
      </c>
      <c r="H3695" s="13" t="str">
        <f t="shared" si="345"/>
        <v/>
      </c>
      <c r="I3695" t="str">
        <f>IFERROR(INDEX(Analysis!$D$116:$N$137, MATCH(B3695, Analysis!$C$116:$C$137, 0), MATCH(C3695, Analysis!$D$115:$N$115, 0)), "")</f>
        <v/>
      </c>
      <c r="J3695" t="str">
        <f t="shared" si="346"/>
        <v/>
      </c>
      <c r="K3695" s="28" t="str">
        <f t="shared" si="343"/>
        <v/>
      </c>
      <c r="L3695" s="46" t="str">
        <f t="shared" si="347"/>
        <v/>
      </c>
      <c r="M3695" t="str" cm="1">
        <f t="array" ref="M3695">IF(L3695="","",_xlfn.IFS(
  AND(L3695&gt;=TIME(9,0,0), L3695&lt;TIME(16,0,0)),"Morning",
  AND(L3695&gt;=TIME(16,0,0), L3695&lt;TIME(23,59,0)),"Evening",
  L3695&gt;=TIME(23,59,0),"Night",
  L3695&lt;TIME(9,0,0),"Night"
))</f>
        <v/>
      </c>
      <c r="O3695" t="str">
        <f t="shared" si="344"/>
        <v/>
      </c>
    </row>
    <row r="3696" spans="7:15" x14ac:dyDescent="0.25">
      <c r="G3696" t="str">
        <f t="shared" si="342"/>
        <v/>
      </c>
      <c r="H3696" s="13" t="str">
        <f t="shared" si="345"/>
        <v/>
      </c>
      <c r="I3696" t="str">
        <f>IFERROR(INDEX(Analysis!$D$116:$N$137, MATCH(B3696, Analysis!$C$116:$C$137, 0), MATCH(C3696, Analysis!$D$115:$N$115, 0)), "")</f>
        <v/>
      </c>
      <c r="J3696" t="str">
        <f t="shared" si="346"/>
        <v/>
      </c>
      <c r="K3696" s="28" t="str">
        <f t="shared" si="343"/>
        <v/>
      </c>
      <c r="L3696" s="46" t="str">
        <f t="shared" si="347"/>
        <v/>
      </c>
      <c r="M3696" t="str" cm="1">
        <f t="array" ref="M3696">IF(L3696="","",_xlfn.IFS(
  AND(L3696&gt;=TIME(9,0,0), L3696&lt;TIME(16,0,0)),"Morning",
  AND(L3696&gt;=TIME(16,0,0), L3696&lt;TIME(23,59,0)),"Evening",
  L3696&gt;=TIME(23,59,0),"Night",
  L3696&lt;TIME(9,0,0),"Night"
))</f>
        <v/>
      </c>
      <c r="O3696" t="str">
        <f t="shared" si="344"/>
        <v/>
      </c>
    </row>
    <row r="3697" spans="7:15" x14ac:dyDescent="0.25">
      <c r="G3697" t="str">
        <f t="shared" si="342"/>
        <v/>
      </c>
      <c r="H3697" s="13" t="str">
        <f t="shared" si="345"/>
        <v/>
      </c>
      <c r="I3697" t="str">
        <f>IFERROR(INDEX(Analysis!$D$116:$N$137, MATCH(B3697, Analysis!$C$116:$C$137, 0), MATCH(C3697, Analysis!$D$115:$N$115, 0)), "")</f>
        <v/>
      </c>
      <c r="J3697" t="str">
        <f t="shared" si="346"/>
        <v/>
      </c>
      <c r="K3697" s="28" t="str">
        <f t="shared" si="343"/>
        <v/>
      </c>
      <c r="L3697" s="46" t="str">
        <f t="shared" si="347"/>
        <v/>
      </c>
      <c r="M3697" t="str" cm="1">
        <f t="array" ref="M3697">IF(L3697="","",_xlfn.IFS(
  AND(L3697&gt;=TIME(9,0,0), L3697&lt;TIME(16,0,0)),"Morning",
  AND(L3697&gt;=TIME(16,0,0), L3697&lt;TIME(23,59,0)),"Evening",
  L3697&gt;=TIME(23,59,0),"Night",
  L3697&lt;TIME(9,0,0),"Night"
))</f>
        <v/>
      </c>
      <c r="O3697" t="str">
        <f t="shared" si="344"/>
        <v/>
      </c>
    </row>
    <row r="3698" spans="7:15" x14ac:dyDescent="0.25">
      <c r="G3698" t="str">
        <f t="shared" si="342"/>
        <v/>
      </c>
      <c r="H3698" s="13" t="str">
        <f t="shared" si="345"/>
        <v/>
      </c>
      <c r="I3698" t="str">
        <f>IFERROR(INDEX(Analysis!$D$116:$N$137, MATCH(B3698, Analysis!$C$116:$C$137, 0), MATCH(C3698, Analysis!$D$115:$N$115, 0)), "")</f>
        <v/>
      </c>
      <c r="J3698" t="str">
        <f t="shared" si="346"/>
        <v/>
      </c>
      <c r="K3698" s="28" t="str">
        <f t="shared" si="343"/>
        <v/>
      </c>
      <c r="L3698" s="46" t="str">
        <f t="shared" si="347"/>
        <v/>
      </c>
      <c r="M3698" t="str" cm="1">
        <f t="array" ref="M3698">IF(L3698="","",_xlfn.IFS(
  AND(L3698&gt;=TIME(9,0,0), L3698&lt;TIME(16,0,0)),"Morning",
  AND(L3698&gt;=TIME(16,0,0), L3698&lt;TIME(23,59,0)),"Evening",
  L3698&gt;=TIME(23,59,0),"Night",
  L3698&lt;TIME(9,0,0),"Night"
))</f>
        <v/>
      </c>
      <c r="O3698" t="str">
        <f t="shared" si="344"/>
        <v/>
      </c>
    </row>
    <row r="3699" spans="7:15" x14ac:dyDescent="0.25">
      <c r="G3699" t="str">
        <f t="shared" si="342"/>
        <v/>
      </c>
      <c r="H3699" s="13" t="str">
        <f t="shared" si="345"/>
        <v/>
      </c>
      <c r="I3699" t="str">
        <f>IFERROR(INDEX(Analysis!$D$116:$N$137, MATCH(B3699, Analysis!$C$116:$C$137, 0), MATCH(C3699, Analysis!$D$115:$N$115, 0)), "")</f>
        <v/>
      </c>
      <c r="J3699" t="str">
        <f t="shared" si="346"/>
        <v/>
      </c>
      <c r="K3699" s="28" t="str">
        <f t="shared" si="343"/>
        <v/>
      </c>
      <c r="L3699" s="46" t="str">
        <f t="shared" si="347"/>
        <v/>
      </c>
      <c r="M3699" t="str" cm="1">
        <f t="array" ref="M3699">IF(L3699="","",_xlfn.IFS(
  AND(L3699&gt;=TIME(9,0,0), L3699&lt;TIME(16,0,0)),"Morning",
  AND(L3699&gt;=TIME(16,0,0), L3699&lt;TIME(23,59,0)),"Evening",
  L3699&gt;=TIME(23,59,0),"Night",
  L3699&lt;TIME(9,0,0),"Night"
))</f>
        <v/>
      </c>
      <c r="O3699" t="str">
        <f t="shared" si="344"/>
        <v/>
      </c>
    </row>
    <row r="3700" spans="7:15" x14ac:dyDescent="0.25">
      <c r="G3700" t="str">
        <f t="shared" si="342"/>
        <v/>
      </c>
      <c r="H3700" s="13" t="str">
        <f t="shared" si="345"/>
        <v/>
      </c>
      <c r="I3700" t="str">
        <f>IFERROR(INDEX(Analysis!$D$116:$N$137, MATCH(B3700, Analysis!$C$116:$C$137, 0), MATCH(C3700, Analysis!$D$115:$N$115, 0)), "")</f>
        <v/>
      </c>
      <c r="J3700" t="str">
        <f t="shared" si="346"/>
        <v/>
      </c>
      <c r="K3700" s="28" t="str">
        <f t="shared" si="343"/>
        <v/>
      </c>
      <c r="L3700" s="46" t="str">
        <f t="shared" si="347"/>
        <v/>
      </c>
      <c r="M3700" t="str" cm="1">
        <f t="array" ref="M3700">IF(L3700="","",_xlfn.IFS(
  AND(L3700&gt;=TIME(9,0,0), L3700&lt;TIME(16,0,0)),"Morning",
  AND(L3700&gt;=TIME(16,0,0), L3700&lt;TIME(23,59,0)),"Evening",
  L3700&gt;=TIME(23,59,0),"Night",
  L3700&lt;TIME(9,0,0),"Night"
))</f>
        <v/>
      </c>
      <c r="O3700" t="str">
        <f t="shared" si="344"/>
        <v/>
      </c>
    </row>
    <row r="3701" spans="7:15" x14ac:dyDescent="0.25">
      <c r="G3701" t="str">
        <f t="shared" si="342"/>
        <v/>
      </c>
      <c r="H3701" s="13" t="str">
        <f t="shared" si="345"/>
        <v/>
      </c>
      <c r="I3701" t="str">
        <f>IFERROR(INDEX(Analysis!$D$116:$N$137, MATCH(B3701, Analysis!$C$116:$C$137, 0), MATCH(C3701, Analysis!$D$115:$N$115, 0)), "")</f>
        <v/>
      </c>
      <c r="J3701" t="str">
        <f t="shared" si="346"/>
        <v/>
      </c>
      <c r="K3701" s="28" t="str">
        <f t="shared" si="343"/>
        <v/>
      </c>
      <c r="L3701" s="46" t="str">
        <f t="shared" si="347"/>
        <v/>
      </c>
      <c r="M3701" t="str" cm="1">
        <f t="array" ref="M3701">IF(L3701="","",_xlfn.IFS(
  AND(L3701&gt;=TIME(9,0,0), L3701&lt;TIME(16,0,0)),"Morning",
  AND(L3701&gt;=TIME(16,0,0), L3701&lt;TIME(23,59,0)),"Evening",
  L3701&gt;=TIME(23,59,0),"Night",
  L3701&lt;TIME(9,0,0),"Night"
))</f>
        <v/>
      </c>
      <c r="O3701" t="str">
        <f t="shared" si="344"/>
        <v/>
      </c>
    </row>
    <row r="3702" spans="7:15" x14ac:dyDescent="0.25">
      <c r="G3702" t="str">
        <f t="shared" si="342"/>
        <v/>
      </c>
      <c r="H3702" s="13" t="str">
        <f t="shared" si="345"/>
        <v/>
      </c>
      <c r="I3702" t="str">
        <f>IFERROR(INDEX(Analysis!$D$116:$N$137, MATCH(B3702, Analysis!$C$116:$C$137, 0), MATCH(C3702, Analysis!$D$115:$N$115, 0)), "")</f>
        <v/>
      </c>
      <c r="J3702" t="str">
        <f t="shared" si="346"/>
        <v/>
      </c>
      <c r="K3702" s="28" t="str">
        <f t="shared" si="343"/>
        <v/>
      </c>
      <c r="L3702" s="46" t="str">
        <f t="shared" si="347"/>
        <v/>
      </c>
      <c r="M3702" t="str" cm="1">
        <f t="array" ref="M3702">IF(L3702="","",_xlfn.IFS(
  AND(L3702&gt;=TIME(9,0,0), L3702&lt;TIME(16,0,0)),"Morning",
  AND(L3702&gt;=TIME(16,0,0), L3702&lt;TIME(23,59,0)),"Evening",
  L3702&gt;=TIME(23,59,0),"Night",
  L3702&lt;TIME(9,0,0),"Night"
))</f>
        <v/>
      </c>
      <c r="O3702" t="str">
        <f t="shared" si="344"/>
        <v/>
      </c>
    </row>
    <row r="3703" spans="7:15" x14ac:dyDescent="0.25">
      <c r="G3703" t="str">
        <f t="shared" si="342"/>
        <v/>
      </c>
      <c r="H3703" s="13" t="str">
        <f t="shared" si="345"/>
        <v/>
      </c>
      <c r="I3703" t="str">
        <f>IFERROR(INDEX(Analysis!$D$116:$N$137, MATCH(B3703, Analysis!$C$116:$C$137, 0), MATCH(C3703, Analysis!$D$115:$N$115, 0)), "")</f>
        <v/>
      </c>
      <c r="J3703" t="str">
        <f t="shared" si="346"/>
        <v/>
      </c>
      <c r="K3703" s="28" t="str">
        <f t="shared" si="343"/>
        <v/>
      </c>
      <c r="L3703" s="46" t="str">
        <f t="shared" si="347"/>
        <v/>
      </c>
      <c r="M3703" t="str" cm="1">
        <f t="array" ref="M3703">IF(L3703="","",_xlfn.IFS(
  AND(L3703&gt;=TIME(9,0,0), L3703&lt;TIME(16,0,0)),"Morning",
  AND(L3703&gt;=TIME(16,0,0), L3703&lt;TIME(23,59,0)),"Evening",
  L3703&gt;=TIME(23,59,0),"Night",
  L3703&lt;TIME(9,0,0),"Night"
))</f>
        <v/>
      </c>
      <c r="O3703" t="str">
        <f t="shared" si="344"/>
        <v/>
      </c>
    </row>
    <row r="3704" spans="7:15" x14ac:dyDescent="0.25">
      <c r="G3704" t="str">
        <f t="shared" si="342"/>
        <v/>
      </c>
      <c r="H3704" s="13" t="str">
        <f t="shared" si="345"/>
        <v/>
      </c>
      <c r="I3704" t="str">
        <f>IFERROR(INDEX(Analysis!$D$116:$N$137, MATCH(B3704, Analysis!$C$116:$C$137, 0), MATCH(C3704, Analysis!$D$115:$N$115, 0)), "")</f>
        <v/>
      </c>
      <c r="J3704" t="str">
        <f t="shared" si="346"/>
        <v/>
      </c>
      <c r="K3704" s="28" t="str">
        <f t="shared" si="343"/>
        <v/>
      </c>
      <c r="L3704" s="46" t="str">
        <f t="shared" si="347"/>
        <v/>
      </c>
      <c r="M3704" t="str" cm="1">
        <f t="array" ref="M3704">IF(L3704="","",_xlfn.IFS(
  AND(L3704&gt;=TIME(9,0,0), L3704&lt;TIME(16,0,0)),"Morning",
  AND(L3704&gt;=TIME(16,0,0), L3704&lt;TIME(23,59,0)),"Evening",
  L3704&gt;=TIME(23,59,0),"Night",
  L3704&lt;TIME(9,0,0),"Night"
))</f>
        <v/>
      </c>
      <c r="O3704" t="str">
        <f t="shared" si="344"/>
        <v/>
      </c>
    </row>
    <row r="3705" spans="7:15" x14ac:dyDescent="0.25">
      <c r="G3705" t="str">
        <f t="shared" si="342"/>
        <v/>
      </c>
      <c r="H3705" s="13" t="str">
        <f t="shared" si="345"/>
        <v/>
      </c>
      <c r="I3705" t="str">
        <f>IFERROR(INDEX(Analysis!$D$116:$N$137, MATCH(B3705, Analysis!$C$116:$C$137, 0), MATCH(C3705, Analysis!$D$115:$N$115, 0)), "")</f>
        <v/>
      </c>
      <c r="J3705" t="str">
        <f t="shared" si="346"/>
        <v/>
      </c>
      <c r="K3705" s="28" t="str">
        <f t="shared" si="343"/>
        <v/>
      </c>
      <c r="L3705" s="46" t="str">
        <f t="shared" si="347"/>
        <v/>
      </c>
      <c r="M3705" t="str" cm="1">
        <f t="array" ref="M3705">IF(L3705="","",_xlfn.IFS(
  AND(L3705&gt;=TIME(9,0,0), L3705&lt;TIME(16,0,0)),"Morning",
  AND(L3705&gt;=TIME(16,0,0), L3705&lt;TIME(23,59,0)),"Evening",
  L3705&gt;=TIME(23,59,0),"Night",
  L3705&lt;TIME(9,0,0),"Night"
))</f>
        <v/>
      </c>
      <c r="O3705" t="str">
        <f t="shared" si="344"/>
        <v/>
      </c>
    </row>
    <row r="3706" spans="7:15" x14ac:dyDescent="0.25">
      <c r="G3706" t="str">
        <f t="shared" si="342"/>
        <v/>
      </c>
      <c r="H3706" s="13" t="str">
        <f t="shared" si="345"/>
        <v/>
      </c>
      <c r="I3706" t="str">
        <f>IFERROR(INDEX(Analysis!$D$116:$N$137, MATCH(B3706, Analysis!$C$116:$C$137, 0), MATCH(C3706, Analysis!$D$115:$N$115, 0)), "")</f>
        <v/>
      </c>
      <c r="J3706" t="str">
        <f t="shared" si="346"/>
        <v/>
      </c>
      <c r="K3706" s="28" t="str">
        <f t="shared" si="343"/>
        <v/>
      </c>
      <c r="L3706" s="46" t="str">
        <f t="shared" si="347"/>
        <v/>
      </c>
      <c r="M3706" t="str" cm="1">
        <f t="array" ref="M3706">IF(L3706="","",_xlfn.IFS(
  AND(L3706&gt;=TIME(9,0,0), L3706&lt;TIME(16,0,0)),"Morning",
  AND(L3706&gt;=TIME(16,0,0), L3706&lt;TIME(23,59,0)),"Evening",
  L3706&gt;=TIME(23,59,0),"Night",
  L3706&lt;TIME(9,0,0),"Night"
))</f>
        <v/>
      </c>
      <c r="O3706" t="str">
        <f t="shared" si="344"/>
        <v/>
      </c>
    </row>
    <row r="3707" spans="7:15" x14ac:dyDescent="0.25">
      <c r="G3707" t="str">
        <f t="shared" si="342"/>
        <v/>
      </c>
      <c r="H3707" s="13" t="str">
        <f t="shared" si="345"/>
        <v/>
      </c>
      <c r="I3707" t="str">
        <f>IFERROR(INDEX(Analysis!$D$116:$N$137, MATCH(B3707, Analysis!$C$116:$C$137, 0), MATCH(C3707, Analysis!$D$115:$N$115, 0)), "")</f>
        <v/>
      </c>
      <c r="J3707" t="str">
        <f t="shared" si="346"/>
        <v/>
      </c>
      <c r="K3707" s="28" t="str">
        <f t="shared" si="343"/>
        <v/>
      </c>
      <c r="L3707" s="46" t="str">
        <f t="shared" si="347"/>
        <v/>
      </c>
      <c r="M3707" t="str" cm="1">
        <f t="array" ref="M3707">IF(L3707="","",_xlfn.IFS(
  AND(L3707&gt;=TIME(9,0,0), L3707&lt;TIME(16,0,0)),"Morning",
  AND(L3707&gt;=TIME(16,0,0), L3707&lt;TIME(23,59,0)),"Evening",
  L3707&gt;=TIME(23,59,0),"Night",
  L3707&lt;TIME(9,0,0),"Night"
))</f>
        <v/>
      </c>
      <c r="O3707" t="str">
        <f t="shared" si="344"/>
        <v/>
      </c>
    </row>
    <row r="3708" spans="7:15" x14ac:dyDescent="0.25">
      <c r="G3708" t="str">
        <f t="shared" si="342"/>
        <v/>
      </c>
      <c r="H3708" s="13" t="str">
        <f t="shared" si="345"/>
        <v/>
      </c>
      <c r="I3708" t="str">
        <f>IFERROR(INDEX(Analysis!$D$116:$N$137, MATCH(B3708, Analysis!$C$116:$C$137, 0), MATCH(C3708, Analysis!$D$115:$N$115, 0)), "")</f>
        <v/>
      </c>
      <c r="J3708" t="str">
        <f t="shared" si="346"/>
        <v/>
      </c>
      <c r="K3708" s="28" t="str">
        <f t="shared" si="343"/>
        <v/>
      </c>
      <c r="L3708" s="46" t="str">
        <f t="shared" si="347"/>
        <v/>
      </c>
      <c r="M3708" t="str" cm="1">
        <f t="array" ref="M3708">IF(L3708="","",_xlfn.IFS(
  AND(L3708&gt;=TIME(9,0,0), L3708&lt;TIME(16,0,0)),"Morning",
  AND(L3708&gt;=TIME(16,0,0), L3708&lt;TIME(23,59,0)),"Evening",
  L3708&gt;=TIME(23,59,0),"Night",
  L3708&lt;TIME(9,0,0),"Night"
))</f>
        <v/>
      </c>
      <c r="O3708" t="str">
        <f t="shared" si="344"/>
        <v/>
      </c>
    </row>
    <row r="3709" spans="7:15" x14ac:dyDescent="0.25">
      <c r="G3709" t="str">
        <f t="shared" si="342"/>
        <v/>
      </c>
      <c r="H3709" s="13" t="str">
        <f t="shared" si="345"/>
        <v/>
      </c>
      <c r="I3709" t="str">
        <f>IFERROR(INDEX(Analysis!$D$116:$N$137, MATCH(B3709, Analysis!$C$116:$C$137, 0), MATCH(C3709, Analysis!$D$115:$N$115, 0)), "")</f>
        <v/>
      </c>
      <c r="J3709" t="str">
        <f t="shared" si="346"/>
        <v/>
      </c>
      <c r="K3709" s="28" t="str">
        <f t="shared" si="343"/>
        <v/>
      </c>
      <c r="L3709" s="46" t="str">
        <f t="shared" si="347"/>
        <v/>
      </c>
      <c r="M3709" t="str" cm="1">
        <f t="array" ref="M3709">IF(L3709="","",_xlfn.IFS(
  AND(L3709&gt;=TIME(9,0,0), L3709&lt;TIME(16,0,0)),"Morning",
  AND(L3709&gt;=TIME(16,0,0), L3709&lt;TIME(23,59,0)),"Evening",
  L3709&gt;=TIME(23,59,0),"Night",
  L3709&lt;TIME(9,0,0),"Night"
))</f>
        <v/>
      </c>
      <c r="O3709" t="str">
        <f t="shared" si="344"/>
        <v/>
      </c>
    </row>
    <row r="3710" spans="7:15" x14ac:dyDescent="0.25">
      <c r="G3710" t="str">
        <f t="shared" si="342"/>
        <v/>
      </c>
      <c r="H3710" s="13" t="str">
        <f t="shared" si="345"/>
        <v/>
      </c>
      <c r="I3710" t="str">
        <f>IFERROR(INDEX(Analysis!$D$116:$N$137, MATCH(B3710, Analysis!$C$116:$C$137, 0), MATCH(C3710, Analysis!$D$115:$N$115, 0)), "")</f>
        <v/>
      </c>
      <c r="J3710" t="str">
        <f t="shared" si="346"/>
        <v/>
      </c>
      <c r="K3710" s="28" t="str">
        <f t="shared" si="343"/>
        <v/>
      </c>
      <c r="L3710" s="46" t="str">
        <f t="shared" si="347"/>
        <v/>
      </c>
      <c r="M3710" t="str" cm="1">
        <f t="array" ref="M3710">IF(L3710="","",_xlfn.IFS(
  AND(L3710&gt;=TIME(9,0,0), L3710&lt;TIME(16,0,0)),"Morning",
  AND(L3710&gt;=TIME(16,0,0), L3710&lt;TIME(23,59,0)),"Evening",
  L3710&gt;=TIME(23,59,0),"Night",
  L3710&lt;TIME(9,0,0),"Night"
))</f>
        <v/>
      </c>
      <c r="O3710" t="str">
        <f t="shared" si="344"/>
        <v/>
      </c>
    </row>
    <row r="3711" spans="7:15" x14ac:dyDescent="0.25">
      <c r="G3711" t="str">
        <f t="shared" si="342"/>
        <v/>
      </c>
      <c r="H3711" s="13" t="str">
        <f t="shared" si="345"/>
        <v/>
      </c>
      <c r="I3711" t="str">
        <f>IFERROR(INDEX(Analysis!$D$116:$N$137, MATCH(B3711, Analysis!$C$116:$C$137, 0), MATCH(C3711, Analysis!$D$115:$N$115, 0)), "")</f>
        <v/>
      </c>
      <c r="J3711" t="str">
        <f t="shared" si="346"/>
        <v/>
      </c>
      <c r="K3711" s="28" t="str">
        <f t="shared" si="343"/>
        <v/>
      </c>
      <c r="L3711" s="46" t="str">
        <f t="shared" si="347"/>
        <v/>
      </c>
      <c r="M3711" t="str" cm="1">
        <f t="array" ref="M3711">IF(L3711="","",_xlfn.IFS(
  AND(L3711&gt;=TIME(9,0,0), L3711&lt;TIME(16,0,0)),"Morning",
  AND(L3711&gt;=TIME(16,0,0), L3711&lt;TIME(23,59,0)),"Evening",
  L3711&gt;=TIME(23,59,0),"Night",
  L3711&lt;TIME(9,0,0),"Night"
))</f>
        <v/>
      </c>
      <c r="O3711" t="str">
        <f t="shared" si="344"/>
        <v/>
      </c>
    </row>
    <row r="3712" spans="7:15" x14ac:dyDescent="0.25">
      <c r="G3712" t="str">
        <f t="shared" si="342"/>
        <v/>
      </c>
      <c r="H3712" s="13" t="str">
        <f t="shared" si="345"/>
        <v/>
      </c>
      <c r="I3712" t="str">
        <f>IFERROR(INDEX(Analysis!$D$116:$N$137, MATCH(B3712, Analysis!$C$116:$C$137, 0), MATCH(C3712, Analysis!$D$115:$N$115, 0)), "")</f>
        <v/>
      </c>
      <c r="J3712" t="str">
        <f t="shared" si="346"/>
        <v/>
      </c>
      <c r="K3712" s="28" t="str">
        <f t="shared" si="343"/>
        <v/>
      </c>
      <c r="L3712" s="46" t="str">
        <f t="shared" si="347"/>
        <v/>
      </c>
      <c r="M3712" t="str" cm="1">
        <f t="array" ref="M3712">IF(L3712="","",_xlfn.IFS(
  AND(L3712&gt;=TIME(9,0,0), L3712&lt;TIME(16,0,0)),"Morning",
  AND(L3712&gt;=TIME(16,0,0), L3712&lt;TIME(23,59,0)),"Evening",
  L3712&gt;=TIME(23,59,0),"Night",
  L3712&lt;TIME(9,0,0),"Night"
))</f>
        <v/>
      </c>
      <c r="O3712" t="str">
        <f t="shared" si="344"/>
        <v/>
      </c>
    </row>
    <row r="3713" spans="7:15" x14ac:dyDescent="0.25">
      <c r="G3713" t="str">
        <f t="shared" si="342"/>
        <v/>
      </c>
      <c r="H3713" s="13" t="str">
        <f t="shared" si="345"/>
        <v/>
      </c>
      <c r="I3713" t="str">
        <f>IFERROR(INDEX(Analysis!$D$116:$N$137, MATCH(B3713, Analysis!$C$116:$C$137, 0), MATCH(C3713, Analysis!$D$115:$N$115, 0)), "")</f>
        <v/>
      </c>
      <c r="J3713" t="str">
        <f t="shared" si="346"/>
        <v/>
      </c>
      <c r="K3713" s="28" t="str">
        <f t="shared" si="343"/>
        <v/>
      </c>
      <c r="L3713" s="46" t="str">
        <f t="shared" si="347"/>
        <v/>
      </c>
      <c r="M3713" t="str" cm="1">
        <f t="array" ref="M3713">IF(L3713="","",_xlfn.IFS(
  AND(L3713&gt;=TIME(9,0,0), L3713&lt;TIME(16,0,0)),"Morning",
  AND(L3713&gt;=TIME(16,0,0), L3713&lt;TIME(23,59,0)),"Evening",
  L3713&gt;=TIME(23,59,0),"Night",
  L3713&lt;TIME(9,0,0),"Night"
))</f>
        <v/>
      </c>
      <c r="O3713" t="str">
        <f t="shared" si="344"/>
        <v/>
      </c>
    </row>
    <row r="3714" spans="7:15" x14ac:dyDescent="0.25">
      <c r="G3714" t="str">
        <f t="shared" ref="G3714:G3777" si="348">IF(ISBLANK(A3714), "", IF(ISBLANK(F3714), 0, F3714))</f>
        <v/>
      </c>
      <c r="H3714" s="13" t="str">
        <f t="shared" si="345"/>
        <v/>
      </c>
      <c r="I3714" t="str">
        <f>IFERROR(INDEX(Analysis!$D$116:$N$137, MATCH(B3714, Analysis!$C$116:$C$137, 0), MATCH(C3714, Analysis!$D$115:$N$115, 0)), "")</f>
        <v/>
      </c>
      <c r="J3714" t="str">
        <f t="shared" si="346"/>
        <v/>
      </c>
      <c r="K3714" s="28" t="str">
        <f t="shared" ref="K3714:K3777" si="349">IF(ISBLANK(A3714),"",DATE(YEAR(A3714),MONTH(A3714),DAY(A3714)))</f>
        <v/>
      </c>
      <c r="L3714" s="46" t="str">
        <f t="shared" si="347"/>
        <v/>
      </c>
      <c r="M3714" t="str" cm="1">
        <f t="array" ref="M3714">IF(L3714="","",_xlfn.IFS(
  AND(L3714&gt;=TIME(9,0,0), L3714&lt;TIME(16,0,0)),"Morning",
  AND(L3714&gt;=TIME(16,0,0), L3714&lt;TIME(23,59,0)),"Evening",
  L3714&gt;=TIME(23,59,0),"Night",
  L3714&lt;TIME(9,0,0),"Night"
))</f>
        <v/>
      </c>
      <c r="O3714" t="str">
        <f t="shared" ref="O3714:O3777" si="350">IF(N3714="ON", _xlfn.IMAGE(E3714, 1), "")</f>
        <v/>
      </c>
    </row>
    <row r="3715" spans="7:15" x14ac:dyDescent="0.25">
      <c r="G3715" t="str">
        <f t="shared" si="348"/>
        <v/>
      </c>
      <c r="H3715" s="13" t="str">
        <f t="shared" ref="H3715:H3778" si="351">IF(ISBLANK(E3715),"",HYPERLINK(E3715,"Click here"))</f>
        <v/>
      </c>
      <c r="I3715" t="str">
        <f>IFERROR(INDEX(Analysis!$D$116:$N$137, MATCH(B3715, Analysis!$C$116:$C$137, 0), MATCH(C3715, Analysis!$D$115:$N$115, 0)), "")</f>
        <v/>
      </c>
      <c r="J3715" t="str">
        <f t="shared" ref="J3715:J3778" si="352">IF(ISBLANK(A3715),"",WEEKNUM(A3715))</f>
        <v/>
      </c>
      <c r="K3715" s="28" t="str">
        <f t="shared" si="349"/>
        <v/>
      </c>
      <c r="L3715" s="46" t="str">
        <f t="shared" ref="L3715:L3778" si="353">IF(A3715="", "", A3715 - INT(A3715))</f>
        <v/>
      </c>
      <c r="M3715" t="str" cm="1">
        <f t="array" ref="M3715">IF(L3715="","",_xlfn.IFS(
  AND(L3715&gt;=TIME(9,0,0), L3715&lt;TIME(16,0,0)),"Morning",
  AND(L3715&gt;=TIME(16,0,0), L3715&lt;TIME(23,59,0)),"Evening",
  L3715&gt;=TIME(23,59,0),"Night",
  L3715&lt;TIME(9,0,0),"Night"
))</f>
        <v/>
      </c>
      <c r="O3715" t="str">
        <f t="shared" si="350"/>
        <v/>
      </c>
    </row>
    <row r="3716" spans="7:15" x14ac:dyDescent="0.25">
      <c r="G3716" t="str">
        <f t="shared" si="348"/>
        <v/>
      </c>
      <c r="H3716" s="13" t="str">
        <f t="shared" si="351"/>
        <v/>
      </c>
      <c r="I3716" t="str">
        <f>IFERROR(INDEX(Analysis!$D$116:$N$137, MATCH(B3716, Analysis!$C$116:$C$137, 0), MATCH(C3716, Analysis!$D$115:$N$115, 0)), "")</f>
        <v/>
      </c>
      <c r="J3716" t="str">
        <f t="shared" si="352"/>
        <v/>
      </c>
      <c r="K3716" s="28" t="str">
        <f t="shared" si="349"/>
        <v/>
      </c>
      <c r="L3716" s="46" t="str">
        <f t="shared" si="353"/>
        <v/>
      </c>
      <c r="M3716" t="str" cm="1">
        <f t="array" ref="M3716">IF(L3716="","",_xlfn.IFS(
  AND(L3716&gt;=TIME(9,0,0), L3716&lt;TIME(16,0,0)),"Morning",
  AND(L3716&gt;=TIME(16,0,0), L3716&lt;TIME(23,59,0)),"Evening",
  L3716&gt;=TIME(23,59,0),"Night",
  L3716&lt;TIME(9,0,0),"Night"
))</f>
        <v/>
      </c>
      <c r="O3716" t="str">
        <f t="shared" si="350"/>
        <v/>
      </c>
    </row>
    <row r="3717" spans="7:15" x14ac:dyDescent="0.25">
      <c r="G3717" t="str">
        <f t="shared" si="348"/>
        <v/>
      </c>
      <c r="H3717" s="13" t="str">
        <f t="shared" si="351"/>
        <v/>
      </c>
      <c r="I3717" t="str">
        <f>IFERROR(INDEX(Analysis!$D$116:$N$137, MATCH(B3717, Analysis!$C$116:$C$137, 0), MATCH(C3717, Analysis!$D$115:$N$115, 0)), "")</f>
        <v/>
      </c>
      <c r="J3717" t="str">
        <f t="shared" si="352"/>
        <v/>
      </c>
      <c r="K3717" s="28" t="str">
        <f t="shared" si="349"/>
        <v/>
      </c>
      <c r="L3717" s="46" t="str">
        <f t="shared" si="353"/>
        <v/>
      </c>
      <c r="M3717" t="str" cm="1">
        <f t="array" ref="M3717">IF(L3717="","",_xlfn.IFS(
  AND(L3717&gt;=TIME(9,0,0), L3717&lt;TIME(16,0,0)),"Morning",
  AND(L3717&gt;=TIME(16,0,0), L3717&lt;TIME(23,59,0)),"Evening",
  L3717&gt;=TIME(23,59,0),"Night",
  L3717&lt;TIME(9,0,0),"Night"
))</f>
        <v/>
      </c>
      <c r="O3717" t="str">
        <f t="shared" si="350"/>
        <v/>
      </c>
    </row>
    <row r="3718" spans="7:15" x14ac:dyDescent="0.25">
      <c r="G3718" t="str">
        <f t="shared" si="348"/>
        <v/>
      </c>
      <c r="H3718" s="13" t="str">
        <f t="shared" si="351"/>
        <v/>
      </c>
      <c r="I3718" t="str">
        <f>IFERROR(INDEX(Analysis!$D$116:$N$137, MATCH(B3718, Analysis!$C$116:$C$137, 0), MATCH(C3718, Analysis!$D$115:$N$115, 0)), "")</f>
        <v/>
      </c>
      <c r="J3718" t="str">
        <f t="shared" si="352"/>
        <v/>
      </c>
      <c r="K3718" s="28" t="str">
        <f t="shared" si="349"/>
        <v/>
      </c>
      <c r="L3718" s="46" t="str">
        <f t="shared" si="353"/>
        <v/>
      </c>
      <c r="M3718" t="str" cm="1">
        <f t="array" ref="M3718">IF(L3718="","",_xlfn.IFS(
  AND(L3718&gt;=TIME(9,0,0), L3718&lt;TIME(16,0,0)),"Morning",
  AND(L3718&gt;=TIME(16,0,0), L3718&lt;TIME(23,59,0)),"Evening",
  L3718&gt;=TIME(23,59,0),"Night",
  L3718&lt;TIME(9,0,0),"Night"
))</f>
        <v/>
      </c>
      <c r="O3718" t="str">
        <f t="shared" si="350"/>
        <v/>
      </c>
    </row>
    <row r="3719" spans="7:15" x14ac:dyDescent="0.25">
      <c r="G3719" t="str">
        <f t="shared" si="348"/>
        <v/>
      </c>
      <c r="H3719" s="13" t="str">
        <f t="shared" si="351"/>
        <v/>
      </c>
      <c r="I3719" t="str">
        <f>IFERROR(INDEX(Analysis!$D$116:$N$137, MATCH(B3719, Analysis!$C$116:$C$137, 0), MATCH(C3719, Analysis!$D$115:$N$115, 0)), "")</f>
        <v/>
      </c>
      <c r="J3719" t="str">
        <f t="shared" si="352"/>
        <v/>
      </c>
      <c r="K3719" s="28" t="str">
        <f t="shared" si="349"/>
        <v/>
      </c>
      <c r="L3719" s="46" t="str">
        <f t="shared" si="353"/>
        <v/>
      </c>
      <c r="M3719" t="str" cm="1">
        <f t="array" ref="M3719">IF(L3719="","",_xlfn.IFS(
  AND(L3719&gt;=TIME(9,0,0), L3719&lt;TIME(16,0,0)),"Morning",
  AND(L3719&gt;=TIME(16,0,0), L3719&lt;TIME(23,59,0)),"Evening",
  L3719&gt;=TIME(23,59,0),"Night",
  L3719&lt;TIME(9,0,0),"Night"
))</f>
        <v/>
      </c>
      <c r="O3719" t="str">
        <f t="shared" si="350"/>
        <v/>
      </c>
    </row>
    <row r="3720" spans="7:15" x14ac:dyDescent="0.25">
      <c r="G3720" t="str">
        <f t="shared" si="348"/>
        <v/>
      </c>
      <c r="H3720" s="13" t="str">
        <f t="shared" si="351"/>
        <v/>
      </c>
      <c r="I3720" t="str">
        <f>IFERROR(INDEX(Analysis!$D$116:$N$137, MATCH(B3720, Analysis!$C$116:$C$137, 0), MATCH(C3720, Analysis!$D$115:$N$115, 0)), "")</f>
        <v/>
      </c>
      <c r="J3720" t="str">
        <f t="shared" si="352"/>
        <v/>
      </c>
      <c r="K3720" s="28" t="str">
        <f t="shared" si="349"/>
        <v/>
      </c>
      <c r="L3720" s="46" t="str">
        <f t="shared" si="353"/>
        <v/>
      </c>
      <c r="M3720" t="str" cm="1">
        <f t="array" ref="M3720">IF(L3720="","",_xlfn.IFS(
  AND(L3720&gt;=TIME(9,0,0), L3720&lt;TIME(16,0,0)),"Morning",
  AND(L3720&gt;=TIME(16,0,0), L3720&lt;TIME(23,59,0)),"Evening",
  L3720&gt;=TIME(23,59,0),"Night",
  L3720&lt;TIME(9,0,0),"Night"
))</f>
        <v/>
      </c>
      <c r="O3720" t="str">
        <f t="shared" si="350"/>
        <v/>
      </c>
    </row>
    <row r="3721" spans="7:15" x14ac:dyDescent="0.25">
      <c r="G3721" t="str">
        <f t="shared" si="348"/>
        <v/>
      </c>
      <c r="H3721" s="13" t="str">
        <f t="shared" si="351"/>
        <v/>
      </c>
      <c r="I3721" t="str">
        <f>IFERROR(INDEX(Analysis!$D$116:$N$137, MATCH(B3721, Analysis!$C$116:$C$137, 0), MATCH(C3721, Analysis!$D$115:$N$115, 0)), "")</f>
        <v/>
      </c>
      <c r="J3721" t="str">
        <f t="shared" si="352"/>
        <v/>
      </c>
      <c r="K3721" s="28" t="str">
        <f t="shared" si="349"/>
        <v/>
      </c>
      <c r="L3721" s="46" t="str">
        <f t="shared" si="353"/>
        <v/>
      </c>
      <c r="M3721" t="str" cm="1">
        <f t="array" ref="M3721">IF(L3721="","",_xlfn.IFS(
  AND(L3721&gt;=TIME(9,0,0), L3721&lt;TIME(16,0,0)),"Morning",
  AND(L3721&gt;=TIME(16,0,0), L3721&lt;TIME(23,59,0)),"Evening",
  L3721&gt;=TIME(23,59,0),"Night",
  L3721&lt;TIME(9,0,0),"Night"
))</f>
        <v/>
      </c>
      <c r="O3721" t="str">
        <f t="shared" si="350"/>
        <v/>
      </c>
    </row>
    <row r="3722" spans="7:15" x14ac:dyDescent="0.25">
      <c r="G3722" t="str">
        <f t="shared" si="348"/>
        <v/>
      </c>
      <c r="H3722" s="13" t="str">
        <f t="shared" si="351"/>
        <v/>
      </c>
      <c r="I3722" t="str">
        <f>IFERROR(INDEX(Analysis!$D$116:$N$137, MATCH(B3722, Analysis!$C$116:$C$137, 0), MATCH(C3722, Analysis!$D$115:$N$115, 0)), "")</f>
        <v/>
      </c>
      <c r="J3722" t="str">
        <f t="shared" si="352"/>
        <v/>
      </c>
      <c r="K3722" s="28" t="str">
        <f t="shared" si="349"/>
        <v/>
      </c>
      <c r="L3722" s="46" t="str">
        <f t="shared" si="353"/>
        <v/>
      </c>
      <c r="M3722" t="str" cm="1">
        <f t="array" ref="M3722">IF(L3722="","",_xlfn.IFS(
  AND(L3722&gt;=TIME(9,0,0), L3722&lt;TIME(16,0,0)),"Morning",
  AND(L3722&gt;=TIME(16,0,0), L3722&lt;TIME(23,59,0)),"Evening",
  L3722&gt;=TIME(23,59,0),"Night",
  L3722&lt;TIME(9,0,0),"Night"
))</f>
        <v/>
      </c>
      <c r="O3722" t="str">
        <f t="shared" si="350"/>
        <v/>
      </c>
    </row>
    <row r="3723" spans="7:15" x14ac:dyDescent="0.25">
      <c r="G3723" t="str">
        <f t="shared" si="348"/>
        <v/>
      </c>
      <c r="H3723" s="13" t="str">
        <f t="shared" si="351"/>
        <v/>
      </c>
      <c r="I3723" t="str">
        <f>IFERROR(INDEX(Analysis!$D$116:$N$137, MATCH(B3723, Analysis!$C$116:$C$137, 0), MATCH(C3723, Analysis!$D$115:$N$115, 0)), "")</f>
        <v/>
      </c>
      <c r="J3723" t="str">
        <f t="shared" si="352"/>
        <v/>
      </c>
      <c r="K3723" s="28" t="str">
        <f t="shared" si="349"/>
        <v/>
      </c>
      <c r="L3723" s="46" t="str">
        <f t="shared" si="353"/>
        <v/>
      </c>
      <c r="M3723" t="str" cm="1">
        <f t="array" ref="M3723">IF(L3723="","",_xlfn.IFS(
  AND(L3723&gt;=TIME(9,0,0), L3723&lt;TIME(16,0,0)),"Morning",
  AND(L3723&gt;=TIME(16,0,0), L3723&lt;TIME(23,59,0)),"Evening",
  L3723&gt;=TIME(23,59,0),"Night",
  L3723&lt;TIME(9,0,0),"Night"
))</f>
        <v/>
      </c>
      <c r="O3723" t="str">
        <f t="shared" si="350"/>
        <v/>
      </c>
    </row>
    <row r="3724" spans="7:15" x14ac:dyDescent="0.25">
      <c r="G3724" t="str">
        <f t="shared" si="348"/>
        <v/>
      </c>
      <c r="H3724" s="13" t="str">
        <f t="shared" si="351"/>
        <v/>
      </c>
      <c r="I3724" t="str">
        <f>IFERROR(INDEX(Analysis!$D$116:$N$137, MATCH(B3724, Analysis!$C$116:$C$137, 0), MATCH(C3724, Analysis!$D$115:$N$115, 0)), "")</f>
        <v/>
      </c>
      <c r="J3724" t="str">
        <f t="shared" si="352"/>
        <v/>
      </c>
      <c r="K3724" s="28" t="str">
        <f t="shared" si="349"/>
        <v/>
      </c>
      <c r="L3724" s="46" t="str">
        <f t="shared" si="353"/>
        <v/>
      </c>
      <c r="M3724" t="str" cm="1">
        <f t="array" ref="M3724">IF(L3724="","",_xlfn.IFS(
  AND(L3724&gt;=TIME(9,0,0), L3724&lt;TIME(16,0,0)),"Morning",
  AND(L3724&gt;=TIME(16,0,0), L3724&lt;TIME(23,59,0)),"Evening",
  L3724&gt;=TIME(23,59,0),"Night",
  L3724&lt;TIME(9,0,0),"Night"
))</f>
        <v/>
      </c>
      <c r="O3724" t="str">
        <f t="shared" si="350"/>
        <v/>
      </c>
    </row>
    <row r="3725" spans="7:15" x14ac:dyDescent="0.25">
      <c r="G3725" t="str">
        <f t="shared" si="348"/>
        <v/>
      </c>
      <c r="H3725" s="13" t="str">
        <f t="shared" si="351"/>
        <v/>
      </c>
      <c r="I3725" t="str">
        <f>IFERROR(INDEX(Analysis!$D$116:$N$137, MATCH(B3725, Analysis!$C$116:$C$137, 0), MATCH(C3725, Analysis!$D$115:$N$115, 0)), "")</f>
        <v/>
      </c>
      <c r="J3725" t="str">
        <f t="shared" si="352"/>
        <v/>
      </c>
      <c r="K3725" s="28" t="str">
        <f t="shared" si="349"/>
        <v/>
      </c>
      <c r="L3725" s="46" t="str">
        <f t="shared" si="353"/>
        <v/>
      </c>
      <c r="M3725" t="str" cm="1">
        <f t="array" ref="M3725">IF(L3725="","",_xlfn.IFS(
  AND(L3725&gt;=TIME(9,0,0), L3725&lt;TIME(16,0,0)),"Morning",
  AND(L3725&gt;=TIME(16,0,0), L3725&lt;TIME(23,59,0)),"Evening",
  L3725&gt;=TIME(23,59,0),"Night",
  L3725&lt;TIME(9,0,0),"Night"
))</f>
        <v/>
      </c>
      <c r="O3725" t="str">
        <f t="shared" si="350"/>
        <v/>
      </c>
    </row>
    <row r="3726" spans="7:15" x14ac:dyDescent="0.25">
      <c r="G3726" t="str">
        <f t="shared" si="348"/>
        <v/>
      </c>
      <c r="H3726" s="13" t="str">
        <f t="shared" si="351"/>
        <v/>
      </c>
      <c r="I3726" t="str">
        <f>IFERROR(INDEX(Analysis!$D$116:$N$137, MATCH(B3726, Analysis!$C$116:$C$137, 0), MATCH(C3726, Analysis!$D$115:$N$115, 0)), "")</f>
        <v/>
      </c>
      <c r="J3726" t="str">
        <f t="shared" si="352"/>
        <v/>
      </c>
      <c r="K3726" s="28" t="str">
        <f t="shared" si="349"/>
        <v/>
      </c>
      <c r="L3726" s="46" t="str">
        <f t="shared" si="353"/>
        <v/>
      </c>
      <c r="M3726" t="str" cm="1">
        <f t="array" ref="M3726">IF(L3726="","",_xlfn.IFS(
  AND(L3726&gt;=TIME(9,0,0), L3726&lt;TIME(16,0,0)),"Morning",
  AND(L3726&gt;=TIME(16,0,0), L3726&lt;TIME(23,59,0)),"Evening",
  L3726&gt;=TIME(23,59,0),"Night",
  L3726&lt;TIME(9,0,0),"Night"
))</f>
        <v/>
      </c>
      <c r="O3726" t="str">
        <f t="shared" si="350"/>
        <v/>
      </c>
    </row>
    <row r="3727" spans="7:15" x14ac:dyDescent="0.25">
      <c r="G3727" t="str">
        <f t="shared" si="348"/>
        <v/>
      </c>
      <c r="H3727" s="13" t="str">
        <f t="shared" si="351"/>
        <v/>
      </c>
      <c r="I3727" t="str">
        <f>IFERROR(INDEX(Analysis!$D$116:$N$137, MATCH(B3727, Analysis!$C$116:$C$137, 0), MATCH(C3727, Analysis!$D$115:$N$115, 0)), "")</f>
        <v/>
      </c>
      <c r="J3727" t="str">
        <f t="shared" si="352"/>
        <v/>
      </c>
      <c r="K3727" s="28" t="str">
        <f t="shared" si="349"/>
        <v/>
      </c>
      <c r="L3727" s="46" t="str">
        <f t="shared" si="353"/>
        <v/>
      </c>
      <c r="M3727" t="str" cm="1">
        <f t="array" ref="M3727">IF(L3727="","",_xlfn.IFS(
  AND(L3727&gt;=TIME(9,0,0), L3727&lt;TIME(16,0,0)),"Morning",
  AND(L3727&gt;=TIME(16,0,0), L3727&lt;TIME(23,59,0)),"Evening",
  L3727&gt;=TIME(23,59,0),"Night",
  L3727&lt;TIME(9,0,0),"Night"
))</f>
        <v/>
      </c>
      <c r="O3727" t="str">
        <f t="shared" si="350"/>
        <v/>
      </c>
    </row>
    <row r="3728" spans="7:15" x14ac:dyDescent="0.25">
      <c r="G3728" t="str">
        <f t="shared" si="348"/>
        <v/>
      </c>
      <c r="H3728" s="13" t="str">
        <f t="shared" si="351"/>
        <v/>
      </c>
      <c r="I3728" t="str">
        <f>IFERROR(INDEX(Analysis!$D$116:$N$137, MATCH(B3728, Analysis!$C$116:$C$137, 0), MATCH(C3728, Analysis!$D$115:$N$115, 0)), "")</f>
        <v/>
      </c>
      <c r="J3728" t="str">
        <f t="shared" si="352"/>
        <v/>
      </c>
      <c r="K3728" s="28" t="str">
        <f t="shared" si="349"/>
        <v/>
      </c>
      <c r="L3728" s="46" t="str">
        <f t="shared" si="353"/>
        <v/>
      </c>
      <c r="M3728" t="str" cm="1">
        <f t="array" ref="M3728">IF(L3728="","",_xlfn.IFS(
  AND(L3728&gt;=TIME(9,0,0), L3728&lt;TIME(16,0,0)),"Morning",
  AND(L3728&gt;=TIME(16,0,0), L3728&lt;TIME(23,59,0)),"Evening",
  L3728&gt;=TIME(23,59,0),"Night",
  L3728&lt;TIME(9,0,0),"Night"
))</f>
        <v/>
      </c>
      <c r="O3728" t="str">
        <f t="shared" si="350"/>
        <v/>
      </c>
    </row>
    <row r="3729" spans="7:15" x14ac:dyDescent="0.25">
      <c r="G3729" t="str">
        <f t="shared" si="348"/>
        <v/>
      </c>
      <c r="H3729" s="13" t="str">
        <f t="shared" si="351"/>
        <v/>
      </c>
      <c r="I3729" t="str">
        <f>IFERROR(INDEX(Analysis!$D$116:$N$137, MATCH(B3729, Analysis!$C$116:$C$137, 0), MATCH(C3729, Analysis!$D$115:$N$115, 0)), "")</f>
        <v/>
      </c>
      <c r="J3729" t="str">
        <f t="shared" si="352"/>
        <v/>
      </c>
      <c r="K3729" s="28" t="str">
        <f t="shared" si="349"/>
        <v/>
      </c>
      <c r="L3729" s="46" t="str">
        <f t="shared" si="353"/>
        <v/>
      </c>
      <c r="M3729" t="str" cm="1">
        <f t="array" ref="M3729">IF(L3729="","",_xlfn.IFS(
  AND(L3729&gt;=TIME(9,0,0), L3729&lt;TIME(16,0,0)),"Morning",
  AND(L3729&gt;=TIME(16,0,0), L3729&lt;TIME(23,59,0)),"Evening",
  L3729&gt;=TIME(23,59,0),"Night",
  L3729&lt;TIME(9,0,0),"Night"
))</f>
        <v/>
      </c>
      <c r="O3729" t="str">
        <f t="shared" si="350"/>
        <v/>
      </c>
    </row>
    <row r="3730" spans="7:15" x14ac:dyDescent="0.25">
      <c r="G3730" t="str">
        <f t="shared" si="348"/>
        <v/>
      </c>
      <c r="H3730" s="13" t="str">
        <f t="shared" si="351"/>
        <v/>
      </c>
      <c r="I3730" t="str">
        <f>IFERROR(INDEX(Analysis!$D$116:$N$137, MATCH(B3730, Analysis!$C$116:$C$137, 0), MATCH(C3730, Analysis!$D$115:$N$115, 0)), "")</f>
        <v/>
      </c>
      <c r="J3730" t="str">
        <f t="shared" si="352"/>
        <v/>
      </c>
      <c r="K3730" s="28" t="str">
        <f t="shared" si="349"/>
        <v/>
      </c>
      <c r="L3730" s="46" t="str">
        <f t="shared" si="353"/>
        <v/>
      </c>
      <c r="M3730" t="str" cm="1">
        <f t="array" ref="M3730">IF(L3730="","",_xlfn.IFS(
  AND(L3730&gt;=TIME(9,0,0), L3730&lt;TIME(16,0,0)),"Morning",
  AND(L3730&gt;=TIME(16,0,0), L3730&lt;TIME(23,59,0)),"Evening",
  L3730&gt;=TIME(23,59,0),"Night",
  L3730&lt;TIME(9,0,0),"Night"
))</f>
        <v/>
      </c>
      <c r="O3730" t="str">
        <f t="shared" si="350"/>
        <v/>
      </c>
    </row>
    <row r="3731" spans="7:15" x14ac:dyDescent="0.25">
      <c r="G3731" t="str">
        <f t="shared" si="348"/>
        <v/>
      </c>
      <c r="H3731" s="13" t="str">
        <f t="shared" si="351"/>
        <v/>
      </c>
      <c r="I3731" t="str">
        <f>IFERROR(INDEX(Analysis!$D$116:$N$137, MATCH(B3731, Analysis!$C$116:$C$137, 0), MATCH(C3731, Analysis!$D$115:$N$115, 0)), "")</f>
        <v/>
      </c>
      <c r="J3731" t="str">
        <f t="shared" si="352"/>
        <v/>
      </c>
      <c r="K3731" s="28" t="str">
        <f t="shared" si="349"/>
        <v/>
      </c>
      <c r="L3731" s="46" t="str">
        <f t="shared" si="353"/>
        <v/>
      </c>
      <c r="M3731" t="str" cm="1">
        <f t="array" ref="M3731">IF(L3731="","",_xlfn.IFS(
  AND(L3731&gt;=TIME(9,0,0), L3731&lt;TIME(16,0,0)),"Morning",
  AND(L3731&gt;=TIME(16,0,0), L3731&lt;TIME(23,59,0)),"Evening",
  L3731&gt;=TIME(23,59,0),"Night",
  L3731&lt;TIME(9,0,0),"Night"
))</f>
        <v/>
      </c>
      <c r="O3731" t="str">
        <f t="shared" si="350"/>
        <v/>
      </c>
    </row>
    <row r="3732" spans="7:15" x14ac:dyDescent="0.25">
      <c r="G3732" t="str">
        <f t="shared" si="348"/>
        <v/>
      </c>
      <c r="H3732" s="13" t="str">
        <f t="shared" si="351"/>
        <v/>
      </c>
      <c r="I3732" t="str">
        <f>IFERROR(INDEX(Analysis!$D$116:$N$137, MATCH(B3732, Analysis!$C$116:$C$137, 0), MATCH(C3732, Analysis!$D$115:$N$115, 0)), "")</f>
        <v/>
      </c>
      <c r="J3732" t="str">
        <f t="shared" si="352"/>
        <v/>
      </c>
      <c r="K3732" s="28" t="str">
        <f t="shared" si="349"/>
        <v/>
      </c>
      <c r="L3732" s="46" t="str">
        <f t="shared" si="353"/>
        <v/>
      </c>
      <c r="M3732" t="str" cm="1">
        <f t="array" ref="M3732">IF(L3732="","",_xlfn.IFS(
  AND(L3732&gt;=TIME(9,0,0), L3732&lt;TIME(16,0,0)),"Morning",
  AND(L3732&gt;=TIME(16,0,0), L3732&lt;TIME(23,59,0)),"Evening",
  L3732&gt;=TIME(23,59,0),"Night",
  L3732&lt;TIME(9,0,0),"Night"
))</f>
        <v/>
      </c>
      <c r="O3732" t="str">
        <f t="shared" si="350"/>
        <v/>
      </c>
    </row>
    <row r="3733" spans="7:15" x14ac:dyDescent="0.25">
      <c r="G3733" t="str">
        <f t="shared" si="348"/>
        <v/>
      </c>
      <c r="H3733" s="13" t="str">
        <f t="shared" si="351"/>
        <v/>
      </c>
      <c r="I3733" t="str">
        <f>IFERROR(INDEX(Analysis!$D$116:$N$137, MATCH(B3733, Analysis!$C$116:$C$137, 0), MATCH(C3733, Analysis!$D$115:$N$115, 0)), "")</f>
        <v/>
      </c>
      <c r="J3733" t="str">
        <f t="shared" si="352"/>
        <v/>
      </c>
      <c r="K3733" s="28" t="str">
        <f t="shared" si="349"/>
        <v/>
      </c>
      <c r="L3733" s="46" t="str">
        <f t="shared" si="353"/>
        <v/>
      </c>
      <c r="M3733" t="str" cm="1">
        <f t="array" ref="M3733">IF(L3733="","",_xlfn.IFS(
  AND(L3733&gt;=TIME(9,0,0), L3733&lt;TIME(16,0,0)),"Morning",
  AND(L3733&gt;=TIME(16,0,0), L3733&lt;TIME(23,59,0)),"Evening",
  L3733&gt;=TIME(23,59,0),"Night",
  L3733&lt;TIME(9,0,0),"Night"
))</f>
        <v/>
      </c>
      <c r="O3733" t="str">
        <f t="shared" si="350"/>
        <v/>
      </c>
    </row>
    <row r="3734" spans="7:15" x14ac:dyDescent="0.25">
      <c r="G3734" t="str">
        <f t="shared" si="348"/>
        <v/>
      </c>
      <c r="H3734" s="13" t="str">
        <f t="shared" si="351"/>
        <v/>
      </c>
      <c r="I3734" t="str">
        <f>IFERROR(INDEX(Analysis!$D$116:$N$137, MATCH(B3734, Analysis!$C$116:$C$137, 0), MATCH(C3734, Analysis!$D$115:$N$115, 0)), "")</f>
        <v/>
      </c>
      <c r="J3734" t="str">
        <f t="shared" si="352"/>
        <v/>
      </c>
      <c r="K3734" s="28" t="str">
        <f t="shared" si="349"/>
        <v/>
      </c>
      <c r="L3734" s="46" t="str">
        <f t="shared" si="353"/>
        <v/>
      </c>
      <c r="M3734" t="str" cm="1">
        <f t="array" ref="M3734">IF(L3734="","",_xlfn.IFS(
  AND(L3734&gt;=TIME(9,0,0), L3734&lt;TIME(16,0,0)),"Morning",
  AND(L3734&gt;=TIME(16,0,0), L3734&lt;TIME(23,59,0)),"Evening",
  L3734&gt;=TIME(23,59,0),"Night",
  L3734&lt;TIME(9,0,0),"Night"
))</f>
        <v/>
      </c>
      <c r="O3734" t="str">
        <f t="shared" si="350"/>
        <v/>
      </c>
    </row>
    <row r="3735" spans="7:15" x14ac:dyDescent="0.25">
      <c r="G3735" t="str">
        <f t="shared" si="348"/>
        <v/>
      </c>
      <c r="H3735" s="13" t="str">
        <f t="shared" si="351"/>
        <v/>
      </c>
      <c r="I3735" t="str">
        <f>IFERROR(INDEX(Analysis!$D$116:$N$137, MATCH(B3735, Analysis!$C$116:$C$137, 0), MATCH(C3735, Analysis!$D$115:$N$115, 0)), "")</f>
        <v/>
      </c>
      <c r="J3735" t="str">
        <f t="shared" si="352"/>
        <v/>
      </c>
      <c r="K3735" s="28" t="str">
        <f t="shared" si="349"/>
        <v/>
      </c>
      <c r="L3735" s="46" t="str">
        <f t="shared" si="353"/>
        <v/>
      </c>
      <c r="M3735" t="str" cm="1">
        <f t="array" ref="M3735">IF(L3735="","",_xlfn.IFS(
  AND(L3735&gt;=TIME(9,0,0), L3735&lt;TIME(16,0,0)),"Morning",
  AND(L3735&gt;=TIME(16,0,0), L3735&lt;TIME(23,59,0)),"Evening",
  L3735&gt;=TIME(23,59,0),"Night",
  L3735&lt;TIME(9,0,0),"Night"
))</f>
        <v/>
      </c>
      <c r="O3735" t="str">
        <f t="shared" si="350"/>
        <v/>
      </c>
    </row>
    <row r="3736" spans="7:15" x14ac:dyDescent="0.25">
      <c r="G3736" t="str">
        <f t="shared" si="348"/>
        <v/>
      </c>
      <c r="H3736" s="13" t="str">
        <f t="shared" si="351"/>
        <v/>
      </c>
      <c r="I3736" t="str">
        <f>IFERROR(INDEX(Analysis!$D$116:$N$137, MATCH(B3736, Analysis!$C$116:$C$137, 0), MATCH(C3736, Analysis!$D$115:$N$115, 0)), "")</f>
        <v/>
      </c>
      <c r="J3736" t="str">
        <f t="shared" si="352"/>
        <v/>
      </c>
      <c r="K3736" s="28" t="str">
        <f t="shared" si="349"/>
        <v/>
      </c>
      <c r="L3736" s="46" t="str">
        <f t="shared" si="353"/>
        <v/>
      </c>
      <c r="M3736" t="str" cm="1">
        <f t="array" ref="M3736">IF(L3736="","",_xlfn.IFS(
  AND(L3736&gt;=TIME(9,0,0), L3736&lt;TIME(16,0,0)),"Morning",
  AND(L3736&gt;=TIME(16,0,0), L3736&lt;TIME(23,59,0)),"Evening",
  L3736&gt;=TIME(23,59,0),"Night",
  L3736&lt;TIME(9,0,0),"Night"
))</f>
        <v/>
      </c>
      <c r="O3736" t="str">
        <f t="shared" si="350"/>
        <v/>
      </c>
    </row>
    <row r="3737" spans="7:15" x14ac:dyDescent="0.25">
      <c r="G3737" t="str">
        <f t="shared" si="348"/>
        <v/>
      </c>
      <c r="H3737" s="13" t="str">
        <f t="shared" si="351"/>
        <v/>
      </c>
      <c r="I3737" t="str">
        <f>IFERROR(INDEX(Analysis!$D$116:$N$137, MATCH(B3737, Analysis!$C$116:$C$137, 0), MATCH(C3737, Analysis!$D$115:$N$115, 0)), "")</f>
        <v/>
      </c>
      <c r="J3737" t="str">
        <f t="shared" si="352"/>
        <v/>
      </c>
      <c r="K3737" s="28" t="str">
        <f t="shared" si="349"/>
        <v/>
      </c>
      <c r="L3737" s="46" t="str">
        <f t="shared" si="353"/>
        <v/>
      </c>
      <c r="M3737" t="str" cm="1">
        <f t="array" ref="M3737">IF(L3737="","",_xlfn.IFS(
  AND(L3737&gt;=TIME(9,0,0), L3737&lt;TIME(16,0,0)),"Morning",
  AND(L3737&gt;=TIME(16,0,0), L3737&lt;TIME(23,59,0)),"Evening",
  L3737&gt;=TIME(23,59,0),"Night",
  L3737&lt;TIME(9,0,0),"Night"
))</f>
        <v/>
      </c>
      <c r="O3737" t="str">
        <f t="shared" si="350"/>
        <v/>
      </c>
    </row>
    <row r="3738" spans="7:15" x14ac:dyDescent="0.25">
      <c r="G3738" t="str">
        <f t="shared" si="348"/>
        <v/>
      </c>
      <c r="H3738" s="13" t="str">
        <f t="shared" si="351"/>
        <v/>
      </c>
      <c r="I3738" t="str">
        <f>IFERROR(INDEX(Analysis!$D$116:$N$137, MATCH(B3738, Analysis!$C$116:$C$137, 0), MATCH(C3738, Analysis!$D$115:$N$115, 0)), "")</f>
        <v/>
      </c>
      <c r="J3738" t="str">
        <f t="shared" si="352"/>
        <v/>
      </c>
      <c r="K3738" s="28" t="str">
        <f t="shared" si="349"/>
        <v/>
      </c>
      <c r="L3738" s="46" t="str">
        <f t="shared" si="353"/>
        <v/>
      </c>
      <c r="M3738" t="str" cm="1">
        <f t="array" ref="M3738">IF(L3738="","",_xlfn.IFS(
  AND(L3738&gt;=TIME(9,0,0), L3738&lt;TIME(16,0,0)),"Morning",
  AND(L3738&gt;=TIME(16,0,0), L3738&lt;TIME(23,59,0)),"Evening",
  L3738&gt;=TIME(23,59,0),"Night",
  L3738&lt;TIME(9,0,0),"Night"
))</f>
        <v/>
      </c>
      <c r="O3738" t="str">
        <f t="shared" si="350"/>
        <v/>
      </c>
    </row>
    <row r="3739" spans="7:15" x14ac:dyDescent="0.25">
      <c r="G3739" t="str">
        <f t="shared" si="348"/>
        <v/>
      </c>
      <c r="H3739" s="13" t="str">
        <f t="shared" si="351"/>
        <v/>
      </c>
      <c r="I3739" t="str">
        <f>IFERROR(INDEX(Analysis!$D$116:$N$137, MATCH(B3739, Analysis!$C$116:$C$137, 0), MATCH(C3739, Analysis!$D$115:$N$115, 0)), "")</f>
        <v/>
      </c>
      <c r="J3739" t="str">
        <f t="shared" si="352"/>
        <v/>
      </c>
      <c r="K3739" s="28" t="str">
        <f t="shared" si="349"/>
        <v/>
      </c>
      <c r="L3739" s="46" t="str">
        <f t="shared" si="353"/>
        <v/>
      </c>
      <c r="M3739" t="str" cm="1">
        <f t="array" ref="M3739">IF(L3739="","",_xlfn.IFS(
  AND(L3739&gt;=TIME(9,0,0), L3739&lt;TIME(16,0,0)),"Morning",
  AND(L3739&gt;=TIME(16,0,0), L3739&lt;TIME(23,59,0)),"Evening",
  L3739&gt;=TIME(23,59,0),"Night",
  L3739&lt;TIME(9,0,0),"Night"
))</f>
        <v/>
      </c>
      <c r="O3739" t="str">
        <f t="shared" si="350"/>
        <v/>
      </c>
    </row>
    <row r="3740" spans="7:15" x14ac:dyDescent="0.25">
      <c r="G3740" t="str">
        <f t="shared" si="348"/>
        <v/>
      </c>
      <c r="H3740" s="13" t="str">
        <f t="shared" si="351"/>
        <v/>
      </c>
      <c r="I3740" t="str">
        <f>IFERROR(INDEX(Analysis!$D$116:$N$137, MATCH(B3740, Analysis!$C$116:$C$137, 0), MATCH(C3740, Analysis!$D$115:$N$115, 0)), "")</f>
        <v/>
      </c>
      <c r="J3740" t="str">
        <f t="shared" si="352"/>
        <v/>
      </c>
      <c r="K3740" s="28" t="str">
        <f t="shared" si="349"/>
        <v/>
      </c>
      <c r="L3740" s="46" t="str">
        <f t="shared" si="353"/>
        <v/>
      </c>
      <c r="M3740" t="str" cm="1">
        <f t="array" ref="M3740">IF(L3740="","",_xlfn.IFS(
  AND(L3740&gt;=TIME(9,0,0), L3740&lt;TIME(16,0,0)),"Morning",
  AND(L3740&gt;=TIME(16,0,0), L3740&lt;TIME(23,59,0)),"Evening",
  L3740&gt;=TIME(23,59,0),"Night",
  L3740&lt;TIME(9,0,0),"Night"
))</f>
        <v/>
      </c>
      <c r="O3740" t="str">
        <f t="shared" si="350"/>
        <v/>
      </c>
    </row>
    <row r="3741" spans="7:15" x14ac:dyDescent="0.25">
      <c r="G3741" t="str">
        <f t="shared" si="348"/>
        <v/>
      </c>
      <c r="H3741" s="13" t="str">
        <f t="shared" si="351"/>
        <v/>
      </c>
      <c r="I3741" t="str">
        <f>IFERROR(INDEX(Analysis!$D$116:$N$137, MATCH(B3741, Analysis!$C$116:$C$137, 0), MATCH(C3741, Analysis!$D$115:$N$115, 0)), "")</f>
        <v/>
      </c>
      <c r="J3741" t="str">
        <f t="shared" si="352"/>
        <v/>
      </c>
      <c r="K3741" s="28" t="str">
        <f t="shared" si="349"/>
        <v/>
      </c>
      <c r="L3741" s="46" t="str">
        <f t="shared" si="353"/>
        <v/>
      </c>
      <c r="M3741" t="str" cm="1">
        <f t="array" ref="M3741">IF(L3741="","",_xlfn.IFS(
  AND(L3741&gt;=TIME(9,0,0), L3741&lt;TIME(16,0,0)),"Morning",
  AND(L3741&gt;=TIME(16,0,0), L3741&lt;TIME(23,59,0)),"Evening",
  L3741&gt;=TIME(23,59,0),"Night",
  L3741&lt;TIME(9,0,0),"Night"
))</f>
        <v/>
      </c>
      <c r="O3741" t="str">
        <f t="shared" si="350"/>
        <v/>
      </c>
    </row>
    <row r="3742" spans="7:15" x14ac:dyDescent="0.25">
      <c r="G3742" t="str">
        <f t="shared" si="348"/>
        <v/>
      </c>
      <c r="H3742" s="13" t="str">
        <f t="shared" si="351"/>
        <v/>
      </c>
      <c r="I3742" t="str">
        <f>IFERROR(INDEX(Analysis!$D$116:$N$137, MATCH(B3742, Analysis!$C$116:$C$137, 0), MATCH(C3742, Analysis!$D$115:$N$115, 0)), "")</f>
        <v/>
      </c>
      <c r="J3742" t="str">
        <f t="shared" si="352"/>
        <v/>
      </c>
      <c r="K3742" s="28" t="str">
        <f t="shared" si="349"/>
        <v/>
      </c>
      <c r="L3742" s="46" t="str">
        <f t="shared" si="353"/>
        <v/>
      </c>
      <c r="M3742" t="str" cm="1">
        <f t="array" ref="M3742">IF(L3742="","",_xlfn.IFS(
  AND(L3742&gt;=TIME(9,0,0), L3742&lt;TIME(16,0,0)),"Morning",
  AND(L3742&gt;=TIME(16,0,0), L3742&lt;TIME(23,59,0)),"Evening",
  L3742&gt;=TIME(23,59,0),"Night",
  L3742&lt;TIME(9,0,0),"Night"
))</f>
        <v/>
      </c>
      <c r="O3742" t="str">
        <f t="shared" si="350"/>
        <v/>
      </c>
    </row>
    <row r="3743" spans="7:15" x14ac:dyDescent="0.25">
      <c r="G3743" t="str">
        <f t="shared" si="348"/>
        <v/>
      </c>
      <c r="H3743" s="13" t="str">
        <f t="shared" si="351"/>
        <v/>
      </c>
      <c r="I3743" t="str">
        <f>IFERROR(INDEX(Analysis!$D$116:$N$137, MATCH(B3743, Analysis!$C$116:$C$137, 0), MATCH(C3743, Analysis!$D$115:$N$115, 0)), "")</f>
        <v/>
      </c>
      <c r="J3743" t="str">
        <f t="shared" si="352"/>
        <v/>
      </c>
      <c r="K3743" s="28" t="str">
        <f t="shared" si="349"/>
        <v/>
      </c>
      <c r="L3743" s="46" t="str">
        <f t="shared" si="353"/>
        <v/>
      </c>
      <c r="M3743" t="str" cm="1">
        <f t="array" ref="M3743">IF(L3743="","",_xlfn.IFS(
  AND(L3743&gt;=TIME(9,0,0), L3743&lt;TIME(16,0,0)),"Morning",
  AND(L3743&gt;=TIME(16,0,0), L3743&lt;TIME(23,59,0)),"Evening",
  L3743&gt;=TIME(23,59,0),"Night",
  L3743&lt;TIME(9,0,0),"Night"
))</f>
        <v/>
      </c>
      <c r="O3743" t="str">
        <f t="shared" si="350"/>
        <v/>
      </c>
    </row>
    <row r="3744" spans="7:15" x14ac:dyDescent="0.25">
      <c r="G3744" t="str">
        <f t="shared" si="348"/>
        <v/>
      </c>
      <c r="H3744" s="13" t="str">
        <f t="shared" si="351"/>
        <v/>
      </c>
      <c r="I3744" t="str">
        <f>IFERROR(INDEX(Analysis!$D$116:$N$137, MATCH(B3744, Analysis!$C$116:$C$137, 0), MATCH(C3744, Analysis!$D$115:$N$115, 0)), "")</f>
        <v/>
      </c>
      <c r="J3744" t="str">
        <f t="shared" si="352"/>
        <v/>
      </c>
      <c r="K3744" s="28" t="str">
        <f t="shared" si="349"/>
        <v/>
      </c>
      <c r="L3744" s="46" t="str">
        <f t="shared" si="353"/>
        <v/>
      </c>
      <c r="M3744" t="str" cm="1">
        <f t="array" ref="M3744">IF(L3744="","",_xlfn.IFS(
  AND(L3744&gt;=TIME(9,0,0), L3744&lt;TIME(16,0,0)),"Morning",
  AND(L3744&gt;=TIME(16,0,0), L3744&lt;TIME(23,59,0)),"Evening",
  L3744&gt;=TIME(23,59,0),"Night",
  L3744&lt;TIME(9,0,0),"Night"
))</f>
        <v/>
      </c>
      <c r="O3744" t="str">
        <f t="shared" si="350"/>
        <v/>
      </c>
    </row>
    <row r="3745" spans="7:15" x14ac:dyDescent="0.25">
      <c r="G3745" t="str">
        <f t="shared" si="348"/>
        <v/>
      </c>
      <c r="H3745" s="13" t="str">
        <f t="shared" si="351"/>
        <v/>
      </c>
      <c r="I3745" t="str">
        <f>IFERROR(INDEX(Analysis!$D$116:$N$137, MATCH(B3745, Analysis!$C$116:$C$137, 0), MATCH(C3745, Analysis!$D$115:$N$115, 0)), "")</f>
        <v/>
      </c>
      <c r="J3745" t="str">
        <f t="shared" si="352"/>
        <v/>
      </c>
      <c r="K3745" s="28" t="str">
        <f t="shared" si="349"/>
        <v/>
      </c>
      <c r="L3745" s="46" t="str">
        <f t="shared" si="353"/>
        <v/>
      </c>
      <c r="M3745" t="str" cm="1">
        <f t="array" ref="M3745">IF(L3745="","",_xlfn.IFS(
  AND(L3745&gt;=TIME(9,0,0), L3745&lt;TIME(16,0,0)),"Morning",
  AND(L3745&gt;=TIME(16,0,0), L3745&lt;TIME(23,59,0)),"Evening",
  L3745&gt;=TIME(23,59,0),"Night",
  L3745&lt;TIME(9,0,0),"Night"
))</f>
        <v/>
      </c>
      <c r="O3745" t="str">
        <f t="shared" si="350"/>
        <v/>
      </c>
    </row>
    <row r="3746" spans="7:15" x14ac:dyDescent="0.25">
      <c r="G3746" t="str">
        <f t="shared" si="348"/>
        <v/>
      </c>
      <c r="H3746" s="13" t="str">
        <f t="shared" si="351"/>
        <v/>
      </c>
      <c r="I3746" t="str">
        <f>IFERROR(INDEX(Analysis!$D$116:$N$137, MATCH(B3746, Analysis!$C$116:$C$137, 0), MATCH(C3746, Analysis!$D$115:$N$115, 0)), "")</f>
        <v/>
      </c>
      <c r="J3746" t="str">
        <f t="shared" si="352"/>
        <v/>
      </c>
      <c r="K3746" s="28" t="str">
        <f t="shared" si="349"/>
        <v/>
      </c>
      <c r="L3746" s="46" t="str">
        <f t="shared" si="353"/>
        <v/>
      </c>
      <c r="M3746" t="str" cm="1">
        <f t="array" ref="M3746">IF(L3746="","",_xlfn.IFS(
  AND(L3746&gt;=TIME(9,0,0), L3746&lt;TIME(16,0,0)),"Morning",
  AND(L3746&gt;=TIME(16,0,0), L3746&lt;TIME(23,59,0)),"Evening",
  L3746&gt;=TIME(23,59,0),"Night",
  L3746&lt;TIME(9,0,0),"Night"
))</f>
        <v/>
      </c>
      <c r="O3746" t="str">
        <f t="shared" si="350"/>
        <v/>
      </c>
    </row>
    <row r="3747" spans="7:15" x14ac:dyDescent="0.25">
      <c r="G3747" t="str">
        <f t="shared" si="348"/>
        <v/>
      </c>
      <c r="H3747" s="13" t="str">
        <f t="shared" si="351"/>
        <v/>
      </c>
      <c r="I3747" t="str">
        <f>IFERROR(INDEX(Analysis!$D$116:$N$137, MATCH(B3747, Analysis!$C$116:$C$137, 0), MATCH(C3747, Analysis!$D$115:$N$115, 0)), "")</f>
        <v/>
      </c>
      <c r="J3747" t="str">
        <f t="shared" si="352"/>
        <v/>
      </c>
      <c r="K3747" s="28" t="str">
        <f t="shared" si="349"/>
        <v/>
      </c>
      <c r="L3747" s="46" t="str">
        <f t="shared" si="353"/>
        <v/>
      </c>
      <c r="M3747" t="str" cm="1">
        <f t="array" ref="M3747">IF(L3747="","",_xlfn.IFS(
  AND(L3747&gt;=TIME(9,0,0), L3747&lt;TIME(16,0,0)),"Morning",
  AND(L3747&gt;=TIME(16,0,0), L3747&lt;TIME(23,59,0)),"Evening",
  L3747&gt;=TIME(23,59,0),"Night",
  L3747&lt;TIME(9,0,0),"Night"
))</f>
        <v/>
      </c>
      <c r="O3747" t="str">
        <f t="shared" si="350"/>
        <v/>
      </c>
    </row>
    <row r="3748" spans="7:15" x14ac:dyDescent="0.25">
      <c r="G3748" t="str">
        <f t="shared" si="348"/>
        <v/>
      </c>
      <c r="H3748" s="13" t="str">
        <f t="shared" si="351"/>
        <v/>
      </c>
      <c r="I3748" t="str">
        <f>IFERROR(INDEX(Analysis!$D$116:$N$137, MATCH(B3748, Analysis!$C$116:$C$137, 0), MATCH(C3748, Analysis!$D$115:$N$115, 0)), "")</f>
        <v/>
      </c>
      <c r="J3748" t="str">
        <f t="shared" si="352"/>
        <v/>
      </c>
      <c r="K3748" s="28" t="str">
        <f t="shared" si="349"/>
        <v/>
      </c>
      <c r="L3748" s="46" t="str">
        <f t="shared" si="353"/>
        <v/>
      </c>
      <c r="M3748" t="str" cm="1">
        <f t="array" ref="M3748">IF(L3748="","",_xlfn.IFS(
  AND(L3748&gt;=TIME(9,0,0), L3748&lt;TIME(16,0,0)),"Morning",
  AND(L3748&gt;=TIME(16,0,0), L3748&lt;TIME(23,59,0)),"Evening",
  L3748&gt;=TIME(23,59,0),"Night",
  L3748&lt;TIME(9,0,0),"Night"
))</f>
        <v/>
      </c>
      <c r="O3748" t="str">
        <f t="shared" si="350"/>
        <v/>
      </c>
    </row>
    <row r="3749" spans="7:15" x14ac:dyDescent="0.25">
      <c r="G3749" t="str">
        <f t="shared" si="348"/>
        <v/>
      </c>
      <c r="H3749" s="13" t="str">
        <f t="shared" si="351"/>
        <v/>
      </c>
      <c r="I3749" t="str">
        <f>IFERROR(INDEX(Analysis!$D$116:$N$137, MATCH(B3749, Analysis!$C$116:$C$137, 0), MATCH(C3749, Analysis!$D$115:$N$115, 0)), "")</f>
        <v/>
      </c>
      <c r="J3749" t="str">
        <f t="shared" si="352"/>
        <v/>
      </c>
      <c r="K3749" s="28" t="str">
        <f t="shared" si="349"/>
        <v/>
      </c>
      <c r="L3749" s="46" t="str">
        <f t="shared" si="353"/>
        <v/>
      </c>
      <c r="M3749" t="str" cm="1">
        <f t="array" ref="M3749">IF(L3749="","",_xlfn.IFS(
  AND(L3749&gt;=TIME(9,0,0), L3749&lt;TIME(16,0,0)),"Morning",
  AND(L3749&gt;=TIME(16,0,0), L3749&lt;TIME(23,59,0)),"Evening",
  L3749&gt;=TIME(23,59,0),"Night",
  L3749&lt;TIME(9,0,0),"Night"
))</f>
        <v/>
      </c>
      <c r="O3749" t="str">
        <f t="shared" si="350"/>
        <v/>
      </c>
    </row>
    <row r="3750" spans="7:15" x14ac:dyDescent="0.25">
      <c r="G3750" t="str">
        <f t="shared" si="348"/>
        <v/>
      </c>
      <c r="H3750" s="13" t="str">
        <f t="shared" si="351"/>
        <v/>
      </c>
      <c r="I3750" t="str">
        <f>IFERROR(INDEX(Analysis!$D$116:$N$137, MATCH(B3750, Analysis!$C$116:$C$137, 0), MATCH(C3750, Analysis!$D$115:$N$115, 0)), "")</f>
        <v/>
      </c>
      <c r="J3750" t="str">
        <f t="shared" si="352"/>
        <v/>
      </c>
      <c r="K3750" s="28" t="str">
        <f t="shared" si="349"/>
        <v/>
      </c>
      <c r="L3750" s="46" t="str">
        <f t="shared" si="353"/>
        <v/>
      </c>
      <c r="M3750" t="str" cm="1">
        <f t="array" ref="M3750">IF(L3750="","",_xlfn.IFS(
  AND(L3750&gt;=TIME(9,0,0), L3750&lt;TIME(16,0,0)),"Morning",
  AND(L3750&gt;=TIME(16,0,0), L3750&lt;TIME(23,59,0)),"Evening",
  L3750&gt;=TIME(23,59,0),"Night",
  L3750&lt;TIME(9,0,0),"Night"
))</f>
        <v/>
      </c>
      <c r="O3750" t="str">
        <f t="shared" si="350"/>
        <v/>
      </c>
    </row>
    <row r="3751" spans="7:15" x14ac:dyDescent="0.25">
      <c r="G3751" t="str">
        <f t="shared" si="348"/>
        <v/>
      </c>
      <c r="H3751" s="13" t="str">
        <f t="shared" si="351"/>
        <v/>
      </c>
      <c r="I3751" t="str">
        <f>IFERROR(INDEX(Analysis!$D$116:$N$137, MATCH(B3751, Analysis!$C$116:$C$137, 0), MATCH(C3751, Analysis!$D$115:$N$115, 0)), "")</f>
        <v/>
      </c>
      <c r="J3751" t="str">
        <f t="shared" si="352"/>
        <v/>
      </c>
      <c r="K3751" s="28" t="str">
        <f t="shared" si="349"/>
        <v/>
      </c>
      <c r="L3751" s="46" t="str">
        <f t="shared" si="353"/>
        <v/>
      </c>
      <c r="M3751" t="str" cm="1">
        <f t="array" ref="M3751">IF(L3751="","",_xlfn.IFS(
  AND(L3751&gt;=TIME(9,0,0), L3751&lt;TIME(16,0,0)),"Morning",
  AND(L3751&gt;=TIME(16,0,0), L3751&lt;TIME(23,59,0)),"Evening",
  L3751&gt;=TIME(23,59,0),"Night",
  L3751&lt;TIME(9,0,0),"Night"
))</f>
        <v/>
      </c>
      <c r="O3751" t="str">
        <f t="shared" si="350"/>
        <v/>
      </c>
    </row>
    <row r="3752" spans="7:15" x14ac:dyDescent="0.25">
      <c r="G3752" t="str">
        <f t="shared" si="348"/>
        <v/>
      </c>
      <c r="H3752" s="13" t="str">
        <f t="shared" si="351"/>
        <v/>
      </c>
      <c r="I3752" t="str">
        <f>IFERROR(INDEX(Analysis!$D$116:$N$137, MATCH(B3752, Analysis!$C$116:$C$137, 0), MATCH(C3752, Analysis!$D$115:$N$115, 0)), "")</f>
        <v/>
      </c>
      <c r="J3752" t="str">
        <f t="shared" si="352"/>
        <v/>
      </c>
      <c r="K3752" s="28" t="str">
        <f t="shared" si="349"/>
        <v/>
      </c>
      <c r="L3752" s="46" t="str">
        <f t="shared" si="353"/>
        <v/>
      </c>
      <c r="M3752" t="str" cm="1">
        <f t="array" ref="M3752">IF(L3752="","",_xlfn.IFS(
  AND(L3752&gt;=TIME(9,0,0), L3752&lt;TIME(16,0,0)),"Morning",
  AND(L3752&gt;=TIME(16,0,0), L3752&lt;TIME(23,59,0)),"Evening",
  L3752&gt;=TIME(23,59,0),"Night",
  L3752&lt;TIME(9,0,0),"Night"
))</f>
        <v/>
      </c>
      <c r="O3752" t="str">
        <f t="shared" si="350"/>
        <v/>
      </c>
    </row>
    <row r="3753" spans="7:15" x14ac:dyDescent="0.25">
      <c r="G3753" t="str">
        <f t="shared" si="348"/>
        <v/>
      </c>
      <c r="H3753" s="13" t="str">
        <f t="shared" si="351"/>
        <v/>
      </c>
      <c r="I3753" t="str">
        <f>IFERROR(INDEX(Analysis!$D$116:$N$137, MATCH(B3753, Analysis!$C$116:$C$137, 0), MATCH(C3753, Analysis!$D$115:$N$115, 0)), "")</f>
        <v/>
      </c>
      <c r="J3753" t="str">
        <f t="shared" si="352"/>
        <v/>
      </c>
      <c r="K3753" s="28" t="str">
        <f t="shared" si="349"/>
        <v/>
      </c>
      <c r="L3753" s="46" t="str">
        <f t="shared" si="353"/>
        <v/>
      </c>
      <c r="M3753" t="str" cm="1">
        <f t="array" ref="M3753">IF(L3753="","",_xlfn.IFS(
  AND(L3753&gt;=TIME(9,0,0), L3753&lt;TIME(16,0,0)),"Morning",
  AND(L3753&gt;=TIME(16,0,0), L3753&lt;TIME(23,59,0)),"Evening",
  L3753&gt;=TIME(23,59,0),"Night",
  L3753&lt;TIME(9,0,0),"Night"
))</f>
        <v/>
      </c>
      <c r="O3753" t="str">
        <f t="shared" si="350"/>
        <v/>
      </c>
    </row>
    <row r="3754" spans="7:15" x14ac:dyDescent="0.25">
      <c r="G3754" t="str">
        <f t="shared" si="348"/>
        <v/>
      </c>
      <c r="H3754" s="13" t="str">
        <f t="shared" si="351"/>
        <v/>
      </c>
      <c r="I3754" t="str">
        <f>IFERROR(INDEX(Analysis!$D$116:$N$137, MATCH(B3754, Analysis!$C$116:$C$137, 0), MATCH(C3754, Analysis!$D$115:$N$115, 0)), "")</f>
        <v/>
      </c>
      <c r="J3754" t="str">
        <f t="shared" si="352"/>
        <v/>
      </c>
      <c r="K3754" s="28" t="str">
        <f t="shared" si="349"/>
        <v/>
      </c>
      <c r="L3754" s="46" t="str">
        <f t="shared" si="353"/>
        <v/>
      </c>
      <c r="M3754" t="str" cm="1">
        <f t="array" ref="M3754">IF(L3754="","",_xlfn.IFS(
  AND(L3754&gt;=TIME(9,0,0), L3754&lt;TIME(16,0,0)),"Morning",
  AND(L3754&gt;=TIME(16,0,0), L3754&lt;TIME(23,59,0)),"Evening",
  L3754&gt;=TIME(23,59,0),"Night",
  L3754&lt;TIME(9,0,0),"Night"
))</f>
        <v/>
      </c>
      <c r="O3754" t="str">
        <f t="shared" si="350"/>
        <v/>
      </c>
    </row>
    <row r="3755" spans="7:15" x14ac:dyDescent="0.25">
      <c r="G3755" t="str">
        <f t="shared" si="348"/>
        <v/>
      </c>
      <c r="H3755" s="13" t="str">
        <f t="shared" si="351"/>
        <v/>
      </c>
      <c r="I3755" t="str">
        <f>IFERROR(INDEX(Analysis!$D$116:$N$137, MATCH(B3755, Analysis!$C$116:$C$137, 0), MATCH(C3755, Analysis!$D$115:$N$115, 0)), "")</f>
        <v/>
      </c>
      <c r="J3755" t="str">
        <f t="shared" si="352"/>
        <v/>
      </c>
      <c r="K3755" s="28" t="str">
        <f t="shared" si="349"/>
        <v/>
      </c>
      <c r="L3755" s="46" t="str">
        <f t="shared" si="353"/>
        <v/>
      </c>
      <c r="M3755" t="str" cm="1">
        <f t="array" ref="M3755">IF(L3755="","",_xlfn.IFS(
  AND(L3755&gt;=TIME(9,0,0), L3755&lt;TIME(16,0,0)),"Morning",
  AND(L3755&gt;=TIME(16,0,0), L3755&lt;TIME(23,59,0)),"Evening",
  L3755&gt;=TIME(23,59,0),"Night",
  L3755&lt;TIME(9,0,0),"Night"
))</f>
        <v/>
      </c>
      <c r="O3755" t="str">
        <f t="shared" si="350"/>
        <v/>
      </c>
    </row>
    <row r="3756" spans="7:15" x14ac:dyDescent="0.25">
      <c r="G3756" t="str">
        <f t="shared" si="348"/>
        <v/>
      </c>
      <c r="H3756" s="13" t="str">
        <f t="shared" si="351"/>
        <v/>
      </c>
      <c r="I3756" t="str">
        <f>IFERROR(INDEX(Analysis!$D$116:$N$137, MATCH(B3756, Analysis!$C$116:$C$137, 0), MATCH(C3756, Analysis!$D$115:$N$115, 0)), "")</f>
        <v/>
      </c>
      <c r="J3756" t="str">
        <f t="shared" si="352"/>
        <v/>
      </c>
      <c r="K3756" s="28" t="str">
        <f t="shared" si="349"/>
        <v/>
      </c>
      <c r="L3756" s="46" t="str">
        <f t="shared" si="353"/>
        <v/>
      </c>
      <c r="M3756" t="str" cm="1">
        <f t="array" ref="M3756">IF(L3756="","",_xlfn.IFS(
  AND(L3756&gt;=TIME(9,0,0), L3756&lt;TIME(16,0,0)),"Morning",
  AND(L3756&gt;=TIME(16,0,0), L3756&lt;TIME(23,59,0)),"Evening",
  L3756&gt;=TIME(23,59,0),"Night",
  L3756&lt;TIME(9,0,0),"Night"
))</f>
        <v/>
      </c>
      <c r="O3756" t="str">
        <f t="shared" si="350"/>
        <v/>
      </c>
    </row>
    <row r="3757" spans="7:15" x14ac:dyDescent="0.25">
      <c r="G3757" t="str">
        <f t="shared" si="348"/>
        <v/>
      </c>
      <c r="H3757" s="13" t="str">
        <f t="shared" si="351"/>
        <v/>
      </c>
      <c r="I3757" t="str">
        <f>IFERROR(INDEX(Analysis!$D$116:$N$137, MATCH(B3757, Analysis!$C$116:$C$137, 0), MATCH(C3757, Analysis!$D$115:$N$115, 0)), "")</f>
        <v/>
      </c>
      <c r="J3757" t="str">
        <f t="shared" si="352"/>
        <v/>
      </c>
      <c r="K3757" s="28" t="str">
        <f t="shared" si="349"/>
        <v/>
      </c>
      <c r="L3757" s="46" t="str">
        <f t="shared" si="353"/>
        <v/>
      </c>
      <c r="M3757" t="str" cm="1">
        <f t="array" ref="M3757">IF(L3757="","",_xlfn.IFS(
  AND(L3757&gt;=TIME(9,0,0), L3757&lt;TIME(16,0,0)),"Morning",
  AND(L3757&gt;=TIME(16,0,0), L3757&lt;TIME(23,59,0)),"Evening",
  L3757&gt;=TIME(23,59,0),"Night",
  L3757&lt;TIME(9,0,0),"Night"
))</f>
        <v/>
      </c>
      <c r="O3757" t="str">
        <f t="shared" si="350"/>
        <v/>
      </c>
    </row>
    <row r="3758" spans="7:15" x14ac:dyDescent="0.25">
      <c r="G3758" t="str">
        <f t="shared" si="348"/>
        <v/>
      </c>
      <c r="H3758" s="13" t="str">
        <f t="shared" si="351"/>
        <v/>
      </c>
      <c r="I3758" t="str">
        <f>IFERROR(INDEX(Analysis!$D$116:$N$137, MATCH(B3758, Analysis!$C$116:$C$137, 0), MATCH(C3758, Analysis!$D$115:$N$115, 0)), "")</f>
        <v/>
      </c>
      <c r="J3758" t="str">
        <f t="shared" si="352"/>
        <v/>
      </c>
      <c r="K3758" s="28" t="str">
        <f t="shared" si="349"/>
        <v/>
      </c>
      <c r="L3758" s="46" t="str">
        <f t="shared" si="353"/>
        <v/>
      </c>
      <c r="M3758" t="str" cm="1">
        <f t="array" ref="M3758">IF(L3758="","",_xlfn.IFS(
  AND(L3758&gt;=TIME(9,0,0), L3758&lt;TIME(16,0,0)),"Morning",
  AND(L3758&gt;=TIME(16,0,0), L3758&lt;TIME(23,59,0)),"Evening",
  L3758&gt;=TIME(23,59,0),"Night",
  L3758&lt;TIME(9,0,0),"Night"
))</f>
        <v/>
      </c>
      <c r="O3758" t="str">
        <f t="shared" si="350"/>
        <v/>
      </c>
    </row>
    <row r="3759" spans="7:15" x14ac:dyDescent="0.25">
      <c r="G3759" t="str">
        <f t="shared" si="348"/>
        <v/>
      </c>
      <c r="H3759" s="13" t="str">
        <f t="shared" si="351"/>
        <v/>
      </c>
      <c r="I3759" t="str">
        <f>IFERROR(INDEX(Analysis!$D$116:$N$137, MATCH(B3759, Analysis!$C$116:$C$137, 0), MATCH(C3759, Analysis!$D$115:$N$115, 0)), "")</f>
        <v/>
      </c>
      <c r="J3759" t="str">
        <f t="shared" si="352"/>
        <v/>
      </c>
      <c r="K3759" s="28" t="str">
        <f t="shared" si="349"/>
        <v/>
      </c>
      <c r="L3759" s="46" t="str">
        <f t="shared" si="353"/>
        <v/>
      </c>
      <c r="M3759" t="str" cm="1">
        <f t="array" ref="M3759">IF(L3759="","",_xlfn.IFS(
  AND(L3759&gt;=TIME(9,0,0), L3759&lt;TIME(16,0,0)),"Morning",
  AND(L3759&gt;=TIME(16,0,0), L3759&lt;TIME(23,59,0)),"Evening",
  L3759&gt;=TIME(23,59,0),"Night",
  L3759&lt;TIME(9,0,0),"Night"
))</f>
        <v/>
      </c>
      <c r="O3759" t="str">
        <f t="shared" si="350"/>
        <v/>
      </c>
    </row>
    <row r="3760" spans="7:15" x14ac:dyDescent="0.25">
      <c r="G3760" t="str">
        <f t="shared" si="348"/>
        <v/>
      </c>
      <c r="H3760" s="13" t="str">
        <f t="shared" si="351"/>
        <v/>
      </c>
      <c r="I3760" t="str">
        <f>IFERROR(INDEX(Analysis!$D$116:$N$137, MATCH(B3760, Analysis!$C$116:$C$137, 0), MATCH(C3760, Analysis!$D$115:$N$115, 0)), "")</f>
        <v/>
      </c>
      <c r="J3760" t="str">
        <f t="shared" si="352"/>
        <v/>
      </c>
      <c r="K3760" s="28" t="str">
        <f t="shared" si="349"/>
        <v/>
      </c>
      <c r="L3760" s="46" t="str">
        <f t="shared" si="353"/>
        <v/>
      </c>
      <c r="M3760" t="str" cm="1">
        <f t="array" ref="M3760">IF(L3760="","",_xlfn.IFS(
  AND(L3760&gt;=TIME(9,0,0), L3760&lt;TIME(16,0,0)),"Morning",
  AND(L3760&gt;=TIME(16,0,0), L3760&lt;TIME(23,59,0)),"Evening",
  L3760&gt;=TIME(23,59,0),"Night",
  L3760&lt;TIME(9,0,0),"Night"
))</f>
        <v/>
      </c>
      <c r="O3760" t="str">
        <f t="shared" si="350"/>
        <v/>
      </c>
    </row>
    <row r="3761" spans="7:15" x14ac:dyDescent="0.25">
      <c r="G3761" t="str">
        <f t="shared" si="348"/>
        <v/>
      </c>
      <c r="H3761" s="13" t="str">
        <f t="shared" si="351"/>
        <v/>
      </c>
      <c r="I3761" t="str">
        <f>IFERROR(INDEX(Analysis!$D$116:$N$137, MATCH(B3761, Analysis!$C$116:$C$137, 0), MATCH(C3761, Analysis!$D$115:$N$115, 0)), "")</f>
        <v/>
      </c>
      <c r="J3761" t="str">
        <f t="shared" si="352"/>
        <v/>
      </c>
      <c r="K3761" s="28" t="str">
        <f t="shared" si="349"/>
        <v/>
      </c>
      <c r="L3761" s="46" t="str">
        <f t="shared" si="353"/>
        <v/>
      </c>
      <c r="M3761" t="str" cm="1">
        <f t="array" ref="M3761">IF(L3761="","",_xlfn.IFS(
  AND(L3761&gt;=TIME(9,0,0), L3761&lt;TIME(16,0,0)),"Morning",
  AND(L3761&gt;=TIME(16,0,0), L3761&lt;TIME(23,59,0)),"Evening",
  L3761&gt;=TIME(23,59,0),"Night",
  L3761&lt;TIME(9,0,0),"Night"
))</f>
        <v/>
      </c>
      <c r="O3761" t="str">
        <f t="shared" si="350"/>
        <v/>
      </c>
    </row>
    <row r="3762" spans="7:15" x14ac:dyDescent="0.25">
      <c r="G3762" t="str">
        <f t="shared" si="348"/>
        <v/>
      </c>
      <c r="H3762" s="13" t="str">
        <f t="shared" si="351"/>
        <v/>
      </c>
      <c r="I3762" t="str">
        <f>IFERROR(INDEX(Analysis!$D$116:$N$137, MATCH(B3762, Analysis!$C$116:$C$137, 0), MATCH(C3762, Analysis!$D$115:$N$115, 0)), "")</f>
        <v/>
      </c>
      <c r="J3762" t="str">
        <f t="shared" si="352"/>
        <v/>
      </c>
      <c r="K3762" s="28" t="str">
        <f t="shared" si="349"/>
        <v/>
      </c>
      <c r="L3762" s="46" t="str">
        <f t="shared" si="353"/>
        <v/>
      </c>
      <c r="M3762" t="str" cm="1">
        <f t="array" ref="M3762">IF(L3762="","",_xlfn.IFS(
  AND(L3762&gt;=TIME(9,0,0), L3762&lt;TIME(16,0,0)),"Morning",
  AND(L3762&gt;=TIME(16,0,0), L3762&lt;TIME(23,59,0)),"Evening",
  L3762&gt;=TIME(23,59,0),"Night",
  L3762&lt;TIME(9,0,0),"Night"
))</f>
        <v/>
      </c>
      <c r="O3762" t="str">
        <f t="shared" si="350"/>
        <v/>
      </c>
    </row>
    <row r="3763" spans="7:15" x14ac:dyDescent="0.25">
      <c r="G3763" t="str">
        <f t="shared" si="348"/>
        <v/>
      </c>
      <c r="H3763" s="13" t="str">
        <f t="shared" si="351"/>
        <v/>
      </c>
      <c r="I3763" t="str">
        <f>IFERROR(INDEX(Analysis!$D$116:$N$137, MATCH(B3763, Analysis!$C$116:$C$137, 0), MATCH(C3763, Analysis!$D$115:$N$115, 0)), "")</f>
        <v/>
      </c>
      <c r="J3763" t="str">
        <f t="shared" si="352"/>
        <v/>
      </c>
      <c r="K3763" s="28" t="str">
        <f t="shared" si="349"/>
        <v/>
      </c>
      <c r="L3763" s="46" t="str">
        <f t="shared" si="353"/>
        <v/>
      </c>
      <c r="M3763" t="str" cm="1">
        <f t="array" ref="M3763">IF(L3763="","",_xlfn.IFS(
  AND(L3763&gt;=TIME(9,0,0), L3763&lt;TIME(16,0,0)),"Morning",
  AND(L3763&gt;=TIME(16,0,0), L3763&lt;TIME(23,59,0)),"Evening",
  L3763&gt;=TIME(23,59,0),"Night",
  L3763&lt;TIME(9,0,0),"Night"
))</f>
        <v/>
      </c>
      <c r="O3763" t="str">
        <f t="shared" si="350"/>
        <v/>
      </c>
    </row>
    <row r="3764" spans="7:15" x14ac:dyDescent="0.25">
      <c r="G3764" t="str">
        <f t="shared" si="348"/>
        <v/>
      </c>
      <c r="H3764" s="13" t="str">
        <f t="shared" si="351"/>
        <v/>
      </c>
      <c r="I3764" t="str">
        <f>IFERROR(INDEX(Analysis!$D$116:$N$137, MATCH(B3764, Analysis!$C$116:$C$137, 0), MATCH(C3764, Analysis!$D$115:$N$115, 0)), "")</f>
        <v/>
      </c>
      <c r="J3764" t="str">
        <f t="shared" si="352"/>
        <v/>
      </c>
      <c r="K3764" s="28" t="str">
        <f t="shared" si="349"/>
        <v/>
      </c>
      <c r="L3764" s="46" t="str">
        <f t="shared" si="353"/>
        <v/>
      </c>
      <c r="M3764" t="str" cm="1">
        <f t="array" ref="M3764">IF(L3764="","",_xlfn.IFS(
  AND(L3764&gt;=TIME(9,0,0), L3764&lt;TIME(16,0,0)),"Morning",
  AND(L3764&gt;=TIME(16,0,0), L3764&lt;TIME(23,59,0)),"Evening",
  L3764&gt;=TIME(23,59,0),"Night",
  L3764&lt;TIME(9,0,0),"Night"
))</f>
        <v/>
      </c>
      <c r="O3764" t="str">
        <f t="shared" si="350"/>
        <v/>
      </c>
    </row>
    <row r="3765" spans="7:15" x14ac:dyDescent="0.25">
      <c r="G3765" t="str">
        <f t="shared" si="348"/>
        <v/>
      </c>
      <c r="H3765" s="13" t="str">
        <f t="shared" si="351"/>
        <v/>
      </c>
      <c r="I3765" t="str">
        <f>IFERROR(INDEX(Analysis!$D$116:$N$137, MATCH(B3765, Analysis!$C$116:$C$137, 0), MATCH(C3765, Analysis!$D$115:$N$115, 0)), "")</f>
        <v/>
      </c>
      <c r="J3765" t="str">
        <f t="shared" si="352"/>
        <v/>
      </c>
      <c r="K3765" s="28" t="str">
        <f t="shared" si="349"/>
        <v/>
      </c>
      <c r="L3765" s="46" t="str">
        <f t="shared" si="353"/>
        <v/>
      </c>
      <c r="M3765" t="str" cm="1">
        <f t="array" ref="M3765">IF(L3765="","",_xlfn.IFS(
  AND(L3765&gt;=TIME(9,0,0), L3765&lt;TIME(16,0,0)),"Morning",
  AND(L3765&gt;=TIME(16,0,0), L3765&lt;TIME(23,59,0)),"Evening",
  L3765&gt;=TIME(23,59,0),"Night",
  L3765&lt;TIME(9,0,0),"Night"
))</f>
        <v/>
      </c>
      <c r="O3765" t="str">
        <f t="shared" si="350"/>
        <v/>
      </c>
    </row>
    <row r="3766" spans="7:15" x14ac:dyDescent="0.25">
      <c r="G3766" t="str">
        <f t="shared" si="348"/>
        <v/>
      </c>
      <c r="H3766" s="13" t="str">
        <f t="shared" si="351"/>
        <v/>
      </c>
      <c r="I3766" t="str">
        <f>IFERROR(INDEX(Analysis!$D$116:$N$137, MATCH(B3766, Analysis!$C$116:$C$137, 0), MATCH(C3766, Analysis!$D$115:$N$115, 0)), "")</f>
        <v/>
      </c>
      <c r="J3766" t="str">
        <f t="shared" si="352"/>
        <v/>
      </c>
      <c r="K3766" s="28" t="str">
        <f t="shared" si="349"/>
        <v/>
      </c>
      <c r="L3766" s="46" t="str">
        <f t="shared" si="353"/>
        <v/>
      </c>
      <c r="M3766" t="str" cm="1">
        <f t="array" ref="M3766">IF(L3766="","",_xlfn.IFS(
  AND(L3766&gt;=TIME(9,0,0), L3766&lt;TIME(16,0,0)),"Morning",
  AND(L3766&gt;=TIME(16,0,0), L3766&lt;TIME(23,59,0)),"Evening",
  L3766&gt;=TIME(23,59,0),"Night",
  L3766&lt;TIME(9,0,0),"Night"
))</f>
        <v/>
      </c>
      <c r="O3766" t="str">
        <f t="shared" si="350"/>
        <v/>
      </c>
    </row>
    <row r="3767" spans="7:15" x14ac:dyDescent="0.25">
      <c r="G3767" t="str">
        <f t="shared" si="348"/>
        <v/>
      </c>
      <c r="H3767" s="13" t="str">
        <f t="shared" si="351"/>
        <v/>
      </c>
      <c r="I3767" t="str">
        <f>IFERROR(INDEX(Analysis!$D$116:$N$137, MATCH(B3767, Analysis!$C$116:$C$137, 0), MATCH(C3767, Analysis!$D$115:$N$115, 0)), "")</f>
        <v/>
      </c>
      <c r="J3767" t="str">
        <f t="shared" si="352"/>
        <v/>
      </c>
      <c r="K3767" s="28" t="str">
        <f t="shared" si="349"/>
        <v/>
      </c>
      <c r="L3767" s="46" t="str">
        <f t="shared" si="353"/>
        <v/>
      </c>
      <c r="M3767" t="str" cm="1">
        <f t="array" ref="M3767">IF(L3767="","",_xlfn.IFS(
  AND(L3767&gt;=TIME(9,0,0), L3767&lt;TIME(16,0,0)),"Morning",
  AND(L3767&gt;=TIME(16,0,0), L3767&lt;TIME(23,59,0)),"Evening",
  L3767&gt;=TIME(23,59,0),"Night",
  L3767&lt;TIME(9,0,0),"Night"
))</f>
        <v/>
      </c>
      <c r="O3767" t="str">
        <f t="shared" si="350"/>
        <v/>
      </c>
    </row>
    <row r="3768" spans="7:15" x14ac:dyDescent="0.25">
      <c r="G3768" t="str">
        <f t="shared" si="348"/>
        <v/>
      </c>
      <c r="H3768" s="13" t="str">
        <f t="shared" si="351"/>
        <v/>
      </c>
      <c r="I3768" t="str">
        <f>IFERROR(INDEX(Analysis!$D$116:$N$137, MATCH(B3768, Analysis!$C$116:$C$137, 0), MATCH(C3768, Analysis!$D$115:$N$115, 0)), "")</f>
        <v/>
      </c>
      <c r="J3768" t="str">
        <f t="shared" si="352"/>
        <v/>
      </c>
      <c r="K3768" s="28" t="str">
        <f t="shared" si="349"/>
        <v/>
      </c>
      <c r="L3768" s="46" t="str">
        <f t="shared" si="353"/>
        <v/>
      </c>
      <c r="M3768" t="str" cm="1">
        <f t="array" ref="M3768">IF(L3768="","",_xlfn.IFS(
  AND(L3768&gt;=TIME(9,0,0), L3768&lt;TIME(16,0,0)),"Morning",
  AND(L3768&gt;=TIME(16,0,0), L3768&lt;TIME(23,59,0)),"Evening",
  L3768&gt;=TIME(23,59,0),"Night",
  L3768&lt;TIME(9,0,0),"Night"
))</f>
        <v/>
      </c>
      <c r="O3768" t="str">
        <f t="shared" si="350"/>
        <v/>
      </c>
    </row>
    <row r="3769" spans="7:15" x14ac:dyDescent="0.25">
      <c r="G3769" t="str">
        <f t="shared" si="348"/>
        <v/>
      </c>
      <c r="H3769" s="13" t="str">
        <f t="shared" si="351"/>
        <v/>
      </c>
      <c r="I3769" t="str">
        <f>IFERROR(INDEX(Analysis!$D$116:$N$137, MATCH(B3769, Analysis!$C$116:$C$137, 0), MATCH(C3769, Analysis!$D$115:$N$115, 0)), "")</f>
        <v/>
      </c>
      <c r="J3769" t="str">
        <f t="shared" si="352"/>
        <v/>
      </c>
      <c r="K3769" s="28" t="str">
        <f t="shared" si="349"/>
        <v/>
      </c>
      <c r="L3769" s="46" t="str">
        <f t="shared" si="353"/>
        <v/>
      </c>
      <c r="M3769" t="str" cm="1">
        <f t="array" ref="M3769">IF(L3769="","",_xlfn.IFS(
  AND(L3769&gt;=TIME(9,0,0), L3769&lt;TIME(16,0,0)),"Morning",
  AND(L3769&gt;=TIME(16,0,0), L3769&lt;TIME(23,59,0)),"Evening",
  L3769&gt;=TIME(23,59,0),"Night",
  L3769&lt;TIME(9,0,0),"Night"
))</f>
        <v/>
      </c>
      <c r="O3769" t="str">
        <f t="shared" si="350"/>
        <v/>
      </c>
    </row>
    <row r="3770" spans="7:15" x14ac:dyDescent="0.25">
      <c r="G3770" t="str">
        <f t="shared" si="348"/>
        <v/>
      </c>
      <c r="H3770" s="13" t="str">
        <f t="shared" si="351"/>
        <v/>
      </c>
      <c r="I3770" t="str">
        <f>IFERROR(INDEX(Analysis!$D$116:$N$137, MATCH(B3770, Analysis!$C$116:$C$137, 0), MATCH(C3770, Analysis!$D$115:$N$115, 0)), "")</f>
        <v/>
      </c>
      <c r="J3770" t="str">
        <f t="shared" si="352"/>
        <v/>
      </c>
      <c r="K3770" s="28" t="str">
        <f t="shared" si="349"/>
        <v/>
      </c>
      <c r="L3770" s="46" t="str">
        <f t="shared" si="353"/>
        <v/>
      </c>
      <c r="M3770" t="str" cm="1">
        <f t="array" ref="M3770">IF(L3770="","",_xlfn.IFS(
  AND(L3770&gt;=TIME(9,0,0), L3770&lt;TIME(16,0,0)),"Morning",
  AND(L3770&gt;=TIME(16,0,0), L3770&lt;TIME(23,59,0)),"Evening",
  L3770&gt;=TIME(23,59,0),"Night",
  L3770&lt;TIME(9,0,0),"Night"
))</f>
        <v/>
      </c>
      <c r="O3770" t="str">
        <f t="shared" si="350"/>
        <v/>
      </c>
    </row>
    <row r="3771" spans="7:15" x14ac:dyDescent="0.25">
      <c r="G3771" t="str">
        <f t="shared" si="348"/>
        <v/>
      </c>
      <c r="H3771" s="13" t="str">
        <f t="shared" si="351"/>
        <v/>
      </c>
      <c r="I3771" t="str">
        <f>IFERROR(INDEX(Analysis!$D$116:$N$137, MATCH(B3771, Analysis!$C$116:$C$137, 0), MATCH(C3771, Analysis!$D$115:$N$115, 0)), "")</f>
        <v/>
      </c>
      <c r="J3771" t="str">
        <f t="shared" si="352"/>
        <v/>
      </c>
      <c r="K3771" s="28" t="str">
        <f t="shared" si="349"/>
        <v/>
      </c>
      <c r="L3771" s="46" t="str">
        <f t="shared" si="353"/>
        <v/>
      </c>
      <c r="M3771" t="str" cm="1">
        <f t="array" ref="M3771">IF(L3771="","",_xlfn.IFS(
  AND(L3771&gt;=TIME(9,0,0), L3771&lt;TIME(16,0,0)),"Morning",
  AND(L3771&gt;=TIME(16,0,0), L3771&lt;TIME(23,59,0)),"Evening",
  L3771&gt;=TIME(23,59,0),"Night",
  L3771&lt;TIME(9,0,0),"Night"
))</f>
        <v/>
      </c>
      <c r="O3771" t="str">
        <f t="shared" si="350"/>
        <v/>
      </c>
    </row>
    <row r="3772" spans="7:15" x14ac:dyDescent="0.25">
      <c r="G3772" t="str">
        <f t="shared" si="348"/>
        <v/>
      </c>
      <c r="H3772" s="13" t="str">
        <f t="shared" si="351"/>
        <v/>
      </c>
      <c r="I3772" t="str">
        <f>IFERROR(INDEX(Analysis!$D$116:$N$137, MATCH(B3772, Analysis!$C$116:$C$137, 0), MATCH(C3772, Analysis!$D$115:$N$115, 0)), "")</f>
        <v/>
      </c>
      <c r="J3772" t="str">
        <f t="shared" si="352"/>
        <v/>
      </c>
      <c r="K3772" s="28" t="str">
        <f t="shared" si="349"/>
        <v/>
      </c>
      <c r="L3772" s="46" t="str">
        <f t="shared" si="353"/>
        <v/>
      </c>
      <c r="M3772" t="str" cm="1">
        <f t="array" ref="M3772">IF(L3772="","",_xlfn.IFS(
  AND(L3772&gt;=TIME(9,0,0), L3772&lt;TIME(16,0,0)),"Morning",
  AND(L3772&gt;=TIME(16,0,0), L3772&lt;TIME(23,59,0)),"Evening",
  L3772&gt;=TIME(23,59,0),"Night",
  L3772&lt;TIME(9,0,0),"Night"
))</f>
        <v/>
      </c>
      <c r="O3772" t="str">
        <f t="shared" si="350"/>
        <v/>
      </c>
    </row>
    <row r="3773" spans="7:15" x14ac:dyDescent="0.25">
      <c r="G3773" t="str">
        <f t="shared" si="348"/>
        <v/>
      </c>
      <c r="H3773" s="13" t="str">
        <f t="shared" si="351"/>
        <v/>
      </c>
      <c r="I3773" t="str">
        <f>IFERROR(INDEX(Analysis!$D$116:$N$137, MATCH(B3773, Analysis!$C$116:$C$137, 0), MATCH(C3773, Analysis!$D$115:$N$115, 0)), "")</f>
        <v/>
      </c>
      <c r="J3773" t="str">
        <f t="shared" si="352"/>
        <v/>
      </c>
      <c r="K3773" s="28" t="str">
        <f t="shared" si="349"/>
        <v/>
      </c>
      <c r="L3773" s="46" t="str">
        <f t="shared" si="353"/>
        <v/>
      </c>
      <c r="M3773" t="str" cm="1">
        <f t="array" ref="M3773">IF(L3773="","",_xlfn.IFS(
  AND(L3773&gt;=TIME(9,0,0), L3773&lt;TIME(16,0,0)),"Morning",
  AND(L3773&gt;=TIME(16,0,0), L3773&lt;TIME(23,59,0)),"Evening",
  L3773&gt;=TIME(23,59,0),"Night",
  L3773&lt;TIME(9,0,0),"Night"
))</f>
        <v/>
      </c>
      <c r="O3773" t="str">
        <f t="shared" si="350"/>
        <v/>
      </c>
    </row>
    <row r="3774" spans="7:15" x14ac:dyDescent="0.25">
      <c r="G3774" t="str">
        <f t="shared" si="348"/>
        <v/>
      </c>
      <c r="H3774" s="13" t="str">
        <f t="shared" si="351"/>
        <v/>
      </c>
      <c r="I3774" t="str">
        <f>IFERROR(INDEX(Analysis!$D$116:$N$137, MATCH(B3774, Analysis!$C$116:$C$137, 0), MATCH(C3774, Analysis!$D$115:$N$115, 0)), "")</f>
        <v/>
      </c>
      <c r="J3774" t="str">
        <f t="shared" si="352"/>
        <v/>
      </c>
      <c r="K3774" s="28" t="str">
        <f t="shared" si="349"/>
        <v/>
      </c>
      <c r="L3774" s="46" t="str">
        <f t="shared" si="353"/>
        <v/>
      </c>
      <c r="M3774" t="str" cm="1">
        <f t="array" ref="M3774">IF(L3774="","",_xlfn.IFS(
  AND(L3774&gt;=TIME(9,0,0), L3774&lt;TIME(16,0,0)),"Morning",
  AND(L3774&gt;=TIME(16,0,0), L3774&lt;TIME(23,59,0)),"Evening",
  L3774&gt;=TIME(23,59,0),"Night",
  L3774&lt;TIME(9,0,0),"Night"
))</f>
        <v/>
      </c>
      <c r="O3774" t="str">
        <f t="shared" si="350"/>
        <v/>
      </c>
    </row>
    <row r="3775" spans="7:15" x14ac:dyDescent="0.25">
      <c r="G3775" t="str">
        <f t="shared" si="348"/>
        <v/>
      </c>
      <c r="H3775" s="13" t="str">
        <f t="shared" si="351"/>
        <v/>
      </c>
      <c r="I3775" t="str">
        <f>IFERROR(INDEX(Analysis!$D$116:$N$137, MATCH(B3775, Analysis!$C$116:$C$137, 0), MATCH(C3775, Analysis!$D$115:$N$115, 0)), "")</f>
        <v/>
      </c>
      <c r="J3775" t="str">
        <f t="shared" si="352"/>
        <v/>
      </c>
      <c r="K3775" s="28" t="str">
        <f t="shared" si="349"/>
        <v/>
      </c>
      <c r="L3775" s="46" t="str">
        <f t="shared" si="353"/>
        <v/>
      </c>
      <c r="M3775" t="str" cm="1">
        <f t="array" ref="M3775">IF(L3775="","",_xlfn.IFS(
  AND(L3775&gt;=TIME(9,0,0), L3775&lt;TIME(16,0,0)),"Morning",
  AND(L3775&gt;=TIME(16,0,0), L3775&lt;TIME(23,59,0)),"Evening",
  L3775&gt;=TIME(23,59,0),"Night",
  L3775&lt;TIME(9,0,0),"Night"
))</f>
        <v/>
      </c>
      <c r="O3775" t="str">
        <f t="shared" si="350"/>
        <v/>
      </c>
    </row>
    <row r="3776" spans="7:15" x14ac:dyDescent="0.25">
      <c r="G3776" t="str">
        <f t="shared" si="348"/>
        <v/>
      </c>
      <c r="H3776" s="13" t="str">
        <f t="shared" si="351"/>
        <v/>
      </c>
      <c r="I3776" t="str">
        <f>IFERROR(INDEX(Analysis!$D$116:$N$137, MATCH(B3776, Analysis!$C$116:$C$137, 0), MATCH(C3776, Analysis!$D$115:$N$115, 0)), "")</f>
        <v/>
      </c>
      <c r="J3776" t="str">
        <f t="shared" si="352"/>
        <v/>
      </c>
      <c r="K3776" s="28" t="str">
        <f t="shared" si="349"/>
        <v/>
      </c>
      <c r="L3776" s="46" t="str">
        <f t="shared" si="353"/>
        <v/>
      </c>
      <c r="M3776" t="str" cm="1">
        <f t="array" ref="M3776">IF(L3776="","",_xlfn.IFS(
  AND(L3776&gt;=TIME(9,0,0), L3776&lt;TIME(16,0,0)),"Morning",
  AND(L3776&gt;=TIME(16,0,0), L3776&lt;TIME(23,59,0)),"Evening",
  L3776&gt;=TIME(23,59,0),"Night",
  L3776&lt;TIME(9,0,0),"Night"
))</f>
        <v/>
      </c>
      <c r="O3776" t="str">
        <f t="shared" si="350"/>
        <v/>
      </c>
    </row>
    <row r="3777" spans="7:15" x14ac:dyDescent="0.25">
      <c r="G3777" t="str">
        <f t="shared" si="348"/>
        <v/>
      </c>
      <c r="H3777" s="13" t="str">
        <f t="shared" si="351"/>
        <v/>
      </c>
      <c r="I3777" t="str">
        <f>IFERROR(INDEX(Analysis!$D$116:$N$137, MATCH(B3777, Analysis!$C$116:$C$137, 0), MATCH(C3777, Analysis!$D$115:$N$115, 0)), "")</f>
        <v/>
      </c>
      <c r="J3777" t="str">
        <f t="shared" si="352"/>
        <v/>
      </c>
      <c r="K3777" s="28" t="str">
        <f t="shared" si="349"/>
        <v/>
      </c>
      <c r="L3777" s="46" t="str">
        <f t="shared" si="353"/>
        <v/>
      </c>
      <c r="M3777" t="str" cm="1">
        <f t="array" ref="M3777">IF(L3777="","",_xlfn.IFS(
  AND(L3777&gt;=TIME(9,0,0), L3777&lt;TIME(16,0,0)),"Morning",
  AND(L3777&gt;=TIME(16,0,0), L3777&lt;TIME(23,59,0)),"Evening",
  L3777&gt;=TIME(23,59,0),"Night",
  L3777&lt;TIME(9,0,0),"Night"
))</f>
        <v/>
      </c>
      <c r="O3777" t="str">
        <f t="shared" si="350"/>
        <v/>
      </c>
    </row>
    <row r="3778" spans="7:15" x14ac:dyDescent="0.25">
      <c r="G3778" t="str">
        <f t="shared" ref="G3778:G3841" si="354">IF(ISBLANK(A3778), "", IF(ISBLANK(F3778), 0, F3778))</f>
        <v/>
      </c>
      <c r="H3778" s="13" t="str">
        <f t="shared" si="351"/>
        <v/>
      </c>
      <c r="I3778" t="str">
        <f>IFERROR(INDEX(Analysis!$D$116:$N$137, MATCH(B3778, Analysis!$C$116:$C$137, 0), MATCH(C3778, Analysis!$D$115:$N$115, 0)), "")</f>
        <v/>
      </c>
      <c r="J3778" t="str">
        <f t="shared" si="352"/>
        <v/>
      </c>
      <c r="K3778" s="28" t="str">
        <f t="shared" ref="K3778:K3841" si="355">IF(ISBLANK(A3778),"",DATE(YEAR(A3778),MONTH(A3778),DAY(A3778)))</f>
        <v/>
      </c>
      <c r="L3778" s="46" t="str">
        <f t="shared" si="353"/>
        <v/>
      </c>
      <c r="M3778" t="str" cm="1">
        <f t="array" ref="M3778">IF(L3778="","",_xlfn.IFS(
  AND(L3778&gt;=TIME(9,0,0), L3778&lt;TIME(16,0,0)),"Morning",
  AND(L3778&gt;=TIME(16,0,0), L3778&lt;TIME(23,59,0)),"Evening",
  L3778&gt;=TIME(23,59,0),"Night",
  L3778&lt;TIME(9,0,0),"Night"
))</f>
        <v/>
      </c>
      <c r="O3778" t="str">
        <f t="shared" ref="O3778:O3841" si="356">IF(N3778="ON", _xlfn.IMAGE(E3778, 1), "")</f>
        <v/>
      </c>
    </row>
    <row r="3779" spans="7:15" x14ac:dyDescent="0.25">
      <c r="G3779" t="str">
        <f t="shared" si="354"/>
        <v/>
      </c>
      <c r="H3779" s="13" t="str">
        <f t="shared" ref="H3779:H3842" si="357">IF(ISBLANK(E3779),"",HYPERLINK(E3779,"Click here"))</f>
        <v/>
      </c>
      <c r="I3779" t="str">
        <f>IFERROR(INDEX(Analysis!$D$116:$N$137, MATCH(B3779, Analysis!$C$116:$C$137, 0), MATCH(C3779, Analysis!$D$115:$N$115, 0)), "")</f>
        <v/>
      </c>
      <c r="J3779" t="str">
        <f t="shared" ref="J3779:J3842" si="358">IF(ISBLANK(A3779),"",WEEKNUM(A3779))</f>
        <v/>
      </c>
      <c r="K3779" s="28" t="str">
        <f t="shared" si="355"/>
        <v/>
      </c>
      <c r="L3779" s="46" t="str">
        <f t="shared" ref="L3779:L3842" si="359">IF(A3779="", "", A3779 - INT(A3779))</f>
        <v/>
      </c>
      <c r="M3779" t="str" cm="1">
        <f t="array" ref="M3779">IF(L3779="","",_xlfn.IFS(
  AND(L3779&gt;=TIME(9,0,0), L3779&lt;TIME(16,0,0)),"Morning",
  AND(L3779&gt;=TIME(16,0,0), L3779&lt;TIME(23,59,0)),"Evening",
  L3779&gt;=TIME(23,59,0),"Night",
  L3779&lt;TIME(9,0,0),"Night"
))</f>
        <v/>
      </c>
      <c r="O3779" t="str">
        <f t="shared" si="356"/>
        <v/>
      </c>
    </row>
    <row r="3780" spans="7:15" x14ac:dyDescent="0.25">
      <c r="G3780" t="str">
        <f t="shared" si="354"/>
        <v/>
      </c>
      <c r="H3780" s="13" t="str">
        <f t="shared" si="357"/>
        <v/>
      </c>
      <c r="I3780" t="str">
        <f>IFERROR(INDEX(Analysis!$D$116:$N$137, MATCH(B3780, Analysis!$C$116:$C$137, 0), MATCH(C3780, Analysis!$D$115:$N$115, 0)), "")</f>
        <v/>
      </c>
      <c r="J3780" t="str">
        <f t="shared" si="358"/>
        <v/>
      </c>
      <c r="K3780" s="28" t="str">
        <f t="shared" si="355"/>
        <v/>
      </c>
      <c r="L3780" s="46" t="str">
        <f t="shared" si="359"/>
        <v/>
      </c>
      <c r="M3780" t="str" cm="1">
        <f t="array" ref="M3780">IF(L3780="","",_xlfn.IFS(
  AND(L3780&gt;=TIME(9,0,0), L3780&lt;TIME(16,0,0)),"Morning",
  AND(L3780&gt;=TIME(16,0,0), L3780&lt;TIME(23,59,0)),"Evening",
  L3780&gt;=TIME(23,59,0),"Night",
  L3780&lt;TIME(9,0,0),"Night"
))</f>
        <v/>
      </c>
      <c r="O3780" t="str">
        <f t="shared" si="356"/>
        <v/>
      </c>
    </row>
    <row r="3781" spans="7:15" x14ac:dyDescent="0.25">
      <c r="G3781" t="str">
        <f t="shared" si="354"/>
        <v/>
      </c>
      <c r="H3781" s="13" t="str">
        <f t="shared" si="357"/>
        <v/>
      </c>
      <c r="I3781" t="str">
        <f>IFERROR(INDEX(Analysis!$D$116:$N$137, MATCH(B3781, Analysis!$C$116:$C$137, 0), MATCH(C3781, Analysis!$D$115:$N$115, 0)), "")</f>
        <v/>
      </c>
      <c r="J3781" t="str">
        <f t="shared" si="358"/>
        <v/>
      </c>
      <c r="K3781" s="28" t="str">
        <f t="shared" si="355"/>
        <v/>
      </c>
      <c r="L3781" s="46" t="str">
        <f t="shared" si="359"/>
        <v/>
      </c>
      <c r="M3781" t="str" cm="1">
        <f t="array" ref="M3781">IF(L3781="","",_xlfn.IFS(
  AND(L3781&gt;=TIME(9,0,0), L3781&lt;TIME(16,0,0)),"Morning",
  AND(L3781&gt;=TIME(16,0,0), L3781&lt;TIME(23,59,0)),"Evening",
  L3781&gt;=TIME(23,59,0),"Night",
  L3781&lt;TIME(9,0,0),"Night"
))</f>
        <v/>
      </c>
      <c r="O3781" t="str">
        <f t="shared" si="356"/>
        <v/>
      </c>
    </row>
    <row r="3782" spans="7:15" x14ac:dyDescent="0.25">
      <c r="G3782" t="str">
        <f t="shared" si="354"/>
        <v/>
      </c>
      <c r="H3782" s="13" t="str">
        <f t="shared" si="357"/>
        <v/>
      </c>
      <c r="I3782" t="str">
        <f>IFERROR(INDEX(Analysis!$D$116:$N$137, MATCH(B3782, Analysis!$C$116:$C$137, 0), MATCH(C3782, Analysis!$D$115:$N$115, 0)), "")</f>
        <v/>
      </c>
      <c r="J3782" t="str">
        <f t="shared" si="358"/>
        <v/>
      </c>
      <c r="K3782" s="28" t="str">
        <f t="shared" si="355"/>
        <v/>
      </c>
      <c r="L3782" s="46" t="str">
        <f t="shared" si="359"/>
        <v/>
      </c>
      <c r="M3782" t="str" cm="1">
        <f t="array" ref="M3782">IF(L3782="","",_xlfn.IFS(
  AND(L3782&gt;=TIME(9,0,0), L3782&lt;TIME(16,0,0)),"Morning",
  AND(L3782&gt;=TIME(16,0,0), L3782&lt;TIME(23,59,0)),"Evening",
  L3782&gt;=TIME(23,59,0),"Night",
  L3782&lt;TIME(9,0,0),"Night"
))</f>
        <v/>
      </c>
      <c r="O3782" t="str">
        <f t="shared" si="356"/>
        <v/>
      </c>
    </row>
    <row r="3783" spans="7:15" x14ac:dyDescent="0.25">
      <c r="G3783" t="str">
        <f t="shared" si="354"/>
        <v/>
      </c>
      <c r="H3783" s="13" t="str">
        <f t="shared" si="357"/>
        <v/>
      </c>
      <c r="I3783" t="str">
        <f>IFERROR(INDEX(Analysis!$D$116:$N$137, MATCH(B3783, Analysis!$C$116:$C$137, 0), MATCH(C3783, Analysis!$D$115:$N$115, 0)), "")</f>
        <v/>
      </c>
      <c r="J3783" t="str">
        <f t="shared" si="358"/>
        <v/>
      </c>
      <c r="K3783" s="28" t="str">
        <f t="shared" si="355"/>
        <v/>
      </c>
      <c r="L3783" s="46" t="str">
        <f t="shared" si="359"/>
        <v/>
      </c>
      <c r="M3783" t="str" cm="1">
        <f t="array" ref="M3783">IF(L3783="","",_xlfn.IFS(
  AND(L3783&gt;=TIME(9,0,0), L3783&lt;TIME(16,0,0)),"Morning",
  AND(L3783&gt;=TIME(16,0,0), L3783&lt;TIME(23,59,0)),"Evening",
  L3783&gt;=TIME(23,59,0),"Night",
  L3783&lt;TIME(9,0,0),"Night"
))</f>
        <v/>
      </c>
      <c r="O3783" t="str">
        <f t="shared" si="356"/>
        <v/>
      </c>
    </row>
    <row r="3784" spans="7:15" x14ac:dyDescent="0.25">
      <c r="G3784" t="str">
        <f t="shared" si="354"/>
        <v/>
      </c>
      <c r="H3784" s="13" t="str">
        <f t="shared" si="357"/>
        <v/>
      </c>
      <c r="I3784" t="str">
        <f>IFERROR(INDEX(Analysis!$D$116:$N$137, MATCH(B3784, Analysis!$C$116:$C$137, 0), MATCH(C3784, Analysis!$D$115:$N$115, 0)), "")</f>
        <v/>
      </c>
      <c r="J3784" t="str">
        <f t="shared" si="358"/>
        <v/>
      </c>
      <c r="K3784" s="28" t="str">
        <f t="shared" si="355"/>
        <v/>
      </c>
      <c r="L3784" s="46" t="str">
        <f t="shared" si="359"/>
        <v/>
      </c>
      <c r="M3784" t="str" cm="1">
        <f t="array" ref="M3784">IF(L3784="","",_xlfn.IFS(
  AND(L3784&gt;=TIME(9,0,0), L3784&lt;TIME(16,0,0)),"Morning",
  AND(L3784&gt;=TIME(16,0,0), L3784&lt;TIME(23,59,0)),"Evening",
  L3784&gt;=TIME(23,59,0),"Night",
  L3784&lt;TIME(9,0,0),"Night"
))</f>
        <v/>
      </c>
      <c r="O3784" t="str">
        <f t="shared" si="356"/>
        <v/>
      </c>
    </row>
    <row r="3785" spans="7:15" x14ac:dyDescent="0.25">
      <c r="G3785" t="str">
        <f t="shared" si="354"/>
        <v/>
      </c>
      <c r="H3785" s="13" t="str">
        <f t="shared" si="357"/>
        <v/>
      </c>
      <c r="I3785" t="str">
        <f>IFERROR(INDEX(Analysis!$D$116:$N$137, MATCH(B3785, Analysis!$C$116:$C$137, 0), MATCH(C3785, Analysis!$D$115:$N$115, 0)), "")</f>
        <v/>
      </c>
      <c r="J3785" t="str">
        <f t="shared" si="358"/>
        <v/>
      </c>
      <c r="K3785" s="28" t="str">
        <f t="shared" si="355"/>
        <v/>
      </c>
      <c r="L3785" s="46" t="str">
        <f t="shared" si="359"/>
        <v/>
      </c>
      <c r="M3785" t="str" cm="1">
        <f t="array" ref="M3785">IF(L3785="","",_xlfn.IFS(
  AND(L3785&gt;=TIME(9,0,0), L3785&lt;TIME(16,0,0)),"Morning",
  AND(L3785&gt;=TIME(16,0,0), L3785&lt;TIME(23,59,0)),"Evening",
  L3785&gt;=TIME(23,59,0),"Night",
  L3785&lt;TIME(9,0,0),"Night"
))</f>
        <v/>
      </c>
      <c r="O3785" t="str">
        <f t="shared" si="356"/>
        <v/>
      </c>
    </row>
    <row r="3786" spans="7:15" x14ac:dyDescent="0.25">
      <c r="G3786" t="str">
        <f t="shared" si="354"/>
        <v/>
      </c>
      <c r="H3786" s="13" t="str">
        <f t="shared" si="357"/>
        <v/>
      </c>
      <c r="I3786" t="str">
        <f>IFERROR(INDEX(Analysis!$D$116:$N$137, MATCH(B3786, Analysis!$C$116:$C$137, 0), MATCH(C3786, Analysis!$D$115:$N$115, 0)), "")</f>
        <v/>
      </c>
      <c r="J3786" t="str">
        <f t="shared" si="358"/>
        <v/>
      </c>
      <c r="K3786" s="28" t="str">
        <f t="shared" si="355"/>
        <v/>
      </c>
      <c r="L3786" s="46" t="str">
        <f t="shared" si="359"/>
        <v/>
      </c>
      <c r="M3786" t="str" cm="1">
        <f t="array" ref="M3786">IF(L3786="","",_xlfn.IFS(
  AND(L3786&gt;=TIME(9,0,0), L3786&lt;TIME(16,0,0)),"Morning",
  AND(L3786&gt;=TIME(16,0,0), L3786&lt;TIME(23,59,0)),"Evening",
  L3786&gt;=TIME(23,59,0),"Night",
  L3786&lt;TIME(9,0,0),"Night"
))</f>
        <v/>
      </c>
      <c r="O3786" t="str">
        <f t="shared" si="356"/>
        <v/>
      </c>
    </row>
    <row r="3787" spans="7:15" x14ac:dyDescent="0.25">
      <c r="G3787" t="str">
        <f t="shared" si="354"/>
        <v/>
      </c>
      <c r="H3787" s="13" t="str">
        <f t="shared" si="357"/>
        <v/>
      </c>
      <c r="I3787" t="str">
        <f>IFERROR(INDEX(Analysis!$D$116:$N$137, MATCH(B3787, Analysis!$C$116:$C$137, 0), MATCH(C3787, Analysis!$D$115:$N$115, 0)), "")</f>
        <v/>
      </c>
      <c r="J3787" t="str">
        <f t="shared" si="358"/>
        <v/>
      </c>
      <c r="K3787" s="28" t="str">
        <f t="shared" si="355"/>
        <v/>
      </c>
      <c r="L3787" s="46" t="str">
        <f t="shared" si="359"/>
        <v/>
      </c>
      <c r="M3787" t="str" cm="1">
        <f t="array" ref="M3787">IF(L3787="","",_xlfn.IFS(
  AND(L3787&gt;=TIME(9,0,0), L3787&lt;TIME(16,0,0)),"Morning",
  AND(L3787&gt;=TIME(16,0,0), L3787&lt;TIME(23,59,0)),"Evening",
  L3787&gt;=TIME(23,59,0),"Night",
  L3787&lt;TIME(9,0,0),"Night"
))</f>
        <v/>
      </c>
      <c r="O3787" t="str">
        <f t="shared" si="356"/>
        <v/>
      </c>
    </row>
    <row r="3788" spans="7:15" x14ac:dyDescent="0.25">
      <c r="G3788" t="str">
        <f t="shared" si="354"/>
        <v/>
      </c>
      <c r="H3788" s="13" t="str">
        <f t="shared" si="357"/>
        <v/>
      </c>
      <c r="I3788" t="str">
        <f>IFERROR(INDEX(Analysis!$D$116:$N$137, MATCH(B3788, Analysis!$C$116:$C$137, 0), MATCH(C3788, Analysis!$D$115:$N$115, 0)), "")</f>
        <v/>
      </c>
      <c r="J3788" t="str">
        <f t="shared" si="358"/>
        <v/>
      </c>
      <c r="K3788" s="28" t="str">
        <f t="shared" si="355"/>
        <v/>
      </c>
      <c r="L3788" s="46" t="str">
        <f t="shared" si="359"/>
        <v/>
      </c>
      <c r="M3788" t="str" cm="1">
        <f t="array" ref="M3788">IF(L3788="","",_xlfn.IFS(
  AND(L3788&gt;=TIME(9,0,0), L3788&lt;TIME(16,0,0)),"Morning",
  AND(L3788&gt;=TIME(16,0,0), L3788&lt;TIME(23,59,0)),"Evening",
  L3788&gt;=TIME(23,59,0),"Night",
  L3788&lt;TIME(9,0,0),"Night"
))</f>
        <v/>
      </c>
      <c r="O3788" t="str">
        <f t="shared" si="356"/>
        <v/>
      </c>
    </row>
    <row r="3789" spans="7:15" x14ac:dyDescent="0.25">
      <c r="G3789" t="str">
        <f t="shared" si="354"/>
        <v/>
      </c>
      <c r="H3789" s="13" t="str">
        <f t="shared" si="357"/>
        <v/>
      </c>
      <c r="I3789" t="str">
        <f>IFERROR(INDEX(Analysis!$D$116:$N$137, MATCH(B3789, Analysis!$C$116:$C$137, 0), MATCH(C3789, Analysis!$D$115:$N$115, 0)), "")</f>
        <v/>
      </c>
      <c r="J3789" t="str">
        <f t="shared" si="358"/>
        <v/>
      </c>
      <c r="K3789" s="28" t="str">
        <f t="shared" si="355"/>
        <v/>
      </c>
      <c r="L3789" s="46" t="str">
        <f t="shared" si="359"/>
        <v/>
      </c>
      <c r="M3789" t="str" cm="1">
        <f t="array" ref="M3789">IF(L3789="","",_xlfn.IFS(
  AND(L3789&gt;=TIME(9,0,0), L3789&lt;TIME(16,0,0)),"Morning",
  AND(L3789&gt;=TIME(16,0,0), L3789&lt;TIME(23,59,0)),"Evening",
  L3789&gt;=TIME(23,59,0),"Night",
  L3789&lt;TIME(9,0,0),"Night"
))</f>
        <v/>
      </c>
      <c r="O3789" t="str">
        <f t="shared" si="356"/>
        <v/>
      </c>
    </row>
    <row r="3790" spans="7:15" x14ac:dyDescent="0.25">
      <c r="G3790" t="str">
        <f t="shared" si="354"/>
        <v/>
      </c>
      <c r="H3790" s="13" t="str">
        <f t="shared" si="357"/>
        <v/>
      </c>
      <c r="I3790" t="str">
        <f>IFERROR(INDEX(Analysis!$D$116:$N$137, MATCH(B3790, Analysis!$C$116:$C$137, 0), MATCH(C3790, Analysis!$D$115:$N$115, 0)), "")</f>
        <v/>
      </c>
      <c r="J3790" t="str">
        <f t="shared" si="358"/>
        <v/>
      </c>
      <c r="K3790" s="28" t="str">
        <f t="shared" si="355"/>
        <v/>
      </c>
      <c r="L3790" s="46" t="str">
        <f t="shared" si="359"/>
        <v/>
      </c>
      <c r="M3790" t="str" cm="1">
        <f t="array" ref="M3790">IF(L3790="","",_xlfn.IFS(
  AND(L3790&gt;=TIME(9,0,0), L3790&lt;TIME(16,0,0)),"Morning",
  AND(L3790&gt;=TIME(16,0,0), L3790&lt;TIME(23,59,0)),"Evening",
  L3790&gt;=TIME(23,59,0),"Night",
  L3790&lt;TIME(9,0,0),"Night"
))</f>
        <v/>
      </c>
      <c r="O3790" t="str">
        <f t="shared" si="356"/>
        <v/>
      </c>
    </row>
    <row r="3791" spans="7:15" x14ac:dyDescent="0.25">
      <c r="G3791" t="str">
        <f t="shared" si="354"/>
        <v/>
      </c>
      <c r="H3791" s="13" t="str">
        <f t="shared" si="357"/>
        <v/>
      </c>
      <c r="I3791" t="str">
        <f>IFERROR(INDEX(Analysis!$D$116:$N$137, MATCH(B3791, Analysis!$C$116:$C$137, 0), MATCH(C3791, Analysis!$D$115:$N$115, 0)), "")</f>
        <v/>
      </c>
      <c r="J3791" t="str">
        <f t="shared" si="358"/>
        <v/>
      </c>
      <c r="K3791" s="28" t="str">
        <f t="shared" si="355"/>
        <v/>
      </c>
      <c r="L3791" s="46" t="str">
        <f t="shared" si="359"/>
        <v/>
      </c>
      <c r="M3791" t="str" cm="1">
        <f t="array" ref="M3791">IF(L3791="","",_xlfn.IFS(
  AND(L3791&gt;=TIME(9,0,0), L3791&lt;TIME(16,0,0)),"Morning",
  AND(L3791&gt;=TIME(16,0,0), L3791&lt;TIME(23,59,0)),"Evening",
  L3791&gt;=TIME(23,59,0),"Night",
  L3791&lt;TIME(9,0,0),"Night"
))</f>
        <v/>
      </c>
      <c r="O3791" t="str">
        <f t="shared" si="356"/>
        <v/>
      </c>
    </row>
    <row r="3792" spans="7:15" x14ac:dyDescent="0.25">
      <c r="G3792" t="str">
        <f t="shared" si="354"/>
        <v/>
      </c>
      <c r="H3792" s="13" t="str">
        <f t="shared" si="357"/>
        <v/>
      </c>
      <c r="I3792" t="str">
        <f>IFERROR(INDEX(Analysis!$D$116:$N$137, MATCH(B3792, Analysis!$C$116:$C$137, 0), MATCH(C3792, Analysis!$D$115:$N$115, 0)), "")</f>
        <v/>
      </c>
      <c r="J3792" t="str">
        <f t="shared" si="358"/>
        <v/>
      </c>
      <c r="K3792" s="28" t="str">
        <f t="shared" si="355"/>
        <v/>
      </c>
      <c r="L3792" s="46" t="str">
        <f t="shared" si="359"/>
        <v/>
      </c>
      <c r="M3792" t="str" cm="1">
        <f t="array" ref="M3792">IF(L3792="","",_xlfn.IFS(
  AND(L3792&gt;=TIME(9,0,0), L3792&lt;TIME(16,0,0)),"Morning",
  AND(L3792&gt;=TIME(16,0,0), L3792&lt;TIME(23,59,0)),"Evening",
  L3792&gt;=TIME(23,59,0),"Night",
  L3792&lt;TIME(9,0,0),"Night"
))</f>
        <v/>
      </c>
      <c r="O3792" t="str">
        <f t="shared" si="356"/>
        <v/>
      </c>
    </row>
    <row r="3793" spans="7:15" x14ac:dyDescent="0.25">
      <c r="G3793" t="str">
        <f t="shared" si="354"/>
        <v/>
      </c>
      <c r="H3793" s="13" t="str">
        <f t="shared" si="357"/>
        <v/>
      </c>
      <c r="I3793" t="str">
        <f>IFERROR(INDEX(Analysis!$D$116:$N$137, MATCH(B3793, Analysis!$C$116:$C$137, 0), MATCH(C3793, Analysis!$D$115:$N$115, 0)), "")</f>
        <v/>
      </c>
      <c r="J3793" t="str">
        <f t="shared" si="358"/>
        <v/>
      </c>
      <c r="K3793" s="28" t="str">
        <f t="shared" si="355"/>
        <v/>
      </c>
      <c r="L3793" s="46" t="str">
        <f t="shared" si="359"/>
        <v/>
      </c>
      <c r="M3793" t="str" cm="1">
        <f t="array" ref="M3793">IF(L3793="","",_xlfn.IFS(
  AND(L3793&gt;=TIME(9,0,0), L3793&lt;TIME(16,0,0)),"Morning",
  AND(L3793&gt;=TIME(16,0,0), L3793&lt;TIME(23,59,0)),"Evening",
  L3793&gt;=TIME(23,59,0),"Night",
  L3793&lt;TIME(9,0,0),"Night"
))</f>
        <v/>
      </c>
      <c r="O3793" t="str">
        <f t="shared" si="356"/>
        <v/>
      </c>
    </row>
    <row r="3794" spans="7:15" x14ac:dyDescent="0.25">
      <c r="G3794" t="str">
        <f t="shared" si="354"/>
        <v/>
      </c>
      <c r="H3794" s="13" t="str">
        <f t="shared" si="357"/>
        <v/>
      </c>
      <c r="I3794" t="str">
        <f>IFERROR(INDEX(Analysis!$D$116:$N$137, MATCH(B3794, Analysis!$C$116:$C$137, 0), MATCH(C3794, Analysis!$D$115:$N$115, 0)), "")</f>
        <v/>
      </c>
      <c r="J3794" t="str">
        <f t="shared" si="358"/>
        <v/>
      </c>
      <c r="K3794" s="28" t="str">
        <f t="shared" si="355"/>
        <v/>
      </c>
      <c r="L3794" s="46" t="str">
        <f t="shared" si="359"/>
        <v/>
      </c>
      <c r="M3794" t="str" cm="1">
        <f t="array" ref="M3794">IF(L3794="","",_xlfn.IFS(
  AND(L3794&gt;=TIME(9,0,0), L3794&lt;TIME(16,0,0)),"Morning",
  AND(L3794&gt;=TIME(16,0,0), L3794&lt;TIME(23,59,0)),"Evening",
  L3794&gt;=TIME(23,59,0),"Night",
  L3794&lt;TIME(9,0,0),"Night"
))</f>
        <v/>
      </c>
      <c r="O3794" t="str">
        <f t="shared" si="356"/>
        <v/>
      </c>
    </row>
    <row r="3795" spans="7:15" x14ac:dyDescent="0.25">
      <c r="G3795" t="str">
        <f t="shared" si="354"/>
        <v/>
      </c>
      <c r="H3795" s="13" t="str">
        <f t="shared" si="357"/>
        <v/>
      </c>
      <c r="I3795" t="str">
        <f>IFERROR(INDEX(Analysis!$D$116:$N$137, MATCH(B3795, Analysis!$C$116:$C$137, 0), MATCH(C3795, Analysis!$D$115:$N$115, 0)), "")</f>
        <v/>
      </c>
      <c r="J3795" t="str">
        <f t="shared" si="358"/>
        <v/>
      </c>
      <c r="K3795" s="28" t="str">
        <f t="shared" si="355"/>
        <v/>
      </c>
      <c r="L3795" s="46" t="str">
        <f t="shared" si="359"/>
        <v/>
      </c>
      <c r="M3795" t="str" cm="1">
        <f t="array" ref="M3795">IF(L3795="","",_xlfn.IFS(
  AND(L3795&gt;=TIME(9,0,0), L3795&lt;TIME(16,0,0)),"Morning",
  AND(L3795&gt;=TIME(16,0,0), L3795&lt;TIME(23,59,0)),"Evening",
  L3795&gt;=TIME(23,59,0),"Night",
  L3795&lt;TIME(9,0,0),"Night"
))</f>
        <v/>
      </c>
      <c r="O3795" t="str">
        <f t="shared" si="356"/>
        <v/>
      </c>
    </row>
    <row r="3796" spans="7:15" x14ac:dyDescent="0.25">
      <c r="G3796" t="str">
        <f t="shared" si="354"/>
        <v/>
      </c>
      <c r="H3796" s="13" t="str">
        <f t="shared" si="357"/>
        <v/>
      </c>
      <c r="I3796" t="str">
        <f>IFERROR(INDEX(Analysis!$D$116:$N$137, MATCH(B3796, Analysis!$C$116:$C$137, 0), MATCH(C3796, Analysis!$D$115:$N$115, 0)), "")</f>
        <v/>
      </c>
      <c r="J3796" t="str">
        <f t="shared" si="358"/>
        <v/>
      </c>
      <c r="K3796" s="28" t="str">
        <f t="shared" si="355"/>
        <v/>
      </c>
      <c r="L3796" s="46" t="str">
        <f t="shared" si="359"/>
        <v/>
      </c>
      <c r="M3796" t="str" cm="1">
        <f t="array" ref="M3796">IF(L3796="","",_xlfn.IFS(
  AND(L3796&gt;=TIME(9,0,0), L3796&lt;TIME(16,0,0)),"Morning",
  AND(L3796&gt;=TIME(16,0,0), L3796&lt;TIME(23,59,0)),"Evening",
  L3796&gt;=TIME(23,59,0),"Night",
  L3796&lt;TIME(9,0,0),"Night"
))</f>
        <v/>
      </c>
      <c r="O3796" t="str">
        <f t="shared" si="356"/>
        <v/>
      </c>
    </row>
    <row r="3797" spans="7:15" x14ac:dyDescent="0.25">
      <c r="G3797" t="str">
        <f t="shared" si="354"/>
        <v/>
      </c>
      <c r="H3797" s="13" t="str">
        <f t="shared" si="357"/>
        <v/>
      </c>
      <c r="I3797" t="str">
        <f>IFERROR(INDEX(Analysis!$D$116:$N$137, MATCH(B3797, Analysis!$C$116:$C$137, 0), MATCH(C3797, Analysis!$D$115:$N$115, 0)), "")</f>
        <v/>
      </c>
      <c r="J3797" t="str">
        <f t="shared" si="358"/>
        <v/>
      </c>
      <c r="K3797" s="28" t="str">
        <f t="shared" si="355"/>
        <v/>
      </c>
      <c r="L3797" s="46" t="str">
        <f t="shared" si="359"/>
        <v/>
      </c>
      <c r="M3797" t="str" cm="1">
        <f t="array" ref="M3797">IF(L3797="","",_xlfn.IFS(
  AND(L3797&gt;=TIME(9,0,0), L3797&lt;TIME(16,0,0)),"Morning",
  AND(L3797&gt;=TIME(16,0,0), L3797&lt;TIME(23,59,0)),"Evening",
  L3797&gt;=TIME(23,59,0),"Night",
  L3797&lt;TIME(9,0,0),"Night"
))</f>
        <v/>
      </c>
      <c r="O3797" t="str">
        <f t="shared" si="356"/>
        <v/>
      </c>
    </row>
    <row r="3798" spans="7:15" x14ac:dyDescent="0.25">
      <c r="G3798" t="str">
        <f t="shared" si="354"/>
        <v/>
      </c>
      <c r="H3798" s="13" t="str">
        <f t="shared" si="357"/>
        <v/>
      </c>
      <c r="I3798" t="str">
        <f>IFERROR(INDEX(Analysis!$D$116:$N$137, MATCH(B3798, Analysis!$C$116:$C$137, 0), MATCH(C3798, Analysis!$D$115:$N$115, 0)), "")</f>
        <v/>
      </c>
      <c r="J3798" t="str">
        <f t="shared" si="358"/>
        <v/>
      </c>
      <c r="K3798" s="28" t="str">
        <f t="shared" si="355"/>
        <v/>
      </c>
      <c r="L3798" s="46" t="str">
        <f t="shared" si="359"/>
        <v/>
      </c>
      <c r="M3798" t="str" cm="1">
        <f t="array" ref="M3798">IF(L3798="","",_xlfn.IFS(
  AND(L3798&gt;=TIME(9,0,0), L3798&lt;TIME(16,0,0)),"Morning",
  AND(L3798&gt;=TIME(16,0,0), L3798&lt;TIME(23,59,0)),"Evening",
  L3798&gt;=TIME(23,59,0),"Night",
  L3798&lt;TIME(9,0,0),"Night"
))</f>
        <v/>
      </c>
      <c r="O3798" t="str">
        <f t="shared" si="356"/>
        <v/>
      </c>
    </row>
    <row r="3799" spans="7:15" x14ac:dyDescent="0.25">
      <c r="G3799" t="str">
        <f t="shared" si="354"/>
        <v/>
      </c>
      <c r="H3799" s="13" t="str">
        <f t="shared" si="357"/>
        <v/>
      </c>
      <c r="I3799" t="str">
        <f>IFERROR(INDEX(Analysis!$D$116:$N$137, MATCH(B3799, Analysis!$C$116:$C$137, 0), MATCH(C3799, Analysis!$D$115:$N$115, 0)), "")</f>
        <v/>
      </c>
      <c r="J3799" t="str">
        <f t="shared" si="358"/>
        <v/>
      </c>
      <c r="K3799" s="28" t="str">
        <f t="shared" si="355"/>
        <v/>
      </c>
      <c r="L3799" s="46" t="str">
        <f t="shared" si="359"/>
        <v/>
      </c>
      <c r="M3799" t="str" cm="1">
        <f t="array" ref="M3799">IF(L3799="","",_xlfn.IFS(
  AND(L3799&gt;=TIME(9,0,0), L3799&lt;TIME(16,0,0)),"Morning",
  AND(L3799&gt;=TIME(16,0,0), L3799&lt;TIME(23,59,0)),"Evening",
  L3799&gt;=TIME(23,59,0),"Night",
  L3799&lt;TIME(9,0,0),"Night"
))</f>
        <v/>
      </c>
      <c r="O3799" t="str">
        <f t="shared" si="356"/>
        <v/>
      </c>
    </row>
    <row r="3800" spans="7:15" x14ac:dyDescent="0.25">
      <c r="G3800" t="str">
        <f t="shared" si="354"/>
        <v/>
      </c>
      <c r="H3800" s="13" t="str">
        <f t="shared" si="357"/>
        <v/>
      </c>
      <c r="I3800" t="str">
        <f>IFERROR(INDEX(Analysis!$D$116:$N$137, MATCH(B3800, Analysis!$C$116:$C$137, 0), MATCH(C3800, Analysis!$D$115:$N$115, 0)), "")</f>
        <v/>
      </c>
      <c r="J3800" t="str">
        <f t="shared" si="358"/>
        <v/>
      </c>
      <c r="K3800" s="28" t="str">
        <f t="shared" si="355"/>
        <v/>
      </c>
      <c r="L3800" s="46" t="str">
        <f t="shared" si="359"/>
        <v/>
      </c>
      <c r="M3800" t="str" cm="1">
        <f t="array" ref="M3800">IF(L3800="","",_xlfn.IFS(
  AND(L3800&gt;=TIME(9,0,0), L3800&lt;TIME(16,0,0)),"Morning",
  AND(L3800&gt;=TIME(16,0,0), L3800&lt;TIME(23,59,0)),"Evening",
  L3800&gt;=TIME(23,59,0),"Night",
  L3800&lt;TIME(9,0,0),"Night"
))</f>
        <v/>
      </c>
      <c r="O3800" t="str">
        <f t="shared" si="356"/>
        <v/>
      </c>
    </row>
    <row r="3801" spans="7:15" x14ac:dyDescent="0.25">
      <c r="G3801" t="str">
        <f t="shared" si="354"/>
        <v/>
      </c>
      <c r="H3801" s="13" t="str">
        <f t="shared" si="357"/>
        <v/>
      </c>
      <c r="I3801" t="str">
        <f>IFERROR(INDEX(Analysis!$D$116:$N$137, MATCH(B3801, Analysis!$C$116:$C$137, 0), MATCH(C3801, Analysis!$D$115:$N$115, 0)), "")</f>
        <v/>
      </c>
      <c r="J3801" t="str">
        <f t="shared" si="358"/>
        <v/>
      </c>
      <c r="K3801" s="28" t="str">
        <f t="shared" si="355"/>
        <v/>
      </c>
      <c r="L3801" s="46" t="str">
        <f t="shared" si="359"/>
        <v/>
      </c>
      <c r="M3801" t="str" cm="1">
        <f t="array" ref="M3801">IF(L3801="","",_xlfn.IFS(
  AND(L3801&gt;=TIME(9,0,0), L3801&lt;TIME(16,0,0)),"Morning",
  AND(L3801&gt;=TIME(16,0,0), L3801&lt;TIME(23,59,0)),"Evening",
  L3801&gt;=TIME(23,59,0),"Night",
  L3801&lt;TIME(9,0,0),"Night"
))</f>
        <v/>
      </c>
      <c r="O3801" t="str">
        <f t="shared" si="356"/>
        <v/>
      </c>
    </row>
    <row r="3802" spans="7:15" x14ac:dyDescent="0.25">
      <c r="G3802" t="str">
        <f t="shared" si="354"/>
        <v/>
      </c>
      <c r="H3802" s="13" t="str">
        <f t="shared" si="357"/>
        <v/>
      </c>
      <c r="I3802" t="str">
        <f>IFERROR(INDEX(Analysis!$D$116:$N$137, MATCH(B3802, Analysis!$C$116:$C$137, 0), MATCH(C3802, Analysis!$D$115:$N$115, 0)), "")</f>
        <v/>
      </c>
      <c r="J3802" t="str">
        <f t="shared" si="358"/>
        <v/>
      </c>
      <c r="K3802" s="28" t="str">
        <f t="shared" si="355"/>
        <v/>
      </c>
      <c r="L3802" s="46" t="str">
        <f t="shared" si="359"/>
        <v/>
      </c>
      <c r="M3802" t="str" cm="1">
        <f t="array" ref="M3802">IF(L3802="","",_xlfn.IFS(
  AND(L3802&gt;=TIME(9,0,0), L3802&lt;TIME(16,0,0)),"Morning",
  AND(L3802&gt;=TIME(16,0,0), L3802&lt;TIME(23,59,0)),"Evening",
  L3802&gt;=TIME(23,59,0),"Night",
  L3802&lt;TIME(9,0,0),"Night"
))</f>
        <v/>
      </c>
      <c r="O3802" t="str">
        <f t="shared" si="356"/>
        <v/>
      </c>
    </row>
    <row r="3803" spans="7:15" x14ac:dyDescent="0.25">
      <c r="G3803" t="str">
        <f t="shared" si="354"/>
        <v/>
      </c>
      <c r="H3803" s="13" t="str">
        <f t="shared" si="357"/>
        <v/>
      </c>
      <c r="I3803" t="str">
        <f>IFERROR(INDEX(Analysis!$D$116:$N$137, MATCH(B3803, Analysis!$C$116:$C$137, 0), MATCH(C3803, Analysis!$D$115:$N$115, 0)), "")</f>
        <v/>
      </c>
      <c r="J3803" t="str">
        <f t="shared" si="358"/>
        <v/>
      </c>
      <c r="K3803" s="28" t="str">
        <f t="shared" si="355"/>
        <v/>
      </c>
      <c r="L3803" s="46" t="str">
        <f t="shared" si="359"/>
        <v/>
      </c>
      <c r="M3803" t="str" cm="1">
        <f t="array" ref="M3803">IF(L3803="","",_xlfn.IFS(
  AND(L3803&gt;=TIME(9,0,0), L3803&lt;TIME(16,0,0)),"Morning",
  AND(L3803&gt;=TIME(16,0,0), L3803&lt;TIME(23,59,0)),"Evening",
  L3803&gt;=TIME(23,59,0),"Night",
  L3803&lt;TIME(9,0,0),"Night"
))</f>
        <v/>
      </c>
      <c r="O3803" t="str">
        <f t="shared" si="356"/>
        <v/>
      </c>
    </row>
    <row r="3804" spans="7:15" x14ac:dyDescent="0.25">
      <c r="G3804" t="str">
        <f t="shared" si="354"/>
        <v/>
      </c>
      <c r="H3804" s="13" t="str">
        <f t="shared" si="357"/>
        <v/>
      </c>
      <c r="I3804" t="str">
        <f>IFERROR(INDEX(Analysis!$D$116:$N$137, MATCH(B3804, Analysis!$C$116:$C$137, 0), MATCH(C3804, Analysis!$D$115:$N$115, 0)), "")</f>
        <v/>
      </c>
      <c r="J3804" t="str">
        <f t="shared" si="358"/>
        <v/>
      </c>
      <c r="K3804" s="28" t="str">
        <f t="shared" si="355"/>
        <v/>
      </c>
      <c r="L3804" s="46" t="str">
        <f t="shared" si="359"/>
        <v/>
      </c>
      <c r="M3804" t="str" cm="1">
        <f t="array" ref="M3804">IF(L3804="","",_xlfn.IFS(
  AND(L3804&gt;=TIME(9,0,0), L3804&lt;TIME(16,0,0)),"Morning",
  AND(L3804&gt;=TIME(16,0,0), L3804&lt;TIME(23,59,0)),"Evening",
  L3804&gt;=TIME(23,59,0),"Night",
  L3804&lt;TIME(9,0,0),"Night"
))</f>
        <v/>
      </c>
      <c r="O3804" t="str">
        <f t="shared" si="356"/>
        <v/>
      </c>
    </row>
    <row r="3805" spans="7:15" x14ac:dyDescent="0.25">
      <c r="G3805" t="str">
        <f t="shared" si="354"/>
        <v/>
      </c>
      <c r="H3805" s="13" t="str">
        <f t="shared" si="357"/>
        <v/>
      </c>
      <c r="I3805" t="str">
        <f>IFERROR(INDEX(Analysis!$D$116:$N$137, MATCH(B3805, Analysis!$C$116:$C$137, 0), MATCH(C3805, Analysis!$D$115:$N$115, 0)), "")</f>
        <v/>
      </c>
      <c r="J3805" t="str">
        <f t="shared" si="358"/>
        <v/>
      </c>
      <c r="K3805" s="28" t="str">
        <f t="shared" si="355"/>
        <v/>
      </c>
      <c r="L3805" s="46" t="str">
        <f t="shared" si="359"/>
        <v/>
      </c>
      <c r="M3805" t="str" cm="1">
        <f t="array" ref="M3805">IF(L3805="","",_xlfn.IFS(
  AND(L3805&gt;=TIME(9,0,0), L3805&lt;TIME(16,0,0)),"Morning",
  AND(L3805&gt;=TIME(16,0,0), L3805&lt;TIME(23,59,0)),"Evening",
  L3805&gt;=TIME(23,59,0),"Night",
  L3805&lt;TIME(9,0,0),"Night"
))</f>
        <v/>
      </c>
      <c r="O3805" t="str">
        <f t="shared" si="356"/>
        <v/>
      </c>
    </row>
    <row r="3806" spans="7:15" x14ac:dyDescent="0.25">
      <c r="G3806" t="str">
        <f t="shared" si="354"/>
        <v/>
      </c>
      <c r="H3806" s="13" t="str">
        <f t="shared" si="357"/>
        <v/>
      </c>
      <c r="I3806" t="str">
        <f>IFERROR(INDEX(Analysis!$D$116:$N$137, MATCH(B3806, Analysis!$C$116:$C$137, 0), MATCH(C3806, Analysis!$D$115:$N$115, 0)), "")</f>
        <v/>
      </c>
      <c r="J3806" t="str">
        <f t="shared" si="358"/>
        <v/>
      </c>
      <c r="K3806" s="28" t="str">
        <f t="shared" si="355"/>
        <v/>
      </c>
      <c r="L3806" s="46" t="str">
        <f t="shared" si="359"/>
        <v/>
      </c>
      <c r="M3806" t="str" cm="1">
        <f t="array" ref="M3806">IF(L3806="","",_xlfn.IFS(
  AND(L3806&gt;=TIME(9,0,0), L3806&lt;TIME(16,0,0)),"Morning",
  AND(L3806&gt;=TIME(16,0,0), L3806&lt;TIME(23,59,0)),"Evening",
  L3806&gt;=TIME(23,59,0),"Night",
  L3806&lt;TIME(9,0,0),"Night"
))</f>
        <v/>
      </c>
      <c r="O3806" t="str">
        <f t="shared" si="356"/>
        <v/>
      </c>
    </row>
    <row r="3807" spans="7:15" x14ac:dyDescent="0.25">
      <c r="G3807" t="str">
        <f t="shared" si="354"/>
        <v/>
      </c>
      <c r="H3807" s="13" t="str">
        <f t="shared" si="357"/>
        <v/>
      </c>
      <c r="I3807" t="str">
        <f>IFERROR(INDEX(Analysis!$D$116:$N$137, MATCH(B3807, Analysis!$C$116:$C$137, 0), MATCH(C3807, Analysis!$D$115:$N$115, 0)), "")</f>
        <v/>
      </c>
      <c r="J3807" t="str">
        <f t="shared" si="358"/>
        <v/>
      </c>
      <c r="K3807" s="28" t="str">
        <f t="shared" si="355"/>
        <v/>
      </c>
      <c r="L3807" s="46" t="str">
        <f t="shared" si="359"/>
        <v/>
      </c>
      <c r="M3807" t="str" cm="1">
        <f t="array" ref="M3807">IF(L3807="","",_xlfn.IFS(
  AND(L3807&gt;=TIME(9,0,0), L3807&lt;TIME(16,0,0)),"Morning",
  AND(L3807&gt;=TIME(16,0,0), L3807&lt;TIME(23,59,0)),"Evening",
  L3807&gt;=TIME(23,59,0),"Night",
  L3807&lt;TIME(9,0,0),"Night"
))</f>
        <v/>
      </c>
      <c r="O3807" t="str">
        <f t="shared" si="356"/>
        <v/>
      </c>
    </row>
    <row r="3808" spans="7:15" x14ac:dyDescent="0.25">
      <c r="G3808" t="str">
        <f t="shared" si="354"/>
        <v/>
      </c>
      <c r="H3808" s="13" t="str">
        <f t="shared" si="357"/>
        <v/>
      </c>
      <c r="I3808" t="str">
        <f>IFERROR(INDEX(Analysis!$D$116:$N$137, MATCH(B3808, Analysis!$C$116:$C$137, 0), MATCH(C3808, Analysis!$D$115:$N$115, 0)), "")</f>
        <v/>
      </c>
      <c r="J3808" t="str">
        <f t="shared" si="358"/>
        <v/>
      </c>
      <c r="K3808" s="28" t="str">
        <f t="shared" si="355"/>
        <v/>
      </c>
      <c r="L3808" s="46" t="str">
        <f t="shared" si="359"/>
        <v/>
      </c>
      <c r="M3808" t="str" cm="1">
        <f t="array" ref="M3808">IF(L3808="","",_xlfn.IFS(
  AND(L3808&gt;=TIME(9,0,0), L3808&lt;TIME(16,0,0)),"Morning",
  AND(L3808&gt;=TIME(16,0,0), L3808&lt;TIME(23,59,0)),"Evening",
  L3808&gt;=TIME(23,59,0),"Night",
  L3808&lt;TIME(9,0,0),"Night"
))</f>
        <v/>
      </c>
      <c r="O3808" t="str">
        <f t="shared" si="356"/>
        <v/>
      </c>
    </row>
    <row r="3809" spans="7:15" x14ac:dyDescent="0.25">
      <c r="G3809" t="str">
        <f t="shared" si="354"/>
        <v/>
      </c>
      <c r="H3809" s="13" t="str">
        <f t="shared" si="357"/>
        <v/>
      </c>
      <c r="I3809" t="str">
        <f>IFERROR(INDEX(Analysis!$D$116:$N$137, MATCH(B3809, Analysis!$C$116:$C$137, 0), MATCH(C3809, Analysis!$D$115:$N$115, 0)), "")</f>
        <v/>
      </c>
      <c r="J3809" t="str">
        <f t="shared" si="358"/>
        <v/>
      </c>
      <c r="K3809" s="28" t="str">
        <f t="shared" si="355"/>
        <v/>
      </c>
      <c r="L3809" s="46" t="str">
        <f t="shared" si="359"/>
        <v/>
      </c>
      <c r="M3809" t="str" cm="1">
        <f t="array" ref="M3809">IF(L3809="","",_xlfn.IFS(
  AND(L3809&gt;=TIME(9,0,0), L3809&lt;TIME(16,0,0)),"Morning",
  AND(L3809&gt;=TIME(16,0,0), L3809&lt;TIME(23,59,0)),"Evening",
  L3809&gt;=TIME(23,59,0),"Night",
  L3809&lt;TIME(9,0,0),"Night"
))</f>
        <v/>
      </c>
      <c r="O3809" t="str">
        <f t="shared" si="356"/>
        <v/>
      </c>
    </row>
    <row r="3810" spans="7:15" x14ac:dyDescent="0.25">
      <c r="G3810" t="str">
        <f t="shared" si="354"/>
        <v/>
      </c>
      <c r="H3810" s="13" t="str">
        <f t="shared" si="357"/>
        <v/>
      </c>
      <c r="I3810" t="str">
        <f>IFERROR(INDEX(Analysis!$D$116:$N$137, MATCH(B3810, Analysis!$C$116:$C$137, 0), MATCH(C3810, Analysis!$D$115:$N$115, 0)), "")</f>
        <v/>
      </c>
      <c r="J3810" t="str">
        <f t="shared" si="358"/>
        <v/>
      </c>
      <c r="K3810" s="28" t="str">
        <f t="shared" si="355"/>
        <v/>
      </c>
      <c r="L3810" s="46" t="str">
        <f t="shared" si="359"/>
        <v/>
      </c>
      <c r="M3810" t="str" cm="1">
        <f t="array" ref="M3810">IF(L3810="","",_xlfn.IFS(
  AND(L3810&gt;=TIME(9,0,0), L3810&lt;TIME(16,0,0)),"Morning",
  AND(L3810&gt;=TIME(16,0,0), L3810&lt;TIME(23,59,0)),"Evening",
  L3810&gt;=TIME(23,59,0),"Night",
  L3810&lt;TIME(9,0,0),"Night"
))</f>
        <v/>
      </c>
      <c r="O3810" t="str">
        <f t="shared" si="356"/>
        <v/>
      </c>
    </row>
    <row r="3811" spans="7:15" x14ac:dyDescent="0.25">
      <c r="G3811" t="str">
        <f t="shared" si="354"/>
        <v/>
      </c>
      <c r="H3811" s="13" t="str">
        <f t="shared" si="357"/>
        <v/>
      </c>
      <c r="I3811" t="str">
        <f>IFERROR(INDEX(Analysis!$D$116:$N$137, MATCH(B3811, Analysis!$C$116:$C$137, 0), MATCH(C3811, Analysis!$D$115:$N$115, 0)), "")</f>
        <v/>
      </c>
      <c r="J3811" t="str">
        <f t="shared" si="358"/>
        <v/>
      </c>
      <c r="K3811" s="28" t="str">
        <f t="shared" si="355"/>
        <v/>
      </c>
      <c r="L3811" s="46" t="str">
        <f t="shared" si="359"/>
        <v/>
      </c>
      <c r="M3811" t="str" cm="1">
        <f t="array" ref="M3811">IF(L3811="","",_xlfn.IFS(
  AND(L3811&gt;=TIME(9,0,0), L3811&lt;TIME(16,0,0)),"Morning",
  AND(L3811&gt;=TIME(16,0,0), L3811&lt;TIME(23,59,0)),"Evening",
  L3811&gt;=TIME(23,59,0),"Night",
  L3811&lt;TIME(9,0,0),"Night"
))</f>
        <v/>
      </c>
      <c r="O3811" t="str">
        <f t="shared" si="356"/>
        <v/>
      </c>
    </row>
    <row r="3812" spans="7:15" x14ac:dyDescent="0.25">
      <c r="G3812" t="str">
        <f t="shared" si="354"/>
        <v/>
      </c>
      <c r="H3812" s="13" t="str">
        <f t="shared" si="357"/>
        <v/>
      </c>
      <c r="I3812" t="str">
        <f>IFERROR(INDEX(Analysis!$D$116:$N$137, MATCH(B3812, Analysis!$C$116:$C$137, 0), MATCH(C3812, Analysis!$D$115:$N$115, 0)), "")</f>
        <v/>
      </c>
      <c r="J3812" t="str">
        <f t="shared" si="358"/>
        <v/>
      </c>
      <c r="K3812" s="28" t="str">
        <f t="shared" si="355"/>
        <v/>
      </c>
      <c r="L3812" s="46" t="str">
        <f t="shared" si="359"/>
        <v/>
      </c>
      <c r="M3812" t="str" cm="1">
        <f t="array" ref="M3812">IF(L3812="","",_xlfn.IFS(
  AND(L3812&gt;=TIME(9,0,0), L3812&lt;TIME(16,0,0)),"Morning",
  AND(L3812&gt;=TIME(16,0,0), L3812&lt;TIME(23,59,0)),"Evening",
  L3812&gt;=TIME(23,59,0),"Night",
  L3812&lt;TIME(9,0,0),"Night"
))</f>
        <v/>
      </c>
      <c r="O3812" t="str">
        <f t="shared" si="356"/>
        <v/>
      </c>
    </row>
    <row r="3813" spans="7:15" x14ac:dyDescent="0.25">
      <c r="G3813" t="str">
        <f t="shared" si="354"/>
        <v/>
      </c>
      <c r="H3813" s="13" t="str">
        <f t="shared" si="357"/>
        <v/>
      </c>
      <c r="I3813" t="str">
        <f>IFERROR(INDEX(Analysis!$D$116:$N$137, MATCH(B3813, Analysis!$C$116:$C$137, 0), MATCH(C3813, Analysis!$D$115:$N$115, 0)), "")</f>
        <v/>
      </c>
      <c r="J3813" t="str">
        <f t="shared" si="358"/>
        <v/>
      </c>
      <c r="K3813" s="28" t="str">
        <f t="shared" si="355"/>
        <v/>
      </c>
      <c r="L3813" s="46" t="str">
        <f t="shared" si="359"/>
        <v/>
      </c>
      <c r="M3813" t="str" cm="1">
        <f t="array" ref="M3813">IF(L3813="","",_xlfn.IFS(
  AND(L3813&gt;=TIME(9,0,0), L3813&lt;TIME(16,0,0)),"Morning",
  AND(L3813&gt;=TIME(16,0,0), L3813&lt;TIME(23,59,0)),"Evening",
  L3813&gt;=TIME(23,59,0),"Night",
  L3813&lt;TIME(9,0,0),"Night"
))</f>
        <v/>
      </c>
      <c r="O3813" t="str">
        <f t="shared" si="356"/>
        <v/>
      </c>
    </row>
    <row r="3814" spans="7:15" x14ac:dyDescent="0.25">
      <c r="G3814" t="str">
        <f t="shared" si="354"/>
        <v/>
      </c>
      <c r="H3814" s="13" t="str">
        <f t="shared" si="357"/>
        <v/>
      </c>
      <c r="I3814" t="str">
        <f>IFERROR(INDEX(Analysis!$D$116:$N$137, MATCH(B3814, Analysis!$C$116:$C$137, 0), MATCH(C3814, Analysis!$D$115:$N$115, 0)), "")</f>
        <v/>
      </c>
      <c r="J3814" t="str">
        <f t="shared" si="358"/>
        <v/>
      </c>
      <c r="K3814" s="28" t="str">
        <f t="shared" si="355"/>
        <v/>
      </c>
      <c r="L3814" s="46" t="str">
        <f t="shared" si="359"/>
        <v/>
      </c>
      <c r="M3814" t="str" cm="1">
        <f t="array" ref="M3814">IF(L3814="","",_xlfn.IFS(
  AND(L3814&gt;=TIME(9,0,0), L3814&lt;TIME(16,0,0)),"Morning",
  AND(L3814&gt;=TIME(16,0,0), L3814&lt;TIME(23,59,0)),"Evening",
  L3814&gt;=TIME(23,59,0),"Night",
  L3814&lt;TIME(9,0,0),"Night"
))</f>
        <v/>
      </c>
      <c r="O3814" t="str">
        <f t="shared" si="356"/>
        <v/>
      </c>
    </row>
    <row r="3815" spans="7:15" x14ac:dyDescent="0.25">
      <c r="G3815" t="str">
        <f t="shared" si="354"/>
        <v/>
      </c>
      <c r="H3815" s="13" t="str">
        <f t="shared" si="357"/>
        <v/>
      </c>
      <c r="I3815" t="str">
        <f>IFERROR(INDEX(Analysis!$D$116:$N$137, MATCH(B3815, Analysis!$C$116:$C$137, 0), MATCH(C3815, Analysis!$D$115:$N$115, 0)), "")</f>
        <v/>
      </c>
      <c r="J3815" t="str">
        <f t="shared" si="358"/>
        <v/>
      </c>
      <c r="K3815" s="28" t="str">
        <f t="shared" si="355"/>
        <v/>
      </c>
      <c r="L3815" s="46" t="str">
        <f t="shared" si="359"/>
        <v/>
      </c>
      <c r="M3815" t="str" cm="1">
        <f t="array" ref="M3815">IF(L3815="","",_xlfn.IFS(
  AND(L3815&gt;=TIME(9,0,0), L3815&lt;TIME(16,0,0)),"Morning",
  AND(L3815&gt;=TIME(16,0,0), L3815&lt;TIME(23,59,0)),"Evening",
  L3815&gt;=TIME(23,59,0),"Night",
  L3815&lt;TIME(9,0,0),"Night"
))</f>
        <v/>
      </c>
      <c r="O3815" t="str">
        <f t="shared" si="356"/>
        <v/>
      </c>
    </row>
    <row r="3816" spans="7:15" x14ac:dyDescent="0.25">
      <c r="G3816" t="str">
        <f t="shared" si="354"/>
        <v/>
      </c>
      <c r="H3816" s="13" t="str">
        <f t="shared" si="357"/>
        <v/>
      </c>
      <c r="I3816" t="str">
        <f>IFERROR(INDEX(Analysis!$D$116:$N$137, MATCH(B3816, Analysis!$C$116:$C$137, 0), MATCH(C3816, Analysis!$D$115:$N$115, 0)), "")</f>
        <v/>
      </c>
      <c r="J3816" t="str">
        <f t="shared" si="358"/>
        <v/>
      </c>
      <c r="K3816" s="28" t="str">
        <f t="shared" si="355"/>
        <v/>
      </c>
      <c r="L3816" s="46" t="str">
        <f t="shared" si="359"/>
        <v/>
      </c>
      <c r="M3816" t="str" cm="1">
        <f t="array" ref="M3816">IF(L3816="","",_xlfn.IFS(
  AND(L3816&gt;=TIME(9,0,0), L3816&lt;TIME(16,0,0)),"Morning",
  AND(L3816&gt;=TIME(16,0,0), L3816&lt;TIME(23,59,0)),"Evening",
  L3816&gt;=TIME(23,59,0),"Night",
  L3816&lt;TIME(9,0,0),"Night"
))</f>
        <v/>
      </c>
      <c r="O3816" t="str">
        <f t="shared" si="356"/>
        <v/>
      </c>
    </row>
    <row r="3817" spans="7:15" x14ac:dyDescent="0.25">
      <c r="G3817" t="str">
        <f t="shared" si="354"/>
        <v/>
      </c>
      <c r="H3817" s="13" t="str">
        <f t="shared" si="357"/>
        <v/>
      </c>
      <c r="I3817" t="str">
        <f>IFERROR(INDEX(Analysis!$D$116:$N$137, MATCH(B3817, Analysis!$C$116:$C$137, 0), MATCH(C3817, Analysis!$D$115:$N$115, 0)), "")</f>
        <v/>
      </c>
      <c r="J3817" t="str">
        <f t="shared" si="358"/>
        <v/>
      </c>
      <c r="K3817" s="28" t="str">
        <f t="shared" si="355"/>
        <v/>
      </c>
      <c r="L3817" s="46" t="str">
        <f t="shared" si="359"/>
        <v/>
      </c>
      <c r="M3817" t="str" cm="1">
        <f t="array" ref="M3817">IF(L3817="","",_xlfn.IFS(
  AND(L3817&gt;=TIME(9,0,0), L3817&lt;TIME(16,0,0)),"Morning",
  AND(L3817&gt;=TIME(16,0,0), L3817&lt;TIME(23,59,0)),"Evening",
  L3817&gt;=TIME(23,59,0),"Night",
  L3817&lt;TIME(9,0,0),"Night"
))</f>
        <v/>
      </c>
      <c r="O3817" t="str">
        <f t="shared" si="356"/>
        <v/>
      </c>
    </row>
    <row r="3818" spans="7:15" x14ac:dyDescent="0.25">
      <c r="G3818" t="str">
        <f t="shared" si="354"/>
        <v/>
      </c>
      <c r="H3818" s="13" t="str">
        <f t="shared" si="357"/>
        <v/>
      </c>
      <c r="I3818" t="str">
        <f>IFERROR(INDEX(Analysis!$D$116:$N$137, MATCH(B3818, Analysis!$C$116:$C$137, 0), MATCH(C3818, Analysis!$D$115:$N$115, 0)), "")</f>
        <v/>
      </c>
      <c r="J3818" t="str">
        <f t="shared" si="358"/>
        <v/>
      </c>
      <c r="K3818" s="28" t="str">
        <f t="shared" si="355"/>
        <v/>
      </c>
      <c r="L3818" s="46" t="str">
        <f t="shared" si="359"/>
        <v/>
      </c>
      <c r="M3818" t="str" cm="1">
        <f t="array" ref="M3818">IF(L3818="","",_xlfn.IFS(
  AND(L3818&gt;=TIME(9,0,0), L3818&lt;TIME(16,0,0)),"Morning",
  AND(L3818&gt;=TIME(16,0,0), L3818&lt;TIME(23,59,0)),"Evening",
  L3818&gt;=TIME(23,59,0),"Night",
  L3818&lt;TIME(9,0,0),"Night"
))</f>
        <v/>
      </c>
      <c r="O3818" t="str">
        <f t="shared" si="356"/>
        <v/>
      </c>
    </row>
    <row r="3819" spans="7:15" x14ac:dyDescent="0.25">
      <c r="G3819" t="str">
        <f t="shared" si="354"/>
        <v/>
      </c>
      <c r="H3819" s="13" t="str">
        <f t="shared" si="357"/>
        <v/>
      </c>
      <c r="I3819" t="str">
        <f>IFERROR(INDEX(Analysis!$D$116:$N$137, MATCH(B3819, Analysis!$C$116:$C$137, 0), MATCH(C3819, Analysis!$D$115:$N$115, 0)), "")</f>
        <v/>
      </c>
      <c r="J3819" t="str">
        <f t="shared" si="358"/>
        <v/>
      </c>
      <c r="K3819" s="28" t="str">
        <f t="shared" si="355"/>
        <v/>
      </c>
      <c r="L3819" s="46" t="str">
        <f t="shared" si="359"/>
        <v/>
      </c>
      <c r="M3819" t="str" cm="1">
        <f t="array" ref="M3819">IF(L3819="","",_xlfn.IFS(
  AND(L3819&gt;=TIME(9,0,0), L3819&lt;TIME(16,0,0)),"Morning",
  AND(L3819&gt;=TIME(16,0,0), L3819&lt;TIME(23,59,0)),"Evening",
  L3819&gt;=TIME(23,59,0),"Night",
  L3819&lt;TIME(9,0,0),"Night"
))</f>
        <v/>
      </c>
      <c r="O3819" t="str">
        <f t="shared" si="356"/>
        <v/>
      </c>
    </row>
    <row r="3820" spans="7:15" x14ac:dyDescent="0.25">
      <c r="G3820" t="str">
        <f t="shared" si="354"/>
        <v/>
      </c>
      <c r="H3820" s="13" t="str">
        <f t="shared" si="357"/>
        <v/>
      </c>
      <c r="I3820" t="str">
        <f>IFERROR(INDEX(Analysis!$D$116:$N$137, MATCH(B3820, Analysis!$C$116:$C$137, 0), MATCH(C3820, Analysis!$D$115:$N$115, 0)), "")</f>
        <v/>
      </c>
      <c r="J3820" t="str">
        <f t="shared" si="358"/>
        <v/>
      </c>
      <c r="K3820" s="28" t="str">
        <f t="shared" si="355"/>
        <v/>
      </c>
      <c r="L3820" s="46" t="str">
        <f t="shared" si="359"/>
        <v/>
      </c>
      <c r="M3820" t="str" cm="1">
        <f t="array" ref="M3820">IF(L3820="","",_xlfn.IFS(
  AND(L3820&gt;=TIME(9,0,0), L3820&lt;TIME(16,0,0)),"Morning",
  AND(L3820&gt;=TIME(16,0,0), L3820&lt;TIME(23,59,0)),"Evening",
  L3820&gt;=TIME(23,59,0),"Night",
  L3820&lt;TIME(9,0,0),"Night"
))</f>
        <v/>
      </c>
      <c r="O3820" t="str">
        <f t="shared" si="356"/>
        <v/>
      </c>
    </row>
    <row r="3821" spans="7:15" x14ac:dyDescent="0.25">
      <c r="G3821" t="str">
        <f t="shared" si="354"/>
        <v/>
      </c>
      <c r="H3821" s="13" t="str">
        <f t="shared" si="357"/>
        <v/>
      </c>
      <c r="I3821" t="str">
        <f>IFERROR(INDEX(Analysis!$D$116:$N$137, MATCH(B3821, Analysis!$C$116:$C$137, 0), MATCH(C3821, Analysis!$D$115:$N$115, 0)), "")</f>
        <v/>
      </c>
      <c r="J3821" t="str">
        <f t="shared" si="358"/>
        <v/>
      </c>
      <c r="K3821" s="28" t="str">
        <f t="shared" si="355"/>
        <v/>
      </c>
      <c r="L3821" s="46" t="str">
        <f t="shared" si="359"/>
        <v/>
      </c>
      <c r="M3821" t="str" cm="1">
        <f t="array" ref="M3821">IF(L3821="","",_xlfn.IFS(
  AND(L3821&gt;=TIME(9,0,0), L3821&lt;TIME(16,0,0)),"Morning",
  AND(L3821&gt;=TIME(16,0,0), L3821&lt;TIME(23,59,0)),"Evening",
  L3821&gt;=TIME(23,59,0),"Night",
  L3821&lt;TIME(9,0,0),"Night"
))</f>
        <v/>
      </c>
      <c r="O3821" t="str">
        <f t="shared" si="356"/>
        <v/>
      </c>
    </row>
    <row r="3822" spans="7:15" x14ac:dyDescent="0.25">
      <c r="G3822" t="str">
        <f t="shared" si="354"/>
        <v/>
      </c>
      <c r="H3822" s="13" t="str">
        <f t="shared" si="357"/>
        <v/>
      </c>
      <c r="I3822" t="str">
        <f>IFERROR(INDEX(Analysis!$D$116:$N$137, MATCH(B3822, Analysis!$C$116:$C$137, 0), MATCH(C3822, Analysis!$D$115:$N$115, 0)), "")</f>
        <v/>
      </c>
      <c r="J3822" t="str">
        <f t="shared" si="358"/>
        <v/>
      </c>
      <c r="K3822" s="28" t="str">
        <f t="shared" si="355"/>
        <v/>
      </c>
      <c r="L3822" s="46" t="str">
        <f t="shared" si="359"/>
        <v/>
      </c>
      <c r="M3822" t="str" cm="1">
        <f t="array" ref="M3822">IF(L3822="","",_xlfn.IFS(
  AND(L3822&gt;=TIME(9,0,0), L3822&lt;TIME(16,0,0)),"Morning",
  AND(L3822&gt;=TIME(16,0,0), L3822&lt;TIME(23,59,0)),"Evening",
  L3822&gt;=TIME(23,59,0),"Night",
  L3822&lt;TIME(9,0,0),"Night"
))</f>
        <v/>
      </c>
      <c r="O3822" t="str">
        <f t="shared" si="356"/>
        <v/>
      </c>
    </row>
    <row r="3823" spans="7:15" x14ac:dyDescent="0.25">
      <c r="G3823" t="str">
        <f t="shared" si="354"/>
        <v/>
      </c>
      <c r="H3823" s="13" t="str">
        <f t="shared" si="357"/>
        <v/>
      </c>
      <c r="I3823" t="str">
        <f>IFERROR(INDEX(Analysis!$D$116:$N$137, MATCH(B3823, Analysis!$C$116:$C$137, 0), MATCH(C3823, Analysis!$D$115:$N$115, 0)), "")</f>
        <v/>
      </c>
      <c r="J3823" t="str">
        <f t="shared" si="358"/>
        <v/>
      </c>
      <c r="K3823" s="28" t="str">
        <f t="shared" si="355"/>
        <v/>
      </c>
      <c r="L3823" s="46" t="str">
        <f t="shared" si="359"/>
        <v/>
      </c>
      <c r="M3823" t="str" cm="1">
        <f t="array" ref="M3823">IF(L3823="","",_xlfn.IFS(
  AND(L3823&gt;=TIME(9,0,0), L3823&lt;TIME(16,0,0)),"Morning",
  AND(L3823&gt;=TIME(16,0,0), L3823&lt;TIME(23,59,0)),"Evening",
  L3823&gt;=TIME(23,59,0),"Night",
  L3823&lt;TIME(9,0,0),"Night"
))</f>
        <v/>
      </c>
      <c r="O3823" t="str">
        <f t="shared" si="356"/>
        <v/>
      </c>
    </row>
    <row r="3824" spans="7:15" x14ac:dyDescent="0.25">
      <c r="G3824" t="str">
        <f t="shared" si="354"/>
        <v/>
      </c>
      <c r="H3824" s="13" t="str">
        <f t="shared" si="357"/>
        <v/>
      </c>
      <c r="I3824" t="str">
        <f>IFERROR(INDEX(Analysis!$D$116:$N$137, MATCH(B3824, Analysis!$C$116:$C$137, 0), MATCH(C3824, Analysis!$D$115:$N$115, 0)), "")</f>
        <v/>
      </c>
      <c r="J3824" t="str">
        <f t="shared" si="358"/>
        <v/>
      </c>
      <c r="K3824" s="28" t="str">
        <f t="shared" si="355"/>
        <v/>
      </c>
      <c r="L3824" s="46" t="str">
        <f t="shared" si="359"/>
        <v/>
      </c>
      <c r="M3824" t="str" cm="1">
        <f t="array" ref="M3824">IF(L3824="","",_xlfn.IFS(
  AND(L3824&gt;=TIME(9,0,0), L3824&lt;TIME(16,0,0)),"Morning",
  AND(L3824&gt;=TIME(16,0,0), L3824&lt;TIME(23,59,0)),"Evening",
  L3824&gt;=TIME(23,59,0),"Night",
  L3824&lt;TIME(9,0,0),"Night"
))</f>
        <v/>
      </c>
      <c r="O3824" t="str">
        <f t="shared" si="356"/>
        <v/>
      </c>
    </row>
    <row r="3825" spans="7:15" x14ac:dyDescent="0.25">
      <c r="G3825" t="str">
        <f t="shared" si="354"/>
        <v/>
      </c>
      <c r="H3825" s="13" t="str">
        <f t="shared" si="357"/>
        <v/>
      </c>
      <c r="I3825" t="str">
        <f>IFERROR(INDEX(Analysis!$D$116:$N$137, MATCH(B3825, Analysis!$C$116:$C$137, 0), MATCH(C3825, Analysis!$D$115:$N$115, 0)), "")</f>
        <v/>
      </c>
      <c r="J3825" t="str">
        <f t="shared" si="358"/>
        <v/>
      </c>
      <c r="K3825" s="28" t="str">
        <f t="shared" si="355"/>
        <v/>
      </c>
      <c r="L3825" s="46" t="str">
        <f t="shared" si="359"/>
        <v/>
      </c>
      <c r="M3825" t="str" cm="1">
        <f t="array" ref="M3825">IF(L3825="","",_xlfn.IFS(
  AND(L3825&gt;=TIME(9,0,0), L3825&lt;TIME(16,0,0)),"Morning",
  AND(L3825&gt;=TIME(16,0,0), L3825&lt;TIME(23,59,0)),"Evening",
  L3825&gt;=TIME(23,59,0),"Night",
  L3825&lt;TIME(9,0,0),"Night"
))</f>
        <v/>
      </c>
      <c r="O3825" t="str">
        <f t="shared" si="356"/>
        <v/>
      </c>
    </row>
    <row r="3826" spans="7:15" x14ac:dyDescent="0.25">
      <c r="G3826" t="str">
        <f t="shared" si="354"/>
        <v/>
      </c>
      <c r="H3826" s="13" t="str">
        <f t="shared" si="357"/>
        <v/>
      </c>
      <c r="I3826" t="str">
        <f>IFERROR(INDEX(Analysis!$D$116:$N$137, MATCH(B3826, Analysis!$C$116:$C$137, 0), MATCH(C3826, Analysis!$D$115:$N$115, 0)), "")</f>
        <v/>
      </c>
      <c r="J3826" t="str">
        <f t="shared" si="358"/>
        <v/>
      </c>
      <c r="K3826" s="28" t="str">
        <f t="shared" si="355"/>
        <v/>
      </c>
      <c r="L3826" s="46" t="str">
        <f t="shared" si="359"/>
        <v/>
      </c>
      <c r="M3826" t="str" cm="1">
        <f t="array" ref="M3826">IF(L3826="","",_xlfn.IFS(
  AND(L3826&gt;=TIME(9,0,0), L3826&lt;TIME(16,0,0)),"Morning",
  AND(L3826&gt;=TIME(16,0,0), L3826&lt;TIME(23,59,0)),"Evening",
  L3826&gt;=TIME(23,59,0),"Night",
  L3826&lt;TIME(9,0,0),"Night"
))</f>
        <v/>
      </c>
      <c r="O3826" t="str">
        <f t="shared" si="356"/>
        <v/>
      </c>
    </row>
    <row r="3827" spans="7:15" x14ac:dyDescent="0.25">
      <c r="G3827" t="str">
        <f t="shared" si="354"/>
        <v/>
      </c>
      <c r="H3827" s="13" t="str">
        <f t="shared" si="357"/>
        <v/>
      </c>
      <c r="I3827" t="str">
        <f>IFERROR(INDEX(Analysis!$D$116:$N$137, MATCH(B3827, Analysis!$C$116:$C$137, 0), MATCH(C3827, Analysis!$D$115:$N$115, 0)), "")</f>
        <v/>
      </c>
      <c r="J3827" t="str">
        <f t="shared" si="358"/>
        <v/>
      </c>
      <c r="K3827" s="28" t="str">
        <f t="shared" si="355"/>
        <v/>
      </c>
      <c r="L3827" s="46" t="str">
        <f t="shared" si="359"/>
        <v/>
      </c>
      <c r="M3827" t="str" cm="1">
        <f t="array" ref="M3827">IF(L3827="","",_xlfn.IFS(
  AND(L3827&gt;=TIME(9,0,0), L3827&lt;TIME(16,0,0)),"Morning",
  AND(L3827&gt;=TIME(16,0,0), L3827&lt;TIME(23,59,0)),"Evening",
  L3827&gt;=TIME(23,59,0),"Night",
  L3827&lt;TIME(9,0,0),"Night"
))</f>
        <v/>
      </c>
      <c r="O3827" t="str">
        <f t="shared" si="356"/>
        <v/>
      </c>
    </row>
    <row r="3828" spans="7:15" x14ac:dyDescent="0.25">
      <c r="G3828" t="str">
        <f t="shared" si="354"/>
        <v/>
      </c>
      <c r="H3828" s="13" t="str">
        <f t="shared" si="357"/>
        <v/>
      </c>
      <c r="I3828" t="str">
        <f>IFERROR(INDEX(Analysis!$D$116:$N$137, MATCH(B3828, Analysis!$C$116:$C$137, 0), MATCH(C3828, Analysis!$D$115:$N$115, 0)), "")</f>
        <v/>
      </c>
      <c r="J3828" t="str">
        <f t="shared" si="358"/>
        <v/>
      </c>
      <c r="K3828" s="28" t="str">
        <f t="shared" si="355"/>
        <v/>
      </c>
      <c r="L3828" s="46" t="str">
        <f t="shared" si="359"/>
        <v/>
      </c>
      <c r="M3828" t="str" cm="1">
        <f t="array" ref="M3828">IF(L3828="","",_xlfn.IFS(
  AND(L3828&gt;=TIME(9,0,0), L3828&lt;TIME(16,0,0)),"Morning",
  AND(L3828&gt;=TIME(16,0,0), L3828&lt;TIME(23,59,0)),"Evening",
  L3828&gt;=TIME(23,59,0),"Night",
  L3828&lt;TIME(9,0,0),"Night"
))</f>
        <v/>
      </c>
      <c r="O3828" t="str">
        <f t="shared" si="356"/>
        <v/>
      </c>
    </row>
    <row r="3829" spans="7:15" x14ac:dyDescent="0.25">
      <c r="G3829" t="str">
        <f t="shared" si="354"/>
        <v/>
      </c>
      <c r="H3829" s="13" t="str">
        <f t="shared" si="357"/>
        <v/>
      </c>
      <c r="I3829" t="str">
        <f>IFERROR(INDEX(Analysis!$D$116:$N$137, MATCH(B3829, Analysis!$C$116:$C$137, 0), MATCH(C3829, Analysis!$D$115:$N$115, 0)), "")</f>
        <v/>
      </c>
      <c r="J3829" t="str">
        <f t="shared" si="358"/>
        <v/>
      </c>
      <c r="K3829" s="28" t="str">
        <f t="shared" si="355"/>
        <v/>
      </c>
      <c r="L3829" s="46" t="str">
        <f t="shared" si="359"/>
        <v/>
      </c>
      <c r="M3829" t="str" cm="1">
        <f t="array" ref="M3829">IF(L3829="","",_xlfn.IFS(
  AND(L3829&gt;=TIME(9,0,0), L3829&lt;TIME(16,0,0)),"Morning",
  AND(L3829&gt;=TIME(16,0,0), L3829&lt;TIME(23,59,0)),"Evening",
  L3829&gt;=TIME(23,59,0),"Night",
  L3829&lt;TIME(9,0,0),"Night"
))</f>
        <v/>
      </c>
      <c r="O3829" t="str">
        <f t="shared" si="356"/>
        <v/>
      </c>
    </row>
    <row r="3830" spans="7:15" x14ac:dyDescent="0.25">
      <c r="G3830" t="str">
        <f t="shared" si="354"/>
        <v/>
      </c>
      <c r="H3830" s="13" t="str">
        <f t="shared" si="357"/>
        <v/>
      </c>
      <c r="I3830" t="str">
        <f>IFERROR(INDEX(Analysis!$D$116:$N$137, MATCH(B3830, Analysis!$C$116:$C$137, 0), MATCH(C3830, Analysis!$D$115:$N$115, 0)), "")</f>
        <v/>
      </c>
      <c r="J3830" t="str">
        <f t="shared" si="358"/>
        <v/>
      </c>
      <c r="K3830" s="28" t="str">
        <f t="shared" si="355"/>
        <v/>
      </c>
      <c r="L3830" s="46" t="str">
        <f t="shared" si="359"/>
        <v/>
      </c>
      <c r="M3830" t="str" cm="1">
        <f t="array" ref="M3830">IF(L3830="","",_xlfn.IFS(
  AND(L3830&gt;=TIME(9,0,0), L3830&lt;TIME(16,0,0)),"Morning",
  AND(L3830&gt;=TIME(16,0,0), L3830&lt;TIME(23,59,0)),"Evening",
  L3830&gt;=TIME(23,59,0),"Night",
  L3830&lt;TIME(9,0,0),"Night"
))</f>
        <v/>
      </c>
      <c r="O3830" t="str">
        <f t="shared" si="356"/>
        <v/>
      </c>
    </row>
    <row r="3831" spans="7:15" x14ac:dyDescent="0.25">
      <c r="G3831" t="str">
        <f t="shared" si="354"/>
        <v/>
      </c>
      <c r="H3831" s="13" t="str">
        <f t="shared" si="357"/>
        <v/>
      </c>
      <c r="I3831" t="str">
        <f>IFERROR(INDEX(Analysis!$D$116:$N$137, MATCH(B3831, Analysis!$C$116:$C$137, 0), MATCH(C3831, Analysis!$D$115:$N$115, 0)), "")</f>
        <v/>
      </c>
      <c r="J3831" t="str">
        <f t="shared" si="358"/>
        <v/>
      </c>
      <c r="K3831" s="28" t="str">
        <f t="shared" si="355"/>
        <v/>
      </c>
      <c r="L3831" s="46" t="str">
        <f t="shared" si="359"/>
        <v/>
      </c>
      <c r="M3831" t="str" cm="1">
        <f t="array" ref="M3831">IF(L3831="","",_xlfn.IFS(
  AND(L3831&gt;=TIME(9,0,0), L3831&lt;TIME(16,0,0)),"Morning",
  AND(L3831&gt;=TIME(16,0,0), L3831&lt;TIME(23,59,0)),"Evening",
  L3831&gt;=TIME(23,59,0),"Night",
  L3831&lt;TIME(9,0,0),"Night"
))</f>
        <v/>
      </c>
      <c r="O3831" t="str">
        <f t="shared" si="356"/>
        <v/>
      </c>
    </row>
    <row r="3832" spans="7:15" x14ac:dyDescent="0.25">
      <c r="G3832" t="str">
        <f t="shared" si="354"/>
        <v/>
      </c>
      <c r="H3832" s="13" t="str">
        <f t="shared" si="357"/>
        <v/>
      </c>
      <c r="I3832" t="str">
        <f>IFERROR(INDEX(Analysis!$D$116:$N$137, MATCH(B3832, Analysis!$C$116:$C$137, 0), MATCH(C3832, Analysis!$D$115:$N$115, 0)), "")</f>
        <v/>
      </c>
      <c r="J3832" t="str">
        <f t="shared" si="358"/>
        <v/>
      </c>
      <c r="K3832" s="28" t="str">
        <f t="shared" si="355"/>
        <v/>
      </c>
      <c r="L3832" s="46" t="str">
        <f t="shared" si="359"/>
        <v/>
      </c>
      <c r="M3832" t="str" cm="1">
        <f t="array" ref="M3832">IF(L3832="","",_xlfn.IFS(
  AND(L3832&gt;=TIME(9,0,0), L3832&lt;TIME(16,0,0)),"Morning",
  AND(L3832&gt;=TIME(16,0,0), L3832&lt;TIME(23,59,0)),"Evening",
  L3832&gt;=TIME(23,59,0),"Night",
  L3832&lt;TIME(9,0,0),"Night"
))</f>
        <v/>
      </c>
      <c r="O3832" t="str">
        <f t="shared" si="356"/>
        <v/>
      </c>
    </row>
    <row r="3833" spans="7:15" x14ac:dyDescent="0.25">
      <c r="G3833" t="str">
        <f t="shared" si="354"/>
        <v/>
      </c>
      <c r="H3833" s="13" t="str">
        <f t="shared" si="357"/>
        <v/>
      </c>
      <c r="I3833" t="str">
        <f>IFERROR(INDEX(Analysis!$D$116:$N$137, MATCH(B3833, Analysis!$C$116:$C$137, 0), MATCH(C3833, Analysis!$D$115:$N$115, 0)), "")</f>
        <v/>
      </c>
      <c r="J3833" t="str">
        <f t="shared" si="358"/>
        <v/>
      </c>
      <c r="K3833" s="28" t="str">
        <f t="shared" si="355"/>
        <v/>
      </c>
      <c r="L3833" s="46" t="str">
        <f t="shared" si="359"/>
        <v/>
      </c>
      <c r="M3833" t="str" cm="1">
        <f t="array" ref="M3833">IF(L3833="","",_xlfn.IFS(
  AND(L3833&gt;=TIME(9,0,0), L3833&lt;TIME(16,0,0)),"Morning",
  AND(L3833&gt;=TIME(16,0,0), L3833&lt;TIME(23,59,0)),"Evening",
  L3833&gt;=TIME(23,59,0),"Night",
  L3833&lt;TIME(9,0,0),"Night"
))</f>
        <v/>
      </c>
      <c r="O3833" t="str">
        <f t="shared" si="356"/>
        <v/>
      </c>
    </row>
    <row r="3834" spans="7:15" x14ac:dyDescent="0.25">
      <c r="G3834" t="str">
        <f t="shared" si="354"/>
        <v/>
      </c>
      <c r="H3834" s="13" t="str">
        <f t="shared" si="357"/>
        <v/>
      </c>
      <c r="I3834" t="str">
        <f>IFERROR(INDEX(Analysis!$D$116:$N$137, MATCH(B3834, Analysis!$C$116:$C$137, 0), MATCH(C3834, Analysis!$D$115:$N$115, 0)), "")</f>
        <v/>
      </c>
      <c r="J3834" t="str">
        <f t="shared" si="358"/>
        <v/>
      </c>
      <c r="K3834" s="28" t="str">
        <f t="shared" si="355"/>
        <v/>
      </c>
      <c r="L3834" s="46" t="str">
        <f t="shared" si="359"/>
        <v/>
      </c>
      <c r="M3834" t="str" cm="1">
        <f t="array" ref="M3834">IF(L3834="","",_xlfn.IFS(
  AND(L3834&gt;=TIME(9,0,0), L3834&lt;TIME(16,0,0)),"Morning",
  AND(L3834&gt;=TIME(16,0,0), L3834&lt;TIME(23,59,0)),"Evening",
  L3834&gt;=TIME(23,59,0),"Night",
  L3834&lt;TIME(9,0,0),"Night"
))</f>
        <v/>
      </c>
      <c r="O3834" t="str">
        <f t="shared" si="356"/>
        <v/>
      </c>
    </row>
    <row r="3835" spans="7:15" x14ac:dyDescent="0.25">
      <c r="G3835" t="str">
        <f t="shared" si="354"/>
        <v/>
      </c>
      <c r="H3835" s="13" t="str">
        <f t="shared" si="357"/>
        <v/>
      </c>
      <c r="I3835" t="str">
        <f>IFERROR(INDEX(Analysis!$D$116:$N$137, MATCH(B3835, Analysis!$C$116:$C$137, 0), MATCH(C3835, Analysis!$D$115:$N$115, 0)), "")</f>
        <v/>
      </c>
      <c r="J3835" t="str">
        <f t="shared" si="358"/>
        <v/>
      </c>
      <c r="K3835" s="28" t="str">
        <f t="shared" si="355"/>
        <v/>
      </c>
      <c r="L3835" s="46" t="str">
        <f t="shared" si="359"/>
        <v/>
      </c>
      <c r="M3835" t="str" cm="1">
        <f t="array" ref="M3835">IF(L3835="","",_xlfn.IFS(
  AND(L3835&gt;=TIME(9,0,0), L3835&lt;TIME(16,0,0)),"Morning",
  AND(L3835&gt;=TIME(16,0,0), L3835&lt;TIME(23,59,0)),"Evening",
  L3835&gt;=TIME(23,59,0),"Night",
  L3835&lt;TIME(9,0,0),"Night"
))</f>
        <v/>
      </c>
      <c r="O3835" t="str">
        <f t="shared" si="356"/>
        <v/>
      </c>
    </row>
    <row r="3836" spans="7:15" x14ac:dyDescent="0.25">
      <c r="G3836" t="str">
        <f t="shared" si="354"/>
        <v/>
      </c>
      <c r="H3836" s="13" t="str">
        <f t="shared" si="357"/>
        <v/>
      </c>
      <c r="I3836" t="str">
        <f>IFERROR(INDEX(Analysis!$D$116:$N$137, MATCH(B3836, Analysis!$C$116:$C$137, 0), MATCH(C3836, Analysis!$D$115:$N$115, 0)), "")</f>
        <v/>
      </c>
      <c r="J3836" t="str">
        <f t="shared" si="358"/>
        <v/>
      </c>
      <c r="K3836" s="28" t="str">
        <f t="shared" si="355"/>
        <v/>
      </c>
      <c r="L3836" s="46" t="str">
        <f t="shared" si="359"/>
        <v/>
      </c>
      <c r="M3836" t="str" cm="1">
        <f t="array" ref="M3836">IF(L3836="","",_xlfn.IFS(
  AND(L3836&gt;=TIME(9,0,0), L3836&lt;TIME(16,0,0)),"Morning",
  AND(L3836&gt;=TIME(16,0,0), L3836&lt;TIME(23,59,0)),"Evening",
  L3836&gt;=TIME(23,59,0),"Night",
  L3836&lt;TIME(9,0,0),"Night"
))</f>
        <v/>
      </c>
      <c r="O3836" t="str">
        <f t="shared" si="356"/>
        <v/>
      </c>
    </row>
    <row r="3837" spans="7:15" x14ac:dyDescent="0.25">
      <c r="G3837" t="str">
        <f t="shared" si="354"/>
        <v/>
      </c>
      <c r="H3837" s="13" t="str">
        <f t="shared" si="357"/>
        <v/>
      </c>
      <c r="I3837" t="str">
        <f>IFERROR(INDEX(Analysis!$D$116:$N$137, MATCH(B3837, Analysis!$C$116:$C$137, 0), MATCH(C3837, Analysis!$D$115:$N$115, 0)), "")</f>
        <v/>
      </c>
      <c r="J3837" t="str">
        <f t="shared" si="358"/>
        <v/>
      </c>
      <c r="K3837" s="28" t="str">
        <f t="shared" si="355"/>
        <v/>
      </c>
      <c r="L3837" s="46" t="str">
        <f t="shared" si="359"/>
        <v/>
      </c>
      <c r="M3837" t="str" cm="1">
        <f t="array" ref="M3837">IF(L3837="","",_xlfn.IFS(
  AND(L3837&gt;=TIME(9,0,0), L3837&lt;TIME(16,0,0)),"Morning",
  AND(L3837&gt;=TIME(16,0,0), L3837&lt;TIME(23,59,0)),"Evening",
  L3837&gt;=TIME(23,59,0),"Night",
  L3837&lt;TIME(9,0,0),"Night"
))</f>
        <v/>
      </c>
      <c r="O3837" t="str">
        <f t="shared" si="356"/>
        <v/>
      </c>
    </row>
    <row r="3838" spans="7:15" x14ac:dyDescent="0.25">
      <c r="G3838" t="str">
        <f t="shared" si="354"/>
        <v/>
      </c>
      <c r="H3838" s="13" t="str">
        <f t="shared" si="357"/>
        <v/>
      </c>
      <c r="I3838" t="str">
        <f>IFERROR(INDEX(Analysis!$D$116:$N$137, MATCH(B3838, Analysis!$C$116:$C$137, 0), MATCH(C3838, Analysis!$D$115:$N$115, 0)), "")</f>
        <v/>
      </c>
      <c r="J3838" t="str">
        <f t="shared" si="358"/>
        <v/>
      </c>
      <c r="K3838" s="28" t="str">
        <f t="shared" si="355"/>
        <v/>
      </c>
      <c r="L3838" s="46" t="str">
        <f t="shared" si="359"/>
        <v/>
      </c>
      <c r="M3838" t="str" cm="1">
        <f t="array" ref="M3838">IF(L3838="","",_xlfn.IFS(
  AND(L3838&gt;=TIME(9,0,0), L3838&lt;TIME(16,0,0)),"Morning",
  AND(L3838&gt;=TIME(16,0,0), L3838&lt;TIME(23,59,0)),"Evening",
  L3838&gt;=TIME(23,59,0),"Night",
  L3838&lt;TIME(9,0,0),"Night"
))</f>
        <v/>
      </c>
      <c r="O3838" t="str">
        <f t="shared" si="356"/>
        <v/>
      </c>
    </row>
    <row r="3839" spans="7:15" x14ac:dyDescent="0.25">
      <c r="G3839" t="str">
        <f t="shared" si="354"/>
        <v/>
      </c>
      <c r="H3839" s="13" t="str">
        <f t="shared" si="357"/>
        <v/>
      </c>
      <c r="I3839" t="str">
        <f>IFERROR(INDEX(Analysis!$D$116:$N$137, MATCH(B3839, Analysis!$C$116:$C$137, 0), MATCH(C3839, Analysis!$D$115:$N$115, 0)), "")</f>
        <v/>
      </c>
      <c r="J3839" t="str">
        <f t="shared" si="358"/>
        <v/>
      </c>
      <c r="K3839" s="28" t="str">
        <f t="shared" si="355"/>
        <v/>
      </c>
      <c r="L3839" s="46" t="str">
        <f t="shared" si="359"/>
        <v/>
      </c>
      <c r="M3839" t="str" cm="1">
        <f t="array" ref="M3839">IF(L3839="","",_xlfn.IFS(
  AND(L3839&gt;=TIME(9,0,0), L3839&lt;TIME(16,0,0)),"Morning",
  AND(L3839&gt;=TIME(16,0,0), L3839&lt;TIME(23,59,0)),"Evening",
  L3839&gt;=TIME(23,59,0),"Night",
  L3839&lt;TIME(9,0,0),"Night"
))</f>
        <v/>
      </c>
      <c r="O3839" t="str">
        <f t="shared" si="356"/>
        <v/>
      </c>
    </row>
    <row r="3840" spans="7:15" x14ac:dyDescent="0.25">
      <c r="G3840" t="str">
        <f t="shared" si="354"/>
        <v/>
      </c>
      <c r="H3840" s="13" t="str">
        <f t="shared" si="357"/>
        <v/>
      </c>
      <c r="I3840" t="str">
        <f>IFERROR(INDEX(Analysis!$D$116:$N$137, MATCH(B3840, Analysis!$C$116:$C$137, 0), MATCH(C3840, Analysis!$D$115:$N$115, 0)), "")</f>
        <v/>
      </c>
      <c r="J3840" t="str">
        <f t="shared" si="358"/>
        <v/>
      </c>
      <c r="K3840" s="28" t="str">
        <f t="shared" si="355"/>
        <v/>
      </c>
      <c r="L3840" s="46" t="str">
        <f t="shared" si="359"/>
        <v/>
      </c>
      <c r="M3840" t="str" cm="1">
        <f t="array" ref="M3840">IF(L3840="","",_xlfn.IFS(
  AND(L3840&gt;=TIME(9,0,0), L3840&lt;TIME(16,0,0)),"Morning",
  AND(L3840&gt;=TIME(16,0,0), L3840&lt;TIME(23,59,0)),"Evening",
  L3840&gt;=TIME(23,59,0),"Night",
  L3840&lt;TIME(9,0,0),"Night"
))</f>
        <v/>
      </c>
      <c r="O3840" t="str">
        <f t="shared" si="356"/>
        <v/>
      </c>
    </row>
    <row r="3841" spans="7:15" x14ac:dyDescent="0.25">
      <c r="G3841" t="str">
        <f t="shared" si="354"/>
        <v/>
      </c>
      <c r="H3841" s="13" t="str">
        <f t="shared" si="357"/>
        <v/>
      </c>
      <c r="I3841" t="str">
        <f>IFERROR(INDEX(Analysis!$D$116:$N$137, MATCH(B3841, Analysis!$C$116:$C$137, 0), MATCH(C3841, Analysis!$D$115:$N$115, 0)), "")</f>
        <v/>
      </c>
      <c r="J3841" t="str">
        <f t="shared" si="358"/>
        <v/>
      </c>
      <c r="K3841" s="28" t="str">
        <f t="shared" si="355"/>
        <v/>
      </c>
      <c r="L3841" s="46" t="str">
        <f t="shared" si="359"/>
        <v/>
      </c>
      <c r="M3841" t="str" cm="1">
        <f t="array" ref="M3841">IF(L3841="","",_xlfn.IFS(
  AND(L3841&gt;=TIME(9,0,0), L3841&lt;TIME(16,0,0)),"Morning",
  AND(L3841&gt;=TIME(16,0,0), L3841&lt;TIME(23,59,0)),"Evening",
  L3841&gt;=TIME(23,59,0),"Night",
  L3841&lt;TIME(9,0,0),"Night"
))</f>
        <v/>
      </c>
      <c r="O3841" t="str">
        <f t="shared" si="356"/>
        <v/>
      </c>
    </row>
    <row r="3842" spans="7:15" x14ac:dyDescent="0.25">
      <c r="G3842" t="str">
        <f t="shared" ref="G3842:G3905" si="360">IF(ISBLANK(A3842), "", IF(ISBLANK(F3842), 0, F3842))</f>
        <v/>
      </c>
      <c r="H3842" s="13" t="str">
        <f t="shared" si="357"/>
        <v/>
      </c>
      <c r="I3842" t="str">
        <f>IFERROR(INDEX(Analysis!$D$116:$N$137, MATCH(B3842, Analysis!$C$116:$C$137, 0), MATCH(C3842, Analysis!$D$115:$N$115, 0)), "")</f>
        <v/>
      </c>
      <c r="J3842" t="str">
        <f t="shared" si="358"/>
        <v/>
      </c>
      <c r="K3842" s="28" t="str">
        <f t="shared" ref="K3842:K3905" si="361">IF(ISBLANK(A3842),"",DATE(YEAR(A3842),MONTH(A3842),DAY(A3842)))</f>
        <v/>
      </c>
      <c r="L3842" s="46" t="str">
        <f t="shared" si="359"/>
        <v/>
      </c>
      <c r="M3842" t="str" cm="1">
        <f t="array" ref="M3842">IF(L3842="","",_xlfn.IFS(
  AND(L3842&gt;=TIME(9,0,0), L3842&lt;TIME(16,0,0)),"Morning",
  AND(L3842&gt;=TIME(16,0,0), L3842&lt;TIME(23,59,0)),"Evening",
  L3842&gt;=TIME(23,59,0),"Night",
  L3842&lt;TIME(9,0,0),"Night"
))</f>
        <v/>
      </c>
      <c r="O3842" t="str">
        <f t="shared" ref="O3842:O3905" si="362">IF(N3842="ON", _xlfn.IMAGE(E3842, 1), "")</f>
        <v/>
      </c>
    </row>
    <row r="3843" spans="7:15" x14ac:dyDescent="0.25">
      <c r="G3843" t="str">
        <f t="shared" si="360"/>
        <v/>
      </c>
      <c r="H3843" s="13" t="str">
        <f t="shared" ref="H3843:H3906" si="363">IF(ISBLANK(E3843),"",HYPERLINK(E3843,"Click here"))</f>
        <v/>
      </c>
      <c r="I3843" t="str">
        <f>IFERROR(INDEX(Analysis!$D$116:$N$137, MATCH(B3843, Analysis!$C$116:$C$137, 0), MATCH(C3843, Analysis!$D$115:$N$115, 0)), "")</f>
        <v/>
      </c>
      <c r="J3843" t="str">
        <f t="shared" ref="J3843:J3906" si="364">IF(ISBLANK(A3843),"",WEEKNUM(A3843))</f>
        <v/>
      </c>
      <c r="K3843" s="28" t="str">
        <f t="shared" si="361"/>
        <v/>
      </c>
      <c r="L3843" s="46" t="str">
        <f t="shared" ref="L3843:L3906" si="365">IF(A3843="", "", A3843 - INT(A3843))</f>
        <v/>
      </c>
      <c r="M3843" t="str" cm="1">
        <f t="array" ref="M3843">IF(L3843="","",_xlfn.IFS(
  AND(L3843&gt;=TIME(9,0,0), L3843&lt;TIME(16,0,0)),"Morning",
  AND(L3843&gt;=TIME(16,0,0), L3843&lt;TIME(23,59,0)),"Evening",
  L3843&gt;=TIME(23,59,0),"Night",
  L3843&lt;TIME(9,0,0),"Night"
))</f>
        <v/>
      </c>
      <c r="O3843" t="str">
        <f t="shared" si="362"/>
        <v/>
      </c>
    </row>
    <row r="3844" spans="7:15" x14ac:dyDescent="0.25">
      <c r="G3844" t="str">
        <f t="shared" si="360"/>
        <v/>
      </c>
      <c r="H3844" s="13" t="str">
        <f t="shared" si="363"/>
        <v/>
      </c>
      <c r="I3844" t="str">
        <f>IFERROR(INDEX(Analysis!$D$116:$N$137, MATCH(B3844, Analysis!$C$116:$C$137, 0), MATCH(C3844, Analysis!$D$115:$N$115, 0)), "")</f>
        <v/>
      </c>
      <c r="J3844" t="str">
        <f t="shared" si="364"/>
        <v/>
      </c>
      <c r="K3844" s="28" t="str">
        <f t="shared" si="361"/>
        <v/>
      </c>
      <c r="L3844" s="46" t="str">
        <f t="shared" si="365"/>
        <v/>
      </c>
      <c r="M3844" t="str" cm="1">
        <f t="array" ref="M3844">IF(L3844="","",_xlfn.IFS(
  AND(L3844&gt;=TIME(9,0,0), L3844&lt;TIME(16,0,0)),"Morning",
  AND(L3844&gt;=TIME(16,0,0), L3844&lt;TIME(23,59,0)),"Evening",
  L3844&gt;=TIME(23,59,0),"Night",
  L3844&lt;TIME(9,0,0),"Night"
))</f>
        <v/>
      </c>
      <c r="O3844" t="str">
        <f t="shared" si="362"/>
        <v/>
      </c>
    </row>
    <row r="3845" spans="7:15" x14ac:dyDescent="0.25">
      <c r="G3845" t="str">
        <f t="shared" si="360"/>
        <v/>
      </c>
      <c r="H3845" s="13" t="str">
        <f t="shared" si="363"/>
        <v/>
      </c>
      <c r="I3845" t="str">
        <f>IFERROR(INDEX(Analysis!$D$116:$N$137, MATCH(B3845, Analysis!$C$116:$C$137, 0), MATCH(C3845, Analysis!$D$115:$N$115, 0)), "")</f>
        <v/>
      </c>
      <c r="J3845" t="str">
        <f t="shared" si="364"/>
        <v/>
      </c>
      <c r="K3845" s="28" t="str">
        <f t="shared" si="361"/>
        <v/>
      </c>
      <c r="L3845" s="46" t="str">
        <f t="shared" si="365"/>
        <v/>
      </c>
      <c r="M3845" t="str" cm="1">
        <f t="array" ref="M3845">IF(L3845="","",_xlfn.IFS(
  AND(L3845&gt;=TIME(9,0,0), L3845&lt;TIME(16,0,0)),"Morning",
  AND(L3845&gt;=TIME(16,0,0), L3845&lt;TIME(23,59,0)),"Evening",
  L3845&gt;=TIME(23,59,0),"Night",
  L3845&lt;TIME(9,0,0),"Night"
))</f>
        <v/>
      </c>
      <c r="O3845" t="str">
        <f t="shared" si="362"/>
        <v/>
      </c>
    </row>
    <row r="3846" spans="7:15" x14ac:dyDescent="0.25">
      <c r="G3846" t="str">
        <f t="shared" si="360"/>
        <v/>
      </c>
      <c r="H3846" s="13" t="str">
        <f t="shared" si="363"/>
        <v/>
      </c>
      <c r="I3846" t="str">
        <f>IFERROR(INDEX(Analysis!$D$116:$N$137, MATCH(B3846, Analysis!$C$116:$C$137, 0), MATCH(C3846, Analysis!$D$115:$N$115, 0)), "")</f>
        <v/>
      </c>
      <c r="J3846" t="str">
        <f t="shared" si="364"/>
        <v/>
      </c>
      <c r="K3846" s="28" t="str">
        <f t="shared" si="361"/>
        <v/>
      </c>
      <c r="L3846" s="46" t="str">
        <f t="shared" si="365"/>
        <v/>
      </c>
      <c r="M3846" t="str" cm="1">
        <f t="array" ref="M3846">IF(L3846="","",_xlfn.IFS(
  AND(L3846&gt;=TIME(9,0,0), L3846&lt;TIME(16,0,0)),"Morning",
  AND(L3846&gt;=TIME(16,0,0), L3846&lt;TIME(23,59,0)),"Evening",
  L3846&gt;=TIME(23,59,0),"Night",
  L3846&lt;TIME(9,0,0),"Night"
))</f>
        <v/>
      </c>
      <c r="O3846" t="str">
        <f t="shared" si="362"/>
        <v/>
      </c>
    </row>
    <row r="3847" spans="7:15" x14ac:dyDescent="0.25">
      <c r="G3847" t="str">
        <f t="shared" si="360"/>
        <v/>
      </c>
      <c r="H3847" s="13" t="str">
        <f t="shared" si="363"/>
        <v/>
      </c>
      <c r="I3847" t="str">
        <f>IFERROR(INDEX(Analysis!$D$116:$N$137, MATCH(B3847, Analysis!$C$116:$C$137, 0), MATCH(C3847, Analysis!$D$115:$N$115, 0)), "")</f>
        <v/>
      </c>
      <c r="J3847" t="str">
        <f t="shared" si="364"/>
        <v/>
      </c>
      <c r="K3847" s="28" t="str">
        <f t="shared" si="361"/>
        <v/>
      </c>
      <c r="L3847" s="46" t="str">
        <f t="shared" si="365"/>
        <v/>
      </c>
      <c r="M3847" t="str" cm="1">
        <f t="array" ref="M3847">IF(L3847="","",_xlfn.IFS(
  AND(L3847&gt;=TIME(9,0,0), L3847&lt;TIME(16,0,0)),"Morning",
  AND(L3847&gt;=TIME(16,0,0), L3847&lt;TIME(23,59,0)),"Evening",
  L3847&gt;=TIME(23,59,0),"Night",
  L3847&lt;TIME(9,0,0),"Night"
))</f>
        <v/>
      </c>
      <c r="O3847" t="str">
        <f t="shared" si="362"/>
        <v/>
      </c>
    </row>
    <row r="3848" spans="7:15" x14ac:dyDescent="0.25">
      <c r="G3848" t="str">
        <f t="shared" si="360"/>
        <v/>
      </c>
      <c r="H3848" s="13" t="str">
        <f t="shared" si="363"/>
        <v/>
      </c>
      <c r="I3848" t="str">
        <f>IFERROR(INDEX(Analysis!$D$116:$N$137, MATCH(B3848, Analysis!$C$116:$C$137, 0), MATCH(C3848, Analysis!$D$115:$N$115, 0)), "")</f>
        <v/>
      </c>
      <c r="J3848" t="str">
        <f t="shared" si="364"/>
        <v/>
      </c>
      <c r="K3848" s="28" t="str">
        <f t="shared" si="361"/>
        <v/>
      </c>
      <c r="L3848" s="46" t="str">
        <f t="shared" si="365"/>
        <v/>
      </c>
      <c r="M3848" t="str" cm="1">
        <f t="array" ref="M3848">IF(L3848="","",_xlfn.IFS(
  AND(L3848&gt;=TIME(9,0,0), L3848&lt;TIME(16,0,0)),"Morning",
  AND(L3848&gt;=TIME(16,0,0), L3848&lt;TIME(23,59,0)),"Evening",
  L3848&gt;=TIME(23,59,0),"Night",
  L3848&lt;TIME(9,0,0),"Night"
))</f>
        <v/>
      </c>
      <c r="O3848" t="str">
        <f t="shared" si="362"/>
        <v/>
      </c>
    </row>
    <row r="3849" spans="7:15" x14ac:dyDescent="0.25">
      <c r="G3849" t="str">
        <f t="shared" si="360"/>
        <v/>
      </c>
      <c r="H3849" s="13" t="str">
        <f t="shared" si="363"/>
        <v/>
      </c>
      <c r="I3849" t="str">
        <f>IFERROR(INDEX(Analysis!$D$116:$N$137, MATCH(B3849, Analysis!$C$116:$C$137, 0), MATCH(C3849, Analysis!$D$115:$N$115, 0)), "")</f>
        <v/>
      </c>
      <c r="J3849" t="str">
        <f t="shared" si="364"/>
        <v/>
      </c>
      <c r="K3849" s="28" t="str">
        <f t="shared" si="361"/>
        <v/>
      </c>
      <c r="L3849" s="46" t="str">
        <f t="shared" si="365"/>
        <v/>
      </c>
      <c r="M3849" t="str" cm="1">
        <f t="array" ref="M3849">IF(L3849="","",_xlfn.IFS(
  AND(L3849&gt;=TIME(9,0,0), L3849&lt;TIME(16,0,0)),"Morning",
  AND(L3849&gt;=TIME(16,0,0), L3849&lt;TIME(23,59,0)),"Evening",
  L3849&gt;=TIME(23,59,0),"Night",
  L3849&lt;TIME(9,0,0),"Night"
))</f>
        <v/>
      </c>
      <c r="O3849" t="str">
        <f t="shared" si="362"/>
        <v/>
      </c>
    </row>
    <row r="3850" spans="7:15" x14ac:dyDescent="0.25">
      <c r="G3850" t="str">
        <f t="shared" si="360"/>
        <v/>
      </c>
      <c r="H3850" s="13" t="str">
        <f t="shared" si="363"/>
        <v/>
      </c>
      <c r="I3850" t="str">
        <f>IFERROR(INDEX(Analysis!$D$116:$N$137, MATCH(B3850, Analysis!$C$116:$C$137, 0), MATCH(C3850, Analysis!$D$115:$N$115, 0)), "")</f>
        <v/>
      </c>
      <c r="J3850" t="str">
        <f t="shared" si="364"/>
        <v/>
      </c>
      <c r="K3850" s="28" t="str">
        <f t="shared" si="361"/>
        <v/>
      </c>
      <c r="L3850" s="46" t="str">
        <f t="shared" si="365"/>
        <v/>
      </c>
      <c r="M3850" t="str" cm="1">
        <f t="array" ref="M3850">IF(L3850="","",_xlfn.IFS(
  AND(L3850&gt;=TIME(9,0,0), L3850&lt;TIME(16,0,0)),"Morning",
  AND(L3850&gt;=TIME(16,0,0), L3850&lt;TIME(23,59,0)),"Evening",
  L3850&gt;=TIME(23,59,0),"Night",
  L3850&lt;TIME(9,0,0),"Night"
))</f>
        <v/>
      </c>
      <c r="O3850" t="str">
        <f t="shared" si="362"/>
        <v/>
      </c>
    </row>
    <row r="3851" spans="7:15" x14ac:dyDescent="0.25">
      <c r="G3851" t="str">
        <f t="shared" si="360"/>
        <v/>
      </c>
      <c r="H3851" s="13" t="str">
        <f t="shared" si="363"/>
        <v/>
      </c>
      <c r="I3851" t="str">
        <f>IFERROR(INDEX(Analysis!$D$116:$N$137, MATCH(B3851, Analysis!$C$116:$C$137, 0), MATCH(C3851, Analysis!$D$115:$N$115, 0)), "")</f>
        <v/>
      </c>
      <c r="J3851" t="str">
        <f t="shared" si="364"/>
        <v/>
      </c>
      <c r="K3851" s="28" t="str">
        <f t="shared" si="361"/>
        <v/>
      </c>
      <c r="L3851" s="46" t="str">
        <f t="shared" si="365"/>
        <v/>
      </c>
      <c r="M3851" t="str" cm="1">
        <f t="array" ref="M3851">IF(L3851="","",_xlfn.IFS(
  AND(L3851&gt;=TIME(9,0,0), L3851&lt;TIME(16,0,0)),"Morning",
  AND(L3851&gt;=TIME(16,0,0), L3851&lt;TIME(23,59,0)),"Evening",
  L3851&gt;=TIME(23,59,0),"Night",
  L3851&lt;TIME(9,0,0),"Night"
))</f>
        <v/>
      </c>
      <c r="O3851" t="str">
        <f t="shared" si="362"/>
        <v/>
      </c>
    </row>
    <row r="3852" spans="7:15" x14ac:dyDescent="0.25">
      <c r="G3852" t="str">
        <f t="shared" si="360"/>
        <v/>
      </c>
      <c r="H3852" s="13" t="str">
        <f t="shared" si="363"/>
        <v/>
      </c>
      <c r="I3852" t="str">
        <f>IFERROR(INDEX(Analysis!$D$116:$N$137, MATCH(B3852, Analysis!$C$116:$C$137, 0), MATCH(C3852, Analysis!$D$115:$N$115, 0)), "")</f>
        <v/>
      </c>
      <c r="J3852" t="str">
        <f t="shared" si="364"/>
        <v/>
      </c>
      <c r="K3852" s="28" t="str">
        <f t="shared" si="361"/>
        <v/>
      </c>
      <c r="L3852" s="46" t="str">
        <f t="shared" si="365"/>
        <v/>
      </c>
      <c r="M3852" t="str" cm="1">
        <f t="array" ref="M3852">IF(L3852="","",_xlfn.IFS(
  AND(L3852&gt;=TIME(9,0,0), L3852&lt;TIME(16,0,0)),"Morning",
  AND(L3852&gt;=TIME(16,0,0), L3852&lt;TIME(23,59,0)),"Evening",
  L3852&gt;=TIME(23,59,0),"Night",
  L3852&lt;TIME(9,0,0),"Night"
))</f>
        <v/>
      </c>
      <c r="O3852" t="str">
        <f t="shared" si="362"/>
        <v/>
      </c>
    </row>
    <row r="3853" spans="7:15" x14ac:dyDescent="0.25">
      <c r="G3853" t="str">
        <f t="shared" si="360"/>
        <v/>
      </c>
      <c r="H3853" s="13" t="str">
        <f t="shared" si="363"/>
        <v/>
      </c>
      <c r="I3853" t="str">
        <f>IFERROR(INDEX(Analysis!$D$116:$N$137, MATCH(B3853, Analysis!$C$116:$C$137, 0), MATCH(C3853, Analysis!$D$115:$N$115, 0)), "")</f>
        <v/>
      </c>
      <c r="J3853" t="str">
        <f t="shared" si="364"/>
        <v/>
      </c>
      <c r="K3853" s="28" t="str">
        <f t="shared" si="361"/>
        <v/>
      </c>
      <c r="L3853" s="46" t="str">
        <f t="shared" si="365"/>
        <v/>
      </c>
      <c r="M3853" t="str" cm="1">
        <f t="array" ref="M3853">IF(L3853="","",_xlfn.IFS(
  AND(L3853&gt;=TIME(9,0,0), L3853&lt;TIME(16,0,0)),"Morning",
  AND(L3853&gt;=TIME(16,0,0), L3853&lt;TIME(23,59,0)),"Evening",
  L3853&gt;=TIME(23,59,0),"Night",
  L3853&lt;TIME(9,0,0),"Night"
))</f>
        <v/>
      </c>
      <c r="O3853" t="str">
        <f t="shared" si="362"/>
        <v/>
      </c>
    </row>
    <row r="3854" spans="7:15" x14ac:dyDescent="0.25">
      <c r="G3854" t="str">
        <f t="shared" si="360"/>
        <v/>
      </c>
      <c r="H3854" s="13" t="str">
        <f t="shared" si="363"/>
        <v/>
      </c>
      <c r="I3854" t="str">
        <f>IFERROR(INDEX(Analysis!$D$116:$N$137, MATCH(B3854, Analysis!$C$116:$C$137, 0), MATCH(C3854, Analysis!$D$115:$N$115, 0)), "")</f>
        <v/>
      </c>
      <c r="J3854" t="str">
        <f t="shared" si="364"/>
        <v/>
      </c>
      <c r="K3854" s="28" t="str">
        <f t="shared" si="361"/>
        <v/>
      </c>
      <c r="L3854" s="46" t="str">
        <f t="shared" si="365"/>
        <v/>
      </c>
      <c r="M3854" t="str" cm="1">
        <f t="array" ref="M3854">IF(L3854="","",_xlfn.IFS(
  AND(L3854&gt;=TIME(9,0,0), L3854&lt;TIME(16,0,0)),"Morning",
  AND(L3854&gt;=TIME(16,0,0), L3854&lt;TIME(23,59,0)),"Evening",
  L3854&gt;=TIME(23,59,0),"Night",
  L3854&lt;TIME(9,0,0),"Night"
))</f>
        <v/>
      </c>
      <c r="O3854" t="str">
        <f t="shared" si="362"/>
        <v/>
      </c>
    </row>
    <row r="3855" spans="7:15" x14ac:dyDescent="0.25">
      <c r="G3855" t="str">
        <f t="shared" si="360"/>
        <v/>
      </c>
      <c r="H3855" s="13" t="str">
        <f t="shared" si="363"/>
        <v/>
      </c>
      <c r="I3855" t="str">
        <f>IFERROR(INDEX(Analysis!$D$116:$N$137, MATCH(B3855, Analysis!$C$116:$C$137, 0), MATCH(C3855, Analysis!$D$115:$N$115, 0)), "")</f>
        <v/>
      </c>
      <c r="J3855" t="str">
        <f t="shared" si="364"/>
        <v/>
      </c>
      <c r="K3855" s="28" t="str">
        <f t="shared" si="361"/>
        <v/>
      </c>
      <c r="L3855" s="46" t="str">
        <f t="shared" si="365"/>
        <v/>
      </c>
      <c r="M3855" t="str" cm="1">
        <f t="array" ref="M3855">IF(L3855="","",_xlfn.IFS(
  AND(L3855&gt;=TIME(9,0,0), L3855&lt;TIME(16,0,0)),"Morning",
  AND(L3855&gt;=TIME(16,0,0), L3855&lt;TIME(23,59,0)),"Evening",
  L3855&gt;=TIME(23,59,0),"Night",
  L3855&lt;TIME(9,0,0),"Night"
))</f>
        <v/>
      </c>
      <c r="O3855" t="str">
        <f t="shared" si="362"/>
        <v/>
      </c>
    </row>
    <row r="3856" spans="7:15" x14ac:dyDescent="0.25">
      <c r="G3856" t="str">
        <f t="shared" si="360"/>
        <v/>
      </c>
      <c r="H3856" s="13" t="str">
        <f t="shared" si="363"/>
        <v/>
      </c>
      <c r="I3856" t="str">
        <f>IFERROR(INDEX(Analysis!$D$116:$N$137, MATCH(B3856, Analysis!$C$116:$C$137, 0), MATCH(C3856, Analysis!$D$115:$N$115, 0)), "")</f>
        <v/>
      </c>
      <c r="J3856" t="str">
        <f t="shared" si="364"/>
        <v/>
      </c>
      <c r="K3856" s="28" t="str">
        <f t="shared" si="361"/>
        <v/>
      </c>
      <c r="L3856" s="46" t="str">
        <f t="shared" si="365"/>
        <v/>
      </c>
      <c r="M3856" t="str" cm="1">
        <f t="array" ref="M3856">IF(L3856="","",_xlfn.IFS(
  AND(L3856&gt;=TIME(9,0,0), L3856&lt;TIME(16,0,0)),"Morning",
  AND(L3856&gt;=TIME(16,0,0), L3856&lt;TIME(23,59,0)),"Evening",
  L3856&gt;=TIME(23,59,0),"Night",
  L3856&lt;TIME(9,0,0),"Night"
))</f>
        <v/>
      </c>
      <c r="O3856" t="str">
        <f t="shared" si="362"/>
        <v/>
      </c>
    </row>
    <row r="3857" spans="7:15" x14ac:dyDescent="0.25">
      <c r="G3857" t="str">
        <f t="shared" si="360"/>
        <v/>
      </c>
      <c r="H3857" s="13" t="str">
        <f t="shared" si="363"/>
        <v/>
      </c>
      <c r="I3857" t="str">
        <f>IFERROR(INDEX(Analysis!$D$116:$N$137, MATCH(B3857, Analysis!$C$116:$C$137, 0), MATCH(C3857, Analysis!$D$115:$N$115, 0)), "")</f>
        <v/>
      </c>
      <c r="J3857" t="str">
        <f t="shared" si="364"/>
        <v/>
      </c>
      <c r="K3857" s="28" t="str">
        <f t="shared" si="361"/>
        <v/>
      </c>
      <c r="L3857" s="46" t="str">
        <f t="shared" si="365"/>
        <v/>
      </c>
      <c r="M3857" t="str" cm="1">
        <f t="array" ref="M3857">IF(L3857="","",_xlfn.IFS(
  AND(L3857&gt;=TIME(9,0,0), L3857&lt;TIME(16,0,0)),"Morning",
  AND(L3857&gt;=TIME(16,0,0), L3857&lt;TIME(23,59,0)),"Evening",
  L3857&gt;=TIME(23,59,0),"Night",
  L3857&lt;TIME(9,0,0),"Night"
))</f>
        <v/>
      </c>
      <c r="O3857" t="str">
        <f t="shared" si="362"/>
        <v/>
      </c>
    </row>
    <row r="3858" spans="7:15" x14ac:dyDescent="0.25">
      <c r="G3858" t="str">
        <f t="shared" si="360"/>
        <v/>
      </c>
      <c r="H3858" s="13" t="str">
        <f t="shared" si="363"/>
        <v/>
      </c>
      <c r="I3858" t="str">
        <f>IFERROR(INDEX(Analysis!$D$116:$N$137, MATCH(B3858, Analysis!$C$116:$C$137, 0), MATCH(C3858, Analysis!$D$115:$N$115, 0)), "")</f>
        <v/>
      </c>
      <c r="J3858" t="str">
        <f t="shared" si="364"/>
        <v/>
      </c>
      <c r="K3858" s="28" t="str">
        <f t="shared" si="361"/>
        <v/>
      </c>
      <c r="L3858" s="46" t="str">
        <f t="shared" si="365"/>
        <v/>
      </c>
      <c r="M3858" t="str" cm="1">
        <f t="array" ref="M3858">IF(L3858="","",_xlfn.IFS(
  AND(L3858&gt;=TIME(9,0,0), L3858&lt;TIME(16,0,0)),"Morning",
  AND(L3858&gt;=TIME(16,0,0), L3858&lt;TIME(23,59,0)),"Evening",
  L3858&gt;=TIME(23,59,0),"Night",
  L3858&lt;TIME(9,0,0),"Night"
))</f>
        <v/>
      </c>
      <c r="O3858" t="str">
        <f t="shared" si="362"/>
        <v/>
      </c>
    </row>
    <row r="3859" spans="7:15" x14ac:dyDescent="0.25">
      <c r="G3859" t="str">
        <f t="shared" si="360"/>
        <v/>
      </c>
      <c r="H3859" s="13" t="str">
        <f t="shared" si="363"/>
        <v/>
      </c>
      <c r="I3859" t="str">
        <f>IFERROR(INDEX(Analysis!$D$116:$N$137, MATCH(B3859, Analysis!$C$116:$C$137, 0), MATCH(C3859, Analysis!$D$115:$N$115, 0)), "")</f>
        <v/>
      </c>
      <c r="J3859" t="str">
        <f t="shared" si="364"/>
        <v/>
      </c>
      <c r="K3859" s="28" t="str">
        <f t="shared" si="361"/>
        <v/>
      </c>
      <c r="L3859" s="46" t="str">
        <f t="shared" si="365"/>
        <v/>
      </c>
      <c r="M3859" t="str" cm="1">
        <f t="array" ref="M3859">IF(L3859="","",_xlfn.IFS(
  AND(L3859&gt;=TIME(9,0,0), L3859&lt;TIME(16,0,0)),"Morning",
  AND(L3859&gt;=TIME(16,0,0), L3859&lt;TIME(23,59,0)),"Evening",
  L3859&gt;=TIME(23,59,0),"Night",
  L3859&lt;TIME(9,0,0),"Night"
))</f>
        <v/>
      </c>
      <c r="O3859" t="str">
        <f t="shared" si="362"/>
        <v/>
      </c>
    </row>
    <row r="3860" spans="7:15" x14ac:dyDescent="0.25">
      <c r="G3860" t="str">
        <f t="shared" si="360"/>
        <v/>
      </c>
      <c r="H3860" s="13" t="str">
        <f t="shared" si="363"/>
        <v/>
      </c>
      <c r="I3860" t="str">
        <f>IFERROR(INDEX(Analysis!$D$116:$N$137, MATCH(B3860, Analysis!$C$116:$C$137, 0), MATCH(C3860, Analysis!$D$115:$N$115, 0)), "")</f>
        <v/>
      </c>
      <c r="J3860" t="str">
        <f t="shared" si="364"/>
        <v/>
      </c>
      <c r="K3860" s="28" t="str">
        <f t="shared" si="361"/>
        <v/>
      </c>
      <c r="L3860" s="46" t="str">
        <f t="shared" si="365"/>
        <v/>
      </c>
      <c r="M3860" t="str" cm="1">
        <f t="array" ref="M3860">IF(L3860="","",_xlfn.IFS(
  AND(L3860&gt;=TIME(9,0,0), L3860&lt;TIME(16,0,0)),"Morning",
  AND(L3860&gt;=TIME(16,0,0), L3860&lt;TIME(23,59,0)),"Evening",
  L3860&gt;=TIME(23,59,0),"Night",
  L3860&lt;TIME(9,0,0),"Night"
))</f>
        <v/>
      </c>
      <c r="O3860" t="str">
        <f t="shared" si="362"/>
        <v/>
      </c>
    </row>
    <row r="3861" spans="7:15" x14ac:dyDescent="0.25">
      <c r="G3861" t="str">
        <f t="shared" si="360"/>
        <v/>
      </c>
      <c r="H3861" s="13" t="str">
        <f t="shared" si="363"/>
        <v/>
      </c>
      <c r="I3861" t="str">
        <f>IFERROR(INDEX(Analysis!$D$116:$N$137, MATCH(B3861, Analysis!$C$116:$C$137, 0), MATCH(C3861, Analysis!$D$115:$N$115, 0)), "")</f>
        <v/>
      </c>
      <c r="J3861" t="str">
        <f t="shared" si="364"/>
        <v/>
      </c>
      <c r="K3861" s="28" t="str">
        <f t="shared" si="361"/>
        <v/>
      </c>
      <c r="L3861" s="46" t="str">
        <f t="shared" si="365"/>
        <v/>
      </c>
      <c r="M3861" t="str" cm="1">
        <f t="array" ref="M3861">IF(L3861="","",_xlfn.IFS(
  AND(L3861&gt;=TIME(9,0,0), L3861&lt;TIME(16,0,0)),"Morning",
  AND(L3861&gt;=TIME(16,0,0), L3861&lt;TIME(23,59,0)),"Evening",
  L3861&gt;=TIME(23,59,0),"Night",
  L3861&lt;TIME(9,0,0),"Night"
))</f>
        <v/>
      </c>
      <c r="O3861" t="str">
        <f t="shared" si="362"/>
        <v/>
      </c>
    </row>
    <row r="3862" spans="7:15" x14ac:dyDescent="0.25">
      <c r="G3862" t="str">
        <f t="shared" si="360"/>
        <v/>
      </c>
      <c r="H3862" s="13" t="str">
        <f t="shared" si="363"/>
        <v/>
      </c>
      <c r="I3862" t="str">
        <f>IFERROR(INDEX(Analysis!$D$116:$N$137, MATCH(B3862, Analysis!$C$116:$C$137, 0), MATCH(C3862, Analysis!$D$115:$N$115, 0)), "")</f>
        <v/>
      </c>
      <c r="J3862" t="str">
        <f t="shared" si="364"/>
        <v/>
      </c>
      <c r="K3862" s="28" t="str">
        <f t="shared" si="361"/>
        <v/>
      </c>
      <c r="L3862" s="46" t="str">
        <f t="shared" si="365"/>
        <v/>
      </c>
      <c r="M3862" t="str" cm="1">
        <f t="array" ref="M3862">IF(L3862="","",_xlfn.IFS(
  AND(L3862&gt;=TIME(9,0,0), L3862&lt;TIME(16,0,0)),"Morning",
  AND(L3862&gt;=TIME(16,0,0), L3862&lt;TIME(23,59,0)),"Evening",
  L3862&gt;=TIME(23,59,0),"Night",
  L3862&lt;TIME(9,0,0),"Night"
))</f>
        <v/>
      </c>
      <c r="O3862" t="str">
        <f t="shared" si="362"/>
        <v/>
      </c>
    </row>
    <row r="3863" spans="7:15" x14ac:dyDescent="0.25">
      <c r="G3863" t="str">
        <f t="shared" si="360"/>
        <v/>
      </c>
      <c r="H3863" s="13" t="str">
        <f t="shared" si="363"/>
        <v/>
      </c>
      <c r="I3863" t="str">
        <f>IFERROR(INDEX(Analysis!$D$116:$N$137, MATCH(B3863, Analysis!$C$116:$C$137, 0), MATCH(C3863, Analysis!$D$115:$N$115, 0)), "")</f>
        <v/>
      </c>
      <c r="J3863" t="str">
        <f t="shared" si="364"/>
        <v/>
      </c>
      <c r="K3863" s="28" t="str">
        <f t="shared" si="361"/>
        <v/>
      </c>
      <c r="L3863" s="46" t="str">
        <f t="shared" si="365"/>
        <v/>
      </c>
      <c r="M3863" t="str" cm="1">
        <f t="array" ref="M3863">IF(L3863="","",_xlfn.IFS(
  AND(L3863&gt;=TIME(9,0,0), L3863&lt;TIME(16,0,0)),"Morning",
  AND(L3863&gt;=TIME(16,0,0), L3863&lt;TIME(23,59,0)),"Evening",
  L3863&gt;=TIME(23,59,0),"Night",
  L3863&lt;TIME(9,0,0),"Night"
))</f>
        <v/>
      </c>
      <c r="O3863" t="str">
        <f t="shared" si="362"/>
        <v/>
      </c>
    </row>
    <row r="3864" spans="7:15" x14ac:dyDescent="0.25">
      <c r="G3864" t="str">
        <f t="shared" si="360"/>
        <v/>
      </c>
      <c r="H3864" s="13" t="str">
        <f t="shared" si="363"/>
        <v/>
      </c>
      <c r="I3864" t="str">
        <f>IFERROR(INDEX(Analysis!$D$116:$N$137, MATCH(B3864, Analysis!$C$116:$C$137, 0), MATCH(C3864, Analysis!$D$115:$N$115, 0)), "")</f>
        <v/>
      </c>
      <c r="J3864" t="str">
        <f t="shared" si="364"/>
        <v/>
      </c>
      <c r="K3864" s="28" t="str">
        <f t="shared" si="361"/>
        <v/>
      </c>
      <c r="L3864" s="46" t="str">
        <f t="shared" si="365"/>
        <v/>
      </c>
      <c r="M3864" t="str" cm="1">
        <f t="array" ref="M3864">IF(L3864="","",_xlfn.IFS(
  AND(L3864&gt;=TIME(9,0,0), L3864&lt;TIME(16,0,0)),"Morning",
  AND(L3864&gt;=TIME(16,0,0), L3864&lt;TIME(23,59,0)),"Evening",
  L3864&gt;=TIME(23,59,0),"Night",
  L3864&lt;TIME(9,0,0),"Night"
))</f>
        <v/>
      </c>
      <c r="O3864" t="str">
        <f t="shared" si="362"/>
        <v/>
      </c>
    </row>
    <row r="3865" spans="7:15" x14ac:dyDescent="0.25">
      <c r="G3865" t="str">
        <f t="shared" si="360"/>
        <v/>
      </c>
      <c r="H3865" s="13" t="str">
        <f t="shared" si="363"/>
        <v/>
      </c>
      <c r="I3865" t="str">
        <f>IFERROR(INDEX(Analysis!$D$116:$N$137, MATCH(B3865, Analysis!$C$116:$C$137, 0), MATCH(C3865, Analysis!$D$115:$N$115, 0)), "")</f>
        <v/>
      </c>
      <c r="J3865" t="str">
        <f t="shared" si="364"/>
        <v/>
      </c>
      <c r="K3865" s="28" t="str">
        <f t="shared" si="361"/>
        <v/>
      </c>
      <c r="L3865" s="46" t="str">
        <f t="shared" si="365"/>
        <v/>
      </c>
      <c r="M3865" t="str" cm="1">
        <f t="array" ref="M3865">IF(L3865="","",_xlfn.IFS(
  AND(L3865&gt;=TIME(9,0,0), L3865&lt;TIME(16,0,0)),"Morning",
  AND(L3865&gt;=TIME(16,0,0), L3865&lt;TIME(23,59,0)),"Evening",
  L3865&gt;=TIME(23,59,0),"Night",
  L3865&lt;TIME(9,0,0),"Night"
))</f>
        <v/>
      </c>
      <c r="O3865" t="str">
        <f t="shared" si="362"/>
        <v/>
      </c>
    </row>
    <row r="3866" spans="7:15" x14ac:dyDescent="0.25">
      <c r="G3866" t="str">
        <f t="shared" si="360"/>
        <v/>
      </c>
      <c r="H3866" s="13" t="str">
        <f t="shared" si="363"/>
        <v/>
      </c>
      <c r="I3866" t="str">
        <f>IFERROR(INDEX(Analysis!$D$116:$N$137, MATCH(B3866, Analysis!$C$116:$C$137, 0), MATCH(C3866, Analysis!$D$115:$N$115, 0)), "")</f>
        <v/>
      </c>
      <c r="J3866" t="str">
        <f t="shared" si="364"/>
        <v/>
      </c>
      <c r="K3866" s="28" t="str">
        <f t="shared" si="361"/>
        <v/>
      </c>
      <c r="L3866" s="46" t="str">
        <f t="shared" si="365"/>
        <v/>
      </c>
      <c r="M3866" t="str" cm="1">
        <f t="array" ref="M3866">IF(L3866="","",_xlfn.IFS(
  AND(L3866&gt;=TIME(9,0,0), L3866&lt;TIME(16,0,0)),"Morning",
  AND(L3866&gt;=TIME(16,0,0), L3866&lt;TIME(23,59,0)),"Evening",
  L3866&gt;=TIME(23,59,0),"Night",
  L3866&lt;TIME(9,0,0),"Night"
))</f>
        <v/>
      </c>
      <c r="O3866" t="str">
        <f t="shared" si="362"/>
        <v/>
      </c>
    </row>
    <row r="3867" spans="7:15" x14ac:dyDescent="0.25">
      <c r="G3867" t="str">
        <f t="shared" si="360"/>
        <v/>
      </c>
      <c r="H3867" s="13" t="str">
        <f t="shared" si="363"/>
        <v/>
      </c>
      <c r="I3867" t="str">
        <f>IFERROR(INDEX(Analysis!$D$116:$N$137, MATCH(B3867, Analysis!$C$116:$C$137, 0), MATCH(C3867, Analysis!$D$115:$N$115, 0)), "")</f>
        <v/>
      </c>
      <c r="J3867" t="str">
        <f t="shared" si="364"/>
        <v/>
      </c>
      <c r="K3867" s="28" t="str">
        <f t="shared" si="361"/>
        <v/>
      </c>
      <c r="L3867" s="46" t="str">
        <f t="shared" si="365"/>
        <v/>
      </c>
      <c r="M3867" t="str" cm="1">
        <f t="array" ref="M3867">IF(L3867="","",_xlfn.IFS(
  AND(L3867&gt;=TIME(9,0,0), L3867&lt;TIME(16,0,0)),"Morning",
  AND(L3867&gt;=TIME(16,0,0), L3867&lt;TIME(23,59,0)),"Evening",
  L3867&gt;=TIME(23,59,0),"Night",
  L3867&lt;TIME(9,0,0),"Night"
))</f>
        <v/>
      </c>
      <c r="O3867" t="str">
        <f t="shared" si="362"/>
        <v/>
      </c>
    </row>
    <row r="3868" spans="7:15" x14ac:dyDescent="0.25">
      <c r="G3868" t="str">
        <f t="shared" si="360"/>
        <v/>
      </c>
      <c r="H3868" s="13" t="str">
        <f t="shared" si="363"/>
        <v/>
      </c>
      <c r="I3868" t="str">
        <f>IFERROR(INDEX(Analysis!$D$116:$N$137, MATCH(B3868, Analysis!$C$116:$C$137, 0), MATCH(C3868, Analysis!$D$115:$N$115, 0)), "")</f>
        <v/>
      </c>
      <c r="J3868" t="str">
        <f t="shared" si="364"/>
        <v/>
      </c>
      <c r="K3868" s="28" t="str">
        <f t="shared" si="361"/>
        <v/>
      </c>
      <c r="L3868" s="46" t="str">
        <f t="shared" si="365"/>
        <v/>
      </c>
      <c r="M3868" t="str" cm="1">
        <f t="array" ref="M3868">IF(L3868="","",_xlfn.IFS(
  AND(L3868&gt;=TIME(9,0,0), L3868&lt;TIME(16,0,0)),"Morning",
  AND(L3868&gt;=TIME(16,0,0), L3868&lt;TIME(23,59,0)),"Evening",
  L3868&gt;=TIME(23,59,0),"Night",
  L3868&lt;TIME(9,0,0),"Night"
))</f>
        <v/>
      </c>
      <c r="O3868" t="str">
        <f t="shared" si="362"/>
        <v/>
      </c>
    </row>
    <row r="3869" spans="7:15" x14ac:dyDescent="0.25">
      <c r="G3869" t="str">
        <f t="shared" si="360"/>
        <v/>
      </c>
      <c r="H3869" s="13" t="str">
        <f t="shared" si="363"/>
        <v/>
      </c>
      <c r="I3869" t="str">
        <f>IFERROR(INDEX(Analysis!$D$116:$N$137, MATCH(B3869, Analysis!$C$116:$C$137, 0), MATCH(C3869, Analysis!$D$115:$N$115, 0)), "")</f>
        <v/>
      </c>
      <c r="J3869" t="str">
        <f t="shared" si="364"/>
        <v/>
      </c>
      <c r="K3869" s="28" t="str">
        <f t="shared" si="361"/>
        <v/>
      </c>
      <c r="L3869" s="46" t="str">
        <f t="shared" si="365"/>
        <v/>
      </c>
      <c r="M3869" t="str" cm="1">
        <f t="array" ref="M3869">IF(L3869="","",_xlfn.IFS(
  AND(L3869&gt;=TIME(9,0,0), L3869&lt;TIME(16,0,0)),"Morning",
  AND(L3869&gt;=TIME(16,0,0), L3869&lt;TIME(23,59,0)),"Evening",
  L3869&gt;=TIME(23,59,0),"Night",
  L3869&lt;TIME(9,0,0),"Night"
))</f>
        <v/>
      </c>
      <c r="O3869" t="str">
        <f t="shared" si="362"/>
        <v/>
      </c>
    </row>
    <row r="3870" spans="7:15" x14ac:dyDescent="0.25">
      <c r="G3870" t="str">
        <f t="shared" si="360"/>
        <v/>
      </c>
      <c r="H3870" s="13" t="str">
        <f t="shared" si="363"/>
        <v/>
      </c>
      <c r="I3870" t="str">
        <f>IFERROR(INDEX(Analysis!$D$116:$N$137, MATCH(B3870, Analysis!$C$116:$C$137, 0), MATCH(C3870, Analysis!$D$115:$N$115, 0)), "")</f>
        <v/>
      </c>
      <c r="J3870" t="str">
        <f t="shared" si="364"/>
        <v/>
      </c>
      <c r="K3870" s="28" t="str">
        <f t="shared" si="361"/>
        <v/>
      </c>
      <c r="L3870" s="46" t="str">
        <f t="shared" si="365"/>
        <v/>
      </c>
      <c r="M3870" t="str" cm="1">
        <f t="array" ref="M3870">IF(L3870="","",_xlfn.IFS(
  AND(L3870&gt;=TIME(9,0,0), L3870&lt;TIME(16,0,0)),"Morning",
  AND(L3870&gt;=TIME(16,0,0), L3870&lt;TIME(23,59,0)),"Evening",
  L3870&gt;=TIME(23,59,0),"Night",
  L3870&lt;TIME(9,0,0),"Night"
))</f>
        <v/>
      </c>
      <c r="O3870" t="str">
        <f t="shared" si="362"/>
        <v/>
      </c>
    </row>
    <row r="3871" spans="7:15" x14ac:dyDescent="0.25">
      <c r="G3871" t="str">
        <f t="shared" si="360"/>
        <v/>
      </c>
      <c r="H3871" s="13" t="str">
        <f t="shared" si="363"/>
        <v/>
      </c>
      <c r="I3871" t="str">
        <f>IFERROR(INDEX(Analysis!$D$116:$N$137, MATCH(B3871, Analysis!$C$116:$C$137, 0), MATCH(C3871, Analysis!$D$115:$N$115, 0)), "")</f>
        <v/>
      </c>
      <c r="J3871" t="str">
        <f t="shared" si="364"/>
        <v/>
      </c>
      <c r="K3871" s="28" t="str">
        <f t="shared" si="361"/>
        <v/>
      </c>
      <c r="L3871" s="46" t="str">
        <f t="shared" si="365"/>
        <v/>
      </c>
      <c r="M3871" t="str" cm="1">
        <f t="array" ref="M3871">IF(L3871="","",_xlfn.IFS(
  AND(L3871&gt;=TIME(9,0,0), L3871&lt;TIME(16,0,0)),"Morning",
  AND(L3871&gt;=TIME(16,0,0), L3871&lt;TIME(23,59,0)),"Evening",
  L3871&gt;=TIME(23,59,0),"Night",
  L3871&lt;TIME(9,0,0),"Night"
))</f>
        <v/>
      </c>
      <c r="O3871" t="str">
        <f t="shared" si="362"/>
        <v/>
      </c>
    </row>
    <row r="3872" spans="7:15" x14ac:dyDescent="0.25">
      <c r="G3872" t="str">
        <f t="shared" si="360"/>
        <v/>
      </c>
      <c r="H3872" s="13" t="str">
        <f t="shared" si="363"/>
        <v/>
      </c>
      <c r="I3872" t="str">
        <f>IFERROR(INDEX(Analysis!$D$116:$N$137, MATCH(B3872, Analysis!$C$116:$C$137, 0), MATCH(C3872, Analysis!$D$115:$N$115, 0)), "")</f>
        <v/>
      </c>
      <c r="J3872" t="str">
        <f t="shared" si="364"/>
        <v/>
      </c>
      <c r="K3872" s="28" t="str">
        <f t="shared" si="361"/>
        <v/>
      </c>
      <c r="L3872" s="46" t="str">
        <f t="shared" si="365"/>
        <v/>
      </c>
      <c r="M3872" t="str" cm="1">
        <f t="array" ref="M3872">IF(L3872="","",_xlfn.IFS(
  AND(L3872&gt;=TIME(9,0,0), L3872&lt;TIME(16,0,0)),"Morning",
  AND(L3872&gt;=TIME(16,0,0), L3872&lt;TIME(23,59,0)),"Evening",
  L3872&gt;=TIME(23,59,0),"Night",
  L3872&lt;TIME(9,0,0),"Night"
))</f>
        <v/>
      </c>
      <c r="O3872" t="str">
        <f t="shared" si="362"/>
        <v/>
      </c>
    </row>
    <row r="3873" spans="7:15" x14ac:dyDescent="0.25">
      <c r="G3873" t="str">
        <f t="shared" si="360"/>
        <v/>
      </c>
      <c r="H3873" s="13" t="str">
        <f t="shared" si="363"/>
        <v/>
      </c>
      <c r="I3873" t="str">
        <f>IFERROR(INDEX(Analysis!$D$116:$N$137, MATCH(B3873, Analysis!$C$116:$C$137, 0), MATCH(C3873, Analysis!$D$115:$N$115, 0)), "")</f>
        <v/>
      </c>
      <c r="J3873" t="str">
        <f t="shared" si="364"/>
        <v/>
      </c>
      <c r="K3873" s="28" t="str">
        <f t="shared" si="361"/>
        <v/>
      </c>
      <c r="L3873" s="46" t="str">
        <f t="shared" si="365"/>
        <v/>
      </c>
      <c r="M3873" t="str" cm="1">
        <f t="array" ref="M3873">IF(L3873="","",_xlfn.IFS(
  AND(L3873&gt;=TIME(9,0,0), L3873&lt;TIME(16,0,0)),"Morning",
  AND(L3873&gt;=TIME(16,0,0), L3873&lt;TIME(23,59,0)),"Evening",
  L3873&gt;=TIME(23,59,0),"Night",
  L3873&lt;TIME(9,0,0),"Night"
))</f>
        <v/>
      </c>
      <c r="O3873" t="str">
        <f t="shared" si="362"/>
        <v/>
      </c>
    </row>
    <row r="3874" spans="7:15" x14ac:dyDescent="0.25">
      <c r="G3874" t="str">
        <f t="shared" si="360"/>
        <v/>
      </c>
      <c r="H3874" s="13" t="str">
        <f t="shared" si="363"/>
        <v/>
      </c>
      <c r="I3874" t="str">
        <f>IFERROR(INDEX(Analysis!$D$116:$N$137, MATCH(B3874, Analysis!$C$116:$C$137, 0), MATCH(C3874, Analysis!$D$115:$N$115, 0)), "")</f>
        <v/>
      </c>
      <c r="J3874" t="str">
        <f t="shared" si="364"/>
        <v/>
      </c>
      <c r="K3874" s="28" t="str">
        <f t="shared" si="361"/>
        <v/>
      </c>
      <c r="L3874" s="46" t="str">
        <f t="shared" si="365"/>
        <v/>
      </c>
      <c r="M3874" t="str" cm="1">
        <f t="array" ref="M3874">IF(L3874="","",_xlfn.IFS(
  AND(L3874&gt;=TIME(9,0,0), L3874&lt;TIME(16,0,0)),"Morning",
  AND(L3874&gt;=TIME(16,0,0), L3874&lt;TIME(23,59,0)),"Evening",
  L3874&gt;=TIME(23,59,0),"Night",
  L3874&lt;TIME(9,0,0),"Night"
))</f>
        <v/>
      </c>
      <c r="O3874" t="str">
        <f t="shared" si="362"/>
        <v/>
      </c>
    </row>
    <row r="3875" spans="7:15" x14ac:dyDescent="0.25">
      <c r="G3875" t="str">
        <f t="shared" si="360"/>
        <v/>
      </c>
      <c r="H3875" s="13" t="str">
        <f t="shared" si="363"/>
        <v/>
      </c>
      <c r="I3875" t="str">
        <f>IFERROR(INDEX(Analysis!$D$116:$N$137, MATCH(B3875, Analysis!$C$116:$C$137, 0), MATCH(C3875, Analysis!$D$115:$N$115, 0)), "")</f>
        <v/>
      </c>
      <c r="J3875" t="str">
        <f t="shared" si="364"/>
        <v/>
      </c>
      <c r="K3875" s="28" t="str">
        <f t="shared" si="361"/>
        <v/>
      </c>
      <c r="L3875" s="46" t="str">
        <f t="shared" si="365"/>
        <v/>
      </c>
      <c r="M3875" t="str" cm="1">
        <f t="array" ref="M3875">IF(L3875="","",_xlfn.IFS(
  AND(L3875&gt;=TIME(9,0,0), L3875&lt;TIME(16,0,0)),"Morning",
  AND(L3875&gt;=TIME(16,0,0), L3875&lt;TIME(23,59,0)),"Evening",
  L3875&gt;=TIME(23,59,0),"Night",
  L3875&lt;TIME(9,0,0),"Night"
))</f>
        <v/>
      </c>
      <c r="O3875" t="str">
        <f t="shared" si="362"/>
        <v/>
      </c>
    </row>
    <row r="3876" spans="7:15" x14ac:dyDescent="0.25">
      <c r="G3876" t="str">
        <f t="shared" si="360"/>
        <v/>
      </c>
      <c r="H3876" s="13" t="str">
        <f t="shared" si="363"/>
        <v/>
      </c>
      <c r="I3876" t="str">
        <f>IFERROR(INDEX(Analysis!$D$116:$N$137, MATCH(B3876, Analysis!$C$116:$C$137, 0), MATCH(C3876, Analysis!$D$115:$N$115, 0)), "")</f>
        <v/>
      </c>
      <c r="J3876" t="str">
        <f t="shared" si="364"/>
        <v/>
      </c>
      <c r="K3876" s="28" t="str">
        <f t="shared" si="361"/>
        <v/>
      </c>
      <c r="L3876" s="46" t="str">
        <f t="shared" si="365"/>
        <v/>
      </c>
      <c r="M3876" t="str" cm="1">
        <f t="array" ref="M3876">IF(L3876="","",_xlfn.IFS(
  AND(L3876&gt;=TIME(9,0,0), L3876&lt;TIME(16,0,0)),"Morning",
  AND(L3876&gt;=TIME(16,0,0), L3876&lt;TIME(23,59,0)),"Evening",
  L3876&gt;=TIME(23,59,0),"Night",
  L3876&lt;TIME(9,0,0),"Night"
))</f>
        <v/>
      </c>
      <c r="O3876" t="str">
        <f t="shared" si="362"/>
        <v/>
      </c>
    </row>
    <row r="3877" spans="7:15" x14ac:dyDescent="0.25">
      <c r="G3877" t="str">
        <f t="shared" si="360"/>
        <v/>
      </c>
      <c r="H3877" s="13" t="str">
        <f t="shared" si="363"/>
        <v/>
      </c>
      <c r="I3877" t="str">
        <f>IFERROR(INDEX(Analysis!$D$116:$N$137, MATCH(B3877, Analysis!$C$116:$C$137, 0), MATCH(C3877, Analysis!$D$115:$N$115, 0)), "")</f>
        <v/>
      </c>
      <c r="J3877" t="str">
        <f t="shared" si="364"/>
        <v/>
      </c>
      <c r="K3877" s="28" t="str">
        <f t="shared" si="361"/>
        <v/>
      </c>
      <c r="L3877" s="46" t="str">
        <f t="shared" si="365"/>
        <v/>
      </c>
      <c r="M3877" t="str" cm="1">
        <f t="array" ref="M3877">IF(L3877="","",_xlfn.IFS(
  AND(L3877&gt;=TIME(9,0,0), L3877&lt;TIME(16,0,0)),"Morning",
  AND(L3877&gt;=TIME(16,0,0), L3877&lt;TIME(23,59,0)),"Evening",
  L3877&gt;=TIME(23,59,0),"Night",
  L3877&lt;TIME(9,0,0),"Night"
))</f>
        <v/>
      </c>
      <c r="O3877" t="str">
        <f t="shared" si="362"/>
        <v/>
      </c>
    </row>
    <row r="3878" spans="7:15" x14ac:dyDescent="0.25">
      <c r="G3878" t="str">
        <f t="shared" si="360"/>
        <v/>
      </c>
      <c r="H3878" s="13" t="str">
        <f t="shared" si="363"/>
        <v/>
      </c>
      <c r="I3878" t="str">
        <f>IFERROR(INDEX(Analysis!$D$116:$N$137, MATCH(B3878, Analysis!$C$116:$C$137, 0), MATCH(C3878, Analysis!$D$115:$N$115, 0)), "")</f>
        <v/>
      </c>
      <c r="J3878" t="str">
        <f t="shared" si="364"/>
        <v/>
      </c>
      <c r="K3878" s="28" t="str">
        <f t="shared" si="361"/>
        <v/>
      </c>
      <c r="L3878" s="46" t="str">
        <f t="shared" si="365"/>
        <v/>
      </c>
      <c r="M3878" t="str" cm="1">
        <f t="array" ref="M3878">IF(L3878="","",_xlfn.IFS(
  AND(L3878&gt;=TIME(9,0,0), L3878&lt;TIME(16,0,0)),"Morning",
  AND(L3878&gt;=TIME(16,0,0), L3878&lt;TIME(23,59,0)),"Evening",
  L3878&gt;=TIME(23,59,0),"Night",
  L3878&lt;TIME(9,0,0),"Night"
))</f>
        <v/>
      </c>
      <c r="O3878" t="str">
        <f t="shared" si="362"/>
        <v/>
      </c>
    </row>
    <row r="3879" spans="7:15" x14ac:dyDescent="0.25">
      <c r="G3879" t="str">
        <f t="shared" si="360"/>
        <v/>
      </c>
      <c r="H3879" s="13" t="str">
        <f t="shared" si="363"/>
        <v/>
      </c>
      <c r="I3879" t="str">
        <f>IFERROR(INDEX(Analysis!$D$116:$N$137, MATCH(B3879, Analysis!$C$116:$C$137, 0), MATCH(C3879, Analysis!$D$115:$N$115, 0)), "")</f>
        <v/>
      </c>
      <c r="J3879" t="str">
        <f t="shared" si="364"/>
        <v/>
      </c>
      <c r="K3879" s="28" t="str">
        <f t="shared" si="361"/>
        <v/>
      </c>
      <c r="L3879" s="46" t="str">
        <f t="shared" si="365"/>
        <v/>
      </c>
      <c r="M3879" t="str" cm="1">
        <f t="array" ref="M3879">IF(L3879="","",_xlfn.IFS(
  AND(L3879&gt;=TIME(9,0,0), L3879&lt;TIME(16,0,0)),"Morning",
  AND(L3879&gt;=TIME(16,0,0), L3879&lt;TIME(23,59,0)),"Evening",
  L3879&gt;=TIME(23,59,0),"Night",
  L3879&lt;TIME(9,0,0),"Night"
))</f>
        <v/>
      </c>
      <c r="O3879" t="str">
        <f t="shared" si="362"/>
        <v/>
      </c>
    </row>
    <row r="3880" spans="7:15" x14ac:dyDescent="0.25">
      <c r="G3880" t="str">
        <f t="shared" si="360"/>
        <v/>
      </c>
      <c r="H3880" s="13" t="str">
        <f t="shared" si="363"/>
        <v/>
      </c>
      <c r="I3880" t="str">
        <f>IFERROR(INDEX(Analysis!$D$116:$N$137, MATCH(B3880, Analysis!$C$116:$C$137, 0), MATCH(C3880, Analysis!$D$115:$N$115, 0)), "")</f>
        <v/>
      </c>
      <c r="J3880" t="str">
        <f t="shared" si="364"/>
        <v/>
      </c>
      <c r="K3880" s="28" t="str">
        <f t="shared" si="361"/>
        <v/>
      </c>
      <c r="L3880" s="46" t="str">
        <f t="shared" si="365"/>
        <v/>
      </c>
      <c r="M3880" t="str" cm="1">
        <f t="array" ref="M3880">IF(L3880="","",_xlfn.IFS(
  AND(L3880&gt;=TIME(9,0,0), L3880&lt;TIME(16,0,0)),"Morning",
  AND(L3880&gt;=TIME(16,0,0), L3880&lt;TIME(23,59,0)),"Evening",
  L3880&gt;=TIME(23,59,0),"Night",
  L3880&lt;TIME(9,0,0),"Night"
))</f>
        <v/>
      </c>
      <c r="O3880" t="str">
        <f t="shared" si="362"/>
        <v/>
      </c>
    </row>
    <row r="3881" spans="7:15" x14ac:dyDescent="0.25">
      <c r="G3881" t="str">
        <f t="shared" si="360"/>
        <v/>
      </c>
      <c r="H3881" s="13" t="str">
        <f t="shared" si="363"/>
        <v/>
      </c>
      <c r="I3881" t="str">
        <f>IFERROR(INDEX(Analysis!$D$116:$N$137, MATCH(B3881, Analysis!$C$116:$C$137, 0), MATCH(C3881, Analysis!$D$115:$N$115, 0)), "")</f>
        <v/>
      </c>
      <c r="J3881" t="str">
        <f t="shared" si="364"/>
        <v/>
      </c>
      <c r="K3881" s="28" t="str">
        <f t="shared" si="361"/>
        <v/>
      </c>
      <c r="L3881" s="46" t="str">
        <f t="shared" si="365"/>
        <v/>
      </c>
      <c r="M3881" t="str" cm="1">
        <f t="array" ref="M3881">IF(L3881="","",_xlfn.IFS(
  AND(L3881&gt;=TIME(9,0,0), L3881&lt;TIME(16,0,0)),"Morning",
  AND(L3881&gt;=TIME(16,0,0), L3881&lt;TIME(23,59,0)),"Evening",
  L3881&gt;=TIME(23,59,0),"Night",
  L3881&lt;TIME(9,0,0),"Night"
))</f>
        <v/>
      </c>
      <c r="O3881" t="str">
        <f t="shared" si="362"/>
        <v/>
      </c>
    </row>
    <row r="3882" spans="7:15" x14ac:dyDescent="0.25">
      <c r="G3882" t="str">
        <f t="shared" si="360"/>
        <v/>
      </c>
      <c r="H3882" s="13" t="str">
        <f t="shared" si="363"/>
        <v/>
      </c>
      <c r="I3882" t="str">
        <f>IFERROR(INDEX(Analysis!$D$116:$N$137, MATCH(B3882, Analysis!$C$116:$C$137, 0), MATCH(C3882, Analysis!$D$115:$N$115, 0)), "")</f>
        <v/>
      </c>
      <c r="J3882" t="str">
        <f t="shared" si="364"/>
        <v/>
      </c>
      <c r="K3882" s="28" t="str">
        <f t="shared" si="361"/>
        <v/>
      </c>
      <c r="L3882" s="46" t="str">
        <f t="shared" si="365"/>
        <v/>
      </c>
      <c r="M3882" t="str" cm="1">
        <f t="array" ref="M3882">IF(L3882="","",_xlfn.IFS(
  AND(L3882&gt;=TIME(9,0,0), L3882&lt;TIME(16,0,0)),"Morning",
  AND(L3882&gt;=TIME(16,0,0), L3882&lt;TIME(23,59,0)),"Evening",
  L3882&gt;=TIME(23,59,0),"Night",
  L3882&lt;TIME(9,0,0),"Night"
))</f>
        <v/>
      </c>
      <c r="O3882" t="str">
        <f t="shared" si="362"/>
        <v/>
      </c>
    </row>
    <row r="3883" spans="7:15" x14ac:dyDescent="0.25">
      <c r="G3883" t="str">
        <f t="shared" si="360"/>
        <v/>
      </c>
      <c r="H3883" s="13" t="str">
        <f t="shared" si="363"/>
        <v/>
      </c>
      <c r="I3883" t="str">
        <f>IFERROR(INDEX(Analysis!$D$116:$N$137, MATCH(B3883, Analysis!$C$116:$C$137, 0), MATCH(C3883, Analysis!$D$115:$N$115, 0)), "")</f>
        <v/>
      </c>
      <c r="J3883" t="str">
        <f t="shared" si="364"/>
        <v/>
      </c>
      <c r="K3883" s="28" t="str">
        <f t="shared" si="361"/>
        <v/>
      </c>
      <c r="L3883" s="46" t="str">
        <f t="shared" si="365"/>
        <v/>
      </c>
      <c r="M3883" t="str" cm="1">
        <f t="array" ref="M3883">IF(L3883="","",_xlfn.IFS(
  AND(L3883&gt;=TIME(9,0,0), L3883&lt;TIME(16,0,0)),"Morning",
  AND(L3883&gt;=TIME(16,0,0), L3883&lt;TIME(23,59,0)),"Evening",
  L3883&gt;=TIME(23,59,0),"Night",
  L3883&lt;TIME(9,0,0),"Night"
))</f>
        <v/>
      </c>
      <c r="O3883" t="str">
        <f t="shared" si="362"/>
        <v/>
      </c>
    </row>
    <row r="3884" spans="7:15" x14ac:dyDescent="0.25">
      <c r="G3884" t="str">
        <f t="shared" si="360"/>
        <v/>
      </c>
      <c r="H3884" s="13" t="str">
        <f t="shared" si="363"/>
        <v/>
      </c>
      <c r="I3884" t="str">
        <f>IFERROR(INDEX(Analysis!$D$116:$N$137, MATCH(B3884, Analysis!$C$116:$C$137, 0), MATCH(C3884, Analysis!$D$115:$N$115, 0)), "")</f>
        <v/>
      </c>
      <c r="J3884" t="str">
        <f t="shared" si="364"/>
        <v/>
      </c>
      <c r="K3884" s="28" t="str">
        <f t="shared" si="361"/>
        <v/>
      </c>
      <c r="L3884" s="46" t="str">
        <f t="shared" si="365"/>
        <v/>
      </c>
      <c r="M3884" t="str" cm="1">
        <f t="array" ref="M3884">IF(L3884="","",_xlfn.IFS(
  AND(L3884&gt;=TIME(9,0,0), L3884&lt;TIME(16,0,0)),"Morning",
  AND(L3884&gt;=TIME(16,0,0), L3884&lt;TIME(23,59,0)),"Evening",
  L3884&gt;=TIME(23,59,0),"Night",
  L3884&lt;TIME(9,0,0),"Night"
))</f>
        <v/>
      </c>
      <c r="O3884" t="str">
        <f t="shared" si="362"/>
        <v/>
      </c>
    </row>
    <row r="3885" spans="7:15" x14ac:dyDescent="0.25">
      <c r="G3885" t="str">
        <f t="shared" si="360"/>
        <v/>
      </c>
      <c r="H3885" s="13" t="str">
        <f t="shared" si="363"/>
        <v/>
      </c>
      <c r="I3885" t="str">
        <f>IFERROR(INDEX(Analysis!$D$116:$N$137, MATCH(B3885, Analysis!$C$116:$C$137, 0), MATCH(C3885, Analysis!$D$115:$N$115, 0)), "")</f>
        <v/>
      </c>
      <c r="J3885" t="str">
        <f t="shared" si="364"/>
        <v/>
      </c>
      <c r="K3885" s="28" t="str">
        <f t="shared" si="361"/>
        <v/>
      </c>
      <c r="L3885" s="46" t="str">
        <f t="shared" si="365"/>
        <v/>
      </c>
      <c r="M3885" t="str" cm="1">
        <f t="array" ref="M3885">IF(L3885="","",_xlfn.IFS(
  AND(L3885&gt;=TIME(9,0,0), L3885&lt;TIME(16,0,0)),"Morning",
  AND(L3885&gt;=TIME(16,0,0), L3885&lt;TIME(23,59,0)),"Evening",
  L3885&gt;=TIME(23,59,0),"Night",
  L3885&lt;TIME(9,0,0),"Night"
))</f>
        <v/>
      </c>
      <c r="O3885" t="str">
        <f t="shared" si="362"/>
        <v/>
      </c>
    </row>
    <row r="3886" spans="7:15" x14ac:dyDescent="0.25">
      <c r="G3886" t="str">
        <f t="shared" si="360"/>
        <v/>
      </c>
      <c r="H3886" s="13" t="str">
        <f t="shared" si="363"/>
        <v/>
      </c>
      <c r="I3886" t="str">
        <f>IFERROR(INDEX(Analysis!$D$116:$N$137, MATCH(B3886, Analysis!$C$116:$C$137, 0), MATCH(C3886, Analysis!$D$115:$N$115, 0)), "")</f>
        <v/>
      </c>
      <c r="J3886" t="str">
        <f t="shared" si="364"/>
        <v/>
      </c>
      <c r="K3886" s="28" t="str">
        <f t="shared" si="361"/>
        <v/>
      </c>
      <c r="L3886" s="46" t="str">
        <f t="shared" si="365"/>
        <v/>
      </c>
      <c r="M3886" t="str" cm="1">
        <f t="array" ref="M3886">IF(L3886="","",_xlfn.IFS(
  AND(L3886&gt;=TIME(9,0,0), L3886&lt;TIME(16,0,0)),"Morning",
  AND(L3886&gt;=TIME(16,0,0), L3886&lt;TIME(23,59,0)),"Evening",
  L3886&gt;=TIME(23,59,0),"Night",
  L3886&lt;TIME(9,0,0),"Night"
))</f>
        <v/>
      </c>
      <c r="O3886" t="str">
        <f t="shared" si="362"/>
        <v/>
      </c>
    </row>
    <row r="3887" spans="7:15" x14ac:dyDescent="0.25">
      <c r="G3887" t="str">
        <f t="shared" si="360"/>
        <v/>
      </c>
      <c r="H3887" s="13" t="str">
        <f t="shared" si="363"/>
        <v/>
      </c>
      <c r="I3887" t="str">
        <f>IFERROR(INDEX(Analysis!$D$116:$N$137, MATCH(B3887, Analysis!$C$116:$C$137, 0), MATCH(C3887, Analysis!$D$115:$N$115, 0)), "")</f>
        <v/>
      </c>
      <c r="J3887" t="str">
        <f t="shared" si="364"/>
        <v/>
      </c>
      <c r="K3887" s="28" t="str">
        <f t="shared" si="361"/>
        <v/>
      </c>
      <c r="L3887" s="46" t="str">
        <f t="shared" si="365"/>
        <v/>
      </c>
      <c r="M3887" t="str" cm="1">
        <f t="array" ref="M3887">IF(L3887="","",_xlfn.IFS(
  AND(L3887&gt;=TIME(9,0,0), L3887&lt;TIME(16,0,0)),"Morning",
  AND(L3887&gt;=TIME(16,0,0), L3887&lt;TIME(23,59,0)),"Evening",
  L3887&gt;=TIME(23,59,0),"Night",
  L3887&lt;TIME(9,0,0),"Night"
))</f>
        <v/>
      </c>
      <c r="O3887" t="str">
        <f t="shared" si="362"/>
        <v/>
      </c>
    </row>
    <row r="3888" spans="7:15" x14ac:dyDescent="0.25">
      <c r="G3888" t="str">
        <f t="shared" si="360"/>
        <v/>
      </c>
      <c r="H3888" s="13" t="str">
        <f t="shared" si="363"/>
        <v/>
      </c>
      <c r="I3888" t="str">
        <f>IFERROR(INDEX(Analysis!$D$116:$N$137, MATCH(B3888, Analysis!$C$116:$C$137, 0), MATCH(C3888, Analysis!$D$115:$N$115, 0)), "")</f>
        <v/>
      </c>
      <c r="J3888" t="str">
        <f t="shared" si="364"/>
        <v/>
      </c>
      <c r="K3888" s="28" t="str">
        <f t="shared" si="361"/>
        <v/>
      </c>
      <c r="L3888" s="46" t="str">
        <f t="shared" si="365"/>
        <v/>
      </c>
      <c r="M3888" t="str" cm="1">
        <f t="array" ref="M3888">IF(L3888="","",_xlfn.IFS(
  AND(L3888&gt;=TIME(9,0,0), L3888&lt;TIME(16,0,0)),"Morning",
  AND(L3888&gt;=TIME(16,0,0), L3888&lt;TIME(23,59,0)),"Evening",
  L3888&gt;=TIME(23,59,0),"Night",
  L3888&lt;TIME(9,0,0),"Night"
))</f>
        <v/>
      </c>
      <c r="O3888" t="str">
        <f t="shared" si="362"/>
        <v/>
      </c>
    </row>
    <row r="3889" spans="7:15" x14ac:dyDescent="0.25">
      <c r="G3889" t="str">
        <f t="shared" si="360"/>
        <v/>
      </c>
      <c r="H3889" s="13" t="str">
        <f t="shared" si="363"/>
        <v/>
      </c>
      <c r="I3889" t="str">
        <f>IFERROR(INDEX(Analysis!$D$116:$N$137, MATCH(B3889, Analysis!$C$116:$C$137, 0), MATCH(C3889, Analysis!$D$115:$N$115, 0)), "")</f>
        <v/>
      </c>
      <c r="J3889" t="str">
        <f t="shared" si="364"/>
        <v/>
      </c>
      <c r="K3889" s="28" t="str">
        <f t="shared" si="361"/>
        <v/>
      </c>
      <c r="L3889" s="46" t="str">
        <f t="shared" si="365"/>
        <v/>
      </c>
      <c r="M3889" t="str" cm="1">
        <f t="array" ref="M3889">IF(L3889="","",_xlfn.IFS(
  AND(L3889&gt;=TIME(9,0,0), L3889&lt;TIME(16,0,0)),"Morning",
  AND(L3889&gt;=TIME(16,0,0), L3889&lt;TIME(23,59,0)),"Evening",
  L3889&gt;=TIME(23,59,0),"Night",
  L3889&lt;TIME(9,0,0),"Night"
))</f>
        <v/>
      </c>
      <c r="O3889" t="str">
        <f t="shared" si="362"/>
        <v/>
      </c>
    </row>
    <row r="3890" spans="7:15" x14ac:dyDescent="0.25">
      <c r="G3890" t="str">
        <f t="shared" si="360"/>
        <v/>
      </c>
      <c r="H3890" s="13" t="str">
        <f t="shared" si="363"/>
        <v/>
      </c>
      <c r="I3890" t="str">
        <f>IFERROR(INDEX(Analysis!$D$116:$N$137, MATCH(B3890, Analysis!$C$116:$C$137, 0), MATCH(C3890, Analysis!$D$115:$N$115, 0)), "")</f>
        <v/>
      </c>
      <c r="J3890" t="str">
        <f t="shared" si="364"/>
        <v/>
      </c>
      <c r="K3890" s="28" t="str">
        <f t="shared" si="361"/>
        <v/>
      </c>
      <c r="L3890" s="46" t="str">
        <f t="shared" si="365"/>
        <v/>
      </c>
      <c r="M3890" t="str" cm="1">
        <f t="array" ref="M3890">IF(L3890="","",_xlfn.IFS(
  AND(L3890&gt;=TIME(9,0,0), L3890&lt;TIME(16,0,0)),"Morning",
  AND(L3890&gt;=TIME(16,0,0), L3890&lt;TIME(23,59,0)),"Evening",
  L3890&gt;=TIME(23,59,0),"Night",
  L3890&lt;TIME(9,0,0),"Night"
))</f>
        <v/>
      </c>
      <c r="O3890" t="str">
        <f t="shared" si="362"/>
        <v/>
      </c>
    </row>
    <row r="3891" spans="7:15" x14ac:dyDescent="0.25">
      <c r="G3891" t="str">
        <f t="shared" si="360"/>
        <v/>
      </c>
      <c r="H3891" s="13" t="str">
        <f t="shared" si="363"/>
        <v/>
      </c>
      <c r="I3891" t="str">
        <f>IFERROR(INDEX(Analysis!$D$116:$N$137, MATCH(B3891, Analysis!$C$116:$C$137, 0), MATCH(C3891, Analysis!$D$115:$N$115, 0)), "")</f>
        <v/>
      </c>
      <c r="J3891" t="str">
        <f t="shared" si="364"/>
        <v/>
      </c>
      <c r="K3891" s="28" t="str">
        <f t="shared" si="361"/>
        <v/>
      </c>
      <c r="L3891" s="46" t="str">
        <f t="shared" si="365"/>
        <v/>
      </c>
      <c r="M3891" t="str" cm="1">
        <f t="array" ref="M3891">IF(L3891="","",_xlfn.IFS(
  AND(L3891&gt;=TIME(9,0,0), L3891&lt;TIME(16,0,0)),"Morning",
  AND(L3891&gt;=TIME(16,0,0), L3891&lt;TIME(23,59,0)),"Evening",
  L3891&gt;=TIME(23,59,0),"Night",
  L3891&lt;TIME(9,0,0),"Night"
))</f>
        <v/>
      </c>
      <c r="O3891" t="str">
        <f t="shared" si="362"/>
        <v/>
      </c>
    </row>
    <row r="3892" spans="7:15" x14ac:dyDescent="0.25">
      <c r="G3892" t="str">
        <f t="shared" si="360"/>
        <v/>
      </c>
      <c r="H3892" s="13" t="str">
        <f t="shared" si="363"/>
        <v/>
      </c>
      <c r="I3892" t="str">
        <f>IFERROR(INDEX(Analysis!$D$116:$N$137, MATCH(B3892, Analysis!$C$116:$C$137, 0), MATCH(C3892, Analysis!$D$115:$N$115, 0)), "")</f>
        <v/>
      </c>
      <c r="J3892" t="str">
        <f t="shared" si="364"/>
        <v/>
      </c>
      <c r="K3892" s="28" t="str">
        <f t="shared" si="361"/>
        <v/>
      </c>
      <c r="L3892" s="46" t="str">
        <f t="shared" si="365"/>
        <v/>
      </c>
      <c r="M3892" t="str" cm="1">
        <f t="array" ref="M3892">IF(L3892="","",_xlfn.IFS(
  AND(L3892&gt;=TIME(9,0,0), L3892&lt;TIME(16,0,0)),"Morning",
  AND(L3892&gt;=TIME(16,0,0), L3892&lt;TIME(23,59,0)),"Evening",
  L3892&gt;=TIME(23,59,0),"Night",
  L3892&lt;TIME(9,0,0),"Night"
))</f>
        <v/>
      </c>
      <c r="O3892" t="str">
        <f t="shared" si="362"/>
        <v/>
      </c>
    </row>
    <row r="3893" spans="7:15" x14ac:dyDescent="0.25">
      <c r="G3893" t="str">
        <f t="shared" si="360"/>
        <v/>
      </c>
      <c r="H3893" s="13" t="str">
        <f t="shared" si="363"/>
        <v/>
      </c>
      <c r="I3893" t="str">
        <f>IFERROR(INDEX(Analysis!$D$116:$N$137, MATCH(B3893, Analysis!$C$116:$C$137, 0), MATCH(C3893, Analysis!$D$115:$N$115, 0)), "")</f>
        <v/>
      </c>
      <c r="J3893" t="str">
        <f t="shared" si="364"/>
        <v/>
      </c>
      <c r="K3893" s="28" t="str">
        <f t="shared" si="361"/>
        <v/>
      </c>
      <c r="L3893" s="46" t="str">
        <f t="shared" si="365"/>
        <v/>
      </c>
      <c r="M3893" t="str" cm="1">
        <f t="array" ref="M3893">IF(L3893="","",_xlfn.IFS(
  AND(L3893&gt;=TIME(9,0,0), L3893&lt;TIME(16,0,0)),"Morning",
  AND(L3893&gt;=TIME(16,0,0), L3893&lt;TIME(23,59,0)),"Evening",
  L3893&gt;=TIME(23,59,0),"Night",
  L3893&lt;TIME(9,0,0),"Night"
))</f>
        <v/>
      </c>
      <c r="O3893" t="str">
        <f t="shared" si="362"/>
        <v/>
      </c>
    </row>
    <row r="3894" spans="7:15" x14ac:dyDescent="0.25">
      <c r="G3894" t="str">
        <f t="shared" si="360"/>
        <v/>
      </c>
      <c r="H3894" s="13" t="str">
        <f t="shared" si="363"/>
        <v/>
      </c>
      <c r="I3894" t="str">
        <f>IFERROR(INDEX(Analysis!$D$116:$N$137, MATCH(B3894, Analysis!$C$116:$C$137, 0), MATCH(C3894, Analysis!$D$115:$N$115, 0)), "")</f>
        <v/>
      </c>
      <c r="J3894" t="str">
        <f t="shared" si="364"/>
        <v/>
      </c>
      <c r="K3894" s="28" t="str">
        <f t="shared" si="361"/>
        <v/>
      </c>
      <c r="L3894" s="46" t="str">
        <f t="shared" si="365"/>
        <v/>
      </c>
      <c r="M3894" t="str" cm="1">
        <f t="array" ref="M3894">IF(L3894="","",_xlfn.IFS(
  AND(L3894&gt;=TIME(9,0,0), L3894&lt;TIME(16,0,0)),"Morning",
  AND(L3894&gt;=TIME(16,0,0), L3894&lt;TIME(23,59,0)),"Evening",
  L3894&gt;=TIME(23,59,0),"Night",
  L3894&lt;TIME(9,0,0),"Night"
))</f>
        <v/>
      </c>
      <c r="O3894" t="str">
        <f t="shared" si="362"/>
        <v/>
      </c>
    </row>
    <row r="3895" spans="7:15" x14ac:dyDescent="0.25">
      <c r="G3895" t="str">
        <f t="shared" si="360"/>
        <v/>
      </c>
      <c r="H3895" s="13" t="str">
        <f t="shared" si="363"/>
        <v/>
      </c>
      <c r="I3895" t="str">
        <f>IFERROR(INDEX(Analysis!$D$116:$N$137, MATCH(B3895, Analysis!$C$116:$C$137, 0), MATCH(C3895, Analysis!$D$115:$N$115, 0)), "")</f>
        <v/>
      </c>
      <c r="J3895" t="str">
        <f t="shared" si="364"/>
        <v/>
      </c>
      <c r="K3895" s="28" t="str">
        <f t="shared" si="361"/>
        <v/>
      </c>
      <c r="L3895" s="46" t="str">
        <f t="shared" si="365"/>
        <v/>
      </c>
      <c r="M3895" t="str" cm="1">
        <f t="array" ref="M3895">IF(L3895="","",_xlfn.IFS(
  AND(L3895&gt;=TIME(9,0,0), L3895&lt;TIME(16,0,0)),"Morning",
  AND(L3895&gt;=TIME(16,0,0), L3895&lt;TIME(23,59,0)),"Evening",
  L3895&gt;=TIME(23,59,0),"Night",
  L3895&lt;TIME(9,0,0),"Night"
))</f>
        <v/>
      </c>
      <c r="O3895" t="str">
        <f t="shared" si="362"/>
        <v/>
      </c>
    </row>
    <row r="3896" spans="7:15" x14ac:dyDescent="0.25">
      <c r="G3896" t="str">
        <f t="shared" si="360"/>
        <v/>
      </c>
      <c r="H3896" s="13" t="str">
        <f t="shared" si="363"/>
        <v/>
      </c>
      <c r="I3896" t="str">
        <f>IFERROR(INDEX(Analysis!$D$116:$N$137, MATCH(B3896, Analysis!$C$116:$C$137, 0), MATCH(C3896, Analysis!$D$115:$N$115, 0)), "")</f>
        <v/>
      </c>
      <c r="J3896" t="str">
        <f t="shared" si="364"/>
        <v/>
      </c>
      <c r="K3896" s="28" t="str">
        <f t="shared" si="361"/>
        <v/>
      </c>
      <c r="L3896" s="46" t="str">
        <f t="shared" si="365"/>
        <v/>
      </c>
      <c r="M3896" t="str" cm="1">
        <f t="array" ref="M3896">IF(L3896="","",_xlfn.IFS(
  AND(L3896&gt;=TIME(9,0,0), L3896&lt;TIME(16,0,0)),"Morning",
  AND(L3896&gt;=TIME(16,0,0), L3896&lt;TIME(23,59,0)),"Evening",
  L3896&gt;=TIME(23,59,0),"Night",
  L3896&lt;TIME(9,0,0),"Night"
))</f>
        <v/>
      </c>
      <c r="O3896" t="str">
        <f t="shared" si="362"/>
        <v/>
      </c>
    </row>
    <row r="3897" spans="7:15" x14ac:dyDescent="0.25">
      <c r="G3897" t="str">
        <f t="shared" si="360"/>
        <v/>
      </c>
      <c r="H3897" s="13" t="str">
        <f t="shared" si="363"/>
        <v/>
      </c>
      <c r="I3897" t="str">
        <f>IFERROR(INDEX(Analysis!$D$116:$N$137, MATCH(B3897, Analysis!$C$116:$C$137, 0), MATCH(C3897, Analysis!$D$115:$N$115, 0)), "")</f>
        <v/>
      </c>
      <c r="J3897" t="str">
        <f t="shared" si="364"/>
        <v/>
      </c>
      <c r="K3897" s="28" t="str">
        <f t="shared" si="361"/>
        <v/>
      </c>
      <c r="L3897" s="46" t="str">
        <f t="shared" si="365"/>
        <v/>
      </c>
      <c r="M3897" t="str" cm="1">
        <f t="array" ref="M3897">IF(L3897="","",_xlfn.IFS(
  AND(L3897&gt;=TIME(9,0,0), L3897&lt;TIME(16,0,0)),"Morning",
  AND(L3897&gt;=TIME(16,0,0), L3897&lt;TIME(23,59,0)),"Evening",
  L3897&gt;=TIME(23,59,0),"Night",
  L3897&lt;TIME(9,0,0),"Night"
))</f>
        <v/>
      </c>
      <c r="O3897" t="str">
        <f t="shared" si="362"/>
        <v/>
      </c>
    </row>
    <row r="3898" spans="7:15" x14ac:dyDescent="0.25">
      <c r="G3898" t="str">
        <f t="shared" si="360"/>
        <v/>
      </c>
      <c r="H3898" s="13" t="str">
        <f t="shared" si="363"/>
        <v/>
      </c>
      <c r="I3898" t="str">
        <f>IFERROR(INDEX(Analysis!$D$116:$N$137, MATCH(B3898, Analysis!$C$116:$C$137, 0), MATCH(C3898, Analysis!$D$115:$N$115, 0)), "")</f>
        <v/>
      </c>
      <c r="J3898" t="str">
        <f t="shared" si="364"/>
        <v/>
      </c>
      <c r="K3898" s="28" t="str">
        <f t="shared" si="361"/>
        <v/>
      </c>
      <c r="L3898" s="46" t="str">
        <f t="shared" si="365"/>
        <v/>
      </c>
      <c r="M3898" t="str" cm="1">
        <f t="array" ref="M3898">IF(L3898="","",_xlfn.IFS(
  AND(L3898&gt;=TIME(9,0,0), L3898&lt;TIME(16,0,0)),"Morning",
  AND(L3898&gt;=TIME(16,0,0), L3898&lt;TIME(23,59,0)),"Evening",
  L3898&gt;=TIME(23,59,0),"Night",
  L3898&lt;TIME(9,0,0),"Night"
))</f>
        <v/>
      </c>
      <c r="O3898" t="str">
        <f t="shared" si="362"/>
        <v/>
      </c>
    </row>
    <row r="3899" spans="7:15" x14ac:dyDescent="0.25">
      <c r="G3899" t="str">
        <f t="shared" si="360"/>
        <v/>
      </c>
      <c r="H3899" s="13" t="str">
        <f t="shared" si="363"/>
        <v/>
      </c>
      <c r="I3899" t="str">
        <f>IFERROR(INDEX(Analysis!$D$116:$N$137, MATCH(B3899, Analysis!$C$116:$C$137, 0), MATCH(C3899, Analysis!$D$115:$N$115, 0)), "")</f>
        <v/>
      </c>
      <c r="J3899" t="str">
        <f t="shared" si="364"/>
        <v/>
      </c>
      <c r="K3899" s="28" t="str">
        <f t="shared" si="361"/>
        <v/>
      </c>
      <c r="L3899" s="46" t="str">
        <f t="shared" si="365"/>
        <v/>
      </c>
      <c r="M3899" t="str" cm="1">
        <f t="array" ref="M3899">IF(L3899="","",_xlfn.IFS(
  AND(L3899&gt;=TIME(9,0,0), L3899&lt;TIME(16,0,0)),"Morning",
  AND(L3899&gt;=TIME(16,0,0), L3899&lt;TIME(23,59,0)),"Evening",
  L3899&gt;=TIME(23,59,0),"Night",
  L3899&lt;TIME(9,0,0),"Night"
))</f>
        <v/>
      </c>
      <c r="O3899" t="str">
        <f t="shared" si="362"/>
        <v/>
      </c>
    </row>
    <row r="3900" spans="7:15" x14ac:dyDescent="0.25">
      <c r="G3900" t="str">
        <f t="shared" si="360"/>
        <v/>
      </c>
      <c r="H3900" s="13" t="str">
        <f t="shared" si="363"/>
        <v/>
      </c>
      <c r="I3900" t="str">
        <f>IFERROR(INDEX(Analysis!$D$116:$N$137, MATCH(B3900, Analysis!$C$116:$C$137, 0), MATCH(C3900, Analysis!$D$115:$N$115, 0)), "")</f>
        <v/>
      </c>
      <c r="J3900" t="str">
        <f t="shared" si="364"/>
        <v/>
      </c>
      <c r="K3900" s="28" t="str">
        <f t="shared" si="361"/>
        <v/>
      </c>
      <c r="L3900" s="46" t="str">
        <f t="shared" si="365"/>
        <v/>
      </c>
      <c r="M3900" t="str" cm="1">
        <f t="array" ref="M3900">IF(L3900="","",_xlfn.IFS(
  AND(L3900&gt;=TIME(9,0,0), L3900&lt;TIME(16,0,0)),"Morning",
  AND(L3900&gt;=TIME(16,0,0), L3900&lt;TIME(23,59,0)),"Evening",
  L3900&gt;=TIME(23,59,0),"Night",
  L3900&lt;TIME(9,0,0),"Night"
))</f>
        <v/>
      </c>
      <c r="O3900" t="str">
        <f t="shared" si="362"/>
        <v/>
      </c>
    </row>
    <row r="3901" spans="7:15" x14ac:dyDescent="0.25">
      <c r="G3901" t="str">
        <f t="shared" si="360"/>
        <v/>
      </c>
      <c r="H3901" s="13" t="str">
        <f t="shared" si="363"/>
        <v/>
      </c>
      <c r="I3901" t="str">
        <f>IFERROR(INDEX(Analysis!$D$116:$N$137, MATCH(B3901, Analysis!$C$116:$C$137, 0), MATCH(C3901, Analysis!$D$115:$N$115, 0)), "")</f>
        <v/>
      </c>
      <c r="J3901" t="str">
        <f t="shared" si="364"/>
        <v/>
      </c>
      <c r="K3901" s="28" t="str">
        <f t="shared" si="361"/>
        <v/>
      </c>
      <c r="L3901" s="46" t="str">
        <f t="shared" si="365"/>
        <v/>
      </c>
      <c r="M3901" t="str" cm="1">
        <f t="array" ref="M3901">IF(L3901="","",_xlfn.IFS(
  AND(L3901&gt;=TIME(9,0,0), L3901&lt;TIME(16,0,0)),"Morning",
  AND(L3901&gt;=TIME(16,0,0), L3901&lt;TIME(23,59,0)),"Evening",
  L3901&gt;=TIME(23,59,0),"Night",
  L3901&lt;TIME(9,0,0),"Night"
))</f>
        <v/>
      </c>
      <c r="O3901" t="str">
        <f t="shared" si="362"/>
        <v/>
      </c>
    </row>
    <row r="3902" spans="7:15" x14ac:dyDescent="0.25">
      <c r="G3902" t="str">
        <f t="shared" si="360"/>
        <v/>
      </c>
      <c r="H3902" s="13" t="str">
        <f t="shared" si="363"/>
        <v/>
      </c>
      <c r="I3902" t="str">
        <f>IFERROR(INDEX(Analysis!$D$116:$N$137, MATCH(B3902, Analysis!$C$116:$C$137, 0), MATCH(C3902, Analysis!$D$115:$N$115, 0)), "")</f>
        <v/>
      </c>
      <c r="J3902" t="str">
        <f t="shared" si="364"/>
        <v/>
      </c>
      <c r="K3902" s="28" t="str">
        <f t="shared" si="361"/>
        <v/>
      </c>
      <c r="L3902" s="46" t="str">
        <f t="shared" si="365"/>
        <v/>
      </c>
      <c r="M3902" t="str" cm="1">
        <f t="array" ref="M3902">IF(L3902="","",_xlfn.IFS(
  AND(L3902&gt;=TIME(9,0,0), L3902&lt;TIME(16,0,0)),"Morning",
  AND(L3902&gt;=TIME(16,0,0), L3902&lt;TIME(23,59,0)),"Evening",
  L3902&gt;=TIME(23,59,0),"Night",
  L3902&lt;TIME(9,0,0),"Night"
))</f>
        <v/>
      </c>
      <c r="O3902" t="str">
        <f t="shared" si="362"/>
        <v/>
      </c>
    </row>
    <row r="3903" spans="7:15" x14ac:dyDescent="0.25">
      <c r="G3903" t="str">
        <f t="shared" si="360"/>
        <v/>
      </c>
      <c r="H3903" s="13" t="str">
        <f t="shared" si="363"/>
        <v/>
      </c>
      <c r="I3903" t="str">
        <f>IFERROR(INDEX(Analysis!$D$116:$N$137, MATCH(B3903, Analysis!$C$116:$C$137, 0), MATCH(C3903, Analysis!$D$115:$N$115, 0)), "")</f>
        <v/>
      </c>
      <c r="J3903" t="str">
        <f t="shared" si="364"/>
        <v/>
      </c>
      <c r="K3903" s="28" t="str">
        <f t="shared" si="361"/>
        <v/>
      </c>
      <c r="L3903" s="46" t="str">
        <f t="shared" si="365"/>
        <v/>
      </c>
      <c r="M3903" t="str" cm="1">
        <f t="array" ref="M3903">IF(L3903="","",_xlfn.IFS(
  AND(L3903&gt;=TIME(9,0,0), L3903&lt;TIME(16,0,0)),"Morning",
  AND(L3903&gt;=TIME(16,0,0), L3903&lt;TIME(23,59,0)),"Evening",
  L3903&gt;=TIME(23,59,0),"Night",
  L3903&lt;TIME(9,0,0),"Night"
))</f>
        <v/>
      </c>
      <c r="O3903" t="str">
        <f t="shared" si="362"/>
        <v/>
      </c>
    </row>
    <row r="3904" spans="7:15" x14ac:dyDescent="0.25">
      <c r="G3904" t="str">
        <f t="shared" si="360"/>
        <v/>
      </c>
      <c r="H3904" s="13" t="str">
        <f t="shared" si="363"/>
        <v/>
      </c>
      <c r="I3904" t="str">
        <f>IFERROR(INDEX(Analysis!$D$116:$N$137, MATCH(B3904, Analysis!$C$116:$C$137, 0), MATCH(C3904, Analysis!$D$115:$N$115, 0)), "")</f>
        <v/>
      </c>
      <c r="J3904" t="str">
        <f t="shared" si="364"/>
        <v/>
      </c>
      <c r="K3904" s="28" t="str">
        <f t="shared" si="361"/>
        <v/>
      </c>
      <c r="L3904" s="46" t="str">
        <f t="shared" si="365"/>
        <v/>
      </c>
      <c r="M3904" t="str" cm="1">
        <f t="array" ref="M3904">IF(L3904="","",_xlfn.IFS(
  AND(L3904&gt;=TIME(9,0,0), L3904&lt;TIME(16,0,0)),"Morning",
  AND(L3904&gt;=TIME(16,0,0), L3904&lt;TIME(23,59,0)),"Evening",
  L3904&gt;=TIME(23,59,0),"Night",
  L3904&lt;TIME(9,0,0),"Night"
))</f>
        <v/>
      </c>
      <c r="O3904" t="str">
        <f t="shared" si="362"/>
        <v/>
      </c>
    </row>
    <row r="3905" spans="7:15" x14ac:dyDescent="0.25">
      <c r="G3905" t="str">
        <f t="shared" si="360"/>
        <v/>
      </c>
      <c r="H3905" s="13" t="str">
        <f t="shared" si="363"/>
        <v/>
      </c>
      <c r="I3905" t="str">
        <f>IFERROR(INDEX(Analysis!$D$116:$N$137, MATCH(B3905, Analysis!$C$116:$C$137, 0), MATCH(C3905, Analysis!$D$115:$N$115, 0)), "")</f>
        <v/>
      </c>
      <c r="J3905" t="str">
        <f t="shared" si="364"/>
        <v/>
      </c>
      <c r="K3905" s="28" t="str">
        <f t="shared" si="361"/>
        <v/>
      </c>
      <c r="L3905" s="46" t="str">
        <f t="shared" si="365"/>
        <v/>
      </c>
      <c r="M3905" t="str" cm="1">
        <f t="array" ref="M3905">IF(L3905="","",_xlfn.IFS(
  AND(L3905&gt;=TIME(9,0,0), L3905&lt;TIME(16,0,0)),"Morning",
  AND(L3905&gt;=TIME(16,0,0), L3905&lt;TIME(23,59,0)),"Evening",
  L3905&gt;=TIME(23,59,0),"Night",
  L3905&lt;TIME(9,0,0),"Night"
))</f>
        <v/>
      </c>
      <c r="O3905" t="str">
        <f t="shared" si="362"/>
        <v/>
      </c>
    </row>
    <row r="3906" spans="7:15" x14ac:dyDescent="0.25">
      <c r="G3906" t="str">
        <f t="shared" ref="G3906:G3969" si="366">IF(ISBLANK(A3906), "", IF(ISBLANK(F3906), 0, F3906))</f>
        <v/>
      </c>
      <c r="H3906" s="13" t="str">
        <f t="shared" si="363"/>
        <v/>
      </c>
      <c r="I3906" t="str">
        <f>IFERROR(INDEX(Analysis!$D$116:$N$137, MATCH(B3906, Analysis!$C$116:$C$137, 0), MATCH(C3906, Analysis!$D$115:$N$115, 0)), "")</f>
        <v/>
      </c>
      <c r="J3906" t="str">
        <f t="shared" si="364"/>
        <v/>
      </c>
      <c r="K3906" s="28" t="str">
        <f t="shared" ref="K3906:K3969" si="367">IF(ISBLANK(A3906),"",DATE(YEAR(A3906),MONTH(A3906),DAY(A3906)))</f>
        <v/>
      </c>
      <c r="L3906" s="46" t="str">
        <f t="shared" si="365"/>
        <v/>
      </c>
      <c r="M3906" t="str" cm="1">
        <f t="array" ref="M3906">IF(L3906="","",_xlfn.IFS(
  AND(L3906&gt;=TIME(9,0,0), L3906&lt;TIME(16,0,0)),"Morning",
  AND(L3906&gt;=TIME(16,0,0), L3906&lt;TIME(23,59,0)),"Evening",
  L3906&gt;=TIME(23,59,0),"Night",
  L3906&lt;TIME(9,0,0),"Night"
))</f>
        <v/>
      </c>
      <c r="O3906" t="str">
        <f t="shared" ref="O3906:O3969" si="368">IF(N3906="ON", _xlfn.IMAGE(E3906, 1), "")</f>
        <v/>
      </c>
    </row>
    <row r="3907" spans="7:15" x14ac:dyDescent="0.25">
      <c r="G3907" t="str">
        <f t="shared" si="366"/>
        <v/>
      </c>
      <c r="H3907" s="13" t="str">
        <f t="shared" ref="H3907:H3970" si="369">IF(ISBLANK(E3907),"",HYPERLINK(E3907,"Click here"))</f>
        <v/>
      </c>
      <c r="I3907" t="str">
        <f>IFERROR(INDEX(Analysis!$D$116:$N$137, MATCH(B3907, Analysis!$C$116:$C$137, 0), MATCH(C3907, Analysis!$D$115:$N$115, 0)), "")</f>
        <v/>
      </c>
      <c r="J3907" t="str">
        <f t="shared" ref="J3907:J3970" si="370">IF(ISBLANK(A3907),"",WEEKNUM(A3907))</f>
        <v/>
      </c>
      <c r="K3907" s="28" t="str">
        <f t="shared" si="367"/>
        <v/>
      </c>
      <c r="L3907" s="46" t="str">
        <f t="shared" ref="L3907:L3970" si="371">IF(A3907="", "", A3907 - INT(A3907))</f>
        <v/>
      </c>
      <c r="M3907" t="str" cm="1">
        <f t="array" ref="M3907">IF(L3907="","",_xlfn.IFS(
  AND(L3907&gt;=TIME(9,0,0), L3907&lt;TIME(16,0,0)),"Morning",
  AND(L3907&gt;=TIME(16,0,0), L3907&lt;TIME(23,59,0)),"Evening",
  L3907&gt;=TIME(23,59,0),"Night",
  L3907&lt;TIME(9,0,0),"Night"
))</f>
        <v/>
      </c>
      <c r="O3907" t="str">
        <f t="shared" si="368"/>
        <v/>
      </c>
    </row>
    <row r="3908" spans="7:15" x14ac:dyDescent="0.25">
      <c r="G3908" t="str">
        <f t="shared" si="366"/>
        <v/>
      </c>
      <c r="H3908" s="13" t="str">
        <f t="shared" si="369"/>
        <v/>
      </c>
      <c r="I3908" t="str">
        <f>IFERROR(INDEX(Analysis!$D$116:$N$137, MATCH(B3908, Analysis!$C$116:$C$137, 0), MATCH(C3908, Analysis!$D$115:$N$115, 0)), "")</f>
        <v/>
      </c>
      <c r="J3908" t="str">
        <f t="shared" si="370"/>
        <v/>
      </c>
      <c r="K3908" s="28" t="str">
        <f t="shared" si="367"/>
        <v/>
      </c>
      <c r="L3908" s="46" t="str">
        <f t="shared" si="371"/>
        <v/>
      </c>
      <c r="M3908" t="str" cm="1">
        <f t="array" ref="M3908">IF(L3908="","",_xlfn.IFS(
  AND(L3908&gt;=TIME(9,0,0), L3908&lt;TIME(16,0,0)),"Morning",
  AND(L3908&gt;=TIME(16,0,0), L3908&lt;TIME(23,59,0)),"Evening",
  L3908&gt;=TIME(23,59,0),"Night",
  L3908&lt;TIME(9,0,0),"Night"
))</f>
        <v/>
      </c>
      <c r="O3908" t="str">
        <f t="shared" si="368"/>
        <v/>
      </c>
    </row>
    <row r="3909" spans="7:15" x14ac:dyDescent="0.25">
      <c r="G3909" t="str">
        <f t="shared" si="366"/>
        <v/>
      </c>
      <c r="H3909" s="13" t="str">
        <f t="shared" si="369"/>
        <v/>
      </c>
      <c r="I3909" t="str">
        <f>IFERROR(INDEX(Analysis!$D$116:$N$137, MATCH(B3909, Analysis!$C$116:$C$137, 0), MATCH(C3909, Analysis!$D$115:$N$115, 0)), "")</f>
        <v/>
      </c>
      <c r="J3909" t="str">
        <f t="shared" si="370"/>
        <v/>
      </c>
      <c r="K3909" s="28" t="str">
        <f t="shared" si="367"/>
        <v/>
      </c>
      <c r="L3909" s="46" t="str">
        <f t="shared" si="371"/>
        <v/>
      </c>
      <c r="M3909" t="str" cm="1">
        <f t="array" ref="M3909">IF(L3909="","",_xlfn.IFS(
  AND(L3909&gt;=TIME(9,0,0), L3909&lt;TIME(16,0,0)),"Morning",
  AND(L3909&gt;=TIME(16,0,0), L3909&lt;TIME(23,59,0)),"Evening",
  L3909&gt;=TIME(23,59,0),"Night",
  L3909&lt;TIME(9,0,0),"Night"
))</f>
        <v/>
      </c>
      <c r="O3909" t="str">
        <f t="shared" si="368"/>
        <v/>
      </c>
    </row>
    <row r="3910" spans="7:15" x14ac:dyDescent="0.25">
      <c r="G3910" t="str">
        <f t="shared" si="366"/>
        <v/>
      </c>
      <c r="H3910" s="13" t="str">
        <f t="shared" si="369"/>
        <v/>
      </c>
      <c r="I3910" t="str">
        <f>IFERROR(INDEX(Analysis!$D$116:$N$137, MATCH(B3910, Analysis!$C$116:$C$137, 0), MATCH(C3910, Analysis!$D$115:$N$115, 0)), "")</f>
        <v/>
      </c>
      <c r="J3910" t="str">
        <f t="shared" si="370"/>
        <v/>
      </c>
      <c r="K3910" s="28" t="str">
        <f t="shared" si="367"/>
        <v/>
      </c>
      <c r="L3910" s="46" t="str">
        <f t="shared" si="371"/>
        <v/>
      </c>
      <c r="M3910" t="str" cm="1">
        <f t="array" ref="M3910">IF(L3910="","",_xlfn.IFS(
  AND(L3910&gt;=TIME(9,0,0), L3910&lt;TIME(16,0,0)),"Morning",
  AND(L3910&gt;=TIME(16,0,0), L3910&lt;TIME(23,59,0)),"Evening",
  L3910&gt;=TIME(23,59,0),"Night",
  L3910&lt;TIME(9,0,0),"Night"
))</f>
        <v/>
      </c>
      <c r="O3910" t="str">
        <f t="shared" si="368"/>
        <v/>
      </c>
    </row>
    <row r="3911" spans="7:15" x14ac:dyDescent="0.25">
      <c r="G3911" t="str">
        <f t="shared" si="366"/>
        <v/>
      </c>
      <c r="H3911" s="13" t="str">
        <f t="shared" si="369"/>
        <v/>
      </c>
      <c r="I3911" t="str">
        <f>IFERROR(INDEX(Analysis!$D$116:$N$137, MATCH(B3911, Analysis!$C$116:$C$137, 0), MATCH(C3911, Analysis!$D$115:$N$115, 0)), "")</f>
        <v/>
      </c>
      <c r="J3911" t="str">
        <f t="shared" si="370"/>
        <v/>
      </c>
      <c r="K3911" s="28" t="str">
        <f t="shared" si="367"/>
        <v/>
      </c>
      <c r="L3911" s="46" t="str">
        <f t="shared" si="371"/>
        <v/>
      </c>
      <c r="M3911" t="str" cm="1">
        <f t="array" ref="M3911">IF(L3911="","",_xlfn.IFS(
  AND(L3911&gt;=TIME(9,0,0), L3911&lt;TIME(16,0,0)),"Morning",
  AND(L3911&gt;=TIME(16,0,0), L3911&lt;TIME(23,59,0)),"Evening",
  L3911&gt;=TIME(23,59,0),"Night",
  L3911&lt;TIME(9,0,0),"Night"
))</f>
        <v/>
      </c>
      <c r="O3911" t="str">
        <f t="shared" si="368"/>
        <v/>
      </c>
    </row>
    <row r="3912" spans="7:15" x14ac:dyDescent="0.25">
      <c r="G3912" t="str">
        <f t="shared" si="366"/>
        <v/>
      </c>
      <c r="H3912" s="13" t="str">
        <f t="shared" si="369"/>
        <v/>
      </c>
      <c r="I3912" t="str">
        <f>IFERROR(INDEX(Analysis!$D$116:$N$137, MATCH(B3912, Analysis!$C$116:$C$137, 0), MATCH(C3912, Analysis!$D$115:$N$115, 0)), "")</f>
        <v/>
      </c>
      <c r="J3912" t="str">
        <f t="shared" si="370"/>
        <v/>
      </c>
      <c r="K3912" s="28" t="str">
        <f t="shared" si="367"/>
        <v/>
      </c>
      <c r="L3912" s="46" t="str">
        <f t="shared" si="371"/>
        <v/>
      </c>
      <c r="M3912" t="str" cm="1">
        <f t="array" ref="M3912">IF(L3912="","",_xlfn.IFS(
  AND(L3912&gt;=TIME(9,0,0), L3912&lt;TIME(16,0,0)),"Morning",
  AND(L3912&gt;=TIME(16,0,0), L3912&lt;TIME(23,59,0)),"Evening",
  L3912&gt;=TIME(23,59,0),"Night",
  L3912&lt;TIME(9,0,0),"Night"
))</f>
        <v/>
      </c>
      <c r="O3912" t="str">
        <f t="shared" si="368"/>
        <v/>
      </c>
    </row>
    <row r="3913" spans="7:15" x14ac:dyDescent="0.25">
      <c r="G3913" t="str">
        <f t="shared" si="366"/>
        <v/>
      </c>
      <c r="H3913" s="13" t="str">
        <f t="shared" si="369"/>
        <v/>
      </c>
      <c r="I3913" t="str">
        <f>IFERROR(INDEX(Analysis!$D$116:$N$137, MATCH(B3913, Analysis!$C$116:$C$137, 0), MATCH(C3913, Analysis!$D$115:$N$115, 0)), "")</f>
        <v/>
      </c>
      <c r="J3913" t="str">
        <f t="shared" si="370"/>
        <v/>
      </c>
      <c r="K3913" s="28" t="str">
        <f t="shared" si="367"/>
        <v/>
      </c>
      <c r="L3913" s="46" t="str">
        <f t="shared" si="371"/>
        <v/>
      </c>
      <c r="M3913" t="str" cm="1">
        <f t="array" ref="M3913">IF(L3913="","",_xlfn.IFS(
  AND(L3913&gt;=TIME(9,0,0), L3913&lt;TIME(16,0,0)),"Morning",
  AND(L3913&gt;=TIME(16,0,0), L3913&lt;TIME(23,59,0)),"Evening",
  L3913&gt;=TIME(23,59,0),"Night",
  L3913&lt;TIME(9,0,0),"Night"
))</f>
        <v/>
      </c>
      <c r="O3913" t="str">
        <f t="shared" si="368"/>
        <v/>
      </c>
    </row>
    <row r="3914" spans="7:15" x14ac:dyDescent="0.25">
      <c r="G3914" t="str">
        <f t="shared" si="366"/>
        <v/>
      </c>
      <c r="H3914" s="13" t="str">
        <f t="shared" si="369"/>
        <v/>
      </c>
      <c r="I3914" t="str">
        <f>IFERROR(INDEX(Analysis!$D$116:$N$137, MATCH(B3914, Analysis!$C$116:$C$137, 0), MATCH(C3914, Analysis!$D$115:$N$115, 0)), "")</f>
        <v/>
      </c>
      <c r="J3914" t="str">
        <f t="shared" si="370"/>
        <v/>
      </c>
      <c r="K3914" s="28" t="str">
        <f t="shared" si="367"/>
        <v/>
      </c>
      <c r="L3914" s="46" t="str">
        <f t="shared" si="371"/>
        <v/>
      </c>
      <c r="M3914" t="str" cm="1">
        <f t="array" ref="M3914">IF(L3914="","",_xlfn.IFS(
  AND(L3914&gt;=TIME(9,0,0), L3914&lt;TIME(16,0,0)),"Morning",
  AND(L3914&gt;=TIME(16,0,0), L3914&lt;TIME(23,59,0)),"Evening",
  L3914&gt;=TIME(23,59,0),"Night",
  L3914&lt;TIME(9,0,0),"Night"
))</f>
        <v/>
      </c>
      <c r="O3914" t="str">
        <f t="shared" si="368"/>
        <v/>
      </c>
    </row>
    <row r="3915" spans="7:15" x14ac:dyDescent="0.25">
      <c r="G3915" t="str">
        <f t="shared" si="366"/>
        <v/>
      </c>
      <c r="H3915" s="13" t="str">
        <f t="shared" si="369"/>
        <v/>
      </c>
      <c r="I3915" t="str">
        <f>IFERROR(INDEX(Analysis!$D$116:$N$137, MATCH(B3915, Analysis!$C$116:$C$137, 0), MATCH(C3915, Analysis!$D$115:$N$115, 0)), "")</f>
        <v/>
      </c>
      <c r="J3915" t="str">
        <f t="shared" si="370"/>
        <v/>
      </c>
      <c r="K3915" s="28" t="str">
        <f t="shared" si="367"/>
        <v/>
      </c>
      <c r="L3915" s="46" t="str">
        <f t="shared" si="371"/>
        <v/>
      </c>
      <c r="M3915" t="str" cm="1">
        <f t="array" ref="M3915">IF(L3915="","",_xlfn.IFS(
  AND(L3915&gt;=TIME(9,0,0), L3915&lt;TIME(16,0,0)),"Morning",
  AND(L3915&gt;=TIME(16,0,0), L3915&lt;TIME(23,59,0)),"Evening",
  L3915&gt;=TIME(23,59,0),"Night",
  L3915&lt;TIME(9,0,0),"Night"
))</f>
        <v/>
      </c>
      <c r="O3915" t="str">
        <f t="shared" si="368"/>
        <v/>
      </c>
    </row>
    <row r="3916" spans="7:15" x14ac:dyDescent="0.25">
      <c r="G3916" t="str">
        <f t="shared" si="366"/>
        <v/>
      </c>
      <c r="H3916" s="13" t="str">
        <f t="shared" si="369"/>
        <v/>
      </c>
      <c r="I3916" t="str">
        <f>IFERROR(INDEX(Analysis!$D$116:$N$137, MATCH(B3916, Analysis!$C$116:$C$137, 0), MATCH(C3916, Analysis!$D$115:$N$115, 0)), "")</f>
        <v/>
      </c>
      <c r="J3916" t="str">
        <f t="shared" si="370"/>
        <v/>
      </c>
      <c r="K3916" s="28" t="str">
        <f t="shared" si="367"/>
        <v/>
      </c>
      <c r="L3916" s="46" t="str">
        <f t="shared" si="371"/>
        <v/>
      </c>
      <c r="M3916" t="str" cm="1">
        <f t="array" ref="M3916">IF(L3916="","",_xlfn.IFS(
  AND(L3916&gt;=TIME(9,0,0), L3916&lt;TIME(16,0,0)),"Morning",
  AND(L3916&gt;=TIME(16,0,0), L3916&lt;TIME(23,59,0)),"Evening",
  L3916&gt;=TIME(23,59,0),"Night",
  L3916&lt;TIME(9,0,0),"Night"
))</f>
        <v/>
      </c>
      <c r="O3916" t="str">
        <f t="shared" si="368"/>
        <v/>
      </c>
    </row>
    <row r="3917" spans="7:15" x14ac:dyDescent="0.25">
      <c r="G3917" t="str">
        <f t="shared" si="366"/>
        <v/>
      </c>
      <c r="H3917" s="13" t="str">
        <f t="shared" si="369"/>
        <v/>
      </c>
      <c r="I3917" t="str">
        <f>IFERROR(INDEX(Analysis!$D$116:$N$137, MATCH(B3917, Analysis!$C$116:$C$137, 0), MATCH(C3917, Analysis!$D$115:$N$115, 0)), "")</f>
        <v/>
      </c>
      <c r="J3917" t="str">
        <f t="shared" si="370"/>
        <v/>
      </c>
      <c r="K3917" s="28" t="str">
        <f t="shared" si="367"/>
        <v/>
      </c>
      <c r="L3917" s="46" t="str">
        <f t="shared" si="371"/>
        <v/>
      </c>
      <c r="M3917" t="str" cm="1">
        <f t="array" ref="M3917">IF(L3917="","",_xlfn.IFS(
  AND(L3917&gt;=TIME(9,0,0), L3917&lt;TIME(16,0,0)),"Morning",
  AND(L3917&gt;=TIME(16,0,0), L3917&lt;TIME(23,59,0)),"Evening",
  L3917&gt;=TIME(23,59,0),"Night",
  L3917&lt;TIME(9,0,0),"Night"
))</f>
        <v/>
      </c>
      <c r="O3917" t="str">
        <f t="shared" si="368"/>
        <v/>
      </c>
    </row>
    <row r="3918" spans="7:15" x14ac:dyDescent="0.25">
      <c r="G3918" t="str">
        <f t="shared" si="366"/>
        <v/>
      </c>
      <c r="H3918" s="13" t="str">
        <f t="shared" si="369"/>
        <v/>
      </c>
      <c r="I3918" t="str">
        <f>IFERROR(INDEX(Analysis!$D$116:$N$137, MATCH(B3918, Analysis!$C$116:$C$137, 0), MATCH(C3918, Analysis!$D$115:$N$115, 0)), "")</f>
        <v/>
      </c>
      <c r="J3918" t="str">
        <f t="shared" si="370"/>
        <v/>
      </c>
      <c r="K3918" s="28" t="str">
        <f t="shared" si="367"/>
        <v/>
      </c>
      <c r="L3918" s="46" t="str">
        <f t="shared" si="371"/>
        <v/>
      </c>
      <c r="M3918" t="str" cm="1">
        <f t="array" ref="M3918">IF(L3918="","",_xlfn.IFS(
  AND(L3918&gt;=TIME(9,0,0), L3918&lt;TIME(16,0,0)),"Morning",
  AND(L3918&gt;=TIME(16,0,0), L3918&lt;TIME(23,59,0)),"Evening",
  L3918&gt;=TIME(23,59,0),"Night",
  L3918&lt;TIME(9,0,0),"Night"
))</f>
        <v/>
      </c>
      <c r="O3918" t="str">
        <f t="shared" si="368"/>
        <v/>
      </c>
    </row>
    <row r="3919" spans="7:15" x14ac:dyDescent="0.25">
      <c r="G3919" t="str">
        <f t="shared" si="366"/>
        <v/>
      </c>
      <c r="H3919" s="13" t="str">
        <f t="shared" si="369"/>
        <v/>
      </c>
      <c r="I3919" t="str">
        <f>IFERROR(INDEX(Analysis!$D$116:$N$137, MATCH(B3919, Analysis!$C$116:$C$137, 0), MATCH(C3919, Analysis!$D$115:$N$115, 0)), "")</f>
        <v/>
      </c>
      <c r="J3919" t="str">
        <f t="shared" si="370"/>
        <v/>
      </c>
      <c r="K3919" s="28" t="str">
        <f t="shared" si="367"/>
        <v/>
      </c>
      <c r="L3919" s="46" t="str">
        <f t="shared" si="371"/>
        <v/>
      </c>
      <c r="M3919" t="str" cm="1">
        <f t="array" ref="M3919">IF(L3919="","",_xlfn.IFS(
  AND(L3919&gt;=TIME(9,0,0), L3919&lt;TIME(16,0,0)),"Morning",
  AND(L3919&gt;=TIME(16,0,0), L3919&lt;TIME(23,59,0)),"Evening",
  L3919&gt;=TIME(23,59,0),"Night",
  L3919&lt;TIME(9,0,0),"Night"
))</f>
        <v/>
      </c>
      <c r="O3919" t="str">
        <f t="shared" si="368"/>
        <v/>
      </c>
    </row>
    <row r="3920" spans="7:15" x14ac:dyDescent="0.25">
      <c r="G3920" t="str">
        <f t="shared" si="366"/>
        <v/>
      </c>
      <c r="H3920" s="13" t="str">
        <f t="shared" si="369"/>
        <v/>
      </c>
      <c r="I3920" t="str">
        <f>IFERROR(INDEX(Analysis!$D$116:$N$137, MATCH(B3920, Analysis!$C$116:$C$137, 0), MATCH(C3920, Analysis!$D$115:$N$115, 0)), "")</f>
        <v/>
      </c>
      <c r="J3920" t="str">
        <f t="shared" si="370"/>
        <v/>
      </c>
      <c r="K3920" s="28" t="str">
        <f t="shared" si="367"/>
        <v/>
      </c>
      <c r="L3920" s="46" t="str">
        <f t="shared" si="371"/>
        <v/>
      </c>
      <c r="M3920" t="str" cm="1">
        <f t="array" ref="M3920">IF(L3920="","",_xlfn.IFS(
  AND(L3920&gt;=TIME(9,0,0), L3920&lt;TIME(16,0,0)),"Morning",
  AND(L3920&gt;=TIME(16,0,0), L3920&lt;TIME(23,59,0)),"Evening",
  L3920&gt;=TIME(23,59,0),"Night",
  L3920&lt;TIME(9,0,0),"Night"
))</f>
        <v/>
      </c>
      <c r="O3920" t="str">
        <f t="shared" si="368"/>
        <v/>
      </c>
    </row>
    <row r="3921" spans="7:15" x14ac:dyDescent="0.25">
      <c r="G3921" t="str">
        <f t="shared" si="366"/>
        <v/>
      </c>
      <c r="H3921" s="13" t="str">
        <f t="shared" si="369"/>
        <v/>
      </c>
      <c r="I3921" t="str">
        <f>IFERROR(INDEX(Analysis!$D$116:$N$137, MATCH(B3921, Analysis!$C$116:$C$137, 0), MATCH(C3921, Analysis!$D$115:$N$115, 0)), "")</f>
        <v/>
      </c>
      <c r="J3921" t="str">
        <f t="shared" si="370"/>
        <v/>
      </c>
      <c r="K3921" s="28" t="str">
        <f t="shared" si="367"/>
        <v/>
      </c>
      <c r="L3921" s="46" t="str">
        <f t="shared" si="371"/>
        <v/>
      </c>
      <c r="M3921" t="str" cm="1">
        <f t="array" ref="M3921">IF(L3921="","",_xlfn.IFS(
  AND(L3921&gt;=TIME(9,0,0), L3921&lt;TIME(16,0,0)),"Morning",
  AND(L3921&gt;=TIME(16,0,0), L3921&lt;TIME(23,59,0)),"Evening",
  L3921&gt;=TIME(23,59,0),"Night",
  L3921&lt;TIME(9,0,0),"Night"
))</f>
        <v/>
      </c>
      <c r="O3921" t="str">
        <f t="shared" si="368"/>
        <v/>
      </c>
    </row>
    <row r="3922" spans="7:15" x14ac:dyDescent="0.25">
      <c r="G3922" t="str">
        <f t="shared" si="366"/>
        <v/>
      </c>
      <c r="H3922" s="13" t="str">
        <f t="shared" si="369"/>
        <v/>
      </c>
      <c r="I3922" t="str">
        <f>IFERROR(INDEX(Analysis!$D$116:$N$137, MATCH(B3922, Analysis!$C$116:$C$137, 0), MATCH(C3922, Analysis!$D$115:$N$115, 0)), "")</f>
        <v/>
      </c>
      <c r="J3922" t="str">
        <f t="shared" si="370"/>
        <v/>
      </c>
      <c r="K3922" s="28" t="str">
        <f t="shared" si="367"/>
        <v/>
      </c>
      <c r="L3922" s="46" t="str">
        <f t="shared" si="371"/>
        <v/>
      </c>
      <c r="M3922" t="str" cm="1">
        <f t="array" ref="M3922">IF(L3922="","",_xlfn.IFS(
  AND(L3922&gt;=TIME(9,0,0), L3922&lt;TIME(16,0,0)),"Morning",
  AND(L3922&gt;=TIME(16,0,0), L3922&lt;TIME(23,59,0)),"Evening",
  L3922&gt;=TIME(23,59,0),"Night",
  L3922&lt;TIME(9,0,0),"Night"
))</f>
        <v/>
      </c>
      <c r="O3922" t="str">
        <f t="shared" si="368"/>
        <v/>
      </c>
    </row>
    <row r="3923" spans="7:15" x14ac:dyDescent="0.25">
      <c r="G3923" t="str">
        <f t="shared" si="366"/>
        <v/>
      </c>
      <c r="H3923" s="13" t="str">
        <f t="shared" si="369"/>
        <v/>
      </c>
      <c r="I3923" t="str">
        <f>IFERROR(INDEX(Analysis!$D$116:$N$137, MATCH(B3923, Analysis!$C$116:$C$137, 0), MATCH(C3923, Analysis!$D$115:$N$115, 0)), "")</f>
        <v/>
      </c>
      <c r="J3923" t="str">
        <f t="shared" si="370"/>
        <v/>
      </c>
      <c r="K3923" s="28" t="str">
        <f t="shared" si="367"/>
        <v/>
      </c>
      <c r="L3923" s="46" t="str">
        <f t="shared" si="371"/>
        <v/>
      </c>
      <c r="M3923" t="str" cm="1">
        <f t="array" ref="M3923">IF(L3923="","",_xlfn.IFS(
  AND(L3923&gt;=TIME(9,0,0), L3923&lt;TIME(16,0,0)),"Morning",
  AND(L3923&gt;=TIME(16,0,0), L3923&lt;TIME(23,59,0)),"Evening",
  L3923&gt;=TIME(23,59,0),"Night",
  L3923&lt;TIME(9,0,0),"Night"
))</f>
        <v/>
      </c>
      <c r="O3923" t="str">
        <f t="shared" si="368"/>
        <v/>
      </c>
    </row>
    <row r="3924" spans="7:15" x14ac:dyDescent="0.25">
      <c r="G3924" t="str">
        <f t="shared" si="366"/>
        <v/>
      </c>
      <c r="H3924" s="13" t="str">
        <f t="shared" si="369"/>
        <v/>
      </c>
      <c r="I3924" t="str">
        <f>IFERROR(INDEX(Analysis!$D$116:$N$137, MATCH(B3924, Analysis!$C$116:$C$137, 0), MATCH(C3924, Analysis!$D$115:$N$115, 0)), "")</f>
        <v/>
      </c>
      <c r="J3924" t="str">
        <f t="shared" si="370"/>
        <v/>
      </c>
      <c r="K3924" s="28" t="str">
        <f t="shared" si="367"/>
        <v/>
      </c>
      <c r="L3924" s="46" t="str">
        <f t="shared" si="371"/>
        <v/>
      </c>
      <c r="M3924" t="str" cm="1">
        <f t="array" ref="M3924">IF(L3924="","",_xlfn.IFS(
  AND(L3924&gt;=TIME(9,0,0), L3924&lt;TIME(16,0,0)),"Morning",
  AND(L3924&gt;=TIME(16,0,0), L3924&lt;TIME(23,59,0)),"Evening",
  L3924&gt;=TIME(23,59,0),"Night",
  L3924&lt;TIME(9,0,0),"Night"
))</f>
        <v/>
      </c>
      <c r="O3924" t="str">
        <f t="shared" si="368"/>
        <v/>
      </c>
    </row>
    <row r="3925" spans="7:15" x14ac:dyDescent="0.25">
      <c r="G3925" t="str">
        <f t="shared" si="366"/>
        <v/>
      </c>
      <c r="H3925" s="13" t="str">
        <f t="shared" si="369"/>
        <v/>
      </c>
      <c r="I3925" t="str">
        <f>IFERROR(INDEX(Analysis!$D$116:$N$137, MATCH(B3925, Analysis!$C$116:$C$137, 0), MATCH(C3925, Analysis!$D$115:$N$115, 0)), "")</f>
        <v/>
      </c>
      <c r="J3925" t="str">
        <f t="shared" si="370"/>
        <v/>
      </c>
      <c r="K3925" s="28" t="str">
        <f t="shared" si="367"/>
        <v/>
      </c>
      <c r="L3925" s="46" t="str">
        <f t="shared" si="371"/>
        <v/>
      </c>
      <c r="M3925" t="str" cm="1">
        <f t="array" ref="M3925">IF(L3925="","",_xlfn.IFS(
  AND(L3925&gt;=TIME(9,0,0), L3925&lt;TIME(16,0,0)),"Morning",
  AND(L3925&gt;=TIME(16,0,0), L3925&lt;TIME(23,59,0)),"Evening",
  L3925&gt;=TIME(23,59,0),"Night",
  L3925&lt;TIME(9,0,0),"Night"
))</f>
        <v/>
      </c>
      <c r="O3925" t="str">
        <f t="shared" si="368"/>
        <v/>
      </c>
    </row>
    <row r="3926" spans="7:15" x14ac:dyDescent="0.25">
      <c r="G3926" t="str">
        <f t="shared" si="366"/>
        <v/>
      </c>
      <c r="H3926" s="13" t="str">
        <f t="shared" si="369"/>
        <v/>
      </c>
      <c r="I3926" t="str">
        <f>IFERROR(INDEX(Analysis!$D$116:$N$137, MATCH(B3926, Analysis!$C$116:$C$137, 0), MATCH(C3926, Analysis!$D$115:$N$115, 0)), "")</f>
        <v/>
      </c>
      <c r="J3926" t="str">
        <f t="shared" si="370"/>
        <v/>
      </c>
      <c r="K3926" s="28" t="str">
        <f t="shared" si="367"/>
        <v/>
      </c>
      <c r="L3926" s="46" t="str">
        <f t="shared" si="371"/>
        <v/>
      </c>
      <c r="M3926" t="str" cm="1">
        <f t="array" ref="M3926">IF(L3926="","",_xlfn.IFS(
  AND(L3926&gt;=TIME(9,0,0), L3926&lt;TIME(16,0,0)),"Morning",
  AND(L3926&gt;=TIME(16,0,0), L3926&lt;TIME(23,59,0)),"Evening",
  L3926&gt;=TIME(23,59,0),"Night",
  L3926&lt;TIME(9,0,0),"Night"
))</f>
        <v/>
      </c>
      <c r="O3926" t="str">
        <f t="shared" si="368"/>
        <v/>
      </c>
    </row>
    <row r="3927" spans="7:15" x14ac:dyDescent="0.25">
      <c r="G3927" t="str">
        <f t="shared" si="366"/>
        <v/>
      </c>
      <c r="H3927" s="13" t="str">
        <f t="shared" si="369"/>
        <v/>
      </c>
      <c r="I3927" t="str">
        <f>IFERROR(INDEX(Analysis!$D$116:$N$137, MATCH(B3927, Analysis!$C$116:$C$137, 0), MATCH(C3927, Analysis!$D$115:$N$115, 0)), "")</f>
        <v/>
      </c>
      <c r="J3927" t="str">
        <f t="shared" si="370"/>
        <v/>
      </c>
      <c r="K3927" s="28" t="str">
        <f t="shared" si="367"/>
        <v/>
      </c>
      <c r="L3927" s="46" t="str">
        <f t="shared" si="371"/>
        <v/>
      </c>
      <c r="M3927" t="str" cm="1">
        <f t="array" ref="M3927">IF(L3927="","",_xlfn.IFS(
  AND(L3927&gt;=TIME(9,0,0), L3927&lt;TIME(16,0,0)),"Morning",
  AND(L3927&gt;=TIME(16,0,0), L3927&lt;TIME(23,59,0)),"Evening",
  L3927&gt;=TIME(23,59,0),"Night",
  L3927&lt;TIME(9,0,0),"Night"
))</f>
        <v/>
      </c>
      <c r="O3927" t="str">
        <f t="shared" si="368"/>
        <v/>
      </c>
    </row>
    <row r="3928" spans="7:15" x14ac:dyDescent="0.25">
      <c r="G3928" t="str">
        <f t="shared" si="366"/>
        <v/>
      </c>
      <c r="H3928" s="13" t="str">
        <f t="shared" si="369"/>
        <v/>
      </c>
      <c r="I3928" t="str">
        <f>IFERROR(INDEX(Analysis!$D$116:$N$137, MATCH(B3928, Analysis!$C$116:$C$137, 0), MATCH(C3928, Analysis!$D$115:$N$115, 0)), "")</f>
        <v/>
      </c>
      <c r="J3928" t="str">
        <f t="shared" si="370"/>
        <v/>
      </c>
      <c r="K3928" s="28" t="str">
        <f t="shared" si="367"/>
        <v/>
      </c>
      <c r="L3928" s="46" t="str">
        <f t="shared" si="371"/>
        <v/>
      </c>
      <c r="M3928" t="str" cm="1">
        <f t="array" ref="M3928">IF(L3928="","",_xlfn.IFS(
  AND(L3928&gt;=TIME(9,0,0), L3928&lt;TIME(16,0,0)),"Morning",
  AND(L3928&gt;=TIME(16,0,0), L3928&lt;TIME(23,59,0)),"Evening",
  L3928&gt;=TIME(23,59,0),"Night",
  L3928&lt;TIME(9,0,0),"Night"
))</f>
        <v/>
      </c>
      <c r="O3928" t="str">
        <f t="shared" si="368"/>
        <v/>
      </c>
    </row>
    <row r="3929" spans="7:15" x14ac:dyDescent="0.25">
      <c r="G3929" t="str">
        <f t="shared" si="366"/>
        <v/>
      </c>
      <c r="H3929" s="13" t="str">
        <f t="shared" si="369"/>
        <v/>
      </c>
      <c r="I3929" t="str">
        <f>IFERROR(INDEX(Analysis!$D$116:$N$137, MATCH(B3929, Analysis!$C$116:$C$137, 0), MATCH(C3929, Analysis!$D$115:$N$115, 0)), "")</f>
        <v/>
      </c>
      <c r="J3929" t="str">
        <f t="shared" si="370"/>
        <v/>
      </c>
      <c r="K3929" s="28" t="str">
        <f t="shared" si="367"/>
        <v/>
      </c>
      <c r="L3929" s="46" t="str">
        <f t="shared" si="371"/>
        <v/>
      </c>
      <c r="M3929" t="str" cm="1">
        <f t="array" ref="M3929">IF(L3929="","",_xlfn.IFS(
  AND(L3929&gt;=TIME(9,0,0), L3929&lt;TIME(16,0,0)),"Morning",
  AND(L3929&gt;=TIME(16,0,0), L3929&lt;TIME(23,59,0)),"Evening",
  L3929&gt;=TIME(23,59,0),"Night",
  L3929&lt;TIME(9,0,0),"Night"
))</f>
        <v/>
      </c>
      <c r="O3929" t="str">
        <f t="shared" si="368"/>
        <v/>
      </c>
    </row>
    <row r="3930" spans="7:15" x14ac:dyDescent="0.25">
      <c r="G3930" t="str">
        <f t="shared" si="366"/>
        <v/>
      </c>
      <c r="H3930" s="13" t="str">
        <f t="shared" si="369"/>
        <v/>
      </c>
      <c r="I3930" t="str">
        <f>IFERROR(INDEX(Analysis!$D$116:$N$137, MATCH(B3930, Analysis!$C$116:$C$137, 0), MATCH(C3930, Analysis!$D$115:$N$115, 0)), "")</f>
        <v/>
      </c>
      <c r="J3930" t="str">
        <f t="shared" si="370"/>
        <v/>
      </c>
      <c r="K3930" s="28" t="str">
        <f t="shared" si="367"/>
        <v/>
      </c>
      <c r="L3930" s="46" t="str">
        <f t="shared" si="371"/>
        <v/>
      </c>
      <c r="M3930" t="str" cm="1">
        <f t="array" ref="M3930">IF(L3930="","",_xlfn.IFS(
  AND(L3930&gt;=TIME(9,0,0), L3930&lt;TIME(16,0,0)),"Morning",
  AND(L3930&gt;=TIME(16,0,0), L3930&lt;TIME(23,59,0)),"Evening",
  L3930&gt;=TIME(23,59,0),"Night",
  L3930&lt;TIME(9,0,0),"Night"
))</f>
        <v/>
      </c>
      <c r="O3930" t="str">
        <f t="shared" si="368"/>
        <v/>
      </c>
    </row>
    <row r="3931" spans="7:15" x14ac:dyDescent="0.25">
      <c r="G3931" t="str">
        <f t="shared" si="366"/>
        <v/>
      </c>
      <c r="H3931" s="13" t="str">
        <f t="shared" si="369"/>
        <v/>
      </c>
      <c r="I3931" t="str">
        <f>IFERROR(INDEX(Analysis!$D$116:$N$137, MATCH(B3931, Analysis!$C$116:$C$137, 0), MATCH(C3931, Analysis!$D$115:$N$115, 0)), "")</f>
        <v/>
      </c>
      <c r="J3931" t="str">
        <f t="shared" si="370"/>
        <v/>
      </c>
      <c r="K3931" s="28" t="str">
        <f t="shared" si="367"/>
        <v/>
      </c>
      <c r="L3931" s="46" t="str">
        <f t="shared" si="371"/>
        <v/>
      </c>
      <c r="M3931" t="str" cm="1">
        <f t="array" ref="M3931">IF(L3931="","",_xlfn.IFS(
  AND(L3931&gt;=TIME(9,0,0), L3931&lt;TIME(16,0,0)),"Morning",
  AND(L3931&gt;=TIME(16,0,0), L3931&lt;TIME(23,59,0)),"Evening",
  L3931&gt;=TIME(23,59,0),"Night",
  L3931&lt;TIME(9,0,0),"Night"
))</f>
        <v/>
      </c>
      <c r="O3931" t="str">
        <f t="shared" si="368"/>
        <v/>
      </c>
    </row>
    <row r="3932" spans="7:15" x14ac:dyDescent="0.25">
      <c r="G3932" t="str">
        <f t="shared" si="366"/>
        <v/>
      </c>
      <c r="H3932" s="13" t="str">
        <f t="shared" si="369"/>
        <v/>
      </c>
      <c r="I3932" t="str">
        <f>IFERROR(INDEX(Analysis!$D$116:$N$137, MATCH(B3932, Analysis!$C$116:$C$137, 0), MATCH(C3932, Analysis!$D$115:$N$115, 0)), "")</f>
        <v/>
      </c>
      <c r="J3932" t="str">
        <f t="shared" si="370"/>
        <v/>
      </c>
      <c r="K3932" s="28" t="str">
        <f t="shared" si="367"/>
        <v/>
      </c>
      <c r="L3932" s="46" t="str">
        <f t="shared" si="371"/>
        <v/>
      </c>
      <c r="M3932" t="str" cm="1">
        <f t="array" ref="M3932">IF(L3932="","",_xlfn.IFS(
  AND(L3932&gt;=TIME(9,0,0), L3932&lt;TIME(16,0,0)),"Morning",
  AND(L3932&gt;=TIME(16,0,0), L3932&lt;TIME(23,59,0)),"Evening",
  L3932&gt;=TIME(23,59,0),"Night",
  L3932&lt;TIME(9,0,0),"Night"
))</f>
        <v/>
      </c>
      <c r="O3932" t="str">
        <f t="shared" si="368"/>
        <v/>
      </c>
    </row>
    <row r="3933" spans="7:15" x14ac:dyDescent="0.25">
      <c r="G3933" t="str">
        <f t="shared" si="366"/>
        <v/>
      </c>
      <c r="H3933" s="13" t="str">
        <f t="shared" si="369"/>
        <v/>
      </c>
      <c r="I3933" t="str">
        <f>IFERROR(INDEX(Analysis!$D$116:$N$137, MATCH(B3933, Analysis!$C$116:$C$137, 0), MATCH(C3933, Analysis!$D$115:$N$115, 0)), "")</f>
        <v/>
      </c>
      <c r="J3933" t="str">
        <f t="shared" si="370"/>
        <v/>
      </c>
      <c r="K3933" s="28" t="str">
        <f t="shared" si="367"/>
        <v/>
      </c>
      <c r="L3933" s="46" t="str">
        <f t="shared" si="371"/>
        <v/>
      </c>
      <c r="M3933" t="str" cm="1">
        <f t="array" ref="M3933">IF(L3933="","",_xlfn.IFS(
  AND(L3933&gt;=TIME(9,0,0), L3933&lt;TIME(16,0,0)),"Morning",
  AND(L3933&gt;=TIME(16,0,0), L3933&lt;TIME(23,59,0)),"Evening",
  L3933&gt;=TIME(23,59,0),"Night",
  L3933&lt;TIME(9,0,0),"Night"
))</f>
        <v/>
      </c>
      <c r="O3933" t="str">
        <f t="shared" si="368"/>
        <v/>
      </c>
    </row>
    <row r="3934" spans="7:15" x14ac:dyDescent="0.25">
      <c r="G3934" t="str">
        <f t="shared" si="366"/>
        <v/>
      </c>
      <c r="H3934" s="13" t="str">
        <f t="shared" si="369"/>
        <v/>
      </c>
      <c r="I3934" t="str">
        <f>IFERROR(INDEX(Analysis!$D$116:$N$137, MATCH(B3934, Analysis!$C$116:$C$137, 0), MATCH(C3934, Analysis!$D$115:$N$115, 0)), "")</f>
        <v/>
      </c>
      <c r="J3934" t="str">
        <f t="shared" si="370"/>
        <v/>
      </c>
      <c r="K3934" s="28" t="str">
        <f t="shared" si="367"/>
        <v/>
      </c>
      <c r="L3934" s="46" t="str">
        <f t="shared" si="371"/>
        <v/>
      </c>
      <c r="M3934" t="str" cm="1">
        <f t="array" ref="M3934">IF(L3934="","",_xlfn.IFS(
  AND(L3934&gt;=TIME(9,0,0), L3934&lt;TIME(16,0,0)),"Morning",
  AND(L3934&gt;=TIME(16,0,0), L3934&lt;TIME(23,59,0)),"Evening",
  L3934&gt;=TIME(23,59,0),"Night",
  L3934&lt;TIME(9,0,0),"Night"
))</f>
        <v/>
      </c>
      <c r="O3934" t="str">
        <f t="shared" si="368"/>
        <v/>
      </c>
    </row>
    <row r="3935" spans="7:15" x14ac:dyDescent="0.25">
      <c r="G3935" t="str">
        <f t="shared" si="366"/>
        <v/>
      </c>
      <c r="H3935" s="13" t="str">
        <f t="shared" si="369"/>
        <v/>
      </c>
      <c r="I3935" t="str">
        <f>IFERROR(INDEX(Analysis!$D$116:$N$137, MATCH(B3935, Analysis!$C$116:$C$137, 0), MATCH(C3935, Analysis!$D$115:$N$115, 0)), "")</f>
        <v/>
      </c>
      <c r="J3935" t="str">
        <f t="shared" si="370"/>
        <v/>
      </c>
      <c r="K3935" s="28" t="str">
        <f t="shared" si="367"/>
        <v/>
      </c>
      <c r="L3935" s="46" t="str">
        <f t="shared" si="371"/>
        <v/>
      </c>
      <c r="M3935" t="str" cm="1">
        <f t="array" ref="M3935">IF(L3935="","",_xlfn.IFS(
  AND(L3935&gt;=TIME(9,0,0), L3935&lt;TIME(16,0,0)),"Morning",
  AND(L3935&gt;=TIME(16,0,0), L3935&lt;TIME(23,59,0)),"Evening",
  L3935&gt;=TIME(23,59,0),"Night",
  L3935&lt;TIME(9,0,0),"Night"
))</f>
        <v/>
      </c>
      <c r="O3935" t="str">
        <f t="shared" si="368"/>
        <v/>
      </c>
    </row>
    <row r="3936" spans="7:15" x14ac:dyDescent="0.25">
      <c r="G3936" t="str">
        <f t="shared" si="366"/>
        <v/>
      </c>
      <c r="H3936" s="13" t="str">
        <f t="shared" si="369"/>
        <v/>
      </c>
      <c r="I3936" t="str">
        <f>IFERROR(INDEX(Analysis!$D$116:$N$137, MATCH(B3936, Analysis!$C$116:$C$137, 0), MATCH(C3936, Analysis!$D$115:$N$115, 0)), "")</f>
        <v/>
      </c>
      <c r="J3936" t="str">
        <f t="shared" si="370"/>
        <v/>
      </c>
      <c r="K3936" s="28" t="str">
        <f t="shared" si="367"/>
        <v/>
      </c>
      <c r="L3936" s="46" t="str">
        <f t="shared" si="371"/>
        <v/>
      </c>
      <c r="M3936" t="str" cm="1">
        <f t="array" ref="M3936">IF(L3936="","",_xlfn.IFS(
  AND(L3936&gt;=TIME(9,0,0), L3936&lt;TIME(16,0,0)),"Morning",
  AND(L3936&gt;=TIME(16,0,0), L3936&lt;TIME(23,59,0)),"Evening",
  L3936&gt;=TIME(23,59,0),"Night",
  L3936&lt;TIME(9,0,0),"Night"
))</f>
        <v/>
      </c>
      <c r="O3936" t="str">
        <f t="shared" si="368"/>
        <v/>
      </c>
    </row>
    <row r="3937" spans="7:15" x14ac:dyDescent="0.25">
      <c r="G3937" t="str">
        <f t="shared" si="366"/>
        <v/>
      </c>
      <c r="H3937" s="13" t="str">
        <f t="shared" si="369"/>
        <v/>
      </c>
      <c r="I3937" t="str">
        <f>IFERROR(INDEX(Analysis!$D$116:$N$137, MATCH(B3937, Analysis!$C$116:$C$137, 0), MATCH(C3937, Analysis!$D$115:$N$115, 0)), "")</f>
        <v/>
      </c>
      <c r="J3937" t="str">
        <f t="shared" si="370"/>
        <v/>
      </c>
      <c r="K3937" s="28" t="str">
        <f t="shared" si="367"/>
        <v/>
      </c>
      <c r="L3937" s="46" t="str">
        <f t="shared" si="371"/>
        <v/>
      </c>
      <c r="M3937" t="str" cm="1">
        <f t="array" ref="M3937">IF(L3937="","",_xlfn.IFS(
  AND(L3937&gt;=TIME(9,0,0), L3937&lt;TIME(16,0,0)),"Morning",
  AND(L3937&gt;=TIME(16,0,0), L3937&lt;TIME(23,59,0)),"Evening",
  L3937&gt;=TIME(23,59,0),"Night",
  L3937&lt;TIME(9,0,0),"Night"
))</f>
        <v/>
      </c>
      <c r="O3937" t="str">
        <f t="shared" si="368"/>
        <v/>
      </c>
    </row>
    <row r="3938" spans="7:15" x14ac:dyDescent="0.25">
      <c r="G3938" t="str">
        <f t="shared" si="366"/>
        <v/>
      </c>
      <c r="H3938" s="13" t="str">
        <f t="shared" si="369"/>
        <v/>
      </c>
      <c r="I3938" t="str">
        <f>IFERROR(INDEX(Analysis!$D$116:$N$137, MATCH(B3938, Analysis!$C$116:$C$137, 0), MATCH(C3938, Analysis!$D$115:$N$115, 0)), "")</f>
        <v/>
      </c>
      <c r="J3938" t="str">
        <f t="shared" si="370"/>
        <v/>
      </c>
      <c r="K3938" s="28" t="str">
        <f t="shared" si="367"/>
        <v/>
      </c>
      <c r="L3938" s="46" t="str">
        <f t="shared" si="371"/>
        <v/>
      </c>
      <c r="M3938" t="str" cm="1">
        <f t="array" ref="M3938">IF(L3938="","",_xlfn.IFS(
  AND(L3938&gt;=TIME(9,0,0), L3938&lt;TIME(16,0,0)),"Morning",
  AND(L3938&gt;=TIME(16,0,0), L3938&lt;TIME(23,59,0)),"Evening",
  L3938&gt;=TIME(23,59,0),"Night",
  L3938&lt;TIME(9,0,0),"Night"
))</f>
        <v/>
      </c>
      <c r="O3938" t="str">
        <f t="shared" si="368"/>
        <v/>
      </c>
    </row>
    <row r="3939" spans="7:15" x14ac:dyDescent="0.25">
      <c r="G3939" t="str">
        <f t="shared" si="366"/>
        <v/>
      </c>
      <c r="H3939" s="13" t="str">
        <f t="shared" si="369"/>
        <v/>
      </c>
      <c r="I3939" t="str">
        <f>IFERROR(INDEX(Analysis!$D$116:$N$137, MATCH(B3939, Analysis!$C$116:$C$137, 0), MATCH(C3939, Analysis!$D$115:$N$115, 0)), "")</f>
        <v/>
      </c>
      <c r="J3939" t="str">
        <f t="shared" si="370"/>
        <v/>
      </c>
      <c r="K3939" s="28" t="str">
        <f t="shared" si="367"/>
        <v/>
      </c>
      <c r="L3939" s="46" t="str">
        <f t="shared" si="371"/>
        <v/>
      </c>
      <c r="M3939" t="str" cm="1">
        <f t="array" ref="M3939">IF(L3939="","",_xlfn.IFS(
  AND(L3939&gt;=TIME(9,0,0), L3939&lt;TIME(16,0,0)),"Morning",
  AND(L3939&gt;=TIME(16,0,0), L3939&lt;TIME(23,59,0)),"Evening",
  L3939&gt;=TIME(23,59,0),"Night",
  L3939&lt;TIME(9,0,0),"Night"
))</f>
        <v/>
      </c>
      <c r="O3939" t="str">
        <f t="shared" si="368"/>
        <v/>
      </c>
    </row>
    <row r="3940" spans="7:15" x14ac:dyDescent="0.25">
      <c r="G3940" t="str">
        <f t="shared" si="366"/>
        <v/>
      </c>
      <c r="H3940" s="13" t="str">
        <f t="shared" si="369"/>
        <v/>
      </c>
      <c r="I3940" t="str">
        <f>IFERROR(INDEX(Analysis!$D$116:$N$137, MATCH(B3940, Analysis!$C$116:$C$137, 0), MATCH(C3940, Analysis!$D$115:$N$115, 0)), "")</f>
        <v/>
      </c>
      <c r="J3940" t="str">
        <f t="shared" si="370"/>
        <v/>
      </c>
      <c r="K3940" s="28" t="str">
        <f t="shared" si="367"/>
        <v/>
      </c>
      <c r="L3940" s="46" t="str">
        <f t="shared" si="371"/>
        <v/>
      </c>
      <c r="M3940" t="str" cm="1">
        <f t="array" ref="M3940">IF(L3940="","",_xlfn.IFS(
  AND(L3940&gt;=TIME(9,0,0), L3940&lt;TIME(16,0,0)),"Morning",
  AND(L3940&gt;=TIME(16,0,0), L3940&lt;TIME(23,59,0)),"Evening",
  L3940&gt;=TIME(23,59,0),"Night",
  L3940&lt;TIME(9,0,0),"Night"
))</f>
        <v/>
      </c>
      <c r="O3940" t="str">
        <f t="shared" si="368"/>
        <v/>
      </c>
    </row>
    <row r="3941" spans="7:15" x14ac:dyDescent="0.25">
      <c r="G3941" t="str">
        <f t="shared" si="366"/>
        <v/>
      </c>
      <c r="H3941" s="13" t="str">
        <f t="shared" si="369"/>
        <v/>
      </c>
      <c r="I3941" t="str">
        <f>IFERROR(INDEX(Analysis!$D$116:$N$137, MATCH(B3941, Analysis!$C$116:$C$137, 0), MATCH(C3941, Analysis!$D$115:$N$115, 0)), "")</f>
        <v/>
      </c>
      <c r="J3941" t="str">
        <f t="shared" si="370"/>
        <v/>
      </c>
      <c r="K3941" s="28" t="str">
        <f t="shared" si="367"/>
        <v/>
      </c>
      <c r="L3941" s="46" t="str">
        <f t="shared" si="371"/>
        <v/>
      </c>
      <c r="M3941" t="str" cm="1">
        <f t="array" ref="M3941">IF(L3941="","",_xlfn.IFS(
  AND(L3941&gt;=TIME(9,0,0), L3941&lt;TIME(16,0,0)),"Morning",
  AND(L3941&gt;=TIME(16,0,0), L3941&lt;TIME(23,59,0)),"Evening",
  L3941&gt;=TIME(23,59,0),"Night",
  L3941&lt;TIME(9,0,0),"Night"
))</f>
        <v/>
      </c>
      <c r="O3941" t="str">
        <f t="shared" si="368"/>
        <v/>
      </c>
    </row>
    <row r="3942" spans="7:15" x14ac:dyDescent="0.25">
      <c r="G3942" t="str">
        <f t="shared" si="366"/>
        <v/>
      </c>
      <c r="H3942" s="13" t="str">
        <f t="shared" si="369"/>
        <v/>
      </c>
      <c r="I3942" t="str">
        <f>IFERROR(INDEX(Analysis!$D$116:$N$137, MATCH(B3942, Analysis!$C$116:$C$137, 0), MATCH(C3942, Analysis!$D$115:$N$115, 0)), "")</f>
        <v/>
      </c>
      <c r="J3942" t="str">
        <f t="shared" si="370"/>
        <v/>
      </c>
      <c r="K3942" s="28" t="str">
        <f t="shared" si="367"/>
        <v/>
      </c>
      <c r="L3942" s="46" t="str">
        <f t="shared" si="371"/>
        <v/>
      </c>
      <c r="M3942" t="str" cm="1">
        <f t="array" ref="M3942">IF(L3942="","",_xlfn.IFS(
  AND(L3942&gt;=TIME(9,0,0), L3942&lt;TIME(16,0,0)),"Morning",
  AND(L3942&gt;=TIME(16,0,0), L3942&lt;TIME(23,59,0)),"Evening",
  L3942&gt;=TIME(23,59,0),"Night",
  L3942&lt;TIME(9,0,0),"Night"
))</f>
        <v/>
      </c>
      <c r="O3942" t="str">
        <f t="shared" si="368"/>
        <v/>
      </c>
    </row>
    <row r="3943" spans="7:15" x14ac:dyDescent="0.25">
      <c r="G3943" t="str">
        <f t="shared" si="366"/>
        <v/>
      </c>
      <c r="H3943" s="13" t="str">
        <f t="shared" si="369"/>
        <v/>
      </c>
      <c r="I3943" t="str">
        <f>IFERROR(INDEX(Analysis!$D$116:$N$137, MATCH(B3943, Analysis!$C$116:$C$137, 0), MATCH(C3943, Analysis!$D$115:$N$115, 0)), "")</f>
        <v/>
      </c>
      <c r="J3943" t="str">
        <f t="shared" si="370"/>
        <v/>
      </c>
      <c r="K3943" s="28" t="str">
        <f t="shared" si="367"/>
        <v/>
      </c>
      <c r="L3943" s="46" t="str">
        <f t="shared" si="371"/>
        <v/>
      </c>
      <c r="M3943" t="str" cm="1">
        <f t="array" ref="M3943">IF(L3943="","",_xlfn.IFS(
  AND(L3943&gt;=TIME(9,0,0), L3943&lt;TIME(16,0,0)),"Morning",
  AND(L3943&gt;=TIME(16,0,0), L3943&lt;TIME(23,59,0)),"Evening",
  L3943&gt;=TIME(23,59,0),"Night",
  L3943&lt;TIME(9,0,0),"Night"
))</f>
        <v/>
      </c>
      <c r="O3943" t="str">
        <f t="shared" si="368"/>
        <v/>
      </c>
    </row>
    <row r="3944" spans="7:15" x14ac:dyDescent="0.25">
      <c r="G3944" t="str">
        <f t="shared" si="366"/>
        <v/>
      </c>
      <c r="H3944" s="13" t="str">
        <f t="shared" si="369"/>
        <v/>
      </c>
      <c r="I3944" t="str">
        <f>IFERROR(INDEX(Analysis!$D$116:$N$137, MATCH(B3944, Analysis!$C$116:$C$137, 0), MATCH(C3944, Analysis!$D$115:$N$115, 0)), "")</f>
        <v/>
      </c>
      <c r="J3944" t="str">
        <f t="shared" si="370"/>
        <v/>
      </c>
      <c r="K3944" s="28" t="str">
        <f t="shared" si="367"/>
        <v/>
      </c>
      <c r="L3944" s="46" t="str">
        <f t="shared" si="371"/>
        <v/>
      </c>
      <c r="M3944" t="str" cm="1">
        <f t="array" ref="M3944">IF(L3944="","",_xlfn.IFS(
  AND(L3944&gt;=TIME(9,0,0), L3944&lt;TIME(16,0,0)),"Morning",
  AND(L3944&gt;=TIME(16,0,0), L3944&lt;TIME(23,59,0)),"Evening",
  L3944&gt;=TIME(23,59,0),"Night",
  L3944&lt;TIME(9,0,0),"Night"
))</f>
        <v/>
      </c>
      <c r="O3944" t="str">
        <f t="shared" si="368"/>
        <v/>
      </c>
    </row>
    <row r="3945" spans="7:15" x14ac:dyDescent="0.25">
      <c r="G3945" t="str">
        <f t="shared" si="366"/>
        <v/>
      </c>
      <c r="H3945" s="13" t="str">
        <f t="shared" si="369"/>
        <v/>
      </c>
      <c r="I3945" t="str">
        <f>IFERROR(INDEX(Analysis!$D$116:$N$137, MATCH(B3945, Analysis!$C$116:$C$137, 0), MATCH(C3945, Analysis!$D$115:$N$115, 0)), "")</f>
        <v/>
      </c>
      <c r="J3945" t="str">
        <f t="shared" si="370"/>
        <v/>
      </c>
      <c r="K3945" s="28" t="str">
        <f t="shared" si="367"/>
        <v/>
      </c>
      <c r="L3945" s="46" t="str">
        <f t="shared" si="371"/>
        <v/>
      </c>
      <c r="M3945" t="str" cm="1">
        <f t="array" ref="M3945">IF(L3945="","",_xlfn.IFS(
  AND(L3945&gt;=TIME(9,0,0), L3945&lt;TIME(16,0,0)),"Morning",
  AND(L3945&gt;=TIME(16,0,0), L3945&lt;TIME(23,59,0)),"Evening",
  L3945&gt;=TIME(23,59,0),"Night",
  L3945&lt;TIME(9,0,0),"Night"
))</f>
        <v/>
      </c>
      <c r="O3945" t="str">
        <f t="shared" si="368"/>
        <v/>
      </c>
    </row>
    <row r="3946" spans="7:15" x14ac:dyDescent="0.25">
      <c r="G3946" t="str">
        <f t="shared" si="366"/>
        <v/>
      </c>
      <c r="H3946" s="13" t="str">
        <f t="shared" si="369"/>
        <v/>
      </c>
      <c r="I3946" t="str">
        <f>IFERROR(INDEX(Analysis!$D$116:$N$137, MATCH(B3946, Analysis!$C$116:$C$137, 0), MATCH(C3946, Analysis!$D$115:$N$115, 0)), "")</f>
        <v/>
      </c>
      <c r="J3946" t="str">
        <f t="shared" si="370"/>
        <v/>
      </c>
      <c r="K3946" s="28" t="str">
        <f t="shared" si="367"/>
        <v/>
      </c>
      <c r="L3946" s="46" t="str">
        <f t="shared" si="371"/>
        <v/>
      </c>
      <c r="M3946" t="str" cm="1">
        <f t="array" ref="M3946">IF(L3946="","",_xlfn.IFS(
  AND(L3946&gt;=TIME(9,0,0), L3946&lt;TIME(16,0,0)),"Morning",
  AND(L3946&gt;=TIME(16,0,0), L3946&lt;TIME(23,59,0)),"Evening",
  L3946&gt;=TIME(23,59,0),"Night",
  L3946&lt;TIME(9,0,0),"Night"
))</f>
        <v/>
      </c>
      <c r="O3946" t="str">
        <f t="shared" si="368"/>
        <v/>
      </c>
    </row>
    <row r="3947" spans="7:15" x14ac:dyDescent="0.25">
      <c r="G3947" t="str">
        <f t="shared" si="366"/>
        <v/>
      </c>
      <c r="H3947" s="13" t="str">
        <f t="shared" si="369"/>
        <v/>
      </c>
      <c r="I3947" t="str">
        <f>IFERROR(INDEX(Analysis!$D$116:$N$137, MATCH(B3947, Analysis!$C$116:$C$137, 0), MATCH(C3947, Analysis!$D$115:$N$115, 0)), "")</f>
        <v/>
      </c>
      <c r="J3947" t="str">
        <f t="shared" si="370"/>
        <v/>
      </c>
      <c r="K3947" s="28" t="str">
        <f t="shared" si="367"/>
        <v/>
      </c>
      <c r="L3947" s="46" t="str">
        <f t="shared" si="371"/>
        <v/>
      </c>
      <c r="M3947" t="str" cm="1">
        <f t="array" ref="M3947">IF(L3947="","",_xlfn.IFS(
  AND(L3947&gt;=TIME(9,0,0), L3947&lt;TIME(16,0,0)),"Morning",
  AND(L3947&gt;=TIME(16,0,0), L3947&lt;TIME(23,59,0)),"Evening",
  L3947&gt;=TIME(23,59,0),"Night",
  L3947&lt;TIME(9,0,0),"Night"
))</f>
        <v/>
      </c>
      <c r="O3947" t="str">
        <f t="shared" si="368"/>
        <v/>
      </c>
    </row>
    <row r="3948" spans="7:15" x14ac:dyDescent="0.25">
      <c r="G3948" t="str">
        <f t="shared" si="366"/>
        <v/>
      </c>
      <c r="H3948" s="13" t="str">
        <f t="shared" si="369"/>
        <v/>
      </c>
      <c r="I3948" t="str">
        <f>IFERROR(INDEX(Analysis!$D$116:$N$137, MATCH(B3948, Analysis!$C$116:$C$137, 0), MATCH(C3948, Analysis!$D$115:$N$115, 0)), "")</f>
        <v/>
      </c>
      <c r="J3948" t="str">
        <f t="shared" si="370"/>
        <v/>
      </c>
      <c r="K3948" s="28" t="str">
        <f t="shared" si="367"/>
        <v/>
      </c>
      <c r="L3948" s="46" t="str">
        <f t="shared" si="371"/>
        <v/>
      </c>
      <c r="M3948" t="str" cm="1">
        <f t="array" ref="M3948">IF(L3948="","",_xlfn.IFS(
  AND(L3948&gt;=TIME(9,0,0), L3948&lt;TIME(16,0,0)),"Morning",
  AND(L3948&gt;=TIME(16,0,0), L3948&lt;TIME(23,59,0)),"Evening",
  L3948&gt;=TIME(23,59,0),"Night",
  L3948&lt;TIME(9,0,0),"Night"
))</f>
        <v/>
      </c>
      <c r="O3948" t="str">
        <f t="shared" si="368"/>
        <v/>
      </c>
    </row>
    <row r="3949" spans="7:15" x14ac:dyDescent="0.25">
      <c r="G3949" t="str">
        <f t="shared" si="366"/>
        <v/>
      </c>
      <c r="H3949" s="13" t="str">
        <f t="shared" si="369"/>
        <v/>
      </c>
      <c r="I3949" t="str">
        <f>IFERROR(INDEX(Analysis!$D$116:$N$137, MATCH(B3949, Analysis!$C$116:$C$137, 0), MATCH(C3949, Analysis!$D$115:$N$115, 0)), "")</f>
        <v/>
      </c>
      <c r="J3949" t="str">
        <f t="shared" si="370"/>
        <v/>
      </c>
      <c r="K3949" s="28" t="str">
        <f t="shared" si="367"/>
        <v/>
      </c>
      <c r="L3949" s="46" t="str">
        <f t="shared" si="371"/>
        <v/>
      </c>
      <c r="M3949" t="str" cm="1">
        <f t="array" ref="M3949">IF(L3949="","",_xlfn.IFS(
  AND(L3949&gt;=TIME(9,0,0), L3949&lt;TIME(16,0,0)),"Morning",
  AND(L3949&gt;=TIME(16,0,0), L3949&lt;TIME(23,59,0)),"Evening",
  L3949&gt;=TIME(23,59,0),"Night",
  L3949&lt;TIME(9,0,0),"Night"
))</f>
        <v/>
      </c>
      <c r="O3949" t="str">
        <f t="shared" si="368"/>
        <v/>
      </c>
    </row>
    <row r="3950" spans="7:15" x14ac:dyDescent="0.25">
      <c r="G3950" t="str">
        <f t="shared" si="366"/>
        <v/>
      </c>
      <c r="H3950" s="13" t="str">
        <f t="shared" si="369"/>
        <v/>
      </c>
      <c r="I3950" t="str">
        <f>IFERROR(INDEX(Analysis!$D$116:$N$137, MATCH(B3950, Analysis!$C$116:$C$137, 0), MATCH(C3950, Analysis!$D$115:$N$115, 0)), "")</f>
        <v/>
      </c>
      <c r="J3950" t="str">
        <f t="shared" si="370"/>
        <v/>
      </c>
      <c r="K3950" s="28" t="str">
        <f t="shared" si="367"/>
        <v/>
      </c>
      <c r="L3950" s="46" t="str">
        <f t="shared" si="371"/>
        <v/>
      </c>
      <c r="M3950" t="str" cm="1">
        <f t="array" ref="M3950">IF(L3950="","",_xlfn.IFS(
  AND(L3950&gt;=TIME(9,0,0), L3950&lt;TIME(16,0,0)),"Morning",
  AND(L3950&gt;=TIME(16,0,0), L3950&lt;TIME(23,59,0)),"Evening",
  L3950&gt;=TIME(23,59,0),"Night",
  L3950&lt;TIME(9,0,0),"Night"
))</f>
        <v/>
      </c>
      <c r="O3950" t="str">
        <f t="shared" si="368"/>
        <v/>
      </c>
    </row>
    <row r="3951" spans="7:15" x14ac:dyDescent="0.25">
      <c r="G3951" t="str">
        <f t="shared" si="366"/>
        <v/>
      </c>
      <c r="H3951" s="13" t="str">
        <f t="shared" si="369"/>
        <v/>
      </c>
      <c r="I3951" t="str">
        <f>IFERROR(INDEX(Analysis!$D$116:$N$137, MATCH(B3951, Analysis!$C$116:$C$137, 0), MATCH(C3951, Analysis!$D$115:$N$115, 0)), "")</f>
        <v/>
      </c>
      <c r="J3951" t="str">
        <f t="shared" si="370"/>
        <v/>
      </c>
      <c r="K3951" s="28" t="str">
        <f t="shared" si="367"/>
        <v/>
      </c>
      <c r="L3951" s="46" t="str">
        <f t="shared" si="371"/>
        <v/>
      </c>
      <c r="M3951" t="str" cm="1">
        <f t="array" ref="M3951">IF(L3951="","",_xlfn.IFS(
  AND(L3951&gt;=TIME(9,0,0), L3951&lt;TIME(16,0,0)),"Morning",
  AND(L3951&gt;=TIME(16,0,0), L3951&lt;TIME(23,59,0)),"Evening",
  L3951&gt;=TIME(23,59,0),"Night",
  L3951&lt;TIME(9,0,0),"Night"
))</f>
        <v/>
      </c>
      <c r="O3951" t="str">
        <f t="shared" si="368"/>
        <v/>
      </c>
    </row>
    <row r="3952" spans="7:15" x14ac:dyDescent="0.25">
      <c r="G3952" t="str">
        <f t="shared" si="366"/>
        <v/>
      </c>
      <c r="H3952" s="13" t="str">
        <f t="shared" si="369"/>
        <v/>
      </c>
      <c r="I3952" t="str">
        <f>IFERROR(INDEX(Analysis!$D$116:$N$137, MATCH(B3952, Analysis!$C$116:$C$137, 0), MATCH(C3952, Analysis!$D$115:$N$115, 0)), "")</f>
        <v/>
      </c>
      <c r="J3952" t="str">
        <f t="shared" si="370"/>
        <v/>
      </c>
      <c r="K3952" s="28" t="str">
        <f t="shared" si="367"/>
        <v/>
      </c>
      <c r="L3952" s="46" t="str">
        <f t="shared" si="371"/>
        <v/>
      </c>
      <c r="M3952" t="str" cm="1">
        <f t="array" ref="M3952">IF(L3952="","",_xlfn.IFS(
  AND(L3952&gt;=TIME(9,0,0), L3952&lt;TIME(16,0,0)),"Morning",
  AND(L3952&gt;=TIME(16,0,0), L3952&lt;TIME(23,59,0)),"Evening",
  L3952&gt;=TIME(23,59,0),"Night",
  L3952&lt;TIME(9,0,0),"Night"
))</f>
        <v/>
      </c>
      <c r="O3952" t="str">
        <f t="shared" si="368"/>
        <v/>
      </c>
    </row>
    <row r="3953" spans="7:15" x14ac:dyDescent="0.25">
      <c r="G3953" t="str">
        <f t="shared" si="366"/>
        <v/>
      </c>
      <c r="H3953" s="13" t="str">
        <f t="shared" si="369"/>
        <v/>
      </c>
      <c r="I3953" t="str">
        <f>IFERROR(INDEX(Analysis!$D$116:$N$137, MATCH(B3953, Analysis!$C$116:$C$137, 0), MATCH(C3953, Analysis!$D$115:$N$115, 0)), "")</f>
        <v/>
      </c>
      <c r="J3953" t="str">
        <f t="shared" si="370"/>
        <v/>
      </c>
      <c r="K3953" s="28" t="str">
        <f t="shared" si="367"/>
        <v/>
      </c>
      <c r="L3953" s="46" t="str">
        <f t="shared" si="371"/>
        <v/>
      </c>
      <c r="M3953" t="str" cm="1">
        <f t="array" ref="M3953">IF(L3953="","",_xlfn.IFS(
  AND(L3953&gt;=TIME(9,0,0), L3953&lt;TIME(16,0,0)),"Morning",
  AND(L3953&gt;=TIME(16,0,0), L3953&lt;TIME(23,59,0)),"Evening",
  L3953&gt;=TIME(23,59,0),"Night",
  L3953&lt;TIME(9,0,0),"Night"
))</f>
        <v/>
      </c>
      <c r="O3953" t="str">
        <f t="shared" si="368"/>
        <v/>
      </c>
    </row>
    <row r="3954" spans="7:15" x14ac:dyDescent="0.25">
      <c r="G3954" t="str">
        <f t="shared" si="366"/>
        <v/>
      </c>
      <c r="H3954" s="13" t="str">
        <f t="shared" si="369"/>
        <v/>
      </c>
      <c r="I3954" t="str">
        <f>IFERROR(INDEX(Analysis!$D$116:$N$137, MATCH(B3954, Analysis!$C$116:$C$137, 0), MATCH(C3954, Analysis!$D$115:$N$115, 0)), "")</f>
        <v/>
      </c>
      <c r="J3954" t="str">
        <f t="shared" si="370"/>
        <v/>
      </c>
      <c r="K3954" s="28" t="str">
        <f t="shared" si="367"/>
        <v/>
      </c>
      <c r="L3954" s="46" t="str">
        <f t="shared" si="371"/>
        <v/>
      </c>
      <c r="M3954" t="str" cm="1">
        <f t="array" ref="M3954">IF(L3954="","",_xlfn.IFS(
  AND(L3954&gt;=TIME(9,0,0), L3954&lt;TIME(16,0,0)),"Morning",
  AND(L3954&gt;=TIME(16,0,0), L3954&lt;TIME(23,59,0)),"Evening",
  L3954&gt;=TIME(23,59,0),"Night",
  L3954&lt;TIME(9,0,0),"Night"
))</f>
        <v/>
      </c>
      <c r="O3954" t="str">
        <f t="shared" si="368"/>
        <v/>
      </c>
    </row>
    <row r="3955" spans="7:15" x14ac:dyDescent="0.25">
      <c r="G3955" t="str">
        <f t="shared" si="366"/>
        <v/>
      </c>
      <c r="H3955" s="13" t="str">
        <f t="shared" si="369"/>
        <v/>
      </c>
      <c r="I3955" t="str">
        <f>IFERROR(INDEX(Analysis!$D$116:$N$137, MATCH(B3955, Analysis!$C$116:$C$137, 0), MATCH(C3955, Analysis!$D$115:$N$115, 0)), "")</f>
        <v/>
      </c>
      <c r="J3955" t="str">
        <f t="shared" si="370"/>
        <v/>
      </c>
      <c r="K3955" s="28" t="str">
        <f t="shared" si="367"/>
        <v/>
      </c>
      <c r="L3955" s="46" t="str">
        <f t="shared" si="371"/>
        <v/>
      </c>
      <c r="M3955" t="str" cm="1">
        <f t="array" ref="M3955">IF(L3955="","",_xlfn.IFS(
  AND(L3955&gt;=TIME(9,0,0), L3955&lt;TIME(16,0,0)),"Morning",
  AND(L3955&gt;=TIME(16,0,0), L3955&lt;TIME(23,59,0)),"Evening",
  L3955&gt;=TIME(23,59,0),"Night",
  L3955&lt;TIME(9,0,0),"Night"
))</f>
        <v/>
      </c>
      <c r="O3955" t="str">
        <f t="shared" si="368"/>
        <v/>
      </c>
    </row>
    <row r="3956" spans="7:15" x14ac:dyDescent="0.25">
      <c r="G3956" t="str">
        <f t="shared" si="366"/>
        <v/>
      </c>
      <c r="H3956" s="13" t="str">
        <f t="shared" si="369"/>
        <v/>
      </c>
      <c r="I3956" t="str">
        <f>IFERROR(INDEX(Analysis!$D$116:$N$137, MATCH(B3956, Analysis!$C$116:$C$137, 0), MATCH(C3956, Analysis!$D$115:$N$115, 0)), "")</f>
        <v/>
      </c>
      <c r="J3956" t="str">
        <f t="shared" si="370"/>
        <v/>
      </c>
      <c r="K3956" s="28" t="str">
        <f t="shared" si="367"/>
        <v/>
      </c>
      <c r="L3956" s="46" t="str">
        <f t="shared" si="371"/>
        <v/>
      </c>
      <c r="M3956" t="str" cm="1">
        <f t="array" ref="M3956">IF(L3956="","",_xlfn.IFS(
  AND(L3956&gt;=TIME(9,0,0), L3956&lt;TIME(16,0,0)),"Morning",
  AND(L3956&gt;=TIME(16,0,0), L3956&lt;TIME(23,59,0)),"Evening",
  L3956&gt;=TIME(23,59,0),"Night",
  L3956&lt;TIME(9,0,0),"Night"
))</f>
        <v/>
      </c>
      <c r="O3956" t="str">
        <f t="shared" si="368"/>
        <v/>
      </c>
    </row>
    <row r="3957" spans="7:15" x14ac:dyDescent="0.25">
      <c r="G3957" t="str">
        <f t="shared" si="366"/>
        <v/>
      </c>
      <c r="H3957" s="13" t="str">
        <f t="shared" si="369"/>
        <v/>
      </c>
      <c r="I3957" t="str">
        <f>IFERROR(INDEX(Analysis!$D$116:$N$137, MATCH(B3957, Analysis!$C$116:$C$137, 0), MATCH(C3957, Analysis!$D$115:$N$115, 0)), "")</f>
        <v/>
      </c>
      <c r="J3957" t="str">
        <f t="shared" si="370"/>
        <v/>
      </c>
      <c r="K3957" s="28" t="str">
        <f t="shared" si="367"/>
        <v/>
      </c>
      <c r="L3957" s="46" t="str">
        <f t="shared" si="371"/>
        <v/>
      </c>
      <c r="M3957" t="str" cm="1">
        <f t="array" ref="M3957">IF(L3957="","",_xlfn.IFS(
  AND(L3957&gt;=TIME(9,0,0), L3957&lt;TIME(16,0,0)),"Morning",
  AND(L3957&gt;=TIME(16,0,0), L3957&lt;TIME(23,59,0)),"Evening",
  L3957&gt;=TIME(23,59,0),"Night",
  L3957&lt;TIME(9,0,0),"Night"
))</f>
        <v/>
      </c>
      <c r="O3957" t="str">
        <f t="shared" si="368"/>
        <v/>
      </c>
    </row>
    <row r="3958" spans="7:15" x14ac:dyDescent="0.25">
      <c r="G3958" t="str">
        <f t="shared" si="366"/>
        <v/>
      </c>
      <c r="H3958" s="13" t="str">
        <f t="shared" si="369"/>
        <v/>
      </c>
      <c r="I3958" t="str">
        <f>IFERROR(INDEX(Analysis!$D$116:$N$137, MATCH(B3958, Analysis!$C$116:$C$137, 0), MATCH(C3958, Analysis!$D$115:$N$115, 0)), "")</f>
        <v/>
      </c>
      <c r="J3958" t="str">
        <f t="shared" si="370"/>
        <v/>
      </c>
      <c r="K3958" s="28" t="str">
        <f t="shared" si="367"/>
        <v/>
      </c>
      <c r="L3958" s="46" t="str">
        <f t="shared" si="371"/>
        <v/>
      </c>
      <c r="M3958" t="str" cm="1">
        <f t="array" ref="M3958">IF(L3958="","",_xlfn.IFS(
  AND(L3958&gt;=TIME(9,0,0), L3958&lt;TIME(16,0,0)),"Morning",
  AND(L3958&gt;=TIME(16,0,0), L3958&lt;TIME(23,59,0)),"Evening",
  L3958&gt;=TIME(23,59,0),"Night",
  L3958&lt;TIME(9,0,0),"Night"
))</f>
        <v/>
      </c>
      <c r="O3958" t="str">
        <f t="shared" si="368"/>
        <v/>
      </c>
    </row>
    <row r="3959" spans="7:15" x14ac:dyDescent="0.25">
      <c r="G3959" t="str">
        <f t="shared" si="366"/>
        <v/>
      </c>
      <c r="H3959" s="13" t="str">
        <f t="shared" si="369"/>
        <v/>
      </c>
      <c r="I3959" t="str">
        <f>IFERROR(INDEX(Analysis!$D$116:$N$137, MATCH(B3959, Analysis!$C$116:$C$137, 0), MATCH(C3959, Analysis!$D$115:$N$115, 0)), "")</f>
        <v/>
      </c>
      <c r="J3959" t="str">
        <f t="shared" si="370"/>
        <v/>
      </c>
      <c r="K3959" s="28" t="str">
        <f t="shared" si="367"/>
        <v/>
      </c>
      <c r="L3959" s="46" t="str">
        <f t="shared" si="371"/>
        <v/>
      </c>
      <c r="M3959" t="str" cm="1">
        <f t="array" ref="M3959">IF(L3959="","",_xlfn.IFS(
  AND(L3959&gt;=TIME(9,0,0), L3959&lt;TIME(16,0,0)),"Morning",
  AND(L3959&gt;=TIME(16,0,0), L3959&lt;TIME(23,59,0)),"Evening",
  L3959&gt;=TIME(23,59,0),"Night",
  L3959&lt;TIME(9,0,0),"Night"
))</f>
        <v/>
      </c>
      <c r="O3959" t="str">
        <f t="shared" si="368"/>
        <v/>
      </c>
    </row>
    <row r="3960" spans="7:15" x14ac:dyDescent="0.25">
      <c r="G3960" t="str">
        <f t="shared" si="366"/>
        <v/>
      </c>
      <c r="H3960" s="13" t="str">
        <f t="shared" si="369"/>
        <v/>
      </c>
      <c r="I3960" t="str">
        <f>IFERROR(INDEX(Analysis!$D$116:$N$137, MATCH(B3960, Analysis!$C$116:$C$137, 0), MATCH(C3960, Analysis!$D$115:$N$115, 0)), "")</f>
        <v/>
      </c>
      <c r="J3960" t="str">
        <f t="shared" si="370"/>
        <v/>
      </c>
      <c r="K3960" s="28" t="str">
        <f t="shared" si="367"/>
        <v/>
      </c>
      <c r="L3960" s="46" t="str">
        <f t="shared" si="371"/>
        <v/>
      </c>
      <c r="M3960" t="str" cm="1">
        <f t="array" ref="M3960">IF(L3960="","",_xlfn.IFS(
  AND(L3960&gt;=TIME(9,0,0), L3960&lt;TIME(16,0,0)),"Morning",
  AND(L3960&gt;=TIME(16,0,0), L3960&lt;TIME(23,59,0)),"Evening",
  L3960&gt;=TIME(23,59,0),"Night",
  L3960&lt;TIME(9,0,0),"Night"
))</f>
        <v/>
      </c>
      <c r="O3960" t="str">
        <f t="shared" si="368"/>
        <v/>
      </c>
    </row>
    <row r="3961" spans="7:15" x14ac:dyDescent="0.25">
      <c r="G3961" t="str">
        <f t="shared" si="366"/>
        <v/>
      </c>
      <c r="H3961" s="13" t="str">
        <f t="shared" si="369"/>
        <v/>
      </c>
      <c r="I3961" t="str">
        <f>IFERROR(INDEX(Analysis!$D$116:$N$137, MATCH(B3961, Analysis!$C$116:$C$137, 0), MATCH(C3961, Analysis!$D$115:$N$115, 0)), "")</f>
        <v/>
      </c>
      <c r="J3961" t="str">
        <f t="shared" si="370"/>
        <v/>
      </c>
      <c r="K3961" s="28" t="str">
        <f t="shared" si="367"/>
        <v/>
      </c>
      <c r="L3961" s="46" t="str">
        <f t="shared" si="371"/>
        <v/>
      </c>
      <c r="M3961" t="str" cm="1">
        <f t="array" ref="M3961">IF(L3961="","",_xlfn.IFS(
  AND(L3961&gt;=TIME(9,0,0), L3961&lt;TIME(16,0,0)),"Morning",
  AND(L3961&gt;=TIME(16,0,0), L3961&lt;TIME(23,59,0)),"Evening",
  L3961&gt;=TIME(23,59,0),"Night",
  L3961&lt;TIME(9,0,0),"Night"
))</f>
        <v/>
      </c>
      <c r="O3961" t="str">
        <f t="shared" si="368"/>
        <v/>
      </c>
    </row>
    <row r="3962" spans="7:15" x14ac:dyDescent="0.25">
      <c r="G3962" t="str">
        <f t="shared" si="366"/>
        <v/>
      </c>
      <c r="H3962" s="13" t="str">
        <f t="shared" si="369"/>
        <v/>
      </c>
      <c r="I3962" t="str">
        <f>IFERROR(INDEX(Analysis!$D$116:$N$137, MATCH(B3962, Analysis!$C$116:$C$137, 0), MATCH(C3962, Analysis!$D$115:$N$115, 0)), "")</f>
        <v/>
      </c>
      <c r="J3962" t="str">
        <f t="shared" si="370"/>
        <v/>
      </c>
      <c r="K3962" s="28" t="str">
        <f t="shared" si="367"/>
        <v/>
      </c>
      <c r="L3962" s="46" t="str">
        <f t="shared" si="371"/>
        <v/>
      </c>
      <c r="M3962" t="str" cm="1">
        <f t="array" ref="M3962">IF(L3962="","",_xlfn.IFS(
  AND(L3962&gt;=TIME(9,0,0), L3962&lt;TIME(16,0,0)),"Morning",
  AND(L3962&gt;=TIME(16,0,0), L3962&lt;TIME(23,59,0)),"Evening",
  L3962&gt;=TIME(23,59,0),"Night",
  L3962&lt;TIME(9,0,0),"Night"
))</f>
        <v/>
      </c>
      <c r="O3962" t="str">
        <f t="shared" si="368"/>
        <v/>
      </c>
    </row>
    <row r="3963" spans="7:15" x14ac:dyDescent="0.25">
      <c r="G3963" t="str">
        <f t="shared" si="366"/>
        <v/>
      </c>
      <c r="H3963" s="13" t="str">
        <f t="shared" si="369"/>
        <v/>
      </c>
      <c r="I3963" t="str">
        <f>IFERROR(INDEX(Analysis!$D$116:$N$137, MATCH(B3963, Analysis!$C$116:$C$137, 0), MATCH(C3963, Analysis!$D$115:$N$115, 0)), "")</f>
        <v/>
      </c>
      <c r="J3963" t="str">
        <f t="shared" si="370"/>
        <v/>
      </c>
      <c r="K3963" s="28" t="str">
        <f t="shared" si="367"/>
        <v/>
      </c>
      <c r="L3963" s="46" t="str">
        <f t="shared" si="371"/>
        <v/>
      </c>
      <c r="M3963" t="str" cm="1">
        <f t="array" ref="M3963">IF(L3963="","",_xlfn.IFS(
  AND(L3963&gt;=TIME(9,0,0), L3963&lt;TIME(16,0,0)),"Morning",
  AND(L3963&gt;=TIME(16,0,0), L3963&lt;TIME(23,59,0)),"Evening",
  L3963&gt;=TIME(23,59,0),"Night",
  L3963&lt;TIME(9,0,0),"Night"
))</f>
        <v/>
      </c>
      <c r="O3963" t="str">
        <f t="shared" si="368"/>
        <v/>
      </c>
    </row>
    <row r="3964" spans="7:15" x14ac:dyDescent="0.25">
      <c r="G3964" t="str">
        <f t="shared" si="366"/>
        <v/>
      </c>
      <c r="H3964" s="13" t="str">
        <f t="shared" si="369"/>
        <v/>
      </c>
      <c r="I3964" t="str">
        <f>IFERROR(INDEX(Analysis!$D$116:$N$137, MATCH(B3964, Analysis!$C$116:$C$137, 0), MATCH(C3964, Analysis!$D$115:$N$115, 0)), "")</f>
        <v/>
      </c>
      <c r="J3964" t="str">
        <f t="shared" si="370"/>
        <v/>
      </c>
      <c r="K3964" s="28" t="str">
        <f t="shared" si="367"/>
        <v/>
      </c>
      <c r="L3964" s="46" t="str">
        <f t="shared" si="371"/>
        <v/>
      </c>
      <c r="M3964" t="str" cm="1">
        <f t="array" ref="M3964">IF(L3964="","",_xlfn.IFS(
  AND(L3964&gt;=TIME(9,0,0), L3964&lt;TIME(16,0,0)),"Morning",
  AND(L3964&gt;=TIME(16,0,0), L3964&lt;TIME(23,59,0)),"Evening",
  L3964&gt;=TIME(23,59,0),"Night",
  L3964&lt;TIME(9,0,0),"Night"
))</f>
        <v/>
      </c>
      <c r="O3964" t="str">
        <f t="shared" si="368"/>
        <v/>
      </c>
    </row>
    <row r="3965" spans="7:15" x14ac:dyDescent="0.25">
      <c r="G3965" t="str">
        <f t="shared" si="366"/>
        <v/>
      </c>
      <c r="H3965" s="13" t="str">
        <f t="shared" si="369"/>
        <v/>
      </c>
      <c r="I3965" t="str">
        <f>IFERROR(INDEX(Analysis!$D$116:$N$137, MATCH(B3965, Analysis!$C$116:$C$137, 0), MATCH(C3965, Analysis!$D$115:$N$115, 0)), "")</f>
        <v/>
      </c>
      <c r="J3965" t="str">
        <f t="shared" si="370"/>
        <v/>
      </c>
      <c r="K3965" s="28" t="str">
        <f t="shared" si="367"/>
        <v/>
      </c>
      <c r="L3965" s="46" t="str">
        <f t="shared" si="371"/>
        <v/>
      </c>
      <c r="M3965" t="str" cm="1">
        <f t="array" ref="M3965">IF(L3965="","",_xlfn.IFS(
  AND(L3965&gt;=TIME(9,0,0), L3965&lt;TIME(16,0,0)),"Morning",
  AND(L3965&gt;=TIME(16,0,0), L3965&lt;TIME(23,59,0)),"Evening",
  L3965&gt;=TIME(23,59,0),"Night",
  L3965&lt;TIME(9,0,0),"Night"
))</f>
        <v/>
      </c>
      <c r="O3965" t="str">
        <f t="shared" si="368"/>
        <v/>
      </c>
    </row>
    <row r="3966" spans="7:15" x14ac:dyDescent="0.25">
      <c r="G3966" t="str">
        <f t="shared" si="366"/>
        <v/>
      </c>
      <c r="H3966" s="13" t="str">
        <f t="shared" si="369"/>
        <v/>
      </c>
      <c r="I3966" t="str">
        <f>IFERROR(INDEX(Analysis!$D$116:$N$137, MATCH(B3966, Analysis!$C$116:$C$137, 0), MATCH(C3966, Analysis!$D$115:$N$115, 0)), "")</f>
        <v/>
      </c>
      <c r="J3966" t="str">
        <f t="shared" si="370"/>
        <v/>
      </c>
      <c r="K3966" s="28" t="str">
        <f t="shared" si="367"/>
        <v/>
      </c>
      <c r="L3966" s="46" t="str">
        <f t="shared" si="371"/>
        <v/>
      </c>
      <c r="M3966" t="str" cm="1">
        <f t="array" ref="M3966">IF(L3966="","",_xlfn.IFS(
  AND(L3966&gt;=TIME(9,0,0), L3966&lt;TIME(16,0,0)),"Morning",
  AND(L3966&gt;=TIME(16,0,0), L3966&lt;TIME(23,59,0)),"Evening",
  L3966&gt;=TIME(23,59,0),"Night",
  L3966&lt;TIME(9,0,0),"Night"
))</f>
        <v/>
      </c>
      <c r="O3966" t="str">
        <f t="shared" si="368"/>
        <v/>
      </c>
    </row>
    <row r="3967" spans="7:15" x14ac:dyDescent="0.25">
      <c r="G3967" t="str">
        <f t="shared" si="366"/>
        <v/>
      </c>
      <c r="H3967" s="13" t="str">
        <f t="shared" si="369"/>
        <v/>
      </c>
      <c r="I3967" t="str">
        <f>IFERROR(INDEX(Analysis!$D$116:$N$137, MATCH(B3967, Analysis!$C$116:$C$137, 0), MATCH(C3967, Analysis!$D$115:$N$115, 0)), "")</f>
        <v/>
      </c>
      <c r="J3967" t="str">
        <f t="shared" si="370"/>
        <v/>
      </c>
      <c r="K3967" s="28" t="str">
        <f t="shared" si="367"/>
        <v/>
      </c>
      <c r="L3967" s="46" t="str">
        <f t="shared" si="371"/>
        <v/>
      </c>
      <c r="M3967" t="str" cm="1">
        <f t="array" ref="M3967">IF(L3967="","",_xlfn.IFS(
  AND(L3967&gt;=TIME(9,0,0), L3967&lt;TIME(16,0,0)),"Morning",
  AND(L3967&gt;=TIME(16,0,0), L3967&lt;TIME(23,59,0)),"Evening",
  L3967&gt;=TIME(23,59,0),"Night",
  L3967&lt;TIME(9,0,0),"Night"
))</f>
        <v/>
      </c>
      <c r="O3967" t="str">
        <f t="shared" si="368"/>
        <v/>
      </c>
    </row>
    <row r="3968" spans="7:15" x14ac:dyDescent="0.25">
      <c r="G3968" t="str">
        <f t="shared" si="366"/>
        <v/>
      </c>
      <c r="H3968" s="13" t="str">
        <f t="shared" si="369"/>
        <v/>
      </c>
      <c r="I3968" t="str">
        <f>IFERROR(INDEX(Analysis!$D$116:$N$137, MATCH(B3968, Analysis!$C$116:$C$137, 0), MATCH(C3968, Analysis!$D$115:$N$115, 0)), "")</f>
        <v/>
      </c>
      <c r="J3968" t="str">
        <f t="shared" si="370"/>
        <v/>
      </c>
      <c r="K3968" s="28" t="str">
        <f t="shared" si="367"/>
        <v/>
      </c>
      <c r="L3968" s="46" t="str">
        <f t="shared" si="371"/>
        <v/>
      </c>
      <c r="M3968" t="str" cm="1">
        <f t="array" ref="M3968">IF(L3968="","",_xlfn.IFS(
  AND(L3968&gt;=TIME(9,0,0), L3968&lt;TIME(16,0,0)),"Morning",
  AND(L3968&gt;=TIME(16,0,0), L3968&lt;TIME(23,59,0)),"Evening",
  L3968&gt;=TIME(23,59,0),"Night",
  L3968&lt;TIME(9,0,0),"Night"
))</f>
        <v/>
      </c>
      <c r="O3968" t="str">
        <f t="shared" si="368"/>
        <v/>
      </c>
    </row>
    <row r="3969" spans="7:15" x14ac:dyDescent="0.25">
      <c r="G3969" t="str">
        <f t="shared" si="366"/>
        <v/>
      </c>
      <c r="H3969" s="13" t="str">
        <f t="shared" si="369"/>
        <v/>
      </c>
      <c r="I3969" t="str">
        <f>IFERROR(INDEX(Analysis!$D$116:$N$137, MATCH(B3969, Analysis!$C$116:$C$137, 0), MATCH(C3969, Analysis!$D$115:$N$115, 0)), "")</f>
        <v/>
      </c>
      <c r="J3969" t="str">
        <f t="shared" si="370"/>
        <v/>
      </c>
      <c r="K3969" s="28" t="str">
        <f t="shared" si="367"/>
        <v/>
      </c>
      <c r="L3969" s="46" t="str">
        <f t="shared" si="371"/>
        <v/>
      </c>
      <c r="M3969" t="str" cm="1">
        <f t="array" ref="M3969">IF(L3969="","",_xlfn.IFS(
  AND(L3969&gt;=TIME(9,0,0), L3969&lt;TIME(16,0,0)),"Morning",
  AND(L3969&gt;=TIME(16,0,0), L3969&lt;TIME(23,59,0)),"Evening",
  L3969&gt;=TIME(23,59,0),"Night",
  L3969&lt;TIME(9,0,0),"Night"
))</f>
        <v/>
      </c>
      <c r="O3969" t="str">
        <f t="shared" si="368"/>
        <v/>
      </c>
    </row>
    <row r="3970" spans="7:15" x14ac:dyDescent="0.25">
      <c r="G3970" t="str">
        <f t="shared" ref="G3970:G4033" si="372">IF(ISBLANK(A3970), "", IF(ISBLANK(F3970), 0, F3970))</f>
        <v/>
      </c>
      <c r="H3970" s="13" t="str">
        <f t="shared" si="369"/>
        <v/>
      </c>
      <c r="I3970" t="str">
        <f>IFERROR(INDEX(Analysis!$D$116:$N$137, MATCH(B3970, Analysis!$C$116:$C$137, 0), MATCH(C3970, Analysis!$D$115:$N$115, 0)), "")</f>
        <v/>
      </c>
      <c r="J3970" t="str">
        <f t="shared" si="370"/>
        <v/>
      </c>
      <c r="K3970" s="28" t="str">
        <f t="shared" ref="K3970:K4033" si="373">IF(ISBLANK(A3970),"",DATE(YEAR(A3970),MONTH(A3970),DAY(A3970)))</f>
        <v/>
      </c>
      <c r="L3970" s="46" t="str">
        <f t="shared" si="371"/>
        <v/>
      </c>
      <c r="M3970" t="str" cm="1">
        <f t="array" ref="M3970">IF(L3970="","",_xlfn.IFS(
  AND(L3970&gt;=TIME(9,0,0), L3970&lt;TIME(16,0,0)),"Morning",
  AND(L3970&gt;=TIME(16,0,0), L3970&lt;TIME(23,59,0)),"Evening",
  L3970&gt;=TIME(23,59,0),"Night",
  L3970&lt;TIME(9,0,0),"Night"
))</f>
        <v/>
      </c>
      <c r="O3970" t="str">
        <f t="shared" ref="O3970:O4033" si="374">IF(N3970="ON", _xlfn.IMAGE(E3970, 1), "")</f>
        <v/>
      </c>
    </row>
    <row r="3971" spans="7:15" x14ac:dyDescent="0.25">
      <c r="G3971" t="str">
        <f t="shared" si="372"/>
        <v/>
      </c>
      <c r="H3971" s="13" t="str">
        <f t="shared" ref="H3971:H4034" si="375">IF(ISBLANK(E3971),"",HYPERLINK(E3971,"Click here"))</f>
        <v/>
      </c>
      <c r="I3971" t="str">
        <f>IFERROR(INDEX(Analysis!$D$116:$N$137, MATCH(B3971, Analysis!$C$116:$C$137, 0), MATCH(C3971, Analysis!$D$115:$N$115, 0)), "")</f>
        <v/>
      </c>
      <c r="J3971" t="str">
        <f t="shared" ref="J3971:J4034" si="376">IF(ISBLANK(A3971),"",WEEKNUM(A3971))</f>
        <v/>
      </c>
      <c r="K3971" s="28" t="str">
        <f t="shared" si="373"/>
        <v/>
      </c>
      <c r="L3971" s="46" t="str">
        <f t="shared" ref="L3971:L4034" si="377">IF(A3971="", "", A3971 - INT(A3971))</f>
        <v/>
      </c>
      <c r="M3971" t="str" cm="1">
        <f t="array" ref="M3971">IF(L3971="","",_xlfn.IFS(
  AND(L3971&gt;=TIME(9,0,0), L3971&lt;TIME(16,0,0)),"Morning",
  AND(L3971&gt;=TIME(16,0,0), L3971&lt;TIME(23,59,0)),"Evening",
  L3971&gt;=TIME(23,59,0),"Night",
  L3971&lt;TIME(9,0,0),"Night"
))</f>
        <v/>
      </c>
      <c r="O3971" t="str">
        <f t="shared" si="374"/>
        <v/>
      </c>
    </row>
    <row r="3972" spans="7:15" x14ac:dyDescent="0.25">
      <c r="G3972" t="str">
        <f t="shared" si="372"/>
        <v/>
      </c>
      <c r="H3972" s="13" t="str">
        <f t="shared" si="375"/>
        <v/>
      </c>
      <c r="I3972" t="str">
        <f>IFERROR(INDEX(Analysis!$D$116:$N$137, MATCH(B3972, Analysis!$C$116:$C$137, 0), MATCH(C3972, Analysis!$D$115:$N$115, 0)), "")</f>
        <v/>
      </c>
      <c r="J3972" t="str">
        <f t="shared" si="376"/>
        <v/>
      </c>
      <c r="K3972" s="28" t="str">
        <f t="shared" si="373"/>
        <v/>
      </c>
      <c r="L3972" s="46" t="str">
        <f t="shared" si="377"/>
        <v/>
      </c>
      <c r="M3972" t="str" cm="1">
        <f t="array" ref="M3972">IF(L3972="","",_xlfn.IFS(
  AND(L3972&gt;=TIME(9,0,0), L3972&lt;TIME(16,0,0)),"Morning",
  AND(L3972&gt;=TIME(16,0,0), L3972&lt;TIME(23,59,0)),"Evening",
  L3972&gt;=TIME(23,59,0),"Night",
  L3972&lt;TIME(9,0,0),"Night"
))</f>
        <v/>
      </c>
      <c r="O3972" t="str">
        <f t="shared" si="374"/>
        <v/>
      </c>
    </row>
    <row r="3973" spans="7:15" x14ac:dyDescent="0.25">
      <c r="G3973" t="str">
        <f t="shared" si="372"/>
        <v/>
      </c>
      <c r="H3973" s="13" t="str">
        <f t="shared" si="375"/>
        <v/>
      </c>
      <c r="I3973" t="str">
        <f>IFERROR(INDEX(Analysis!$D$116:$N$137, MATCH(B3973, Analysis!$C$116:$C$137, 0), MATCH(C3973, Analysis!$D$115:$N$115, 0)), "")</f>
        <v/>
      </c>
      <c r="J3973" t="str">
        <f t="shared" si="376"/>
        <v/>
      </c>
      <c r="K3973" s="28" t="str">
        <f t="shared" si="373"/>
        <v/>
      </c>
      <c r="L3973" s="46" t="str">
        <f t="shared" si="377"/>
        <v/>
      </c>
      <c r="M3973" t="str" cm="1">
        <f t="array" ref="M3973">IF(L3973="","",_xlfn.IFS(
  AND(L3973&gt;=TIME(9,0,0), L3973&lt;TIME(16,0,0)),"Morning",
  AND(L3973&gt;=TIME(16,0,0), L3973&lt;TIME(23,59,0)),"Evening",
  L3973&gt;=TIME(23,59,0),"Night",
  L3973&lt;TIME(9,0,0),"Night"
))</f>
        <v/>
      </c>
      <c r="O3973" t="str">
        <f t="shared" si="374"/>
        <v/>
      </c>
    </row>
    <row r="3974" spans="7:15" x14ac:dyDescent="0.25">
      <c r="G3974" t="str">
        <f t="shared" si="372"/>
        <v/>
      </c>
      <c r="H3974" s="13" t="str">
        <f t="shared" si="375"/>
        <v/>
      </c>
      <c r="I3974" t="str">
        <f>IFERROR(INDEX(Analysis!$D$116:$N$137, MATCH(B3974, Analysis!$C$116:$C$137, 0), MATCH(C3974, Analysis!$D$115:$N$115, 0)), "")</f>
        <v/>
      </c>
      <c r="J3974" t="str">
        <f t="shared" si="376"/>
        <v/>
      </c>
      <c r="K3974" s="28" t="str">
        <f t="shared" si="373"/>
        <v/>
      </c>
      <c r="L3974" s="46" t="str">
        <f t="shared" si="377"/>
        <v/>
      </c>
      <c r="M3974" t="str" cm="1">
        <f t="array" ref="M3974">IF(L3974="","",_xlfn.IFS(
  AND(L3974&gt;=TIME(9,0,0), L3974&lt;TIME(16,0,0)),"Morning",
  AND(L3974&gt;=TIME(16,0,0), L3974&lt;TIME(23,59,0)),"Evening",
  L3974&gt;=TIME(23,59,0),"Night",
  L3974&lt;TIME(9,0,0),"Night"
))</f>
        <v/>
      </c>
      <c r="O3974" t="str">
        <f t="shared" si="374"/>
        <v/>
      </c>
    </row>
    <row r="3975" spans="7:15" x14ac:dyDescent="0.25">
      <c r="G3975" t="str">
        <f t="shared" si="372"/>
        <v/>
      </c>
      <c r="H3975" s="13" t="str">
        <f t="shared" si="375"/>
        <v/>
      </c>
      <c r="I3975" t="str">
        <f>IFERROR(INDEX(Analysis!$D$116:$N$137, MATCH(B3975, Analysis!$C$116:$C$137, 0), MATCH(C3975, Analysis!$D$115:$N$115, 0)), "")</f>
        <v/>
      </c>
      <c r="J3975" t="str">
        <f t="shared" si="376"/>
        <v/>
      </c>
      <c r="K3975" s="28" t="str">
        <f t="shared" si="373"/>
        <v/>
      </c>
      <c r="L3975" s="46" t="str">
        <f t="shared" si="377"/>
        <v/>
      </c>
      <c r="M3975" t="str" cm="1">
        <f t="array" ref="M3975">IF(L3975="","",_xlfn.IFS(
  AND(L3975&gt;=TIME(9,0,0), L3975&lt;TIME(16,0,0)),"Morning",
  AND(L3975&gt;=TIME(16,0,0), L3975&lt;TIME(23,59,0)),"Evening",
  L3975&gt;=TIME(23,59,0),"Night",
  L3975&lt;TIME(9,0,0),"Night"
))</f>
        <v/>
      </c>
      <c r="O3975" t="str">
        <f t="shared" si="374"/>
        <v/>
      </c>
    </row>
    <row r="3976" spans="7:15" x14ac:dyDescent="0.25">
      <c r="G3976" t="str">
        <f t="shared" si="372"/>
        <v/>
      </c>
      <c r="H3976" s="13" t="str">
        <f t="shared" si="375"/>
        <v/>
      </c>
      <c r="I3976" t="str">
        <f>IFERROR(INDEX(Analysis!$D$116:$N$137, MATCH(B3976, Analysis!$C$116:$C$137, 0), MATCH(C3976, Analysis!$D$115:$N$115, 0)), "")</f>
        <v/>
      </c>
      <c r="J3976" t="str">
        <f t="shared" si="376"/>
        <v/>
      </c>
      <c r="K3976" s="28" t="str">
        <f t="shared" si="373"/>
        <v/>
      </c>
      <c r="L3976" s="46" t="str">
        <f t="shared" si="377"/>
        <v/>
      </c>
      <c r="M3976" t="str" cm="1">
        <f t="array" ref="M3976">IF(L3976="","",_xlfn.IFS(
  AND(L3976&gt;=TIME(9,0,0), L3976&lt;TIME(16,0,0)),"Morning",
  AND(L3976&gt;=TIME(16,0,0), L3976&lt;TIME(23,59,0)),"Evening",
  L3976&gt;=TIME(23,59,0),"Night",
  L3976&lt;TIME(9,0,0),"Night"
))</f>
        <v/>
      </c>
      <c r="O3976" t="str">
        <f t="shared" si="374"/>
        <v/>
      </c>
    </row>
    <row r="3977" spans="7:15" x14ac:dyDescent="0.25">
      <c r="G3977" t="str">
        <f t="shared" si="372"/>
        <v/>
      </c>
      <c r="H3977" s="13" t="str">
        <f t="shared" si="375"/>
        <v/>
      </c>
      <c r="I3977" t="str">
        <f>IFERROR(INDEX(Analysis!$D$116:$N$137, MATCH(B3977, Analysis!$C$116:$C$137, 0), MATCH(C3977, Analysis!$D$115:$N$115, 0)), "")</f>
        <v/>
      </c>
      <c r="J3977" t="str">
        <f t="shared" si="376"/>
        <v/>
      </c>
      <c r="K3977" s="28" t="str">
        <f t="shared" si="373"/>
        <v/>
      </c>
      <c r="L3977" s="46" t="str">
        <f t="shared" si="377"/>
        <v/>
      </c>
      <c r="M3977" t="str" cm="1">
        <f t="array" ref="M3977">IF(L3977="","",_xlfn.IFS(
  AND(L3977&gt;=TIME(9,0,0), L3977&lt;TIME(16,0,0)),"Morning",
  AND(L3977&gt;=TIME(16,0,0), L3977&lt;TIME(23,59,0)),"Evening",
  L3977&gt;=TIME(23,59,0),"Night",
  L3977&lt;TIME(9,0,0),"Night"
))</f>
        <v/>
      </c>
      <c r="O3977" t="str">
        <f t="shared" si="374"/>
        <v/>
      </c>
    </row>
    <row r="3978" spans="7:15" x14ac:dyDescent="0.25">
      <c r="G3978" t="str">
        <f t="shared" si="372"/>
        <v/>
      </c>
      <c r="H3978" s="13" t="str">
        <f t="shared" si="375"/>
        <v/>
      </c>
      <c r="I3978" t="str">
        <f>IFERROR(INDEX(Analysis!$D$116:$N$137, MATCH(B3978, Analysis!$C$116:$C$137, 0), MATCH(C3978, Analysis!$D$115:$N$115, 0)), "")</f>
        <v/>
      </c>
      <c r="J3978" t="str">
        <f t="shared" si="376"/>
        <v/>
      </c>
      <c r="K3978" s="28" t="str">
        <f t="shared" si="373"/>
        <v/>
      </c>
      <c r="L3978" s="46" t="str">
        <f t="shared" si="377"/>
        <v/>
      </c>
      <c r="M3978" t="str" cm="1">
        <f t="array" ref="M3978">IF(L3978="","",_xlfn.IFS(
  AND(L3978&gt;=TIME(9,0,0), L3978&lt;TIME(16,0,0)),"Morning",
  AND(L3978&gt;=TIME(16,0,0), L3978&lt;TIME(23,59,0)),"Evening",
  L3978&gt;=TIME(23,59,0),"Night",
  L3978&lt;TIME(9,0,0),"Night"
))</f>
        <v/>
      </c>
      <c r="O3978" t="str">
        <f t="shared" si="374"/>
        <v/>
      </c>
    </row>
    <row r="3979" spans="7:15" x14ac:dyDescent="0.25">
      <c r="G3979" t="str">
        <f t="shared" si="372"/>
        <v/>
      </c>
      <c r="H3979" s="13" t="str">
        <f t="shared" si="375"/>
        <v/>
      </c>
      <c r="I3979" t="str">
        <f>IFERROR(INDEX(Analysis!$D$116:$N$137, MATCH(B3979, Analysis!$C$116:$C$137, 0), MATCH(C3979, Analysis!$D$115:$N$115, 0)), "")</f>
        <v/>
      </c>
      <c r="J3979" t="str">
        <f t="shared" si="376"/>
        <v/>
      </c>
      <c r="K3979" s="28" t="str">
        <f t="shared" si="373"/>
        <v/>
      </c>
      <c r="L3979" s="46" t="str">
        <f t="shared" si="377"/>
        <v/>
      </c>
      <c r="M3979" t="str" cm="1">
        <f t="array" ref="M3979">IF(L3979="","",_xlfn.IFS(
  AND(L3979&gt;=TIME(9,0,0), L3979&lt;TIME(16,0,0)),"Morning",
  AND(L3979&gt;=TIME(16,0,0), L3979&lt;TIME(23,59,0)),"Evening",
  L3979&gt;=TIME(23,59,0),"Night",
  L3979&lt;TIME(9,0,0),"Night"
))</f>
        <v/>
      </c>
      <c r="O3979" t="str">
        <f t="shared" si="374"/>
        <v/>
      </c>
    </row>
    <row r="3980" spans="7:15" x14ac:dyDescent="0.25">
      <c r="G3980" t="str">
        <f t="shared" si="372"/>
        <v/>
      </c>
      <c r="H3980" s="13" t="str">
        <f t="shared" si="375"/>
        <v/>
      </c>
      <c r="I3980" t="str">
        <f>IFERROR(INDEX(Analysis!$D$116:$N$137, MATCH(B3980, Analysis!$C$116:$C$137, 0), MATCH(C3980, Analysis!$D$115:$N$115, 0)), "")</f>
        <v/>
      </c>
      <c r="J3980" t="str">
        <f t="shared" si="376"/>
        <v/>
      </c>
      <c r="K3980" s="28" t="str">
        <f t="shared" si="373"/>
        <v/>
      </c>
      <c r="L3980" s="46" t="str">
        <f t="shared" si="377"/>
        <v/>
      </c>
      <c r="M3980" t="str" cm="1">
        <f t="array" ref="M3980">IF(L3980="","",_xlfn.IFS(
  AND(L3980&gt;=TIME(9,0,0), L3980&lt;TIME(16,0,0)),"Morning",
  AND(L3980&gt;=TIME(16,0,0), L3980&lt;TIME(23,59,0)),"Evening",
  L3980&gt;=TIME(23,59,0),"Night",
  L3980&lt;TIME(9,0,0),"Night"
))</f>
        <v/>
      </c>
      <c r="O3980" t="str">
        <f t="shared" si="374"/>
        <v/>
      </c>
    </row>
    <row r="3981" spans="7:15" x14ac:dyDescent="0.25">
      <c r="G3981" t="str">
        <f t="shared" si="372"/>
        <v/>
      </c>
      <c r="H3981" s="13" t="str">
        <f t="shared" si="375"/>
        <v/>
      </c>
      <c r="I3981" t="str">
        <f>IFERROR(INDEX(Analysis!$D$116:$N$137, MATCH(B3981, Analysis!$C$116:$C$137, 0), MATCH(C3981, Analysis!$D$115:$N$115, 0)), "")</f>
        <v/>
      </c>
      <c r="J3981" t="str">
        <f t="shared" si="376"/>
        <v/>
      </c>
      <c r="K3981" s="28" t="str">
        <f t="shared" si="373"/>
        <v/>
      </c>
      <c r="L3981" s="46" t="str">
        <f t="shared" si="377"/>
        <v/>
      </c>
      <c r="M3981" t="str" cm="1">
        <f t="array" ref="M3981">IF(L3981="","",_xlfn.IFS(
  AND(L3981&gt;=TIME(9,0,0), L3981&lt;TIME(16,0,0)),"Morning",
  AND(L3981&gt;=TIME(16,0,0), L3981&lt;TIME(23,59,0)),"Evening",
  L3981&gt;=TIME(23,59,0),"Night",
  L3981&lt;TIME(9,0,0),"Night"
))</f>
        <v/>
      </c>
      <c r="O3981" t="str">
        <f t="shared" si="374"/>
        <v/>
      </c>
    </row>
    <row r="3982" spans="7:15" x14ac:dyDescent="0.25">
      <c r="G3982" t="str">
        <f t="shared" si="372"/>
        <v/>
      </c>
      <c r="H3982" s="13" t="str">
        <f t="shared" si="375"/>
        <v/>
      </c>
      <c r="I3982" t="str">
        <f>IFERROR(INDEX(Analysis!$D$116:$N$137, MATCH(B3982, Analysis!$C$116:$C$137, 0), MATCH(C3982, Analysis!$D$115:$N$115, 0)), "")</f>
        <v/>
      </c>
      <c r="J3982" t="str">
        <f t="shared" si="376"/>
        <v/>
      </c>
      <c r="K3982" s="28" t="str">
        <f t="shared" si="373"/>
        <v/>
      </c>
      <c r="L3982" s="46" t="str">
        <f t="shared" si="377"/>
        <v/>
      </c>
      <c r="M3982" t="str" cm="1">
        <f t="array" ref="M3982">IF(L3982="","",_xlfn.IFS(
  AND(L3982&gt;=TIME(9,0,0), L3982&lt;TIME(16,0,0)),"Morning",
  AND(L3982&gt;=TIME(16,0,0), L3982&lt;TIME(23,59,0)),"Evening",
  L3982&gt;=TIME(23,59,0),"Night",
  L3982&lt;TIME(9,0,0),"Night"
))</f>
        <v/>
      </c>
      <c r="O3982" t="str">
        <f t="shared" si="374"/>
        <v/>
      </c>
    </row>
    <row r="3983" spans="7:15" x14ac:dyDescent="0.25">
      <c r="G3983" t="str">
        <f t="shared" si="372"/>
        <v/>
      </c>
      <c r="H3983" s="13" t="str">
        <f t="shared" si="375"/>
        <v/>
      </c>
      <c r="I3983" t="str">
        <f>IFERROR(INDEX(Analysis!$D$116:$N$137, MATCH(B3983, Analysis!$C$116:$C$137, 0), MATCH(C3983, Analysis!$D$115:$N$115, 0)), "")</f>
        <v/>
      </c>
      <c r="J3983" t="str">
        <f t="shared" si="376"/>
        <v/>
      </c>
      <c r="K3983" s="28" t="str">
        <f t="shared" si="373"/>
        <v/>
      </c>
      <c r="L3983" s="46" t="str">
        <f t="shared" si="377"/>
        <v/>
      </c>
      <c r="M3983" t="str" cm="1">
        <f t="array" ref="M3983">IF(L3983="","",_xlfn.IFS(
  AND(L3983&gt;=TIME(9,0,0), L3983&lt;TIME(16,0,0)),"Morning",
  AND(L3983&gt;=TIME(16,0,0), L3983&lt;TIME(23,59,0)),"Evening",
  L3983&gt;=TIME(23,59,0),"Night",
  L3983&lt;TIME(9,0,0),"Night"
))</f>
        <v/>
      </c>
      <c r="O3983" t="str">
        <f t="shared" si="374"/>
        <v/>
      </c>
    </row>
    <row r="3984" spans="7:15" x14ac:dyDescent="0.25">
      <c r="G3984" t="str">
        <f t="shared" si="372"/>
        <v/>
      </c>
      <c r="H3984" s="13" t="str">
        <f t="shared" si="375"/>
        <v/>
      </c>
      <c r="I3984" t="str">
        <f>IFERROR(INDEX(Analysis!$D$116:$N$137, MATCH(B3984, Analysis!$C$116:$C$137, 0), MATCH(C3984, Analysis!$D$115:$N$115, 0)), "")</f>
        <v/>
      </c>
      <c r="J3984" t="str">
        <f t="shared" si="376"/>
        <v/>
      </c>
      <c r="K3984" s="28" t="str">
        <f t="shared" si="373"/>
        <v/>
      </c>
      <c r="L3984" s="46" t="str">
        <f t="shared" si="377"/>
        <v/>
      </c>
      <c r="M3984" t="str" cm="1">
        <f t="array" ref="M3984">IF(L3984="","",_xlfn.IFS(
  AND(L3984&gt;=TIME(9,0,0), L3984&lt;TIME(16,0,0)),"Morning",
  AND(L3984&gt;=TIME(16,0,0), L3984&lt;TIME(23,59,0)),"Evening",
  L3984&gt;=TIME(23,59,0),"Night",
  L3984&lt;TIME(9,0,0),"Night"
))</f>
        <v/>
      </c>
      <c r="O3984" t="str">
        <f t="shared" si="374"/>
        <v/>
      </c>
    </row>
    <row r="3985" spans="7:15" x14ac:dyDescent="0.25">
      <c r="G3985" t="str">
        <f t="shared" si="372"/>
        <v/>
      </c>
      <c r="H3985" s="13" t="str">
        <f t="shared" si="375"/>
        <v/>
      </c>
      <c r="I3985" t="str">
        <f>IFERROR(INDEX(Analysis!$D$116:$N$137, MATCH(B3985, Analysis!$C$116:$C$137, 0), MATCH(C3985, Analysis!$D$115:$N$115, 0)), "")</f>
        <v/>
      </c>
      <c r="J3985" t="str">
        <f t="shared" si="376"/>
        <v/>
      </c>
      <c r="K3985" s="28" t="str">
        <f t="shared" si="373"/>
        <v/>
      </c>
      <c r="L3985" s="46" t="str">
        <f t="shared" si="377"/>
        <v/>
      </c>
      <c r="M3985" t="str" cm="1">
        <f t="array" ref="M3985">IF(L3985="","",_xlfn.IFS(
  AND(L3985&gt;=TIME(9,0,0), L3985&lt;TIME(16,0,0)),"Morning",
  AND(L3985&gt;=TIME(16,0,0), L3985&lt;TIME(23,59,0)),"Evening",
  L3985&gt;=TIME(23,59,0),"Night",
  L3985&lt;TIME(9,0,0),"Night"
))</f>
        <v/>
      </c>
      <c r="O3985" t="str">
        <f t="shared" si="374"/>
        <v/>
      </c>
    </row>
    <row r="3986" spans="7:15" x14ac:dyDescent="0.25">
      <c r="G3986" t="str">
        <f t="shared" si="372"/>
        <v/>
      </c>
      <c r="H3986" s="13" t="str">
        <f t="shared" si="375"/>
        <v/>
      </c>
      <c r="I3986" t="str">
        <f>IFERROR(INDEX(Analysis!$D$116:$N$137, MATCH(B3986, Analysis!$C$116:$C$137, 0), MATCH(C3986, Analysis!$D$115:$N$115, 0)), "")</f>
        <v/>
      </c>
      <c r="J3986" t="str">
        <f t="shared" si="376"/>
        <v/>
      </c>
      <c r="K3986" s="28" t="str">
        <f t="shared" si="373"/>
        <v/>
      </c>
      <c r="L3986" s="46" t="str">
        <f t="shared" si="377"/>
        <v/>
      </c>
      <c r="M3986" t="str" cm="1">
        <f t="array" ref="M3986">IF(L3986="","",_xlfn.IFS(
  AND(L3986&gt;=TIME(9,0,0), L3986&lt;TIME(16,0,0)),"Morning",
  AND(L3986&gt;=TIME(16,0,0), L3986&lt;TIME(23,59,0)),"Evening",
  L3986&gt;=TIME(23,59,0),"Night",
  L3986&lt;TIME(9,0,0),"Night"
))</f>
        <v/>
      </c>
      <c r="O3986" t="str">
        <f t="shared" si="374"/>
        <v/>
      </c>
    </row>
    <row r="3987" spans="7:15" x14ac:dyDescent="0.25">
      <c r="G3987" t="str">
        <f t="shared" si="372"/>
        <v/>
      </c>
      <c r="H3987" s="13" t="str">
        <f t="shared" si="375"/>
        <v/>
      </c>
      <c r="I3987" t="str">
        <f>IFERROR(INDEX(Analysis!$D$116:$N$137, MATCH(B3987, Analysis!$C$116:$C$137, 0), MATCH(C3987, Analysis!$D$115:$N$115, 0)), "")</f>
        <v/>
      </c>
      <c r="J3987" t="str">
        <f t="shared" si="376"/>
        <v/>
      </c>
      <c r="K3987" s="28" t="str">
        <f t="shared" si="373"/>
        <v/>
      </c>
      <c r="L3987" s="46" t="str">
        <f t="shared" si="377"/>
        <v/>
      </c>
      <c r="M3987" t="str" cm="1">
        <f t="array" ref="M3987">IF(L3987="","",_xlfn.IFS(
  AND(L3987&gt;=TIME(9,0,0), L3987&lt;TIME(16,0,0)),"Morning",
  AND(L3987&gt;=TIME(16,0,0), L3987&lt;TIME(23,59,0)),"Evening",
  L3987&gt;=TIME(23,59,0),"Night",
  L3987&lt;TIME(9,0,0),"Night"
))</f>
        <v/>
      </c>
      <c r="O3987" t="str">
        <f t="shared" si="374"/>
        <v/>
      </c>
    </row>
    <row r="3988" spans="7:15" x14ac:dyDescent="0.25">
      <c r="G3988" t="str">
        <f t="shared" si="372"/>
        <v/>
      </c>
      <c r="H3988" s="13" t="str">
        <f t="shared" si="375"/>
        <v/>
      </c>
      <c r="I3988" t="str">
        <f>IFERROR(INDEX(Analysis!$D$116:$N$137, MATCH(B3988, Analysis!$C$116:$C$137, 0), MATCH(C3988, Analysis!$D$115:$N$115, 0)), "")</f>
        <v/>
      </c>
      <c r="J3988" t="str">
        <f t="shared" si="376"/>
        <v/>
      </c>
      <c r="K3988" s="28" t="str">
        <f t="shared" si="373"/>
        <v/>
      </c>
      <c r="L3988" s="46" t="str">
        <f t="shared" si="377"/>
        <v/>
      </c>
      <c r="M3988" t="str" cm="1">
        <f t="array" ref="M3988">IF(L3988="","",_xlfn.IFS(
  AND(L3988&gt;=TIME(9,0,0), L3988&lt;TIME(16,0,0)),"Morning",
  AND(L3988&gt;=TIME(16,0,0), L3988&lt;TIME(23,59,0)),"Evening",
  L3988&gt;=TIME(23,59,0),"Night",
  L3988&lt;TIME(9,0,0),"Night"
))</f>
        <v/>
      </c>
      <c r="O3988" t="str">
        <f t="shared" si="374"/>
        <v/>
      </c>
    </row>
    <row r="3989" spans="7:15" x14ac:dyDescent="0.25">
      <c r="G3989" t="str">
        <f t="shared" si="372"/>
        <v/>
      </c>
      <c r="H3989" s="13" t="str">
        <f t="shared" si="375"/>
        <v/>
      </c>
      <c r="I3989" t="str">
        <f>IFERROR(INDEX(Analysis!$D$116:$N$137, MATCH(B3989, Analysis!$C$116:$C$137, 0), MATCH(C3989, Analysis!$D$115:$N$115, 0)), "")</f>
        <v/>
      </c>
      <c r="J3989" t="str">
        <f t="shared" si="376"/>
        <v/>
      </c>
      <c r="K3989" s="28" t="str">
        <f t="shared" si="373"/>
        <v/>
      </c>
      <c r="L3989" s="46" t="str">
        <f t="shared" si="377"/>
        <v/>
      </c>
      <c r="M3989" t="str" cm="1">
        <f t="array" ref="M3989">IF(L3989="","",_xlfn.IFS(
  AND(L3989&gt;=TIME(9,0,0), L3989&lt;TIME(16,0,0)),"Morning",
  AND(L3989&gt;=TIME(16,0,0), L3989&lt;TIME(23,59,0)),"Evening",
  L3989&gt;=TIME(23,59,0),"Night",
  L3989&lt;TIME(9,0,0),"Night"
))</f>
        <v/>
      </c>
      <c r="O3989" t="str">
        <f t="shared" si="374"/>
        <v/>
      </c>
    </row>
    <row r="3990" spans="7:15" x14ac:dyDescent="0.25">
      <c r="G3990" t="str">
        <f t="shared" si="372"/>
        <v/>
      </c>
      <c r="H3990" s="13" t="str">
        <f t="shared" si="375"/>
        <v/>
      </c>
      <c r="I3990" t="str">
        <f>IFERROR(INDEX(Analysis!$D$116:$N$137, MATCH(B3990, Analysis!$C$116:$C$137, 0), MATCH(C3990, Analysis!$D$115:$N$115, 0)), "")</f>
        <v/>
      </c>
      <c r="J3990" t="str">
        <f t="shared" si="376"/>
        <v/>
      </c>
      <c r="K3990" s="28" t="str">
        <f t="shared" si="373"/>
        <v/>
      </c>
      <c r="L3990" s="46" t="str">
        <f t="shared" si="377"/>
        <v/>
      </c>
      <c r="M3990" t="str" cm="1">
        <f t="array" ref="M3990">IF(L3990="","",_xlfn.IFS(
  AND(L3990&gt;=TIME(9,0,0), L3990&lt;TIME(16,0,0)),"Morning",
  AND(L3990&gt;=TIME(16,0,0), L3990&lt;TIME(23,59,0)),"Evening",
  L3990&gt;=TIME(23,59,0),"Night",
  L3990&lt;TIME(9,0,0),"Night"
))</f>
        <v/>
      </c>
      <c r="O3990" t="str">
        <f t="shared" si="374"/>
        <v/>
      </c>
    </row>
    <row r="3991" spans="7:15" x14ac:dyDescent="0.25">
      <c r="G3991" t="str">
        <f t="shared" si="372"/>
        <v/>
      </c>
      <c r="H3991" s="13" t="str">
        <f t="shared" si="375"/>
        <v/>
      </c>
      <c r="I3991" t="str">
        <f>IFERROR(INDEX(Analysis!$D$116:$N$137, MATCH(B3991, Analysis!$C$116:$C$137, 0), MATCH(C3991, Analysis!$D$115:$N$115, 0)), "")</f>
        <v/>
      </c>
      <c r="J3991" t="str">
        <f t="shared" si="376"/>
        <v/>
      </c>
      <c r="K3991" s="28" t="str">
        <f t="shared" si="373"/>
        <v/>
      </c>
      <c r="L3991" s="46" t="str">
        <f t="shared" si="377"/>
        <v/>
      </c>
      <c r="M3991" t="str" cm="1">
        <f t="array" ref="M3991">IF(L3991="","",_xlfn.IFS(
  AND(L3991&gt;=TIME(9,0,0), L3991&lt;TIME(16,0,0)),"Morning",
  AND(L3991&gt;=TIME(16,0,0), L3991&lt;TIME(23,59,0)),"Evening",
  L3991&gt;=TIME(23,59,0),"Night",
  L3991&lt;TIME(9,0,0),"Night"
))</f>
        <v/>
      </c>
      <c r="O3991" t="str">
        <f t="shared" si="374"/>
        <v/>
      </c>
    </row>
    <row r="3992" spans="7:15" x14ac:dyDescent="0.25">
      <c r="G3992" t="str">
        <f t="shared" si="372"/>
        <v/>
      </c>
      <c r="H3992" s="13" t="str">
        <f t="shared" si="375"/>
        <v/>
      </c>
      <c r="I3992" t="str">
        <f>IFERROR(INDEX(Analysis!$D$116:$N$137, MATCH(B3992, Analysis!$C$116:$C$137, 0), MATCH(C3992, Analysis!$D$115:$N$115, 0)), "")</f>
        <v/>
      </c>
      <c r="J3992" t="str">
        <f t="shared" si="376"/>
        <v/>
      </c>
      <c r="K3992" s="28" t="str">
        <f t="shared" si="373"/>
        <v/>
      </c>
      <c r="L3992" s="46" t="str">
        <f t="shared" si="377"/>
        <v/>
      </c>
      <c r="M3992" t="str" cm="1">
        <f t="array" ref="M3992">IF(L3992="","",_xlfn.IFS(
  AND(L3992&gt;=TIME(9,0,0), L3992&lt;TIME(16,0,0)),"Morning",
  AND(L3992&gt;=TIME(16,0,0), L3992&lt;TIME(23,59,0)),"Evening",
  L3992&gt;=TIME(23,59,0),"Night",
  L3992&lt;TIME(9,0,0),"Night"
))</f>
        <v/>
      </c>
      <c r="O3992" t="str">
        <f t="shared" si="374"/>
        <v/>
      </c>
    </row>
    <row r="3993" spans="7:15" x14ac:dyDescent="0.25">
      <c r="G3993" t="str">
        <f t="shared" si="372"/>
        <v/>
      </c>
      <c r="H3993" s="13" t="str">
        <f t="shared" si="375"/>
        <v/>
      </c>
      <c r="I3993" t="str">
        <f>IFERROR(INDEX(Analysis!$D$116:$N$137, MATCH(B3993, Analysis!$C$116:$C$137, 0), MATCH(C3993, Analysis!$D$115:$N$115, 0)), "")</f>
        <v/>
      </c>
      <c r="J3993" t="str">
        <f t="shared" si="376"/>
        <v/>
      </c>
      <c r="K3993" s="28" t="str">
        <f t="shared" si="373"/>
        <v/>
      </c>
      <c r="L3993" s="46" t="str">
        <f t="shared" si="377"/>
        <v/>
      </c>
      <c r="M3993" t="str" cm="1">
        <f t="array" ref="M3993">IF(L3993="","",_xlfn.IFS(
  AND(L3993&gt;=TIME(9,0,0), L3993&lt;TIME(16,0,0)),"Morning",
  AND(L3993&gt;=TIME(16,0,0), L3993&lt;TIME(23,59,0)),"Evening",
  L3993&gt;=TIME(23,59,0),"Night",
  L3993&lt;TIME(9,0,0),"Night"
))</f>
        <v/>
      </c>
      <c r="O3993" t="str">
        <f t="shared" si="374"/>
        <v/>
      </c>
    </row>
    <row r="3994" spans="7:15" x14ac:dyDescent="0.25">
      <c r="G3994" t="str">
        <f t="shared" si="372"/>
        <v/>
      </c>
      <c r="H3994" s="13" t="str">
        <f t="shared" si="375"/>
        <v/>
      </c>
      <c r="I3994" t="str">
        <f>IFERROR(INDEX(Analysis!$D$116:$N$137, MATCH(B3994, Analysis!$C$116:$C$137, 0), MATCH(C3994, Analysis!$D$115:$N$115, 0)), "")</f>
        <v/>
      </c>
      <c r="J3994" t="str">
        <f t="shared" si="376"/>
        <v/>
      </c>
      <c r="K3994" s="28" t="str">
        <f t="shared" si="373"/>
        <v/>
      </c>
      <c r="L3994" s="46" t="str">
        <f t="shared" si="377"/>
        <v/>
      </c>
      <c r="M3994" t="str" cm="1">
        <f t="array" ref="M3994">IF(L3994="","",_xlfn.IFS(
  AND(L3994&gt;=TIME(9,0,0), L3994&lt;TIME(16,0,0)),"Morning",
  AND(L3994&gt;=TIME(16,0,0), L3994&lt;TIME(23,59,0)),"Evening",
  L3994&gt;=TIME(23,59,0),"Night",
  L3994&lt;TIME(9,0,0),"Night"
))</f>
        <v/>
      </c>
      <c r="O3994" t="str">
        <f t="shared" si="374"/>
        <v/>
      </c>
    </row>
    <row r="3995" spans="7:15" x14ac:dyDescent="0.25">
      <c r="G3995" t="str">
        <f t="shared" si="372"/>
        <v/>
      </c>
      <c r="H3995" s="13" t="str">
        <f t="shared" si="375"/>
        <v/>
      </c>
      <c r="I3995" t="str">
        <f>IFERROR(INDEX(Analysis!$D$116:$N$137, MATCH(B3995, Analysis!$C$116:$C$137, 0), MATCH(C3995, Analysis!$D$115:$N$115, 0)), "")</f>
        <v/>
      </c>
      <c r="J3995" t="str">
        <f t="shared" si="376"/>
        <v/>
      </c>
      <c r="K3995" s="28" t="str">
        <f t="shared" si="373"/>
        <v/>
      </c>
      <c r="L3995" s="46" t="str">
        <f t="shared" si="377"/>
        <v/>
      </c>
      <c r="M3995" t="str" cm="1">
        <f t="array" ref="M3995">IF(L3995="","",_xlfn.IFS(
  AND(L3995&gt;=TIME(9,0,0), L3995&lt;TIME(16,0,0)),"Morning",
  AND(L3995&gt;=TIME(16,0,0), L3995&lt;TIME(23,59,0)),"Evening",
  L3995&gt;=TIME(23,59,0),"Night",
  L3995&lt;TIME(9,0,0),"Night"
))</f>
        <v/>
      </c>
      <c r="O3995" t="str">
        <f t="shared" si="374"/>
        <v/>
      </c>
    </row>
    <row r="3996" spans="7:15" x14ac:dyDescent="0.25">
      <c r="G3996" t="str">
        <f t="shared" si="372"/>
        <v/>
      </c>
      <c r="H3996" s="13" t="str">
        <f t="shared" si="375"/>
        <v/>
      </c>
      <c r="I3996" t="str">
        <f>IFERROR(INDEX(Analysis!$D$116:$N$137, MATCH(B3996, Analysis!$C$116:$C$137, 0), MATCH(C3996, Analysis!$D$115:$N$115, 0)), "")</f>
        <v/>
      </c>
      <c r="J3996" t="str">
        <f t="shared" si="376"/>
        <v/>
      </c>
      <c r="K3996" s="28" t="str">
        <f t="shared" si="373"/>
        <v/>
      </c>
      <c r="L3996" s="46" t="str">
        <f t="shared" si="377"/>
        <v/>
      </c>
      <c r="M3996" t="str" cm="1">
        <f t="array" ref="M3996">IF(L3996="","",_xlfn.IFS(
  AND(L3996&gt;=TIME(9,0,0), L3996&lt;TIME(16,0,0)),"Morning",
  AND(L3996&gt;=TIME(16,0,0), L3996&lt;TIME(23,59,0)),"Evening",
  L3996&gt;=TIME(23,59,0),"Night",
  L3996&lt;TIME(9,0,0),"Night"
))</f>
        <v/>
      </c>
      <c r="O3996" t="str">
        <f t="shared" si="374"/>
        <v/>
      </c>
    </row>
    <row r="3997" spans="7:15" x14ac:dyDescent="0.25">
      <c r="G3997" t="str">
        <f t="shared" si="372"/>
        <v/>
      </c>
      <c r="H3997" s="13" t="str">
        <f t="shared" si="375"/>
        <v/>
      </c>
      <c r="I3997" t="str">
        <f>IFERROR(INDEX(Analysis!$D$116:$N$137, MATCH(B3997, Analysis!$C$116:$C$137, 0), MATCH(C3997, Analysis!$D$115:$N$115, 0)), "")</f>
        <v/>
      </c>
      <c r="J3997" t="str">
        <f t="shared" si="376"/>
        <v/>
      </c>
      <c r="K3997" s="28" t="str">
        <f t="shared" si="373"/>
        <v/>
      </c>
      <c r="L3997" s="46" t="str">
        <f t="shared" si="377"/>
        <v/>
      </c>
      <c r="M3997" t="str" cm="1">
        <f t="array" ref="M3997">IF(L3997="","",_xlfn.IFS(
  AND(L3997&gt;=TIME(9,0,0), L3997&lt;TIME(16,0,0)),"Morning",
  AND(L3997&gt;=TIME(16,0,0), L3997&lt;TIME(23,59,0)),"Evening",
  L3997&gt;=TIME(23,59,0),"Night",
  L3997&lt;TIME(9,0,0),"Night"
))</f>
        <v/>
      </c>
      <c r="O3997" t="str">
        <f t="shared" si="374"/>
        <v/>
      </c>
    </row>
    <row r="3998" spans="7:15" x14ac:dyDescent="0.25">
      <c r="G3998" t="str">
        <f t="shared" si="372"/>
        <v/>
      </c>
      <c r="H3998" s="13" t="str">
        <f t="shared" si="375"/>
        <v/>
      </c>
      <c r="I3998" t="str">
        <f>IFERROR(INDEX(Analysis!$D$116:$N$137, MATCH(B3998, Analysis!$C$116:$C$137, 0), MATCH(C3998, Analysis!$D$115:$N$115, 0)), "")</f>
        <v/>
      </c>
      <c r="J3998" t="str">
        <f t="shared" si="376"/>
        <v/>
      </c>
      <c r="K3998" s="28" t="str">
        <f t="shared" si="373"/>
        <v/>
      </c>
      <c r="L3998" s="46" t="str">
        <f t="shared" si="377"/>
        <v/>
      </c>
      <c r="M3998" t="str" cm="1">
        <f t="array" ref="M3998">IF(L3998="","",_xlfn.IFS(
  AND(L3998&gt;=TIME(9,0,0), L3998&lt;TIME(16,0,0)),"Morning",
  AND(L3998&gt;=TIME(16,0,0), L3998&lt;TIME(23,59,0)),"Evening",
  L3998&gt;=TIME(23,59,0),"Night",
  L3998&lt;TIME(9,0,0),"Night"
))</f>
        <v/>
      </c>
      <c r="O3998" t="str">
        <f t="shared" si="374"/>
        <v/>
      </c>
    </row>
    <row r="3999" spans="7:15" x14ac:dyDescent="0.25">
      <c r="G3999" t="str">
        <f t="shared" si="372"/>
        <v/>
      </c>
      <c r="H3999" s="13" t="str">
        <f t="shared" si="375"/>
        <v/>
      </c>
      <c r="I3999" t="str">
        <f>IFERROR(INDEX(Analysis!$D$116:$N$137, MATCH(B3999, Analysis!$C$116:$C$137, 0), MATCH(C3999, Analysis!$D$115:$N$115, 0)), "")</f>
        <v/>
      </c>
      <c r="J3999" t="str">
        <f t="shared" si="376"/>
        <v/>
      </c>
      <c r="K3999" s="28" t="str">
        <f t="shared" si="373"/>
        <v/>
      </c>
      <c r="L3999" s="46" t="str">
        <f t="shared" si="377"/>
        <v/>
      </c>
      <c r="M3999" t="str" cm="1">
        <f t="array" ref="M3999">IF(L3999="","",_xlfn.IFS(
  AND(L3999&gt;=TIME(9,0,0), L3999&lt;TIME(16,0,0)),"Morning",
  AND(L3999&gt;=TIME(16,0,0), L3999&lt;TIME(23,59,0)),"Evening",
  L3999&gt;=TIME(23,59,0),"Night",
  L3999&lt;TIME(9,0,0),"Night"
))</f>
        <v/>
      </c>
      <c r="O3999" t="str">
        <f t="shared" si="374"/>
        <v/>
      </c>
    </row>
    <row r="4000" spans="7:15" x14ac:dyDescent="0.25">
      <c r="G4000" t="str">
        <f t="shared" si="372"/>
        <v/>
      </c>
      <c r="H4000" s="13" t="str">
        <f t="shared" si="375"/>
        <v/>
      </c>
      <c r="I4000" t="str">
        <f>IFERROR(INDEX(Analysis!$D$116:$N$137, MATCH(B4000, Analysis!$C$116:$C$137, 0), MATCH(C4000, Analysis!$D$115:$N$115, 0)), "")</f>
        <v/>
      </c>
      <c r="J4000" t="str">
        <f t="shared" si="376"/>
        <v/>
      </c>
      <c r="K4000" s="28" t="str">
        <f t="shared" si="373"/>
        <v/>
      </c>
      <c r="L4000" s="46" t="str">
        <f t="shared" si="377"/>
        <v/>
      </c>
      <c r="M4000" t="str" cm="1">
        <f t="array" ref="M4000">IF(L4000="","",_xlfn.IFS(
  AND(L4000&gt;=TIME(9,0,0), L4000&lt;TIME(16,0,0)),"Morning",
  AND(L4000&gt;=TIME(16,0,0), L4000&lt;TIME(23,59,0)),"Evening",
  L4000&gt;=TIME(23,59,0),"Night",
  L4000&lt;TIME(9,0,0),"Night"
))</f>
        <v/>
      </c>
      <c r="O4000" t="str">
        <f t="shared" si="374"/>
        <v/>
      </c>
    </row>
    <row r="4001" spans="7:15" x14ac:dyDescent="0.25">
      <c r="G4001" t="str">
        <f t="shared" si="372"/>
        <v/>
      </c>
      <c r="H4001" s="13" t="str">
        <f t="shared" si="375"/>
        <v/>
      </c>
      <c r="I4001" t="str">
        <f>IFERROR(INDEX(Analysis!$D$116:$N$137, MATCH(B4001, Analysis!$C$116:$C$137, 0), MATCH(C4001, Analysis!$D$115:$N$115, 0)), "")</f>
        <v/>
      </c>
      <c r="J4001" t="str">
        <f t="shared" si="376"/>
        <v/>
      </c>
      <c r="K4001" s="28" t="str">
        <f t="shared" si="373"/>
        <v/>
      </c>
      <c r="L4001" s="46" t="str">
        <f t="shared" si="377"/>
        <v/>
      </c>
      <c r="M4001" t="str" cm="1">
        <f t="array" ref="M4001">IF(L4001="","",_xlfn.IFS(
  AND(L4001&gt;=TIME(9,0,0), L4001&lt;TIME(16,0,0)),"Morning",
  AND(L4001&gt;=TIME(16,0,0), L4001&lt;TIME(23,59,0)),"Evening",
  L4001&gt;=TIME(23,59,0),"Night",
  L4001&lt;TIME(9,0,0),"Night"
))</f>
        <v/>
      </c>
      <c r="O4001" t="str">
        <f t="shared" si="374"/>
        <v/>
      </c>
    </row>
    <row r="4002" spans="7:15" x14ac:dyDescent="0.25">
      <c r="G4002" t="str">
        <f t="shared" si="372"/>
        <v/>
      </c>
      <c r="H4002" s="13" t="str">
        <f t="shared" si="375"/>
        <v/>
      </c>
      <c r="I4002" t="str">
        <f>IFERROR(INDEX(Analysis!$D$116:$N$137, MATCH(B4002, Analysis!$C$116:$C$137, 0), MATCH(C4002, Analysis!$D$115:$N$115, 0)), "")</f>
        <v/>
      </c>
      <c r="J4002" t="str">
        <f t="shared" si="376"/>
        <v/>
      </c>
      <c r="K4002" s="28" t="str">
        <f t="shared" si="373"/>
        <v/>
      </c>
      <c r="L4002" s="46" t="str">
        <f t="shared" si="377"/>
        <v/>
      </c>
      <c r="M4002" t="str" cm="1">
        <f t="array" ref="M4002">IF(L4002="","",_xlfn.IFS(
  AND(L4002&gt;=TIME(9,0,0), L4002&lt;TIME(16,0,0)),"Morning",
  AND(L4002&gt;=TIME(16,0,0), L4002&lt;TIME(23,59,0)),"Evening",
  L4002&gt;=TIME(23,59,0),"Night",
  L4002&lt;TIME(9,0,0),"Night"
))</f>
        <v/>
      </c>
      <c r="O4002" t="str">
        <f t="shared" si="374"/>
        <v/>
      </c>
    </row>
    <row r="4003" spans="7:15" x14ac:dyDescent="0.25">
      <c r="G4003" t="str">
        <f t="shared" si="372"/>
        <v/>
      </c>
      <c r="H4003" s="13" t="str">
        <f t="shared" si="375"/>
        <v/>
      </c>
      <c r="I4003" t="str">
        <f>IFERROR(INDEX(Analysis!$D$116:$N$137, MATCH(B4003, Analysis!$C$116:$C$137, 0), MATCH(C4003, Analysis!$D$115:$N$115, 0)), "")</f>
        <v/>
      </c>
      <c r="J4003" t="str">
        <f t="shared" si="376"/>
        <v/>
      </c>
      <c r="K4003" s="28" t="str">
        <f t="shared" si="373"/>
        <v/>
      </c>
      <c r="L4003" s="46" t="str">
        <f t="shared" si="377"/>
        <v/>
      </c>
      <c r="M4003" t="str" cm="1">
        <f t="array" ref="M4003">IF(L4003="","",_xlfn.IFS(
  AND(L4003&gt;=TIME(9,0,0), L4003&lt;TIME(16,0,0)),"Morning",
  AND(L4003&gt;=TIME(16,0,0), L4003&lt;TIME(23,59,0)),"Evening",
  L4003&gt;=TIME(23,59,0),"Night",
  L4003&lt;TIME(9,0,0),"Night"
))</f>
        <v/>
      </c>
      <c r="O4003" t="str">
        <f t="shared" si="374"/>
        <v/>
      </c>
    </row>
    <row r="4004" spans="7:15" x14ac:dyDescent="0.25">
      <c r="G4004" t="str">
        <f t="shared" si="372"/>
        <v/>
      </c>
      <c r="H4004" s="13" t="str">
        <f t="shared" si="375"/>
        <v/>
      </c>
      <c r="I4004" t="str">
        <f>IFERROR(INDEX(Analysis!$D$116:$N$137, MATCH(B4004, Analysis!$C$116:$C$137, 0), MATCH(C4004, Analysis!$D$115:$N$115, 0)), "")</f>
        <v/>
      </c>
      <c r="J4004" t="str">
        <f t="shared" si="376"/>
        <v/>
      </c>
      <c r="K4004" s="28" t="str">
        <f t="shared" si="373"/>
        <v/>
      </c>
      <c r="L4004" s="46" t="str">
        <f t="shared" si="377"/>
        <v/>
      </c>
      <c r="M4004" t="str" cm="1">
        <f t="array" ref="M4004">IF(L4004="","",_xlfn.IFS(
  AND(L4004&gt;=TIME(9,0,0), L4004&lt;TIME(16,0,0)),"Morning",
  AND(L4004&gt;=TIME(16,0,0), L4004&lt;TIME(23,59,0)),"Evening",
  L4004&gt;=TIME(23,59,0),"Night",
  L4004&lt;TIME(9,0,0),"Night"
))</f>
        <v/>
      </c>
      <c r="O4004" t="str">
        <f t="shared" si="374"/>
        <v/>
      </c>
    </row>
    <row r="4005" spans="7:15" x14ac:dyDescent="0.25">
      <c r="G4005" t="str">
        <f t="shared" si="372"/>
        <v/>
      </c>
      <c r="H4005" s="13" t="str">
        <f t="shared" si="375"/>
        <v/>
      </c>
      <c r="I4005" t="str">
        <f>IFERROR(INDEX(Analysis!$D$116:$N$137, MATCH(B4005, Analysis!$C$116:$C$137, 0), MATCH(C4005, Analysis!$D$115:$N$115, 0)), "")</f>
        <v/>
      </c>
      <c r="J4005" t="str">
        <f t="shared" si="376"/>
        <v/>
      </c>
      <c r="K4005" s="28" t="str">
        <f t="shared" si="373"/>
        <v/>
      </c>
      <c r="L4005" s="46" t="str">
        <f t="shared" si="377"/>
        <v/>
      </c>
      <c r="M4005" t="str" cm="1">
        <f t="array" ref="M4005">IF(L4005="","",_xlfn.IFS(
  AND(L4005&gt;=TIME(9,0,0), L4005&lt;TIME(16,0,0)),"Morning",
  AND(L4005&gt;=TIME(16,0,0), L4005&lt;TIME(23,59,0)),"Evening",
  L4005&gt;=TIME(23,59,0),"Night",
  L4005&lt;TIME(9,0,0),"Night"
))</f>
        <v/>
      </c>
      <c r="O4005" t="str">
        <f t="shared" si="374"/>
        <v/>
      </c>
    </row>
    <row r="4006" spans="7:15" x14ac:dyDescent="0.25">
      <c r="G4006" t="str">
        <f t="shared" si="372"/>
        <v/>
      </c>
      <c r="H4006" s="13" t="str">
        <f t="shared" si="375"/>
        <v/>
      </c>
      <c r="I4006" t="str">
        <f>IFERROR(INDEX(Analysis!$D$116:$N$137, MATCH(B4006, Analysis!$C$116:$C$137, 0), MATCH(C4006, Analysis!$D$115:$N$115, 0)), "")</f>
        <v/>
      </c>
      <c r="J4006" t="str">
        <f t="shared" si="376"/>
        <v/>
      </c>
      <c r="K4006" s="28" t="str">
        <f t="shared" si="373"/>
        <v/>
      </c>
      <c r="L4006" s="46" t="str">
        <f t="shared" si="377"/>
        <v/>
      </c>
      <c r="M4006" t="str" cm="1">
        <f t="array" ref="M4006">IF(L4006="","",_xlfn.IFS(
  AND(L4006&gt;=TIME(9,0,0), L4006&lt;TIME(16,0,0)),"Morning",
  AND(L4006&gt;=TIME(16,0,0), L4006&lt;TIME(23,59,0)),"Evening",
  L4006&gt;=TIME(23,59,0),"Night",
  L4006&lt;TIME(9,0,0),"Night"
))</f>
        <v/>
      </c>
      <c r="O4006" t="str">
        <f t="shared" si="374"/>
        <v/>
      </c>
    </row>
    <row r="4007" spans="7:15" x14ac:dyDescent="0.25">
      <c r="G4007" t="str">
        <f t="shared" si="372"/>
        <v/>
      </c>
      <c r="H4007" s="13" t="str">
        <f t="shared" si="375"/>
        <v/>
      </c>
      <c r="I4007" t="str">
        <f>IFERROR(INDEX(Analysis!$D$116:$N$137, MATCH(B4007, Analysis!$C$116:$C$137, 0), MATCH(C4007, Analysis!$D$115:$N$115, 0)), "")</f>
        <v/>
      </c>
      <c r="J4007" t="str">
        <f t="shared" si="376"/>
        <v/>
      </c>
      <c r="K4007" s="28" t="str">
        <f t="shared" si="373"/>
        <v/>
      </c>
      <c r="L4007" s="46" t="str">
        <f t="shared" si="377"/>
        <v/>
      </c>
      <c r="M4007" t="str" cm="1">
        <f t="array" ref="M4007">IF(L4007="","",_xlfn.IFS(
  AND(L4007&gt;=TIME(9,0,0), L4007&lt;TIME(16,0,0)),"Morning",
  AND(L4007&gt;=TIME(16,0,0), L4007&lt;TIME(23,59,0)),"Evening",
  L4007&gt;=TIME(23,59,0),"Night",
  L4007&lt;TIME(9,0,0),"Night"
))</f>
        <v/>
      </c>
      <c r="O4007" t="str">
        <f t="shared" si="374"/>
        <v/>
      </c>
    </row>
    <row r="4008" spans="7:15" x14ac:dyDescent="0.25">
      <c r="G4008" t="str">
        <f t="shared" si="372"/>
        <v/>
      </c>
      <c r="H4008" s="13" t="str">
        <f t="shared" si="375"/>
        <v/>
      </c>
      <c r="I4008" t="str">
        <f>IFERROR(INDEX(Analysis!$D$116:$N$137, MATCH(B4008, Analysis!$C$116:$C$137, 0), MATCH(C4008, Analysis!$D$115:$N$115, 0)), "")</f>
        <v/>
      </c>
      <c r="J4008" t="str">
        <f t="shared" si="376"/>
        <v/>
      </c>
      <c r="K4008" s="28" t="str">
        <f t="shared" si="373"/>
        <v/>
      </c>
      <c r="L4008" s="46" t="str">
        <f t="shared" si="377"/>
        <v/>
      </c>
      <c r="M4008" t="str" cm="1">
        <f t="array" ref="M4008">IF(L4008="","",_xlfn.IFS(
  AND(L4008&gt;=TIME(9,0,0), L4008&lt;TIME(16,0,0)),"Morning",
  AND(L4008&gt;=TIME(16,0,0), L4008&lt;TIME(23,59,0)),"Evening",
  L4008&gt;=TIME(23,59,0),"Night",
  L4008&lt;TIME(9,0,0),"Night"
))</f>
        <v/>
      </c>
      <c r="O4008" t="str">
        <f t="shared" si="374"/>
        <v/>
      </c>
    </row>
    <row r="4009" spans="7:15" x14ac:dyDescent="0.25">
      <c r="G4009" t="str">
        <f t="shared" si="372"/>
        <v/>
      </c>
      <c r="H4009" s="13" t="str">
        <f t="shared" si="375"/>
        <v/>
      </c>
      <c r="I4009" t="str">
        <f>IFERROR(INDEX(Analysis!$D$116:$N$137, MATCH(B4009, Analysis!$C$116:$C$137, 0), MATCH(C4009, Analysis!$D$115:$N$115, 0)), "")</f>
        <v/>
      </c>
      <c r="J4009" t="str">
        <f t="shared" si="376"/>
        <v/>
      </c>
      <c r="K4009" s="28" t="str">
        <f t="shared" si="373"/>
        <v/>
      </c>
      <c r="L4009" s="46" t="str">
        <f t="shared" si="377"/>
        <v/>
      </c>
      <c r="M4009" t="str" cm="1">
        <f t="array" ref="M4009">IF(L4009="","",_xlfn.IFS(
  AND(L4009&gt;=TIME(9,0,0), L4009&lt;TIME(16,0,0)),"Morning",
  AND(L4009&gt;=TIME(16,0,0), L4009&lt;TIME(23,59,0)),"Evening",
  L4009&gt;=TIME(23,59,0),"Night",
  L4009&lt;TIME(9,0,0),"Night"
))</f>
        <v/>
      </c>
      <c r="O4009" t="str">
        <f t="shared" si="374"/>
        <v/>
      </c>
    </row>
    <row r="4010" spans="7:15" x14ac:dyDescent="0.25">
      <c r="G4010" t="str">
        <f t="shared" si="372"/>
        <v/>
      </c>
      <c r="H4010" s="13" t="str">
        <f t="shared" si="375"/>
        <v/>
      </c>
      <c r="I4010" t="str">
        <f>IFERROR(INDEX(Analysis!$D$116:$N$137, MATCH(B4010, Analysis!$C$116:$C$137, 0), MATCH(C4010, Analysis!$D$115:$N$115, 0)), "")</f>
        <v/>
      </c>
      <c r="J4010" t="str">
        <f t="shared" si="376"/>
        <v/>
      </c>
      <c r="K4010" s="28" t="str">
        <f t="shared" si="373"/>
        <v/>
      </c>
      <c r="L4010" s="46" t="str">
        <f t="shared" si="377"/>
        <v/>
      </c>
      <c r="M4010" t="str" cm="1">
        <f t="array" ref="M4010">IF(L4010="","",_xlfn.IFS(
  AND(L4010&gt;=TIME(9,0,0), L4010&lt;TIME(16,0,0)),"Morning",
  AND(L4010&gt;=TIME(16,0,0), L4010&lt;TIME(23,59,0)),"Evening",
  L4010&gt;=TIME(23,59,0),"Night",
  L4010&lt;TIME(9,0,0),"Night"
))</f>
        <v/>
      </c>
      <c r="O4010" t="str">
        <f t="shared" si="374"/>
        <v/>
      </c>
    </row>
    <row r="4011" spans="7:15" x14ac:dyDescent="0.25">
      <c r="G4011" t="str">
        <f t="shared" si="372"/>
        <v/>
      </c>
      <c r="H4011" s="13" t="str">
        <f t="shared" si="375"/>
        <v/>
      </c>
      <c r="I4011" t="str">
        <f>IFERROR(INDEX(Analysis!$D$116:$N$137, MATCH(B4011, Analysis!$C$116:$C$137, 0), MATCH(C4011, Analysis!$D$115:$N$115, 0)), "")</f>
        <v/>
      </c>
      <c r="J4011" t="str">
        <f t="shared" si="376"/>
        <v/>
      </c>
      <c r="K4011" s="28" t="str">
        <f t="shared" si="373"/>
        <v/>
      </c>
      <c r="L4011" s="46" t="str">
        <f t="shared" si="377"/>
        <v/>
      </c>
      <c r="M4011" t="str" cm="1">
        <f t="array" ref="M4011">IF(L4011="","",_xlfn.IFS(
  AND(L4011&gt;=TIME(9,0,0), L4011&lt;TIME(16,0,0)),"Morning",
  AND(L4011&gt;=TIME(16,0,0), L4011&lt;TIME(23,59,0)),"Evening",
  L4011&gt;=TIME(23,59,0),"Night",
  L4011&lt;TIME(9,0,0),"Night"
))</f>
        <v/>
      </c>
      <c r="O4011" t="str">
        <f t="shared" si="374"/>
        <v/>
      </c>
    </row>
    <row r="4012" spans="7:15" x14ac:dyDescent="0.25">
      <c r="G4012" t="str">
        <f t="shared" si="372"/>
        <v/>
      </c>
      <c r="H4012" s="13" t="str">
        <f t="shared" si="375"/>
        <v/>
      </c>
      <c r="I4012" t="str">
        <f>IFERROR(INDEX(Analysis!$D$116:$N$137, MATCH(B4012, Analysis!$C$116:$C$137, 0), MATCH(C4012, Analysis!$D$115:$N$115, 0)), "")</f>
        <v/>
      </c>
      <c r="J4012" t="str">
        <f t="shared" si="376"/>
        <v/>
      </c>
      <c r="K4012" s="28" t="str">
        <f t="shared" si="373"/>
        <v/>
      </c>
      <c r="L4012" s="46" t="str">
        <f t="shared" si="377"/>
        <v/>
      </c>
      <c r="M4012" t="str" cm="1">
        <f t="array" ref="M4012">IF(L4012="","",_xlfn.IFS(
  AND(L4012&gt;=TIME(9,0,0), L4012&lt;TIME(16,0,0)),"Morning",
  AND(L4012&gt;=TIME(16,0,0), L4012&lt;TIME(23,59,0)),"Evening",
  L4012&gt;=TIME(23,59,0),"Night",
  L4012&lt;TIME(9,0,0),"Night"
))</f>
        <v/>
      </c>
      <c r="O4012" t="str">
        <f t="shared" si="374"/>
        <v/>
      </c>
    </row>
    <row r="4013" spans="7:15" x14ac:dyDescent="0.25">
      <c r="G4013" t="str">
        <f t="shared" si="372"/>
        <v/>
      </c>
      <c r="H4013" s="13" t="str">
        <f t="shared" si="375"/>
        <v/>
      </c>
      <c r="I4013" t="str">
        <f>IFERROR(INDEX(Analysis!$D$116:$N$137, MATCH(B4013, Analysis!$C$116:$C$137, 0), MATCH(C4013, Analysis!$D$115:$N$115, 0)), "")</f>
        <v/>
      </c>
      <c r="J4013" t="str">
        <f t="shared" si="376"/>
        <v/>
      </c>
      <c r="K4013" s="28" t="str">
        <f t="shared" si="373"/>
        <v/>
      </c>
      <c r="L4013" s="46" t="str">
        <f t="shared" si="377"/>
        <v/>
      </c>
      <c r="M4013" t="str" cm="1">
        <f t="array" ref="M4013">IF(L4013="","",_xlfn.IFS(
  AND(L4013&gt;=TIME(9,0,0), L4013&lt;TIME(16,0,0)),"Morning",
  AND(L4013&gt;=TIME(16,0,0), L4013&lt;TIME(23,59,0)),"Evening",
  L4013&gt;=TIME(23,59,0),"Night",
  L4013&lt;TIME(9,0,0),"Night"
))</f>
        <v/>
      </c>
      <c r="O4013" t="str">
        <f t="shared" si="374"/>
        <v/>
      </c>
    </row>
    <row r="4014" spans="7:15" x14ac:dyDescent="0.25">
      <c r="G4014" t="str">
        <f t="shared" si="372"/>
        <v/>
      </c>
      <c r="H4014" s="13" t="str">
        <f t="shared" si="375"/>
        <v/>
      </c>
      <c r="I4014" t="str">
        <f>IFERROR(INDEX(Analysis!$D$116:$N$137, MATCH(B4014, Analysis!$C$116:$C$137, 0), MATCH(C4014, Analysis!$D$115:$N$115, 0)), "")</f>
        <v/>
      </c>
      <c r="J4014" t="str">
        <f t="shared" si="376"/>
        <v/>
      </c>
      <c r="K4014" s="28" t="str">
        <f t="shared" si="373"/>
        <v/>
      </c>
      <c r="L4014" s="46" t="str">
        <f t="shared" si="377"/>
        <v/>
      </c>
      <c r="M4014" t="str" cm="1">
        <f t="array" ref="M4014">IF(L4014="","",_xlfn.IFS(
  AND(L4014&gt;=TIME(9,0,0), L4014&lt;TIME(16,0,0)),"Morning",
  AND(L4014&gt;=TIME(16,0,0), L4014&lt;TIME(23,59,0)),"Evening",
  L4014&gt;=TIME(23,59,0),"Night",
  L4014&lt;TIME(9,0,0),"Night"
))</f>
        <v/>
      </c>
      <c r="O4014" t="str">
        <f t="shared" si="374"/>
        <v/>
      </c>
    </row>
    <row r="4015" spans="7:15" x14ac:dyDescent="0.25">
      <c r="G4015" t="str">
        <f t="shared" si="372"/>
        <v/>
      </c>
      <c r="H4015" s="13" t="str">
        <f t="shared" si="375"/>
        <v/>
      </c>
      <c r="I4015" t="str">
        <f>IFERROR(INDEX(Analysis!$D$116:$N$137, MATCH(B4015, Analysis!$C$116:$C$137, 0), MATCH(C4015, Analysis!$D$115:$N$115, 0)), "")</f>
        <v/>
      </c>
      <c r="J4015" t="str">
        <f t="shared" si="376"/>
        <v/>
      </c>
      <c r="K4015" s="28" t="str">
        <f t="shared" si="373"/>
        <v/>
      </c>
      <c r="L4015" s="46" t="str">
        <f t="shared" si="377"/>
        <v/>
      </c>
      <c r="M4015" t="str" cm="1">
        <f t="array" ref="M4015">IF(L4015="","",_xlfn.IFS(
  AND(L4015&gt;=TIME(9,0,0), L4015&lt;TIME(16,0,0)),"Morning",
  AND(L4015&gt;=TIME(16,0,0), L4015&lt;TIME(23,59,0)),"Evening",
  L4015&gt;=TIME(23,59,0),"Night",
  L4015&lt;TIME(9,0,0),"Night"
))</f>
        <v/>
      </c>
      <c r="O4015" t="str">
        <f t="shared" si="374"/>
        <v/>
      </c>
    </row>
    <row r="4016" spans="7:15" x14ac:dyDescent="0.25">
      <c r="G4016" t="str">
        <f t="shared" si="372"/>
        <v/>
      </c>
      <c r="H4016" s="13" t="str">
        <f t="shared" si="375"/>
        <v/>
      </c>
      <c r="I4016" t="str">
        <f>IFERROR(INDEX(Analysis!$D$116:$N$137, MATCH(B4016, Analysis!$C$116:$C$137, 0), MATCH(C4016, Analysis!$D$115:$N$115, 0)), "")</f>
        <v/>
      </c>
      <c r="J4016" t="str">
        <f t="shared" si="376"/>
        <v/>
      </c>
      <c r="K4016" s="28" t="str">
        <f t="shared" si="373"/>
        <v/>
      </c>
      <c r="L4016" s="46" t="str">
        <f t="shared" si="377"/>
        <v/>
      </c>
      <c r="M4016" t="str" cm="1">
        <f t="array" ref="M4016">IF(L4016="","",_xlfn.IFS(
  AND(L4016&gt;=TIME(9,0,0), L4016&lt;TIME(16,0,0)),"Morning",
  AND(L4016&gt;=TIME(16,0,0), L4016&lt;TIME(23,59,0)),"Evening",
  L4016&gt;=TIME(23,59,0),"Night",
  L4016&lt;TIME(9,0,0),"Night"
))</f>
        <v/>
      </c>
      <c r="O4016" t="str">
        <f t="shared" si="374"/>
        <v/>
      </c>
    </row>
    <row r="4017" spans="7:15" x14ac:dyDescent="0.25">
      <c r="G4017" t="str">
        <f t="shared" si="372"/>
        <v/>
      </c>
      <c r="H4017" s="13" t="str">
        <f t="shared" si="375"/>
        <v/>
      </c>
      <c r="I4017" t="str">
        <f>IFERROR(INDEX(Analysis!$D$116:$N$137, MATCH(B4017, Analysis!$C$116:$C$137, 0), MATCH(C4017, Analysis!$D$115:$N$115, 0)), "")</f>
        <v/>
      </c>
      <c r="J4017" t="str">
        <f t="shared" si="376"/>
        <v/>
      </c>
      <c r="K4017" s="28" t="str">
        <f t="shared" si="373"/>
        <v/>
      </c>
      <c r="L4017" s="46" t="str">
        <f t="shared" si="377"/>
        <v/>
      </c>
      <c r="M4017" t="str" cm="1">
        <f t="array" ref="M4017">IF(L4017="","",_xlfn.IFS(
  AND(L4017&gt;=TIME(9,0,0), L4017&lt;TIME(16,0,0)),"Morning",
  AND(L4017&gt;=TIME(16,0,0), L4017&lt;TIME(23,59,0)),"Evening",
  L4017&gt;=TIME(23,59,0),"Night",
  L4017&lt;TIME(9,0,0),"Night"
))</f>
        <v/>
      </c>
      <c r="O4017" t="str">
        <f t="shared" si="374"/>
        <v/>
      </c>
    </row>
    <row r="4018" spans="7:15" x14ac:dyDescent="0.25">
      <c r="G4018" t="str">
        <f t="shared" si="372"/>
        <v/>
      </c>
      <c r="H4018" s="13" t="str">
        <f t="shared" si="375"/>
        <v/>
      </c>
      <c r="I4018" t="str">
        <f>IFERROR(INDEX(Analysis!$D$116:$N$137, MATCH(B4018, Analysis!$C$116:$C$137, 0), MATCH(C4018, Analysis!$D$115:$N$115, 0)), "")</f>
        <v/>
      </c>
      <c r="J4018" t="str">
        <f t="shared" si="376"/>
        <v/>
      </c>
      <c r="K4018" s="28" t="str">
        <f t="shared" si="373"/>
        <v/>
      </c>
      <c r="L4018" s="46" t="str">
        <f t="shared" si="377"/>
        <v/>
      </c>
      <c r="M4018" t="str" cm="1">
        <f t="array" ref="M4018">IF(L4018="","",_xlfn.IFS(
  AND(L4018&gt;=TIME(9,0,0), L4018&lt;TIME(16,0,0)),"Morning",
  AND(L4018&gt;=TIME(16,0,0), L4018&lt;TIME(23,59,0)),"Evening",
  L4018&gt;=TIME(23,59,0),"Night",
  L4018&lt;TIME(9,0,0),"Night"
))</f>
        <v/>
      </c>
      <c r="O4018" t="str">
        <f t="shared" si="374"/>
        <v/>
      </c>
    </row>
    <row r="4019" spans="7:15" x14ac:dyDescent="0.25">
      <c r="G4019" t="str">
        <f t="shared" si="372"/>
        <v/>
      </c>
      <c r="H4019" s="13" t="str">
        <f t="shared" si="375"/>
        <v/>
      </c>
      <c r="I4019" t="str">
        <f>IFERROR(INDEX(Analysis!$D$116:$N$137, MATCH(B4019, Analysis!$C$116:$C$137, 0), MATCH(C4019, Analysis!$D$115:$N$115, 0)), "")</f>
        <v/>
      </c>
      <c r="J4019" t="str">
        <f t="shared" si="376"/>
        <v/>
      </c>
      <c r="K4019" s="28" t="str">
        <f t="shared" si="373"/>
        <v/>
      </c>
      <c r="L4019" s="46" t="str">
        <f t="shared" si="377"/>
        <v/>
      </c>
      <c r="M4019" t="str" cm="1">
        <f t="array" ref="M4019">IF(L4019="","",_xlfn.IFS(
  AND(L4019&gt;=TIME(9,0,0), L4019&lt;TIME(16,0,0)),"Morning",
  AND(L4019&gt;=TIME(16,0,0), L4019&lt;TIME(23,59,0)),"Evening",
  L4019&gt;=TIME(23,59,0),"Night",
  L4019&lt;TIME(9,0,0),"Night"
))</f>
        <v/>
      </c>
      <c r="O4019" t="str">
        <f t="shared" si="374"/>
        <v/>
      </c>
    </row>
    <row r="4020" spans="7:15" x14ac:dyDescent="0.25">
      <c r="G4020" t="str">
        <f t="shared" si="372"/>
        <v/>
      </c>
      <c r="H4020" s="13" t="str">
        <f t="shared" si="375"/>
        <v/>
      </c>
      <c r="I4020" t="str">
        <f>IFERROR(INDEX(Analysis!$D$116:$N$137, MATCH(B4020, Analysis!$C$116:$C$137, 0), MATCH(C4020, Analysis!$D$115:$N$115, 0)), "")</f>
        <v/>
      </c>
      <c r="J4020" t="str">
        <f t="shared" si="376"/>
        <v/>
      </c>
      <c r="K4020" s="28" t="str">
        <f t="shared" si="373"/>
        <v/>
      </c>
      <c r="L4020" s="46" t="str">
        <f t="shared" si="377"/>
        <v/>
      </c>
      <c r="M4020" t="str" cm="1">
        <f t="array" ref="M4020">IF(L4020="","",_xlfn.IFS(
  AND(L4020&gt;=TIME(9,0,0), L4020&lt;TIME(16,0,0)),"Morning",
  AND(L4020&gt;=TIME(16,0,0), L4020&lt;TIME(23,59,0)),"Evening",
  L4020&gt;=TIME(23,59,0),"Night",
  L4020&lt;TIME(9,0,0),"Night"
))</f>
        <v/>
      </c>
      <c r="O4020" t="str">
        <f t="shared" si="374"/>
        <v/>
      </c>
    </row>
    <row r="4021" spans="7:15" x14ac:dyDescent="0.25">
      <c r="G4021" t="str">
        <f t="shared" si="372"/>
        <v/>
      </c>
      <c r="H4021" s="13" t="str">
        <f t="shared" si="375"/>
        <v/>
      </c>
      <c r="I4021" t="str">
        <f>IFERROR(INDEX(Analysis!$D$116:$N$137, MATCH(B4021, Analysis!$C$116:$C$137, 0), MATCH(C4021, Analysis!$D$115:$N$115, 0)), "")</f>
        <v/>
      </c>
      <c r="J4021" t="str">
        <f t="shared" si="376"/>
        <v/>
      </c>
      <c r="K4021" s="28" t="str">
        <f t="shared" si="373"/>
        <v/>
      </c>
      <c r="L4021" s="46" t="str">
        <f t="shared" si="377"/>
        <v/>
      </c>
      <c r="M4021" t="str" cm="1">
        <f t="array" ref="M4021">IF(L4021="","",_xlfn.IFS(
  AND(L4021&gt;=TIME(9,0,0), L4021&lt;TIME(16,0,0)),"Morning",
  AND(L4021&gt;=TIME(16,0,0), L4021&lt;TIME(23,59,0)),"Evening",
  L4021&gt;=TIME(23,59,0),"Night",
  L4021&lt;TIME(9,0,0),"Night"
))</f>
        <v/>
      </c>
      <c r="O4021" t="str">
        <f t="shared" si="374"/>
        <v/>
      </c>
    </row>
    <row r="4022" spans="7:15" x14ac:dyDescent="0.25">
      <c r="G4022" t="str">
        <f t="shared" si="372"/>
        <v/>
      </c>
      <c r="H4022" s="13" t="str">
        <f t="shared" si="375"/>
        <v/>
      </c>
      <c r="I4022" t="str">
        <f>IFERROR(INDEX(Analysis!$D$116:$N$137, MATCH(B4022, Analysis!$C$116:$C$137, 0), MATCH(C4022, Analysis!$D$115:$N$115, 0)), "")</f>
        <v/>
      </c>
      <c r="J4022" t="str">
        <f t="shared" si="376"/>
        <v/>
      </c>
      <c r="K4022" s="28" t="str">
        <f t="shared" si="373"/>
        <v/>
      </c>
      <c r="L4022" s="46" t="str">
        <f t="shared" si="377"/>
        <v/>
      </c>
      <c r="M4022" t="str" cm="1">
        <f t="array" ref="M4022">IF(L4022="","",_xlfn.IFS(
  AND(L4022&gt;=TIME(9,0,0), L4022&lt;TIME(16,0,0)),"Morning",
  AND(L4022&gt;=TIME(16,0,0), L4022&lt;TIME(23,59,0)),"Evening",
  L4022&gt;=TIME(23,59,0),"Night",
  L4022&lt;TIME(9,0,0),"Night"
))</f>
        <v/>
      </c>
      <c r="O4022" t="str">
        <f t="shared" si="374"/>
        <v/>
      </c>
    </row>
    <row r="4023" spans="7:15" x14ac:dyDescent="0.25">
      <c r="G4023" t="str">
        <f t="shared" si="372"/>
        <v/>
      </c>
      <c r="H4023" s="13" t="str">
        <f t="shared" si="375"/>
        <v/>
      </c>
      <c r="I4023" t="str">
        <f>IFERROR(INDEX(Analysis!$D$116:$N$137, MATCH(B4023, Analysis!$C$116:$C$137, 0), MATCH(C4023, Analysis!$D$115:$N$115, 0)), "")</f>
        <v/>
      </c>
      <c r="J4023" t="str">
        <f t="shared" si="376"/>
        <v/>
      </c>
      <c r="K4023" s="28" t="str">
        <f t="shared" si="373"/>
        <v/>
      </c>
      <c r="L4023" s="46" t="str">
        <f t="shared" si="377"/>
        <v/>
      </c>
      <c r="M4023" t="str" cm="1">
        <f t="array" ref="M4023">IF(L4023="","",_xlfn.IFS(
  AND(L4023&gt;=TIME(9,0,0), L4023&lt;TIME(16,0,0)),"Morning",
  AND(L4023&gt;=TIME(16,0,0), L4023&lt;TIME(23,59,0)),"Evening",
  L4023&gt;=TIME(23,59,0),"Night",
  L4023&lt;TIME(9,0,0),"Night"
))</f>
        <v/>
      </c>
      <c r="O4023" t="str">
        <f t="shared" si="374"/>
        <v/>
      </c>
    </row>
    <row r="4024" spans="7:15" x14ac:dyDescent="0.25">
      <c r="G4024" t="str">
        <f t="shared" si="372"/>
        <v/>
      </c>
      <c r="H4024" s="13" t="str">
        <f t="shared" si="375"/>
        <v/>
      </c>
      <c r="I4024" t="str">
        <f>IFERROR(INDEX(Analysis!$D$116:$N$137, MATCH(B4024, Analysis!$C$116:$C$137, 0), MATCH(C4024, Analysis!$D$115:$N$115, 0)), "")</f>
        <v/>
      </c>
      <c r="J4024" t="str">
        <f t="shared" si="376"/>
        <v/>
      </c>
      <c r="K4024" s="28" t="str">
        <f t="shared" si="373"/>
        <v/>
      </c>
      <c r="L4024" s="46" t="str">
        <f t="shared" si="377"/>
        <v/>
      </c>
      <c r="M4024" t="str" cm="1">
        <f t="array" ref="M4024">IF(L4024="","",_xlfn.IFS(
  AND(L4024&gt;=TIME(9,0,0), L4024&lt;TIME(16,0,0)),"Morning",
  AND(L4024&gt;=TIME(16,0,0), L4024&lt;TIME(23,59,0)),"Evening",
  L4024&gt;=TIME(23,59,0),"Night",
  L4024&lt;TIME(9,0,0),"Night"
))</f>
        <v/>
      </c>
      <c r="O4024" t="str">
        <f t="shared" si="374"/>
        <v/>
      </c>
    </row>
    <row r="4025" spans="7:15" x14ac:dyDescent="0.25">
      <c r="G4025" t="str">
        <f t="shared" si="372"/>
        <v/>
      </c>
      <c r="H4025" s="13" t="str">
        <f t="shared" si="375"/>
        <v/>
      </c>
      <c r="I4025" t="str">
        <f>IFERROR(INDEX(Analysis!$D$116:$N$137, MATCH(B4025, Analysis!$C$116:$C$137, 0), MATCH(C4025, Analysis!$D$115:$N$115, 0)), "")</f>
        <v/>
      </c>
      <c r="J4025" t="str">
        <f t="shared" si="376"/>
        <v/>
      </c>
      <c r="K4025" s="28" t="str">
        <f t="shared" si="373"/>
        <v/>
      </c>
      <c r="L4025" s="46" t="str">
        <f t="shared" si="377"/>
        <v/>
      </c>
      <c r="M4025" t="str" cm="1">
        <f t="array" ref="M4025">IF(L4025="","",_xlfn.IFS(
  AND(L4025&gt;=TIME(9,0,0), L4025&lt;TIME(16,0,0)),"Morning",
  AND(L4025&gt;=TIME(16,0,0), L4025&lt;TIME(23,59,0)),"Evening",
  L4025&gt;=TIME(23,59,0),"Night",
  L4025&lt;TIME(9,0,0),"Night"
))</f>
        <v/>
      </c>
      <c r="O4025" t="str">
        <f t="shared" si="374"/>
        <v/>
      </c>
    </row>
    <row r="4026" spans="7:15" x14ac:dyDescent="0.25">
      <c r="G4026" t="str">
        <f t="shared" si="372"/>
        <v/>
      </c>
      <c r="H4026" s="13" t="str">
        <f t="shared" si="375"/>
        <v/>
      </c>
      <c r="I4026" t="str">
        <f>IFERROR(INDEX(Analysis!$D$116:$N$137, MATCH(B4026, Analysis!$C$116:$C$137, 0), MATCH(C4026, Analysis!$D$115:$N$115, 0)), "")</f>
        <v/>
      </c>
      <c r="J4026" t="str">
        <f t="shared" si="376"/>
        <v/>
      </c>
      <c r="K4026" s="28" t="str">
        <f t="shared" si="373"/>
        <v/>
      </c>
      <c r="L4026" s="46" t="str">
        <f t="shared" si="377"/>
        <v/>
      </c>
      <c r="M4026" t="str" cm="1">
        <f t="array" ref="M4026">IF(L4026="","",_xlfn.IFS(
  AND(L4026&gt;=TIME(9,0,0), L4026&lt;TIME(16,0,0)),"Morning",
  AND(L4026&gt;=TIME(16,0,0), L4026&lt;TIME(23,59,0)),"Evening",
  L4026&gt;=TIME(23,59,0),"Night",
  L4026&lt;TIME(9,0,0),"Night"
))</f>
        <v/>
      </c>
      <c r="O4026" t="str">
        <f t="shared" si="374"/>
        <v/>
      </c>
    </row>
    <row r="4027" spans="7:15" x14ac:dyDescent="0.25">
      <c r="G4027" t="str">
        <f t="shared" si="372"/>
        <v/>
      </c>
      <c r="H4027" s="13" t="str">
        <f t="shared" si="375"/>
        <v/>
      </c>
      <c r="I4027" t="str">
        <f>IFERROR(INDEX(Analysis!$D$116:$N$137, MATCH(B4027, Analysis!$C$116:$C$137, 0), MATCH(C4027, Analysis!$D$115:$N$115, 0)), "")</f>
        <v/>
      </c>
      <c r="J4027" t="str">
        <f t="shared" si="376"/>
        <v/>
      </c>
      <c r="K4027" s="28" t="str">
        <f t="shared" si="373"/>
        <v/>
      </c>
      <c r="L4027" s="46" t="str">
        <f t="shared" si="377"/>
        <v/>
      </c>
      <c r="M4027" t="str" cm="1">
        <f t="array" ref="M4027">IF(L4027="","",_xlfn.IFS(
  AND(L4027&gt;=TIME(9,0,0), L4027&lt;TIME(16,0,0)),"Morning",
  AND(L4027&gt;=TIME(16,0,0), L4027&lt;TIME(23,59,0)),"Evening",
  L4027&gt;=TIME(23,59,0),"Night",
  L4027&lt;TIME(9,0,0),"Night"
))</f>
        <v/>
      </c>
      <c r="O4027" t="str">
        <f t="shared" si="374"/>
        <v/>
      </c>
    </row>
    <row r="4028" spans="7:15" x14ac:dyDescent="0.25">
      <c r="G4028" t="str">
        <f t="shared" si="372"/>
        <v/>
      </c>
      <c r="H4028" s="13" t="str">
        <f t="shared" si="375"/>
        <v/>
      </c>
      <c r="I4028" t="str">
        <f>IFERROR(INDEX(Analysis!$D$116:$N$137, MATCH(B4028, Analysis!$C$116:$C$137, 0), MATCH(C4028, Analysis!$D$115:$N$115, 0)), "")</f>
        <v/>
      </c>
      <c r="J4028" t="str">
        <f t="shared" si="376"/>
        <v/>
      </c>
      <c r="K4028" s="28" t="str">
        <f t="shared" si="373"/>
        <v/>
      </c>
      <c r="L4028" s="46" t="str">
        <f t="shared" si="377"/>
        <v/>
      </c>
      <c r="M4028" t="str" cm="1">
        <f t="array" ref="M4028">IF(L4028="","",_xlfn.IFS(
  AND(L4028&gt;=TIME(9,0,0), L4028&lt;TIME(16,0,0)),"Morning",
  AND(L4028&gt;=TIME(16,0,0), L4028&lt;TIME(23,59,0)),"Evening",
  L4028&gt;=TIME(23,59,0),"Night",
  L4028&lt;TIME(9,0,0),"Night"
))</f>
        <v/>
      </c>
      <c r="O4028" t="str">
        <f t="shared" si="374"/>
        <v/>
      </c>
    </row>
    <row r="4029" spans="7:15" x14ac:dyDescent="0.25">
      <c r="G4029" t="str">
        <f t="shared" si="372"/>
        <v/>
      </c>
      <c r="H4029" s="13" t="str">
        <f t="shared" si="375"/>
        <v/>
      </c>
      <c r="I4029" t="str">
        <f>IFERROR(INDEX(Analysis!$D$116:$N$137, MATCH(B4029, Analysis!$C$116:$C$137, 0), MATCH(C4029, Analysis!$D$115:$N$115, 0)), "")</f>
        <v/>
      </c>
      <c r="J4029" t="str">
        <f t="shared" si="376"/>
        <v/>
      </c>
      <c r="K4029" s="28" t="str">
        <f t="shared" si="373"/>
        <v/>
      </c>
      <c r="L4029" s="46" t="str">
        <f t="shared" si="377"/>
        <v/>
      </c>
      <c r="M4029" t="str" cm="1">
        <f t="array" ref="M4029">IF(L4029="","",_xlfn.IFS(
  AND(L4029&gt;=TIME(9,0,0), L4029&lt;TIME(16,0,0)),"Morning",
  AND(L4029&gt;=TIME(16,0,0), L4029&lt;TIME(23,59,0)),"Evening",
  L4029&gt;=TIME(23,59,0),"Night",
  L4029&lt;TIME(9,0,0),"Night"
))</f>
        <v/>
      </c>
      <c r="O4029" t="str">
        <f t="shared" si="374"/>
        <v/>
      </c>
    </row>
    <row r="4030" spans="7:15" x14ac:dyDescent="0.25">
      <c r="G4030" t="str">
        <f t="shared" si="372"/>
        <v/>
      </c>
      <c r="H4030" s="13" t="str">
        <f t="shared" si="375"/>
        <v/>
      </c>
      <c r="I4030" t="str">
        <f>IFERROR(INDEX(Analysis!$D$116:$N$137, MATCH(B4030, Analysis!$C$116:$C$137, 0), MATCH(C4030, Analysis!$D$115:$N$115, 0)), "")</f>
        <v/>
      </c>
      <c r="J4030" t="str">
        <f t="shared" si="376"/>
        <v/>
      </c>
      <c r="K4030" s="28" t="str">
        <f t="shared" si="373"/>
        <v/>
      </c>
      <c r="L4030" s="46" t="str">
        <f t="shared" si="377"/>
        <v/>
      </c>
      <c r="M4030" t="str" cm="1">
        <f t="array" ref="M4030">IF(L4030="","",_xlfn.IFS(
  AND(L4030&gt;=TIME(9,0,0), L4030&lt;TIME(16,0,0)),"Morning",
  AND(L4030&gt;=TIME(16,0,0), L4030&lt;TIME(23,59,0)),"Evening",
  L4030&gt;=TIME(23,59,0),"Night",
  L4030&lt;TIME(9,0,0),"Night"
))</f>
        <v/>
      </c>
      <c r="O4030" t="str">
        <f t="shared" si="374"/>
        <v/>
      </c>
    </row>
    <row r="4031" spans="7:15" x14ac:dyDescent="0.25">
      <c r="G4031" t="str">
        <f t="shared" si="372"/>
        <v/>
      </c>
      <c r="H4031" s="13" t="str">
        <f t="shared" si="375"/>
        <v/>
      </c>
      <c r="I4031" t="str">
        <f>IFERROR(INDEX(Analysis!$D$116:$N$137, MATCH(B4031, Analysis!$C$116:$C$137, 0), MATCH(C4031, Analysis!$D$115:$N$115, 0)), "")</f>
        <v/>
      </c>
      <c r="J4031" t="str">
        <f t="shared" si="376"/>
        <v/>
      </c>
      <c r="K4031" s="28" t="str">
        <f t="shared" si="373"/>
        <v/>
      </c>
      <c r="L4031" s="46" t="str">
        <f t="shared" si="377"/>
        <v/>
      </c>
      <c r="M4031" t="str" cm="1">
        <f t="array" ref="M4031">IF(L4031="","",_xlfn.IFS(
  AND(L4031&gt;=TIME(9,0,0), L4031&lt;TIME(16,0,0)),"Morning",
  AND(L4031&gt;=TIME(16,0,0), L4031&lt;TIME(23,59,0)),"Evening",
  L4031&gt;=TIME(23,59,0),"Night",
  L4031&lt;TIME(9,0,0),"Night"
))</f>
        <v/>
      </c>
      <c r="O4031" t="str">
        <f t="shared" si="374"/>
        <v/>
      </c>
    </row>
    <row r="4032" spans="7:15" x14ac:dyDescent="0.25">
      <c r="G4032" t="str">
        <f t="shared" si="372"/>
        <v/>
      </c>
      <c r="H4032" s="13" t="str">
        <f t="shared" si="375"/>
        <v/>
      </c>
      <c r="I4032" t="str">
        <f>IFERROR(INDEX(Analysis!$D$116:$N$137, MATCH(B4032, Analysis!$C$116:$C$137, 0), MATCH(C4032, Analysis!$D$115:$N$115, 0)), "")</f>
        <v/>
      </c>
      <c r="J4032" t="str">
        <f t="shared" si="376"/>
        <v/>
      </c>
      <c r="K4032" s="28" t="str">
        <f t="shared" si="373"/>
        <v/>
      </c>
      <c r="L4032" s="46" t="str">
        <f t="shared" si="377"/>
        <v/>
      </c>
      <c r="M4032" t="str" cm="1">
        <f t="array" ref="M4032">IF(L4032="","",_xlfn.IFS(
  AND(L4032&gt;=TIME(9,0,0), L4032&lt;TIME(16,0,0)),"Morning",
  AND(L4032&gt;=TIME(16,0,0), L4032&lt;TIME(23,59,0)),"Evening",
  L4032&gt;=TIME(23,59,0),"Night",
  L4032&lt;TIME(9,0,0),"Night"
))</f>
        <v/>
      </c>
      <c r="O4032" t="str">
        <f t="shared" si="374"/>
        <v/>
      </c>
    </row>
    <row r="4033" spans="7:15" x14ac:dyDescent="0.25">
      <c r="G4033" t="str">
        <f t="shared" si="372"/>
        <v/>
      </c>
      <c r="H4033" s="13" t="str">
        <f t="shared" si="375"/>
        <v/>
      </c>
      <c r="I4033" t="str">
        <f>IFERROR(INDEX(Analysis!$D$116:$N$137, MATCH(B4033, Analysis!$C$116:$C$137, 0), MATCH(C4033, Analysis!$D$115:$N$115, 0)), "")</f>
        <v/>
      </c>
      <c r="J4033" t="str">
        <f t="shared" si="376"/>
        <v/>
      </c>
      <c r="K4033" s="28" t="str">
        <f t="shared" si="373"/>
        <v/>
      </c>
      <c r="L4033" s="46" t="str">
        <f t="shared" si="377"/>
        <v/>
      </c>
      <c r="M4033" t="str" cm="1">
        <f t="array" ref="M4033">IF(L4033="","",_xlfn.IFS(
  AND(L4033&gt;=TIME(9,0,0), L4033&lt;TIME(16,0,0)),"Morning",
  AND(L4033&gt;=TIME(16,0,0), L4033&lt;TIME(23,59,0)),"Evening",
  L4033&gt;=TIME(23,59,0),"Night",
  L4033&lt;TIME(9,0,0),"Night"
))</f>
        <v/>
      </c>
      <c r="O4033" t="str">
        <f t="shared" si="374"/>
        <v/>
      </c>
    </row>
    <row r="4034" spans="7:15" x14ac:dyDescent="0.25">
      <c r="G4034" t="str">
        <f t="shared" ref="G4034:G4097" si="378">IF(ISBLANK(A4034), "", IF(ISBLANK(F4034), 0, F4034))</f>
        <v/>
      </c>
      <c r="H4034" s="13" t="str">
        <f t="shared" si="375"/>
        <v/>
      </c>
      <c r="I4034" t="str">
        <f>IFERROR(INDEX(Analysis!$D$116:$N$137, MATCH(B4034, Analysis!$C$116:$C$137, 0), MATCH(C4034, Analysis!$D$115:$N$115, 0)), "")</f>
        <v/>
      </c>
      <c r="J4034" t="str">
        <f t="shared" si="376"/>
        <v/>
      </c>
      <c r="K4034" s="28" t="str">
        <f t="shared" ref="K4034:K4097" si="379">IF(ISBLANK(A4034),"",DATE(YEAR(A4034),MONTH(A4034),DAY(A4034)))</f>
        <v/>
      </c>
      <c r="L4034" s="46" t="str">
        <f t="shared" si="377"/>
        <v/>
      </c>
      <c r="M4034" t="str" cm="1">
        <f t="array" ref="M4034">IF(L4034="","",_xlfn.IFS(
  AND(L4034&gt;=TIME(9,0,0), L4034&lt;TIME(16,0,0)),"Morning",
  AND(L4034&gt;=TIME(16,0,0), L4034&lt;TIME(23,59,0)),"Evening",
  L4034&gt;=TIME(23,59,0),"Night",
  L4034&lt;TIME(9,0,0),"Night"
))</f>
        <v/>
      </c>
      <c r="O4034" t="str">
        <f t="shared" ref="O4034:O4097" si="380">IF(N4034="ON", _xlfn.IMAGE(E4034, 1), "")</f>
        <v/>
      </c>
    </row>
    <row r="4035" spans="7:15" x14ac:dyDescent="0.25">
      <c r="G4035" t="str">
        <f t="shared" si="378"/>
        <v/>
      </c>
      <c r="H4035" s="13" t="str">
        <f t="shared" ref="H4035:H4098" si="381">IF(ISBLANK(E4035),"",HYPERLINK(E4035,"Click here"))</f>
        <v/>
      </c>
      <c r="I4035" t="str">
        <f>IFERROR(INDEX(Analysis!$D$116:$N$137, MATCH(B4035, Analysis!$C$116:$C$137, 0), MATCH(C4035, Analysis!$D$115:$N$115, 0)), "")</f>
        <v/>
      </c>
      <c r="J4035" t="str">
        <f t="shared" ref="J4035:J4098" si="382">IF(ISBLANK(A4035),"",WEEKNUM(A4035))</f>
        <v/>
      </c>
      <c r="K4035" s="28" t="str">
        <f t="shared" si="379"/>
        <v/>
      </c>
      <c r="L4035" s="46" t="str">
        <f t="shared" ref="L4035:L4098" si="383">IF(A4035="", "", A4035 - INT(A4035))</f>
        <v/>
      </c>
      <c r="M4035" t="str" cm="1">
        <f t="array" ref="M4035">IF(L4035="","",_xlfn.IFS(
  AND(L4035&gt;=TIME(9,0,0), L4035&lt;TIME(16,0,0)),"Morning",
  AND(L4035&gt;=TIME(16,0,0), L4035&lt;TIME(23,59,0)),"Evening",
  L4035&gt;=TIME(23,59,0),"Night",
  L4035&lt;TIME(9,0,0),"Night"
))</f>
        <v/>
      </c>
      <c r="O4035" t="str">
        <f t="shared" si="380"/>
        <v/>
      </c>
    </row>
    <row r="4036" spans="7:15" x14ac:dyDescent="0.25">
      <c r="G4036" t="str">
        <f t="shared" si="378"/>
        <v/>
      </c>
      <c r="H4036" s="13" t="str">
        <f t="shared" si="381"/>
        <v/>
      </c>
      <c r="I4036" t="str">
        <f>IFERROR(INDEX(Analysis!$D$116:$N$137, MATCH(B4036, Analysis!$C$116:$C$137, 0), MATCH(C4036, Analysis!$D$115:$N$115, 0)), "")</f>
        <v/>
      </c>
      <c r="J4036" t="str">
        <f t="shared" si="382"/>
        <v/>
      </c>
      <c r="K4036" s="28" t="str">
        <f t="shared" si="379"/>
        <v/>
      </c>
      <c r="L4036" s="46" t="str">
        <f t="shared" si="383"/>
        <v/>
      </c>
      <c r="M4036" t="str" cm="1">
        <f t="array" ref="M4036">IF(L4036="","",_xlfn.IFS(
  AND(L4036&gt;=TIME(9,0,0), L4036&lt;TIME(16,0,0)),"Morning",
  AND(L4036&gt;=TIME(16,0,0), L4036&lt;TIME(23,59,0)),"Evening",
  L4036&gt;=TIME(23,59,0),"Night",
  L4036&lt;TIME(9,0,0),"Night"
))</f>
        <v/>
      </c>
      <c r="O4036" t="str">
        <f t="shared" si="380"/>
        <v/>
      </c>
    </row>
    <row r="4037" spans="7:15" x14ac:dyDescent="0.25">
      <c r="G4037" t="str">
        <f t="shared" si="378"/>
        <v/>
      </c>
      <c r="H4037" s="13" t="str">
        <f t="shared" si="381"/>
        <v/>
      </c>
      <c r="I4037" t="str">
        <f>IFERROR(INDEX(Analysis!$D$116:$N$137, MATCH(B4037, Analysis!$C$116:$C$137, 0), MATCH(C4037, Analysis!$D$115:$N$115, 0)), "")</f>
        <v/>
      </c>
      <c r="J4037" t="str">
        <f t="shared" si="382"/>
        <v/>
      </c>
      <c r="K4037" s="28" t="str">
        <f t="shared" si="379"/>
        <v/>
      </c>
      <c r="L4037" s="46" t="str">
        <f t="shared" si="383"/>
        <v/>
      </c>
      <c r="M4037" t="str" cm="1">
        <f t="array" ref="M4037">IF(L4037="","",_xlfn.IFS(
  AND(L4037&gt;=TIME(9,0,0), L4037&lt;TIME(16,0,0)),"Morning",
  AND(L4037&gt;=TIME(16,0,0), L4037&lt;TIME(23,59,0)),"Evening",
  L4037&gt;=TIME(23,59,0),"Night",
  L4037&lt;TIME(9,0,0),"Night"
))</f>
        <v/>
      </c>
      <c r="O4037" t="str">
        <f t="shared" si="380"/>
        <v/>
      </c>
    </row>
    <row r="4038" spans="7:15" x14ac:dyDescent="0.25">
      <c r="G4038" t="str">
        <f t="shared" si="378"/>
        <v/>
      </c>
      <c r="H4038" s="13" t="str">
        <f t="shared" si="381"/>
        <v/>
      </c>
      <c r="I4038" t="str">
        <f>IFERROR(INDEX(Analysis!$D$116:$N$137, MATCH(B4038, Analysis!$C$116:$C$137, 0), MATCH(C4038, Analysis!$D$115:$N$115, 0)), "")</f>
        <v/>
      </c>
      <c r="J4038" t="str">
        <f t="shared" si="382"/>
        <v/>
      </c>
      <c r="K4038" s="28" t="str">
        <f t="shared" si="379"/>
        <v/>
      </c>
      <c r="L4038" s="46" t="str">
        <f t="shared" si="383"/>
        <v/>
      </c>
      <c r="M4038" t="str" cm="1">
        <f t="array" ref="M4038">IF(L4038="","",_xlfn.IFS(
  AND(L4038&gt;=TIME(9,0,0), L4038&lt;TIME(16,0,0)),"Morning",
  AND(L4038&gt;=TIME(16,0,0), L4038&lt;TIME(23,59,0)),"Evening",
  L4038&gt;=TIME(23,59,0),"Night",
  L4038&lt;TIME(9,0,0),"Night"
))</f>
        <v/>
      </c>
      <c r="O4038" t="str">
        <f t="shared" si="380"/>
        <v/>
      </c>
    </row>
    <row r="4039" spans="7:15" x14ac:dyDescent="0.25">
      <c r="G4039" t="str">
        <f t="shared" si="378"/>
        <v/>
      </c>
      <c r="H4039" s="13" t="str">
        <f t="shared" si="381"/>
        <v/>
      </c>
      <c r="I4039" t="str">
        <f>IFERROR(INDEX(Analysis!$D$116:$N$137, MATCH(B4039, Analysis!$C$116:$C$137, 0), MATCH(C4039, Analysis!$D$115:$N$115, 0)), "")</f>
        <v/>
      </c>
      <c r="J4039" t="str">
        <f t="shared" si="382"/>
        <v/>
      </c>
      <c r="K4039" s="28" t="str">
        <f t="shared" si="379"/>
        <v/>
      </c>
      <c r="L4039" s="46" t="str">
        <f t="shared" si="383"/>
        <v/>
      </c>
      <c r="M4039" t="str" cm="1">
        <f t="array" ref="M4039">IF(L4039="","",_xlfn.IFS(
  AND(L4039&gt;=TIME(9,0,0), L4039&lt;TIME(16,0,0)),"Morning",
  AND(L4039&gt;=TIME(16,0,0), L4039&lt;TIME(23,59,0)),"Evening",
  L4039&gt;=TIME(23,59,0),"Night",
  L4039&lt;TIME(9,0,0),"Night"
))</f>
        <v/>
      </c>
      <c r="O4039" t="str">
        <f t="shared" si="380"/>
        <v/>
      </c>
    </row>
    <row r="4040" spans="7:15" x14ac:dyDescent="0.25">
      <c r="G4040" t="str">
        <f t="shared" si="378"/>
        <v/>
      </c>
      <c r="H4040" s="13" t="str">
        <f t="shared" si="381"/>
        <v/>
      </c>
      <c r="I4040" t="str">
        <f>IFERROR(INDEX(Analysis!$D$116:$N$137, MATCH(B4040, Analysis!$C$116:$C$137, 0), MATCH(C4040, Analysis!$D$115:$N$115, 0)), "")</f>
        <v/>
      </c>
      <c r="J4040" t="str">
        <f t="shared" si="382"/>
        <v/>
      </c>
      <c r="K4040" s="28" t="str">
        <f t="shared" si="379"/>
        <v/>
      </c>
      <c r="L4040" s="46" t="str">
        <f t="shared" si="383"/>
        <v/>
      </c>
      <c r="M4040" t="str" cm="1">
        <f t="array" ref="M4040">IF(L4040="","",_xlfn.IFS(
  AND(L4040&gt;=TIME(9,0,0), L4040&lt;TIME(16,0,0)),"Morning",
  AND(L4040&gt;=TIME(16,0,0), L4040&lt;TIME(23,59,0)),"Evening",
  L4040&gt;=TIME(23,59,0),"Night",
  L4040&lt;TIME(9,0,0),"Night"
))</f>
        <v/>
      </c>
      <c r="O4040" t="str">
        <f t="shared" si="380"/>
        <v/>
      </c>
    </row>
    <row r="4041" spans="7:15" x14ac:dyDescent="0.25">
      <c r="G4041" t="str">
        <f t="shared" si="378"/>
        <v/>
      </c>
      <c r="H4041" s="13" t="str">
        <f t="shared" si="381"/>
        <v/>
      </c>
      <c r="I4041" t="str">
        <f>IFERROR(INDEX(Analysis!$D$116:$N$137, MATCH(B4041, Analysis!$C$116:$C$137, 0), MATCH(C4041, Analysis!$D$115:$N$115, 0)), "")</f>
        <v/>
      </c>
      <c r="J4041" t="str">
        <f t="shared" si="382"/>
        <v/>
      </c>
      <c r="K4041" s="28" t="str">
        <f t="shared" si="379"/>
        <v/>
      </c>
      <c r="L4041" s="46" t="str">
        <f t="shared" si="383"/>
        <v/>
      </c>
      <c r="M4041" t="str" cm="1">
        <f t="array" ref="M4041">IF(L4041="","",_xlfn.IFS(
  AND(L4041&gt;=TIME(9,0,0), L4041&lt;TIME(16,0,0)),"Morning",
  AND(L4041&gt;=TIME(16,0,0), L4041&lt;TIME(23,59,0)),"Evening",
  L4041&gt;=TIME(23,59,0),"Night",
  L4041&lt;TIME(9,0,0),"Night"
))</f>
        <v/>
      </c>
      <c r="O4041" t="str">
        <f t="shared" si="380"/>
        <v/>
      </c>
    </row>
    <row r="4042" spans="7:15" x14ac:dyDescent="0.25">
      <c r="G4042" t="str">
        <f t="shared" si="378"/>
        <v/>
      </c>
      <c r="H4042" s="13" t="str">
        <f t="shared" si="381"/>
        <v/>
      </c>
      <c r="I4042" t="str">
        <f>IFERROR(INDEX(Analysis!$D$116:$N$137, MATCH(B4042, Analysis!$C$116:$C$137, 0), MATCH(C4042, Analysis!$D$115:$N$115, 0)), "")</f>
        <v/>
      </c>
      <c r="J4042" t="str">
        <f t="shared" si="382"/>
        <v/>
      </c>
      <c r="K4042" s="28" t="str">
        <f t="shared" si="379"/>
        <v/>
      </c>
      <c r="L4042" s="46" t="str">
        <f t="shared" si="383"/>
        <v/>
      </c>
      <c r="M4042" t="str" cm="1">
        <f t="array" ref="M4042">IF(L4042="","",_xlfn.IFS(
  AND(L4042&gt;=TIME(9,0,0), L4042&lt;TIME(16,0,0)),"Morning",
  AND(L4042&gt;=TIME(16,0,0), L4042&lt;TIME(23,59,0)),"Evening",
  L4042&gt;=TIME(23,59,0),"Night",
  L4042&lt;TIME(9,0,0),"Night"
))</f>
        <v/>
      </c>
      <c r="O4042" t="str">
        <f t="shared" si="380"/>
        <v/>
      </c>
    </row>
    <row r="4043" spans="7:15" x14ac:dyDescent="0.25">
      <c r="G4043" t="str">
        <f t="shared" si="378"/>
        <v/>
      </c>
      <c r="H4043" s="13" t="str">
        <f t="shared" si="381"/>
        <v/>
      </c>
      <c r="I4043" t="str">
        <f>IFERROR(INDEX(Analysis!$D$116:$N$137, MATCH(B4043, Analysis!$C$116:$C$137, 0), MATCH(C4043, Analysis!$D$115:$N$115, 0)), "")</f>
        <v/>
      </c>
      <c r="J4043" t="str">
        <f t="shared" si="382"/>
        <v/>
      </c>
      <c r="K4043" s="28" t="str">
        <f t="shared" si="379"/>
        <v/>
      </c>
      <c r="L4043" s="46" t="str">
        <f t="shared" si="383"/>
        <v/>
      </c>
      <c r="M4043" t="str" cm="1">
        <f t="array" ref="M4043">IF(L4043="","",_xlfn.IFS(
  AND(L4043&gt;=TIME(9,0,0), L4043&lt;TIME(16,0,0)),"Morning",
  AND(L4043&gt;=TIME(16,0,0), L4043&lt;TIME(23,59,0)),"Evening",
  L4043&gt;=TIME(23,59,0),"Night",
  L4043&lt;TIME(9,0,0),"Night"
))</f>
        <v/>
      </c>
      <c r="O4043" t="str">
        <f t="shared" si="380"/>
        <v/>
      </c>
    </row>
    <row r="4044" spans="7:15" x14ac:dyDescent="0.25">
      <c r="G4044" t="str">
        <f t="shared" si="378"/>
        <v/>
      </c>
      <c r="H4044" s="13" t="str">
        <f t="shared" si="381"/>
        <v/>
      </c>
      <c r="I4044" t="str">
        <f>IFERROR(INDEX(Analysis!$D$116:$N$137, MATCH(B4044, Analysis!$C$116:$C$137, 0), MATCH(C4044, Analysis!$D$115:$N$115, 0)), "")</f>
        <v/>
      </c>
      <c r="J4044" t="str">
        <f t="shared" si="382"/>
        <v/>
      </c>
      <c r="K4044" s="28" t="str">
        <f t="shared" si="379"/>
        <v/>
      </c>
      <c r="L4044" s="46" t="str">
        <f t="shared" si="383"/>
        <v/>
      </c>
      <c r="M4044" t="str" cm="1">
        <f t="array" ref="M4044">IF(L4044="","",_xlfn.IFS(
  AND(L4044&gt;=TIME(9,0,0), L4044&lt;TIME(16,0,0)),"Morning",
  AND(L4044&gt;=TIME(16,0,0), L4044&lt;TIME(23,59,0)),"Evening",
  L4044&gt;=TIME(23,59,0),"Night",
  L4044&lt;TIME(9,0,0),"Night"
))</f>
        <v/>
      </c>
      <c r="O4044" t="str">
        <f t="shared" si="380"/>
        <v/>
      </c>
    </row>
    <row r="4045" spans="7:15" x14ac:dyDescent="0.25">
      <c r="G4045" t="str">
        <f t="shared" si="378"/>
        <v/>
      </c>
      <c r="H4045" s="13" t="str">
        <f t="shared" si="381"/>
        <v/>
      </c>
      <c r="I4045" t="str">
        <f>IFERROR(INDEX(Analysis!$D$116:$N$137, MATCH(B4045, Analysis!$C$116:$C$137, 0), MATCH(C4045, Analysis!$D$115:$N$115, 0)), "")</f>
        <v/>
      </c>
      <c r="J4045" t="str">
        <f t="shared" si="382"/>
        <v/>
      </c>
      <c r="K4045" s="28" t="str">
        <f t="shared" si="379"/>
        <v/>
      </c>
      <c r="L4045" s="46" t="str">
        <f t="shared" si="383"/>
        <v/>
      </c>
      <c r="M4045" t="str" cm="1">
        <f t="array" ref="M4045">IF(L4045="","",_xlfn.IFS(
  AND(L4045&gt;=TIME(9,0,0), L4045&lt;TIME(16,0,0)),"Morning",
  AND(L4045&gt;=TIME(16,0,0), L4045&lt;TIME(23,59,0)),"Evening",
  L4045&gt;=TIME(23,59,0),"Night",
  L4045&lt;TIME(9,0,0),"Night"
))</f>
        <v/>
      </c>
      <c r="O4045" t="str">
        <f t="shared" si="380"/>
        <v/>
      </c>
    </row>
    <row r="4046" spans="7:15" x14ac:dyDescent="0.25">
      <c r="G4046" t="str">
        <f t="shared" si="378"/>
        <v/>
      </c>
      <c r="H4046" s="13" t="str">
        <f t="shared" si="381"/>
        <v/>
      </c>
      <c r="I4046" t="str">
        <f>IFERROR(INDEX(Analysis!$D$116:$N$137, MATCH(B4046, Analysis!$C$116:$C$137, 0), MATCH(C4046, Analysis!$D$115:$N$115, 0)), "")</f>
        <v/>
      </c>
      <c r="J4046" t="str">
        <f t="shared" si="382"/>
        <v/>
      </c>
      <c r="K4046" s="28" t="str">
        <f t="shared" si="379"/>
        <v/>
      </c>
      <c r="L4046" s="46" t="str">
        <f t="shared" si="383"/>
        <v/>
      </c>
      <c r="M4046" t="str" cm="1">
        <f t="array" ref="M4046">IF(L4046="","",_xlfn.IFS(
  AND(L4046&gt;=TIME(9,0,0), L4046&lt;TIME(16,0,0)),"Morning",
  AND(L4046&gt;=TIME(16,0,0), L4046&lt;TIME(23,59,0)),"Evening",
  L4046&gt;=TIME(23,59,0),"Night",
  L4046&lt;TIME(9,0,0),"Night"
))</f>
        <v/>
      </c>
      <c r="O4046" t="str">
        <f t="shared" si="380"/>
        <v/>
      </c>
    </row>
    <row r="4047" spans="7:15" x14ac:dyDescent="0.25">
      <c r="G4047" t="str">
        <f t="shared" si="378"/>
        <v/>
      </c>
      <c r="H4047" s="13" t="str">
        <f t="shared" si="381"/>
        <v/>
      </c>
      <c r="I4047" t="str">
        <f>IFERROR(INDEX(Analysis!$D$116:$N$137, MATCH(B4047, Analysis!$C$116:$C$137, 0), MATCH(C4047, Analysis!$D$115:$N$115, 0)), "")</f>
        <v/>
      </c>
      <c r="J4047" t="str">
        <f t="shared" si="382"/>
        <v/>
      </c>
      <c r="K4047" s="28" t="str">
        <f t="shared" si="379"/>
        <v/>
      </c>
      <c r="L4047" s="46" t="str">
        <f t="shared" si="383"/>
        <v/>
      </c>
      <c r="M4047" t="str" cm="1">
        <f t="array" ref="M4047">IF(L4047="","",_xlfn.IFS(
  AND(L4047&gt;=TIME(9,0,0), L4047&lt;TIME(16,0,0)),"Morning",
  AND(L4047&gt;=TIME(16,0,0), L4047&lt;TIME(23,59,0)),"Evening",
  L4047&gt;=TIME(23,59,0),"Night",
  L4047&lt;TIME(9,0,0),"Night"
))</f>
        <v/>
      </c>
      <c r="O4047" t="str">
        <f t="shared" si="380"/>
        <v/>
      </c>
    </row>
    <row r="4048" spans="7:15" x14ac:dyDescent="0.25">
      <c r="G4048" t="str">
        <f t="shared" si="378"/>
        <v/>
      </c>
      <c r="H4048" s="13" t="str">
        <f t="shared" si="381"/>
        <v/>
      </c>
      <c r="I4048" t="str">
        <f>IFERROR(INDEX(Analysis!$D$116:$N$137, MATCH(B4048, Analysis!$C$116:$C$137, 0), MATCH(C4048, Analysis!$D$115:$N$115, 0)), "")</f>
        <v/>
      </c>
      <c r="J4048" t="str">
        <f t="shared" si="382"/>
        <v/>
      </c>
      <c r="K4048" s="28" t="str">
        <f t="shared" si="379"/>
        <v/>
      </c>
      <c r="L4048" s="46" t="str">
        <f t="shared" si="383"/>
        <v/>
      </c>
      <c r="M4048" t="str" cm="1">
        <f t="array" ref="M4048">IF(L4048="","",_xlfn.IFS(
  AND(L4048&gt;=TIME(9,0,0), L4048&lt;TIME(16,0,0)),"Morning",
  AND(L4048&gt;=TIME(16,0,0), L4048&lt;TIME(23,59,0)),"Evening",
  L4048&gt;=TIME(23,59,0),"Night",
  L4048&lt;TIME(9,0,0),"Night"
))</f>
        <v/>
      </c>
      <c r="O4048" t="str">
        <f t="shared" si="380"/>
        <v/>
      </c>
    </row>
    <row r="4049" spans="7:15" x14ac:dyDescent="0.25">
      <c r="G4049" t="str">
        <f t="shared" si="378"/>
        <v/>
      </c>
      <c r="H4049" s="13" t="str">
        <f t="shared" si="381"/>
        <v/>
      </c>
      <c r="I4049" t="str">
        <f>IFERROR(INDEX(Analysis!$D$116:$N$137, MATCH(B4049, Analysis!$C$116:$C$137, 0), MATCH(C4049, Analysis!$D$115:$N$115, 0)), "")</f>
        <v/>
      </c>
      <c r="J4049" t="str">
        <f t="shared" si="382"/>
        <v/>
      </c>
      <c r="K4049" s="28" t="str">
        <f t="shared" si="379"/>
        <v/>
      </c>
      <c r="L4049" s="46" t="str">
        <f t="shared" si="383"/>
        <v/>
      </c>
      <c r="M4049" t="str" cm="1">
        <f t="array" ref="M4049">IF(L4049="","",_xlfn.IFS(
  AND(L4049&gt;=TIME(9,0,0), L4049&lt;TIME(16,0,0)),"Morning",
  AND(L4049&gt;=TIME(16,0,0), L4049&lt;TIME(23,59,0)),"Evening",
  L4049&gt;=TIME(23,59,0),"Night",
  L4049&lt;TIME(9,0,0),"Night"
))</f>
        <v/>
      </c>
      <c r="O4049" t="str">
        <f t="shared" si="380"/>
        <v/>
      </c>
    </row>
    <row r="4050" spans="7:15" x14ac:dyDescent="0.25">
      <c r="G4050" t="str">
        <f t="shared" si="378"/>
        <v/>
      </c>
      <c r="H4050" s="13" t="str">
        <f t="shared" si="381"/>
        <v/>
      </c>
      <c r="I4050" t="str">
        <f>IFERROR(INDEX(Analysis!$D$116:$N$137, MATCH(B4050, Analysis!$C$116:$C$137, 0), MATCH(C4050, Analysis!$D$115:$N$115, 0)), "")</f>
        <v/>
      </c>
      <c r="J4050" t="str">
        <f t="shared" si="382"/>
        <v/>
      </c>
      <c r="K4050" s="28" t="str">
        <f t="shared" si="379"/>
        <v/>
      </c>
      <c r="L4050" s="46" t="str">
        <f t="shared" si="383"/>
        <v/>
      </c>
      <c r="M4050" t="str" cm="1">
        <f t="array" ref="M4050">IF(L4050="","",_xlfn.IFS(
  AND(L4050&gt;=TIME(9,0,0), L4050&lt;TIME(16,0,0)),"Morning",
  AND(L4050&gt;=TIME(16,0,0), L4050&lt;TIME(23,59,0)),"Evening",
  L4050&gt;=TIME(23,59,0),"Night",
  L4050&lt;TIME(9,0,0),"Night"
))</f>
        <v/>
      </c>
      <c r="O4050" t="str">
        <f t="shared" si="380"/>
        <v/>
      </c>
    </row>
    <row r="4051" spans="7:15" x14ac:dyDescent="0.25">
      <c r="G4051" t="str">
        <f t="shared" si="378"/>
        <v/>
      </c>
      <c r="H4051" s="13" t="str">
        <f t="shared" si="381"/>
        <v/>
      </c>
      <c r="I4051" t="str">
        <f>IFERROR(INDEX(Analysis!$D$116:$N$137, MATCH(B4051, Analysis!$C$116:$C$137, 0), MATCH(C4051, Analysis!$D$115:$N$115, 0)), "")</f>
        <v/>
      </c>
      <c r="J4051" t="str">
        <f t="shared" si="382"/>
        <v/>
      </c>
      <c r="K4051" s="28" t="str">
        <f t="shared" si="379"/>
        <v/>
      </c>
      <c r="L4051" s="46" t="str">
        <f t="shared" si="383"/>
        <v/>
      </c>
      <c r="M4051" t="str" cm="1">
        <f t="array" ref="M4051">IF(L4051="","",_xlfn.IFS(
  AND(L4051&gt;=TIME(9,0,0), L4051&lt;TIME(16,0,0)),"Morning",
  AND(L4051&gt;=TIME(16,0,0), L4051&lt;TIME(23,59,0)),"Evening",
  L4051&gt;=TIME(23,59,0),"Night",
  L4051&lt;TIME(9,0,0),"Night"
))</f>
        <v/>
      </c>
      <c r="O4051" t="str">
        <f t="shared" si="380"/>
        <v/>
      </c>
    </row>
    <row r="4052" spans="7:15" x14ac:dyDescent="0.25">
      <c r="G4052" t="str">
        <f t="shared" si="378"/>
        <v/>
      </c>
      <c r="H4052" s="13" t="str">
        <f t="shared" si="381"/>
        <v/>
      </c>
      <c r="I4052" t="str">
        <f>IFERROR(INDEX(Analysis!$D$116:$N$137, MATCH(B4052, Analysis!$C$116:$C$137, 0), MATCH(C4052, Analysis!$D$115:$N$115, 0)), "")</f>
        <v/>
      </c>
      <c r="J4052" t="str">
        <f t="shared" si="382"/>
        <v/>
      </c>
      <c r="K4052" s="28" t="str">
        <f t="shared" si="379"/>
        <v/>
      </c>
      <c r="L4052" s="46" t="str">
        <f t="shared" si="383"/>
        <v/>
      </c>
      <c r="M4052" t="str" cm="1">
        <f t="array" ref="M4052">IF(L4052="","",_xlfn.IFS(
  AND(L4052&gt;=TIME(9,0,0), L4052&lt;TIME(16,0,0)),"Morning",
  AND(L4052&gt;=TIME(16,0,0), L4052&lt;TIME(23,59,0)),"Evening",
  L4052&gt;=TIME(23,59,0),"Night",
  L4052&lt;TIME(9,0,0),"Night"
))</f>
        <v/>
      </c>
      <c r="O4052" t="str">
        <f t="shared" si="380"/>
        <v/>
      </c>
    </row>
    <row r="4053" spans="7:15" x14ac:dyDescent="0.25">
      <c r="G4053" t="str">
        <f t="shared" si="378"/>
        <v/>
      </c>
      <c r="H4053" s="13" t="str">
        <f t="shared" si="381"/>
        <v/>
      </c>
      <c r="I4053" t="str">
        <f>IFERROR(INDEX(Analysis!$D$116:$N$137, MATCH(B4053, Analysis!$C$116:$C$137, 0), MATCH(C4053, Analysis!$D$115:$N$115, 0)), "")</f>
        <v/>
      </c>
      <c r="J4053" t="str">
        <f t="shared" si="382"/>
        <v/>
      </c>
      <c r="K4053" s="28" t="str">
        <f t="shared" si="379"/>
        <v/>
      </c>
      <c r="L4053" s="46" t="str">
        <f t="shared" si="383"/>
        <v/>
      </c>
      <c r="M4053" t="str" cm="1">
        <f t="array" ref="M4053">IF(L4053="","",_xlfn.IFS(
  AND(L4053&gt;=TIME(9,0,0), L4053&lt;TIME(16,0,0)),"Morning",
  AND(L4053&gt;=TIME(16,0,0), L4053&lt;TIME(23,59,0)),"Evening",
  L4053&gt;=TIME(23,59,0),"Night",
  L4053&lt;TIME(9,0,0),"Night"
))</f>
        <v/>
      </c>
      <c r="O4053" t="str">
        <f t="shared" si="380"/>
        <v/>
      </c>
    </row>
    <row r="4054" spans="7:15" x14ac:dyDescent="0.25">
      <c r="G4054" t="str">
        <f t="shared" si="378"/>
        <v/>
      </c>
      <c r="H4054" s="13" t="str">
        <f t="shared" si="381"/>
        <v/>
      </c>
      <c r="I4054" t="str">
        <f>IFERROR(INDEX(Analysis!$D$116:$N$137, MATCH(B4054, Analysis!$C$116:$C$137, 0), MATCH(C4054, Analysis!$D$115:$N$115, 0)), "")</f>
        <v/>
      </c>
      <c r="J4054" t="str">
        <f t="shared" si="382"/>
        <v/>
      </c>
      <c r="K4054" s="28" t="str">
        <f t="shared" si="379"/>
        <v/>
      </c>
      <c r="L4054" s="46" t="str">
        <f t="shared" si="383"/>
        <v/>
      </c>
      <c r="M4054" t="str" cm="1">
        <f t="array" ref="M4054">IF(L4054="","",_xlfn.IFS(
  AND(L4054&gt;=TIME(9,0,0), L4054&lt;TIME(16,0,0)),"Morning",
  AND(L4054&gt;=TIME(16,0,0), L4054&lt;TIME(23,59,0)),"Evening",
  L4054&gt;=TIME(23,59,0),"Night",
  L4054&lt;TIME(9,0,0),"Night"
))</f>
        <v/>
      </c>
      <c r="O4054" t="str">
        <f t="shared" si="380"/>
        <v/>
      </c>
    </row>
    <row r="4055" spans="7:15" x14ac:dyDescent="0.25">
      <c r="G4055" t="str">
        <f t="shared" si="378"/>
        <v/>
      </c>
      <c r="H4055" s="13" t="str">
        <f t="shared" si="381"/>
        <v/>
      </c>
      <c r="I4055" t="str">
        <f>IFERROR(INDEX(Analysis!$D$116:$N$137, MATCH(B4055, Analysis!$C$116:$C$137, 0), MATCH(C4055, Analysis!$D$115:$N$115, 0)), "")</f>
        <v/>
      </c>
      <c r="J4055" t="str">
        <f t="shared" si="382"/>
        <v/>
      </c>
      <c r="K4055" s="28" t="str">
        <f t="shared" si="379"/>
        <v/>
      </c>
      <c r="L4055" s="46" t="str">
        <f t="shared" si="383"/>
        <v/>
      </c>
      <c r="M4055" t="str" cm="1">
        <f t="array" ref="M4055">IF(L4055="","",_xlfn.IFS(
  AND(L4055&gt;=TIME(9,0,0), L4055&lt;TIME(16,0,0)),"Morning",
  AND(L4055&gt;=TIME(16,0,0), L4055&lt;TIME(23,59,0)),"Evening",
  L4055&gt;=TIME(23,59,0),"Night",
  L4055&lt;TIME(9,0,0),"Night"
))</f>
        <v/>
      </c>
      <c r="O4055" t="str">
        <f t="shared" si="380"/>
        <v/>
      </c>
    </row>
    <row r="4056" spans="7:15" x14ac:dyDescent="0.25">
      <c r="G4056" t="str">
        <f t="shared" si="378"/>
        <v/>
      </c>
      <c r="H4056" s="13" t="str">
        <f t="shared" si="381"/>
        <v/>
      </c>
      <c r="I4056" t="str">
        <f>IFERROR(INDEX(Analysis!$D$116:$N$137, MATCH(B4056, Analysis!$C$116:$C$137, 0), MATCH(C4056, Analysis!$D$115:$N$115, 0)), "")</f>
        <v/>
      </c>
      <c r="J4056" t="str">
        <f t="shared" si="382"/>
        <v/>
      </c>
      <c r="K4056" s="28" t="str">
        <f t="shared" si="379"/>
        <v/>
      </c>
      <c r="L4056" s="46" t="str">
        <f t="shared" si="383"/>
        <v/>
      </c>
      <c r="M4056" t="str" cm="1">
        <f t="array" ref="M4056">IF(L4056="","",_xlfn.IFS(
  AND(L4056&gt;=TIME(9,0,0), L4056&lt;TIME(16,0,0)),"Morning",
  AND(L4056&gt;=TIME(16,0,0), L4056&lt;TIME(23,59,0)),"Evening",
  L4056&gt;=TIME(23,59,0),"Night",
  L4056&lt;TIME(9,0,0),"Night"
))</f>
        <v/>
      </c>
      <c r="O4056" t="str">
        <f t="shared" si="380"/>
        <v/>
      </c>
    </row>
    <row r="4057" spans="7:15" x14ac:dyDescent="0.25">
      <c r="G4057" t="str">
        <f t="shared" si="378"/>
        <v/>
      </c>
      <c r="H4057" s="13" t="str">
        <f t="shared" si="381"/>
        <v/>
      </c>
      <c r="I4057" t="str">
        <f>IFERROR(INDEX(Analysis!$D$116:$N$137, MATCH(B4057, Analysis!$C$116:$C$137, 0), MATCH(C4057, Analysis!$D$115:$N$115, 0)), "")</f>
        <v/>
      </c>
      <c r="J4057" t="str">
        <f t="shared" si="382"/>
        <v/>
      </c>
      <c r="K4057" s="28" t="str">
        <f t="shared" si="379"/>
        <v/>
      </c>
      <c r="L4057" s="46" t="str">
        <f t="shared" si="383"/>
        <v/>
      </c>
      <c r="M4057" t="str" cm="1">
        <f t="array" ref="M4057">IF(L4057="","",_xlfn.IFS(
  AND(L4057&gt;=TIME(9,0,0), L4057&lt;TIME(16,0,0)),"Morning",
  AND(L4057&gt;=TIME(16,0,0), L4057&lt;TIME(23,59,0)),"Evening",
  L4057&gt;=TIME(23,59,0),"Night",
  L4057&lt;TIME(9,0,0),"Night"
))</f>
        <v/>
      </c>
      <c r="O4057" t="str">
        <f t="shared" si="380"/>
        <v/>
      </c>
    </row>
    <row r="4058" spans="7:15" x14ac:dyDescent="0.25">
      <c r="G4058" t="str">
        <f t="shared" si="378"/>
        <v/>
      </c>
      <c r="H4058" s="13" t="str">
        <f t="shared" si="381"/>
        <v/>
      </c>
      <c r="I4058" t="str">
        <f>IFERROR(INDEX(Analysis!$D$116:$N$137, MATCH(B4058, Analysis!$C$116:$C$137, 0), MATCH(C4058, Analysis!$D$115:$N$115, 0)), "")</f>
        <v/>
      </c>
      <c r="J4058" t="str">
        <f t="shared" si="382"/>
        <v/>
      </c>
      <c r="K4058" s="28" t="str">
        <f t="shared" si="379"/>
        <v/>
      </c>
      <c r="L4058" s="46" t="str">
        <f t="shared" si="383"/>
        <v/>
      </c>
      <c r="M4058" t="str" cm="1">
        <f t="array" ref="M4058">IF(L4058="","",_xlfn.IFS(
  AND(L4058&gt;=TIME(9,0,0), L4058&lt;TIME(16,0,0)),"Morning",
  AND(L4058&gt;=TIME(16,0,0), L4058&lt;TIME(23,59,0)),"Evening",
  L4058&gt;=TIME(23,59,0),"Night",
  L4058&lt;TIME(9,0,0),"Night"
))</f>
        <v/>
      </c>
      <c r="O4058" t="str">
        <f t="shared" si="380"/>
        <v/>
      </c>
    </row>
    <row r="4059" spans="7:15" x14ac:dyDescent="0.25">
      <c r="G4059" t="str">
        <f t="shared" si="378"/>
        <v/>
      </c>
      <c r="H4059" s="13" t="str">
        <f t="shared" si="381"/>
        <v/>
      </c>
      <c r="I4059" t="str">
        <f>IFERROR(INDEX(Analysis!$D$116:$N$137, MATCH(B4059, Analysis!$C$116:$C$137, 0), MATCH(C4059, Analysis!$D$115:$N$115, 0)), "")</f>
        <v/>
      </c>
      <c r="J4059" t="str">
        <f t="shared" si="382"/>
        <v/>
      </c>
      <c r="K4059" s="28" t="str">
        <f t="shared" si="379"/>
        <v/>
      </c>
      <c r="L4059" s="46" t="str">
        <f t="shared" si="383"/>
        <v/>
      </c>
      <c r="M4059" t="str" cm="1">
        <f t="array" ref="M4059">IF(L4059="","",_xlfn.IFS(
  AND(L4059&gt;=TIME(9,0,0), L4059&lt;TIME(16,0,0)),"Morning",
  AND(L4059&gt;=TIME(16,0,0), L4059&lt;TIME(23,59,0)),"Evening",
  L4059&gt;=TIME(23,59,0),"Night",
  L4059&lt;TIME(9,0,0),"Night"
))</f>
        <v/>
      </c>
      <c r="O4059" t="str">
        <f t="shared" si="380"/>
        <v/>
      </c>
    </row>
    <row r="4060" spans="7:15" x14ac:dyDescent="0.25">
      <c r="G4060" t="str">
        <f t="shared" si="378"/>
        <v/>
      </c>
      <c r="H4060" s="13" t="str">
        <f t="shared" si="381"/>
        <v/>
      </c>
      <c r="I4060" t="str">
        <f>IFERROR(INDEX(Analysis!$D$116:$N$137, MATCH(B4060, Analysis!$C$116:$C$137, 0), MATCH(C4060, Analysis!$D$115:$N$115, 0)), "")</f>
        <v/>
      </c>
      <c r="J4060" t="str">
        <f t="shared" si="382"/>
        <v/>
      </c>
      <c r="K4060" s="28" t="str">
        <f t="shared" si="379"/>
        <v/>
      </c>
      <c r="L4060" s="46" t="str">
        <f t="shared" si="383"/>
        <v/>
      </c>
      <c r="M4060" t="str" cm="1">
        <f t="array" ref="M4060">IF(L4060="","",_xlfn.IFS(
  AND(L4060&gt;=TIME(9,0,0), L4060&lt;TIME(16,0,0)),"Morning",
  AND(L4060&gt;=TIME(16,0,0), L4060&lt;TIME(23,59,0)),"Evening",
  L4060&gt;=TIME(23,59,0),"Night",
  L4060&lt;TIME(9,0,0),"Night"
))</f>
        <v/>
      </c>
      <c r="O4060" t="str">
        <f t="shared" si="380"/>
        <v/>
      </c>
    </row>
    <row r="4061" spans="7:15" x14ac:dyDescent="0.25">
      <c r="G4061" t="str">
        <f t="shared" si="378"/>
        <v/>
      </c>
      <c r="H4061" s="13" t="str">
        <f t="shared" si="381"/>
        <v/>
      </c>
      <c r="I4061" t="str">
        <f>IFERROR(INDEX(Analysis!$D$116:$N$137, MATCH(B4061, Analysis!$C$116:$C$137, 0), MATCH(C4061, Analysis!$D$115:$N$115, 0)), "")</f>
        <v/>
      </c>
      <c r="J4061" t="str">
        <f t="shared" si="382"/>
        <v/>
      </c>
      <c r="K4061" s="28" t="str">
        <f t="shared" si="379"/>
        <v/>
      </c>
      <c r="L4061" s="46" t="str">
        <f t="shared" si="383"/>
        <v/>
      </c>
      <c r="M4061" t="str" cm="1">
        <f t="array" ref="M4061">IF(L4061="","",_xlfn.IFS(
  AND(L4061&gt;=TIME(9,0,0), L4061&lt;TIME(16,0,0)),"Morning",
  AND(L4061&gt;=TIME(16,0,0), L4061&lt;TIME(23,59,0)),"Evening",
  L4061&gt;=TIME(23,59,0),"Night",
  L4061&lt;TIME(9,0,0),"Night"
))</f>
        <v/>
      </c>
      <c r="O4061" t="str">
        <f t="shared" si="380"/>
        <v/>
      </c>
    </row>
    <row r="4062" spans="7:15" x14ac:dyDescent="0.25">
      <c r="G4062" t="str">
        <f t="shared" si="378"/>
        <v/>
      </c>
      <c r="H4062" s="13" t="str">
        <f t="shared" si="381"/>
        <v/>
      </c>
      <c r="I4062" t="str">
        <f>IFERROR(INDEX(Analysis!$D$116:$N$137, MATCH(B4062, Analysis!$C$116:$C$137, 0), MATCH(C4062, Analysis!$D$115:$N$115, 0)), "")</f>
        <v/>
      </c>
      <c r="J4062" t="str">
        <f t="shared" si="382"/>
        <v/>
      </c>
      <c r="K4062" s="28" t="str">
        <f t="shared" si="379"/>
        <v/>
      </c>
      <c r="L4062" s="46" t="str">
        <f t="shared" si="383"/>
        <v/>
      </c>
      <c r="M4062" t="str" cm="1">
        <f t="array" ref="M4062">IF(L4062="","",_xlfn.IFS(
  AND(L4062&gt;=TIME(9,0,0), L4062&lt;TIME(16,0,0)),"Morning",
  AND(L4062&gt;=TIME(16,0,0), L4062&lt;TIME(23,59,0)),"Evening",
  L4062&gt;=TIME(23,59,0),"Night",
  L4062&lt;TIME(9,0,0),"Night"
))</f>
        <v/>
      </c>
      <c r="O4062" t="str">
        <f t="shared" si="380"/>
        <v/>
      </c>
    </row>
    <row r="4063" spans="7:15" x14ac:dyDescent="0.25">
      <c r="G4063" t="str">
        <f t="shared" si="378"/>
        <v/>
      </c>
      <c r="H4063" s="13" t="str">
        <f t="shared" si="381"/>
        <v/>
      </c>
      <c r="I4063" t="str">
        <f>IFERROR(INDEX(Analysis!$D$116:$N$137, MATCH(B4063, Analysis!$C$116:$C$137, 0), MATCH(C4063, Analysis!$D$115:$N$115, 0)), "")</f>
        <v/>
      </c>
      <c r="J4063" t="str">
        <f t="shared" si="382"/>
        <v/>
      </c>
      <c r="K4063" s="28" t="str">
        <f t="shared" si="379"/>
        <v/>
      </c>
      <c r="L4063" s="46" t="str">
        <f t="shared" si="383"/>
        <v/>
      </c>
      <c r="M4063" t="str" cm="1">
        <f t="array" ref="M4063">IF(L4063="","",_xlfn.IFS(
  AND(L4063&gt;=TIME(9,0,0), L4063&lt;TIME(16,0,0)),"Morning",
  AND(L4063&gt;=TIME(16,0,0), L4063&lt;TIME(23,59,0)),"Evening",
  L4063&gt;=TIME(23,59,0),"Night",
  L4063&lt;TIME(9,0,0),"Night"
))</f>
        <v/>
      </c>
      <c r="O4063" t="str">
        <f t="shared" si="380"/>
        <v/>
      </c>
    </row>
    <row r="4064" spans="7:15" x14ac:dyDescent="0.25">
      <c r="G4064" t="str">
        <f t="shared" si="378"/>
        <v/>
      </c>
      <c r="H4064" s="13" t="str">
        <f t="shared" si="381"/>
        <v/>
      </c>
      <c r="I4064" t="str">
        <f>IFERROR(INDEX(Analysis!$D$116:$N$137, MATCH(B4064, Analysis!$C$116:$C$137, 0), MATCH(C4064, Analysis!$D$115:$N$115, 0)), "")</f>
        <v/>
      </c>
      <c r="J4064" t="str">
        <f t="shared" si="382"/>
        <v/>
      </c>
      <c r="K4064" s="28" t="str">
        <f t="shared" si="379"/>
        <v/>
      </c>
      <c r="L4064" s="46" t="str">
        <f t="shared" si="383"/>
        <v/>
      </c>
      <c r="M4064" t="str" cm="1">
        <f t="array" ref="M4064">IF(L4064="","",_xlfn.IFS(
  AND(L4064&gt;=TIME(9,0,0), L4064&lt;TIME(16,0,0)),"Morning",
  AND(L4064&gt;=TIME(16,0,0), L4064&lt;TIME(23,59,0)),"Evening",
  L4064&gt;=TIME(23,59,0),"Night",
  L4064&lt;TIME(9,0,0),"Night"
))</f>
        <v/>
      </c>
      <c r="O4064" t="str">
        <f t="shared" si="380"/>
        <v/>
      </c>
    </row>
    <row r="4065" spans="7:15" x14ac:dyDescent="0.25">
      <c r="G4065" t="str">
        <f t="shared" si="378"/>
        <v/>
      </c>
      <c r="H4065" s="13" t="str">
        <f t="shared" si="381"/>
        <v/>
      </c>
      <c r="I4065" t="str">
        <f>IFERROR(INDEX(Analysis!$D$116:$N$137, MATCH(B4065, Analysis!$C$116:$C$137, 0), MATCH(C4065, Analysis!$D$115:$N$115, 0)), "")</f>
        <v/>
      </c>
      <c r="J4065" t="str">
        <f t="shared" si="382"/>
        <v/>
      </c>
      <c r="K4065" s="28" t="str">
        <f t="shared" si="379"/>
        <v/>
      </c>
      <c r="L4065" s="46" t="str">
        <f t="shared" si="383"/>
        <v/>
      </c>
      <c r="M4065" t="str" cm="1">
        <f t="array" ref="M4065">IF(L4065="","",_xlfn.IFS(
  AND(L4065&gt;=TIME(9,0,0), L4065&lt;TIME(16,0,0)),"Morning",
  AND(L4065&gt;=TIME(16,0,0), L4065&lt;TIME(23,59,0)),"Evening",
  L4065&gt;=TIME(23,59,0),"Night",
  L4065&lt;TIME(9,0,0),"Night"
))</f>
        <v/>
      </c>
      <c r="O4065" t="str">
        <f t="shared" si="380"/>
        <v/>
      </c>
    </row>
    <row r="4066" spans="7:15" x14ac:dyDescent="0.25">
      <c r="G4066" t="str">
        <f t="shared" si="378"/>
        <v/>
      </c>
      <c r="H4066" s="13" t="str">
        <f t="shared" si="381"/>
        <v/>
      </c>
      <c r="I4066" t="str">
        <f>IFERROR(INDEX(Analysis!$D$116:$N$137, MATCH(B4066, Analysis!$C$116:$C$137, 0), MATCH(C4066, Analysis!$D$115:$N$115, 0)), "")</f>
        <v/>
      </c>
      <c r="J4066" t="str">
        <f t="shared" si="382"/>
        <v/>
      </c>
      <c r="K4066" s="28" t="str">
        <f t="shared" si="379"/>
        <v/>
      </c>
      <c r="L4066" s="46" t="str">
        <f t="shared" si="383"/>
        <v/>
      </c>
      <c r="M4066" t="str" cm="1">
        <f t="array" ref="M4066">IF(L4066="","",_xlfn.IFS(
  AND(L4066&gt;=TIME(9,0,0), L4066&lt;TIME(16,0,0)),"Morning",
  AND(L4066&gt;=TIME(16,0,0), L4066&lt;TIME(23,59,0)),"Evening",
  L4066&gt;=TIME(23,59,0),"Night",
  L4066&lt;TIME(9,0,0),"Night"
))</f>
        <v/>
      </c>
      <c r="O4066" t="str">
        <f t="shared" si="380"/>
        <v/>
      </c>
    </row>
    <row r="4067" spans="7:15" x14ac:dyDescent="0.25">
      <c r="G4067" t="str">
        <f t="shared" si="378"/>
        <v/>
      </c>
      <c r="H4067" s="13" t="str">
        <f t="shared" si="381"/>
        <v/>
      </c>
      <c r="I4067" t="str">
        <f>IFERROR(INDEX(Analysis!$D$116:$N$137, MATCH(B4067, Analysis!$C$116:$C$137, 0), MATCH(C4067, Analysis!$D$115:$N$115, 0)), "")</f>
        <v/>
      </c>
      <c r="J4067" t="str">
        <f t="shared" si="382"/>
        <v/>
      </c>
      <c r="K4067" s="28" t="str">
        <f t="shared" si="379"/>
        <v/>
      </c>
      <c r="L4067" s="46" t="str">
        <f t="shared" si="383"/>
        <v/>
      </c>
      <c r="M4067" t="str" cm="1">
        <f t="array" ref="M4067">IF(L4067="","",_xlfn.IFS(
  AND(L4067&gt;=TIME(9,0,0), L4067&lt;TIME(16,0,0)),"Morning",
  AND(L4067&gt;=TIME(16,0,0), L4067&lt;TIME(23,59,0)),"Evening",
  L4067&gt;=TIME(23,59,0),"Night",
  L4067&lt;TIME(9,0,0),"Night"
))</f>
        <v/>
      </c>
      <c r="O4067" t="str">
        <f t="shared" si="380"/>
        <v/>
      </c>
    </row>
    <row r="4068" spans="7:15" x14ac:dyDescent="0.25">
      <c r="G4068" t="str">
        <f t="shared" si="378"/>
        <v/>
      </c>
      <c r="H4068" s="13" t="str">
        <f t="shared" si="381"/>
        <v/>
      </c>
      <c r="I4068" t="str">
        <f>IFERROR(INDEX(Analysis!$D$116:$N$137, MATCH(B4068, Analysis!$C$116:$C$137, 0), MATCH(C4068, Analysis!$D$115:$N$115, 0)), "")</f>
        <v/>
      </c>
      <c r="J4068" t="str">
        <f t="shared" si="382"/>
        <v/>
      </c>
      <c r="K4068" s="28" t="str">
        <f t="shared" si="379"/>
        <v/>
      </c>
      <c r="L4068" s="46" t="str">
        <f t="shared" si="383"/>
        <v/>
      </c>
      <c r="M4068" t="str" cm="1">
        <f t="array" ref="M4068">IF(L4068="","",_xlfn.IFS(
  AND(L4068&gt;=TIME(9,0,0), L4068&lt;TIME(16,0,0)),"Morning",
  AND(L4068&gt;=TIME(16,0,0), L4068&lt;TIME(23,59,0)),"Evening",
  L4068&gt;=TIME(23,59,0),"Night",
  L4068&lt;TIME(9,0,0),"Night"
))</f>
        <v/>
      </c>
      <c r="O4068" t="str">
        <f t="shared" si="380"/>
        <v/>
      </c>
    </row>
    <row r="4069" spans="7:15" x14ac:dyDescent="0.25">
      <c r="G4069" t="str">
        <f t="shared" si="378"/>
        <v/>
      </c>
      <c r="H4069" s="13" t="str">
        <f t="shared" si="381"/>
        <v/>
      </c>
      <c r="I4069" t="str">
        <f>IFERROR(INDEX(Analysis!$D$116:$N$137, MATCH(B4069, Analysis!$C$116:$C$137, 0), MATCH(C4069, Analysis!$D$115:$N$115, 0)), "")</f>
        <v/>
      </c>
      <c r="J4069" t="str">
        <f t="shared" si="382"/>
        <v/>
      </c>
      <c r="K4069" s="28" t="str">
        <f t="shared" si="379"/>
        <v/>
      </c>
      <c r="L4069" s="46" t="str">
        <f t="shared" si="383"/>
        <v/>
      </c>
      <c r="M4069" t="str" cm="1">
        <f t="array" ref="M4069">IF(L4069="","",_xlfn.IFS(
  AND(L4069&gt;=TIME(9,0,0), L4069&lt;TIME(16,0,0)),"Morning",
  AND(L4069&gt;=TIME(16,0,0), L4069&lt;TIME(23,59,0)),"Evening",
  L4069&gt;=TIME(23,59,0),"Night",
  L4069&lt;TIME(9,0,0),"Night"
))</f>
        <v/>
      </c>
      <c r="O4069" t="str">
        <f t="shared" si="380"/>
        <v/>
      </c>
    </row>
    <row r="4070" spans="7:15" x14ac:dyDescent="0.25">
      <c r="G4070" t="str">
        <f t="shared" si="378"/>
        <v/>
      </c>
      <c r="H4070" s="13" t="str">
        <f t="shared" si="381"/>
        <v/>
      </c>
      <c r="I4070" t="str">
        <f>IFERROR(INDEX(Analysis!$D$116:$N$137, MATCH(B4070, Analysis!$C$116:$C$137, 0), MATCH(C4070, Analysis!$D$115:$N$115, 0)), "")</f>
        <v/>
      </c>
      <c r="J4070" t="str">
        <f t="shared" si="382"/>
        <v/>
      </c>
      <c r="K4070" s="28" t="str">
        <f t="shared" si="379"/>
        <v/>
      </c>
      <c r="L4070" s="46" t="str">
        <f t="shared" si="383"/>
        <v/>
      </c>
      <c r="M4070" t="str" cm="1">
        <f t="array" ref="M4070">IF(L4070="","",_xlfn.IFS(
  AND(L4070&gt;=TIME(9,0,0), L4070&lt;TIME(16,0,0)),"Morning",
  AND(L4070&gt;=TIME(16,0,0), L4070&lt;TIME(23,59,0)),"Evening",
  L4070&gt;=TIME(23,59,0),"Night",
  L4070&lt;TIME(9,0,0),"Night"
))</f>
        <v/>
      </c>
      <c r="O4070" t="str">
        <f t="shared" si="380"/>
        <v/>
      </c>
    </row>
    <row r="4071" spans="7:15" x14ac:dyDescent="0.25">
      <c r="G4071" t="str">
        <f t="shared" si="378"/>
        <v/>
      </c>
      <c r="H4071" s="13" t="str">
        <f t="shared" si="381"/>
        <v/>
      </c>
      <c r="I4071" t="str">
        <f>IFERROR(INDEX(Analysis!$D$116:$N$137, MATCH(B4071, Analysis!$C$116:$C$137, 0), MATCH(C4071, Analysis!$D$115:$N$115, 0)), "")</f>
        <v/>
      </c>
      <c r="J4071" t="str">
        <f t="shared" si="382"/>
        <v/>
      </c>
      <c r="K4071" s="28" t="str">
        <f t="shared" si="379"/>
        <v/>
      </c>
      <c r="L4071" s="46" t="str">
        <f t="shared" si="383"/>
        <v/>
      </c>
      <c r="M4071" t="str" cm="1">
        <f t="array" ref="M4071">IF(L4071="","",_xlfn.IFS(
  AND(L4071&gt;=TIME(9,0,0), L4071&lt;TIME(16,0,0)),"Morning",
  AND(L4071&gt;=TIME(16,0,0), L4071&lt;TIME(23,59,0)),"Evening",
  L4071&gt;=TIME(23,59,0),"Night",
  L4071&lt;TIME(9,0,0),"Night"
))</f>
        <v/>
      </c>
      <c r="O4071" t="str">
        <f t="shared" si="380"/>
        <v/>
      </c>
    </row>
    <row r="4072" spans="7:15" x14ac:dyDescent="0.25">
      <c r="G4072" t="str">
        <f t="shared" si="378"/>
        <v/>
      </c>
      <c r="H4072" s="13" t="str">
        <f t="shared" si="381"/>
        <v/>
      </c>
      <c r="I4072" t="str">
        <f>IFERROR(INDEX(Analysis!$D$116:$N$137, MATCH(B4072, Analysis!$C$116:$C$137, 0), MATCH(C4072, Analysis!$D$115:$N$115, 0)), "")</f>
        <v/>
      </c>
      <c r="J4072" t="str">
        <f t="shared" si="382"/>
        <v/>
      </c>
      <c r="K4072" s="28" t="str">
        <f t="shared" si="379"/>
        <v/>
      </c>
      <c r="L4072" s="46" t="str">
        <f t="shared" si="383"/>
        <v/>
      </c>
      <c r="M4072" t="str" cm="1">
        <f t="array" ref="M4072">IF(L4072="","",_xlfn.IFS(
  AND(L4072&gt;=TIME(9,0,0), L4072&lt;TIME(16,0,0)),"Morning",
  AND(L4072&gt;=TIME(16,0,0), L4072&lt;TIME(23,59,0)),"Evening",
  L4072&gt;=TIME(23,59,0),"Night",
  L4072&lt;TIME(9,0,0),"Night"
))</f>
        <v/>
      </c>
      <c r="O4072" t="str">
        <f t="shared" si="380"/>
        <v/>
      </c>
    </row>
    <row r="4073" spans="7:15" x14ac:dyDescent="0.25">
      <c r="G4073" t="str">
        <f t="shared" si="378"/>
        <v/>
      </c>
      <c r="H4073" s="13" t="str">
        <f t="shared" si="381"/>
        <v/>
      </c>
      <c r="I4073" t="str">
        <f>IFERROR(INDEX(Analysis!$D$116:$N$137, MATCH(B4073, Analysis!$C$116:$C$137, 0), MATCH(C4073, Analysis!$D$115:$N$115, 0)), "")</f>
        <v/>
      </c>
      <c r="J4073" t="str">
        <f t="shared" si="382"/>
        <v/>
      </c>
      <c r="K4073" s="28" t="str">
        <f t="shared" si="379"/>
        <v/>
      </c>
      <c r="L4073" s="46" t="str">
        <f t="shared" si="383"/>
        <v/>
      </c>
      <c r="M4073" t="str" cm="1">
        <f t="array" ref="M4073">IF(L4073="","",_xlfn.IFS(
  AND(L4073&gt;=TIME(9,0,0), L4073&lt;TIME(16,0,0)),"Morning",
  AND(L4073&gt;=TIME(16,0,0), L4073&lt;TIME(23,59,0)),"Evening",
  L4073&gt;=TIME(23,59,0),"Night",
  L4073&lt;TIME(9,0,0),"Night"
))</f>
        <v/>
      </c>
      <c r="O4073" t="str">
        <f t="shared" si="380"/>
        <v/>
      </c>
    </row>
    <row r="4074" spans="7:15" x14ac:dyDescent="0.25">
      <c r="G4074" t="str">
        <f t="shared" si="378"/>
        <v/>
      </c>
      <c r="H4074" s="13" t="str">
        <f t="shared" si="381"/>
        <v/>
      </c>
      <c r="I4074" t="str">
        <f>IFERROR(INDEX(Analysis!$D$116:$N$137, MATCH(B4074, Analysis!$C$116:$C$137, 0), MATCH(C4074, Analysis!$D$115:$N$115, 0)), "")</f>
        <v/>
      </c>
      <c r="J4074" t="str">
        <f t="shared" si="382"/>
        <v/>
      </c>
      <c r="K4074" s="28" t="str">
        <f t="shared" si="379"/>
        <v/>
      </c>
      <c r="L4074" s="46" t="str">
        <f t="shared" si="383"/>
        <v/>
      </c>
      <c r="M4074" t="str" cm="1">
        <f t="array" ref="M4074">IF(L4074="","",_xlfn.IFS(
  AND(L4074&gt;=TIME(9,0,0), L4074&lt;TIME(16,0,0)),"Morning",
  AND(L4074&gt;=TIME(16,0,0), L4074&lt;TIME(23,59,0)),"Evening",
  L4074&gt;=TIME(23,59,0),"Night",
  L4074&lt;TIME(9,0,0),"Night"
))</f>
        <v/>
      </c>
      <c r="O4074" t="str">
        <f t="shared" si="380"/>
        <v/>
      </c>
    </row>
    <row r="4075" spans="7:15" x14ac:dyDescent="0.25">
      <c r="G4075" t="str">
        <f t="shared" si="378"/>
        <v/>
      </c>
      <c r="H4075" s="13" t="str">
        <f t="shared" si="381"/>
        <v/>
      </c>
      <c r="I4075" t="str">
        <f>IFERROR(INDEX(Analysis!$D$116:$N$137, MATCH(B4075, Analysis!$C$116:$C$137, 0), MATCH(C4075, Analysis!$D$115:$N$115, 0)), "")</f>
        <v/>
      </c>
      <c r="J4075" t="str">
        <f t="shared" si="382"/>
        <v/>
      </c>
      <c r="K4075" s="28" t="str">
        <f t="shared" si="379"/>
        <v/>
      </c>
      <c r="L4075" s="46" t="str">
        <f t="shared" si="383"/>
        <v/>
      </c>
      <c r="M4075" t="str" cm="1">
        <f t="array" ref="M4075">IF(L4075="","",_xlfn.IFS(
  AND(L4075&gt;=TIME(9,0,0), L4075&lt;TIME(16,0,0)),"Morning",
  AND(L4075&gt;=TIME(16,0,0), L4075&lt;TIME(23,59,0)),"Evening",
  L4075&gt;=TIME(23,59,0),"Night",
  L4075&lt;TIME(9,0,0),"Night"
))</f>
        <v/>
      </c>
      <c r="O4075" t="str">
        <f t="shared" si="380"/>
        <v/>
      </c>
    </row>
    <row r="4076" spans="7:15" x14ac:dyDescent="0.25">
      <c r="G4076" t="str">
        <f t="shared" si="378"/>
        <v/>
      </c>
      <c r="H4076" s="13" t="str">
        <f t="shared" si="381"/>
        <v/>
      </c>
      <c r="I4076" t="str">
        <f>IFERROR(INDEX(Analysis!$D$116:$N$137, MATCH(B4076, Analysis!$C$116:$C$137, 0), MATCH(C4076, Analysis!$D$115:$N$115, 0)), "")</f>
        <v/>
      </c>
      <c r="J4076" t="str">
        <f t="shared" si="382"/>
        <v/>
      </c>
      <c r="K4076" s="28" t="str">
        <f t="shared" si="379"/>
        <v/>
      </c>
      <c r="L4076" s="46" t="str">
        <f t="shared" si="383"/>
        <v/>
      </c>
      <c r="M4076" t="str" cm="1">
        <f t="array" ref="M4076">IF(L4076="","",_xlfn.IFS(
  AND(L4076&gt;=TIME(9,0,0), L4076&lt;TIME(16,0,0)),"Morning",
  AND(L4076&gt;=TIME(16,0,0), L4076&lt;TIME(23,59,0)),"Evening",
  L4076&gt;=TIME(23,59,0),"Night",
  L4076&lt;TIME(9,0,0),"Night"
))</f>
        <v/>
      </c>
      <c r="O4076" t="str">
        <f t="shared" si="380"/>
        <v/>
      </c>
    </row>
    <row r="4077" spans="7:15" x14ac:dyDescent="0.25">
      <c r="G4077" t="str">
        <f t="shared" si="378"/>
        <v/>
      </c>
      <c r="H4077" s="13" t="str">
        <f t="shared" si="381"/>
        <v/>
      </c>
      <c r="I4077" t="str">
        <f>IFERROR(INDEX(Analysis!$D$116:$N$137, MATCH(B4077, Analysis!$C$116:$C$137, 0), MATCH(C4077, Analysis!$D$115:$N$115, 0)), "")</f>
        <v/>
      </c>
      <c r="J4077" t="str">
        <f t="shared" si="382"/>
        <v/>
      </c>
      <c r="K4077" s="28" t="str">
        <f t="shared" si="379"/>
        <v/>
      </c>
      <c r="L4077" s="46" t="str">
        <f t="shared" si="383"/>
        <v/>
      </c>
      <c r="M4077" t="str" cm="1">
        <f t="array" ref="M4077">IF(L4077="","",_xlfn.IFS(
  AND(L4077&gt;=TIME(9,0,0), L4077&lt;TIME(16,0,0)),"Morning",
  AND(L4077&gt;=TIME(16,0,0), L4077&lt;TIME(23,59,0)),"Evening",
  L4077&gt;=TIME(23,59,0),"Night",
  L4077&lt;TIME(9,0,0),"Night"
))</f>
        <v/>
      </c>
      <c r="O4077" t="str">
        <f t="shared" si="380"/>
        <v/>
      </c>
    </row>
    <row r="4078" spans="7:15" x14ac:dyDescent="0.25">
      <c r="G4078" t="str">
        <f t="shared" si="378"/>
        <v/>
      </c>
      <c r="H4078" s="13" t="str">
        <f t="shared" si="381"/>
        <v/>
      </c>
      <c r="I4078" t="str">
        <f>IFERROR(INDEX(Analysis!$D$116:$N$137, MATCH(B4078, Analysis!$C$116:$C$137, 0), MATCH(C4078, Analysis!$D$115:$N$115, 0)), "")</f>
        <v/>
      </c>
      <c r="J4078" t="str">
        <f t="shared" si="382"/>
        <v/>
      </c>
      <c r="K4078" s="28" t="str">
        <f t="shared" si="379"/>
        <v/>
      </c>
      <c r="L4078" s="46" t="str">
        <f t="shared" si="383"/>
        <v/>
      </c>
      <c r="M4078" t="str" cm="1">
        <f t="array" ref="M4078">IF(L4078="","",_xlfn.IFS(
  AND(L4078&gt;=TIME(9,0,0), L4078&lt;TIME(16,0,0)),"Morning",
  AND(L4078&gt;=TIME(16,0,0), L4078&lt;TIME(23,59,0)),"Evening",
  L4078&gt;=TIME(23,59,0),"Night",
  L4078&lt;TIME(9,0,0),"Night"
))</f>
        <v/>
      </c>
      <c r="O4078" t="str">
        <f t="shared" si="380"/>
        <v/>
      </c>
    </row>
    <row r="4079" spans="7:15" x14ac:dyDescent="0.25">
      <c r="G4079" t="str">
        <f t="shared" si="378"/>
        <v/>
      </c>
      <c r="H4079" s="13" t="str">
        <f t="shared" si="381"/>
        <v/>
      </c>
      <c r="I4079" t="str">
        <f>IFERROR(INDEX(Analysis!$D$116:$N$137, MATCH(B4079, Analysis!$C$116:$C$137, 0), MATCH(C4079, Analysis!$D$115:$N$115, 0)), "")</f>
        <v/>
      </c>
      <c r="J4079" t="str">
        <f t="shared" si="382"/>
        <v/>
      </c>
      <c r="K4079" s="28" t="str">
        <f t="shared" si="379"/>
        <v/>
      </c>
      <c r="L4079" s="46" t="str">
        <f t="shared" si="383"/>
        <v/>
      </c>
      <c r="M4079" t="str" cm="1">
        <f t="array" ref="M4079">IF(L4079="","",_xlfn.IFS(
  AND(L4079&gt;=TIME(9,0,0), L4079&lt;TIME(16,0,0)),"Morning",
  AND(L4079&gt;=TIME(16,0,0), L4079&lt;TIME(23,59,0)),"Evening",
  L4079&gt;=TIME(23,59,0),"Night",
  L4079&lt;TIME(9,0,0),"Night"
))</f>
        <v/>
      </c>
      <c r="O4079" t="str">
        <f t="shared" si="380"/>
        <v/>
      </c>
    </row>
    <row r="4080" spans="7:15" x14ac:dyDescent="0.25">
      <c r="G4080" t="str">
        <f t="shared" si="378"/>
        <v/>
      </c>
      <c r="H4080" s="13" t="str">
        <f t="shared" si="381"/>
        <v/>
      </c>
      <c r="I4080" t="str">
        <f>IFERROR(INDEX(Analysis!$D$116:$N$137, MATCH(B4080, Analysis!$C$116:$C$137, 0), MATCH(C4080, Analysis!$D$115:$N$115, 0)), "")</f>
        <v/>
      </c>
      <c r="J4080" t="str">
        <f t="shared" si="382"/>
        <v/>
      </c>
      <c r="K4080" s="28" t="str">
        <f t="shared" si="379"/>
        <v/>
      </c>
      <c r="L4080" s="46" t="str">
        <f t="shared" si="383"/>
        <v/>
      </c>
      <c r="M4080" t="str" cm="1">
        <f t="array" ref="M4080">IF(L4080="","",_xlfn.IFS(
  AND(L4080&gt;=TIME(9,0,0), L4080&lt;TIME(16,0,0)),"Morning",
  AND(L4080&gt;=TIME(16,0,0), L4080&lt;TIME(23,59,0)),"Evening",
  L4080&gt;=TIME(23,59,0),"Night",
  L4080&lt;TIME(9,0,0),"Night"
))</f>
        <v/>
      </c>
      <c r="O4080" t="str">
        <f t="shared" si="380"/>
        <v/>
      </c>
    </row>
    <row r="4081" spans="7:15" x14ac:dyDescent="0.25">
      <c r="G4081" t="str">
        <f t="shared" si="378"/>
        <v/>
      </c>
      <c r="H4081" s="13" t="str">
        <f t="shared" si="381"/>
        <v/>
      </c>
      <c r="I4081" t="str">
        <f>IFERROR(INDEX(Analysis!$D$116:$N$137, MATCH(B4081, Analysis!$C$116:$C$137, 0), MATCH(C4081, Analysis!$D$115:$N$115, 0)), "")</f>
        <v/>
      </c>
      <c r="J4081" t="str">
        <f t="shared" si="382"/>
        <v/>
      </c>
      <c r="K4081" s="28" t="str">
        <f t="shared" si="379"/>
        <v/>
      </c>
      <c r="L4081" s="46" t="str">
        <f t="shared" si="383"/>
        <v/>
      </c>
      <c r="M4081" t="str" cm="1">
        <f t="array" ref="M4081">IF(L4081="","",_xlfn.IFS(
  AND(L4081&gt;=TIME(9,0,0), L4081&lt;TIME(16,0,0)),"Morning",
  AND(L4081&gt;=TIME(16,0,0), L4081&lt;TIME(23,59,0)),"Evening",
  L4081&gt;=TIME(23,59,0),"Night",
  L4081&lt;TIME(9,0,0),"Night"
))</f>
        <v/>
      </c>
      <c r="O4081" t="str">
        <f t="shared" si="380"/>
        <v/>
      </c>
    </row>
    <row r="4082" spans="7:15" x14ac:dyDescent="0.25">
      <c r="G4082" t="str">
        <f t="shared" si="378"/>
        <v/>
      </c>
      <c r="H4082" s="13" t="str">
        <f t="shared" si="381"/>
        <v/>
      </c>
      <c r="I4082" t="str">
        <f>IFERROR(INDEX(Analysis!$D$116:$N$137, MATCH(B4082, Analysis!$C$116:$C$137, 0), MATCH(C4082, Analysis!$D$115:$N$115, 0)), "")</f>
        <v/>
      </c>
      <c r="J4082" t="str">
        <f t="shared" si="382"/>
        <v/>
      </c>
      <c r="K4082" s="28" t="str">
        <f t="shared" si="379"/>
        <v/>
      </c>
      <c r="L4082" s="46" t="str">
        <f t="shared" si="383"/>
        <v/>
      </c>
      <c r="M4082" t="str" cm="1">
        <f t="array" ref="M4082">IF(L4082="","",_xlfn.IFS(
  AND(L4082&gt;=TIME(9,0,0), L4082&lt;TIME(16,0,0)),"Morning",
  AND(L4082&gt;=TIME(16,0,0), L4082&lt;TIME(23,59,0)),"Evening",
  L4082&gt;=TIME(23,59,0),"Night",
  L4082&lt;TIME(9,0,0),"Night"
))</f>
        <v/>
      </c>
      <c r="O4082" t="str">
        <f t="shared" si="380"/>
        <v/>
      </c>
    </row>
    <row r="4083" spans="7:15" x14ac:dyDescent="0.25">
      <c r="G4083" t="str">
        <f t="shared" si="378"/>
        <v/>
      </c>
      <c r="H4083" s="13" t="str">
        <f t="shared" si="381"/>
        <v/>
      </c>
      <c r="I4083" t="str">
        <f>IFERROR(INDEX(Analysis!$D$116:$N$137, MATCH(B4083, Analysis!$C$116:$C$137, 0), MATCH(C4083, Analysis!$D$115:$N$115, 0)), "")</f>
        <v/>
      </c>
      <c r="J4083" t="str">
        <f t="shared" si="382"/>
        <v/>
      </c>
      <c r="K4083" s="28" t="str">
        <f t="shared" si="379"/>
        <v/>
      </c>
      <c r="L4083" s="46" t="str">
        <f t="shared" si="383"/>
        <v/>
      </c>
      <c r="M4083" t="str" cm="1">
        <f t="array" ref="M4083">IF(L4083="","",_xlfn.IFS(
  AND(L4083&gt;=TIME(9,0,0), L4083&lt;TIME(16,0,0)),"Morning",
  AND(L4083&gt;=TIME(16,0,0), L4083&lt;TIME(23,59,0)),"Evening",
  L4083&gt;=TIME(23,59,0),"Night",
  L4083&lt;TIME(9,0,0),"Night"
))</f>
        <v/>
      </c>
      <c r="O4083" t="str">
        <f t="shared" si="380"/>
        <v/>
      </c>
    </row>
    <row r="4084" spans="7:15" x14ac:dyDescent="0.25">
      <c r="G4084" t="str">
        <f t="shared" si="378"/>
        <v/>
      </c>
      <c r="H4084" s="13" t="str">
        <f t="shared" si="381"/>
        <v/>
      </c>
      <c r="I4084" t="str">
        <f>IFERROR(INDEX(Analysis!$D$116:$N$137, MATCH(B4084, Analysis!$C$116:$C$137, 0), MATCH(C4084, Analysis!$D$115:$N$115, 0)), "")</f>
        <v/>
      </c>
      <c r="J4084" t="str">
        <f t="shared" si="382"/>
        <v/>
      </c>
      <c r="K4084" s="28" t="str">
        <f t="shared" si="379"/>
        <v/>
      </c>
      <c r="L4084" s="46" t="str">
        <f t="shared" si="383"/>
        <v/>
      </c>
      <c r="M4084" t="str" cm="1">
        <f t="array" ref="M4084">IF(L4084="","",_xlfn.IFS(
  AND(L4084&gt;=TIME(9,0,0), L4084&lt;TIME(16,0,0)),"Morning",
  AND(L4084&gt;=TIME(16,0,0), L4084&lt;TIME(23,59,0)),"Evening",
  L4084&gt;=TIME(23,59,0),"Night",
  L4084&lt;TIME(9,0,0),"Night"
))</f>
        <v/>
      </c>
      <c r="O4084" t="str">
        <f t="shared" si="380"/>
        <v/>
      </c>
    </row>
    <row r="4085" spans="7:15" x14ac:dyDescent="0.25">
      <c r="G4085" t="str">
        <f t="shared" si="378"/>
        <v/>
      </c>
      <c r="H4085" s="13" t="str">
        <f t="shared" si="381"/>
        <v/>
      </c>
      <c r="I4085" t="str">
        <f>IFERROR(INDEX(Analysis!$D$116:$N$137, MATCH(B4085, Analysis!$C$116:$C$137, 0), MATCH(C4085, Analysis!$D$115:$N$115, 0)), "")</f>
        <v/>
      </c>
      <c r="J4085" t="str">
        <f t="shared" si="382"/>
        <v/>
      </c>
      <c r="K4085" s="28" t="str">
        <f t="shared" si="379"/>
        <v/>
      </c>
      <c r="L4085" s="46" t="str">
        <f t="shared" si="383"/>
        <v/>
      </c>
      <c r="M4085" t="str" cm="1">
        <f t="array" ref="M4085">IF(L4085="","",_xlfn.IFS(
  AND(L4085&gt;=TIME(9,0,0), L4085&lt;TIME(16,0,0)),"Morning",
  AND(L4085&gt;=TIME(16,0,0), L4085&lt;TIME(23,59,0)),"Evening",
  L4085&gt;=TIME(23,59,0),"Night",
  L4085&lt;TIME(9,0,0),"Night"
))</f>
        <v/>
      </c>
      <c r="O4085" t="str">
        <f t="shared" si="380"/>
        <v/>
      </c>
    </row>
    <row r="4086" spans="7:15" x14ac:dyDescent="0.25">
      <c r="G4086" t="str">
        <f t="shared" si="378"/>
        <v/>
      </c>
      <c r="H4086" s="13" t="str">
        <f t="shared" si="381"/>
        <v/>
      </c>
      <c r="I4086" t="str">
        <f>IFERROR(INDEX(Analysis!$D$116:$N$137, MATCH(B4086, Analysis!$C$116:$C$137, 0), MATCH(C4086, Analysis!$D$115:$N$115, 0)), "")</f>
        <v/>
      </c>
      <c r="J4086" t="str">
        <f t="shared" si="382"/>
        <v/>
      </c>
      <c r="K4086" s="28" t="str">
        <f t="shared" si="379"/>
        <v/>
      </c>
      <c r="L4086" s="46" t="str">
        <f t="shared" si="383"/>
        <v/>
      </c>
      <c r="M4086" t="str" cm="1">
        <f t="array" ref="M4086">IF(L4086="","",_xlfn.IFS(
  AND(L4086&gt;=TIME(9,0,0), L4086&lt;TIME(16,0,0)),"Morning",
  AND(L4086&gt;=TIME(16,0,0), L4086&lt;TIME(23,59,0)),"Evening",
  L4086&gt;=TIME(23,59,0),"Night",
  L4086&lt;TIME(9,0,0),"Night"
))</f>
        <v/>
      </c>
      <c r="O4086" t="str">
        <f t="shared" si="380"/>
        <v/>
      </c>
    </row>
    <row r="4087" spans="7:15" x14ac:dyDescent="0.25">
      <c r="G4087" t="str">
        <f t="shared" si="378"/>
        <v/>
      </c>
      <c r="H4087" s="13" t="str">
        <f t="shared" si="381"/>
        <v/>
      </c>
      <c r="I4087" t="str">
        <f>IFERROR(INDEX(Analysis!$D$116:$N$137, MATCH(B4087, Analysis!$C$116:$C$137, 0), MATCH(C4087, Analysis!$D$115:$N$115, 0)), "")</f>
        <v/>
      </c>
      <c r="J4087" t="str">
        <f t="shared" si="382"/>
        <v/>
      </c>
      <c r="K4087" s="28" t="str">
        <f t="shared" si="379"/>
        <v/>
      </c>
      <c r="L4087" s="46" t="str">
        <f t="shared" si="383"/>
        <v/>
      </c>
      <c r="M4087" t="str" cm="1">
        <f t="array" ref="M4087">IF(L4087="","",_xlfn.IFS(
  AND(L4087&gt;=TIME(9,0,0), L4087&lt;TIME(16,0,0)),"Morning",
  AND(L4087&gt;=TIME(16,0,0), L4087&lt;TIME(23,59,0)),"Evening",
  L4087&gt;=TIME(23,59,0),"Night",
  L4087&lt;TIME(9,0,0),"Night"
))</f>
        <v/>
      </c>
      <c r="O4087" t="str">
        <f t="shared" si="380"/>
        <v/>
      </c>
    </row>
    <row r="4088" spans="7:15" x14ac:dyDescent="0.25">
      <c r="G4088" t="str">
        <f t="shared" si="378"/>
        <v/>
      </c>
      <c r="H4088" s="13" t="str">
        <f t="shared" si="381"/>
        <v/>
      </c>
      <c r="I4088" t="str">
        <f>IFERROR(INDEX(Analysis!$D$116:$N$137, MATCH(B4088, Analysis!$C$116:$C$137, 0), MATCH(C4088, Analysis!$D$115:$N$115, 0)), "")</f>
        <v/>
      </c>
      <c r="J4088" t="str">
        <f t="shared" si="382"/>
        <v/>
      </c>
      <c r="K4088" s="28" t="str">
        <f t="shared" si="379"/>
        <v/>
      </c>
      <c r="L4088" s="46" t="str">
        <f t="shared" si="383"/>
        <v/>
      </c>
      <c r="M4088" t="str" cm="1">
        <f t="array" ref="M4088">IF(L4088="","",_xlfn.IFS(
  AND(L4088&gt;=TIME(9,0,0), L4088&lt;TIME(16,0,0)),"Morning",
  AND(L4088&gt;=TIME(16,0,0), L4088&lt;TIME(23,59,0)),"Evening",
  L4088&gt;=TIME(23,59,0),"Night",
  L4088&lt;TIME(9,0,0),"Night"
))</f>
        <v/>
      </c>
      <c r="O4088" t="str">
        <f t="shared" si="380"/>
        <v/>
      </c>
    </row>
    <row r="4089" spans="7:15" x14ac:dyDescent="0.25">
      <c r="G4089" t="str">
        <f t="shared" si="378"/>
        <v/>
      </c>
      <c r="H4089" s="13" t="str">
        <f t="shared" si="381"/>
        <v/>
      </c>
      <c r="I4089" t="str">
        <f>IFERROR(INDEX(Analysis!$D$116:$N$137, MATCH(B4089, Analysis!$C$116:$C$137, 0), MATCH(C4089, Analysis!$D$115:$N$115, 0)), "")</f>
        <v/>
      </c>
      <c r="J4089" t="str">
        <f t="shared" si="382"/>
        <v/>
      </c>
      <c r="K4089" s="28" t="str">
        <f t="shared" si="379"/>
        <v/>
      </c>
      <c r="L4089" s="46" t="str">
        <f t="shared" si="383"/>
        <v/>
      </c>
      <c r="M4089" t="str" cm="1">
        <f t="array" ref="M4089">IF(L4089="","",_xlfn.IFS(
  AND(L4089&gt;=TIME(9,0,0), L4089&lt;TIME(16,0,0)),"Morning",
  AND(L4089&gt;=TIME(16,0,0), L4089&lt;TIME(23,59,0)),"Evening",
  L4089&gt;=TIME(23,59,0),"Night",
  L4089&lt;TIME(9,0,0),"Night"
))</f>
        <v/>
      </c>
      <c r="O4089" t="str">
        <f t="shared" si="380"/>
        <v/>
      </c>
    </row>
    <row r="4090" spans="7:15" x14ac:dyDescent="0.25">
      <c r="G4090" t="str">
        <f t="shared" si="378"/>
        <v/>
      </c>
      <c r="H4090" s="13" t="str">
        <f t="shared" si="381"/>
        <v/>
      </c>
      <c r="I4090" t="str">
        <f>IFERROR(INDEX(Analysis!$D$116:$N$137, MATCH(B4090, Analysis!$C$116:$C$137, 0), MATCH(C4090, Analysis!$D$115:$N$115, 0)), "")</f>
        <v/>
      </c>
      <c r="J4090" t="str">
        <f t="shared" si="382"/>
        <v/>
      </c>
      <c r="K4090" s="28" t="str">
        <f t="shared" si="379"/>
        <v/>
      </c>
      <c r="L4090" s="46" t="str">
        <f t="shared" si="383"/>
        <v/>
      </c>
      <c r="M4090" t="str" cm="1">
        <f t="array" ref="M4090">IF(L4090="","",_xlfn.IFS(
  AND(L4090&gt;=TIME(9,0,0), L4090&lt;TIME(16,0,0)),"Morning",
  AND(L4090&gt;=TIME(16,0,0), L4090&lt;TIME(23,59,0)),"Evening",
  L4090&gt;=TIME(23,59,0),"Night",
  L4090&lt;TIME(9,0,0),"Night"
))</f>
        <v/>
      </c>
      <c r="O4090" t="str">
        <f t="shared" si="380"/>
        <v/>
      </c>
    </row>
    <row r="4091" spans="7:15" x14ac:dyDescent="0.25">
      <c r="G4091" t="str">
        <f t="shared" si="378"/>
        <v/>
      </c>
      <c r="H4091" s="13" t="str">
        <f t="shared" si="381"/>
        <v/>
      </c>
      <c r="I4091" t="str">
        <f>IFERROR(INDEX(Analysis!$D$116:$N$137, MATCH(B4091, Analysis!$C$116:$C$137, 0), MATCH(C4091, Analysis!$D$115:$N$115, 0)), "")</f>
        <v/>
      </c>
      <c r="J4091" t="str">
        <f t="shared" si="382"/>
        <v/>
      </c>
      <c r="K4091" s="28" t="str">
        <f t="shared" si="379"/>
        <v/>
      </c>
      <c r="L4091" s="46" t="str">
        <f t="shared" si="383"/>
        <v/>
      </c>
      <c r="M4091" t="str" cm="1">
        <f t="array" ref="M4091">IF(L4091="","",_xlfn.IFS(
  AND(L4091&gt;=TIME(9,0,0), L4091&lt;TIME(16,0,0)),"Morning",
  AND(L4091&gt;=TIME(16,0,0), L4091&lt;TIME(23,59,0)),"Evening",
  L4091&gt;=TIME(23,59,0),"Night",
  L4091&lt;TIME(9,0,0),"Night"
))</f>
        <v/>
      </c>
      <c r="O4091" t="str">
        <f t="shared" si="380"/>
        <v/>
      </c>
    </row>
    <row r="4092" spans="7:15" x14ac:dyDescent="0.25">
      <c r="G4092" t="str">
        <f t="shared" si="378"/>
        <v/>
      </c>
      <c r="H4092" s="13" t="str">
        <f t="shared" si="381"/>
        <v/>
      </c>
      <c r="I4092" t="str">
        <f>IFERROR(INDEX(Analysis!$D$116:$N$137, MATCH(B4092, Analysis!$C$116:$C$137, 0), MATCH(C4092, Analysis!$D$115:$N$115, 0)), "")</f>
        <v/>
      </c>
      <c r="J4092" t="str">
        <f t="shared" si="382"/>
        <v/>
      </c>
      <c r="K4092" s="28" t="str">
        <f t="shared" si="379"/>
        <v/>
      </c>
      <c r="L4092" s="46" t="str">
        <f t="shared" si="383"/>
        <v/>
      </c>
      <c r="M4092" t="str" cm="1">
        <f t="array" ref="M4092">IF(L4092="","",_xlfn.IFS(
  AND(L4092&gt;=TIME(9,0,0), L4092&lt;TIME(16,0,0)),"Morning",
  AND(L4092&gt;=TIME(16,0,0), L4092&lt;TIME(23,59,0)),"Evening",
  L4092&gt;=TIME(23,59,0),"Night",
  L4092&lt;TIME(9,0,0),"Night"
))</f>
        <v/>
      </c>
      <c r="O4092" t="str">
        <f t="shared" si="380"/>
        <v/>
      </c>
    </row>
    <row r="4093" spans="7:15" x14ac:dyDescent="0.25">
      <c r="G4093" t="str">
        <f t="shared" si="378"/>
        <v/>
      </c>
      <c r="H4093" s="13" t="str">
        <f t="shared" si="381"/>
        <v/>
      </c>
      <c r="I4093" t="str">
        <f>IFERROR(INDEX(Analysis!$D$116:$N$137, MATCH(B4093, Analysis!$C$116:$C$137, 0), MATCH(C4093, Analysis!$D$115:$N$115, 0)), "")</f>
        <v/>
      </c>
      <c r="J4093" t="str">
        <f t="shared" si="382"/>
        <v/>
      </c>
      <c r="K4093" s="28" t="str">
        <f t="shared" si="379"/>
        <v/>
      </c>
      <c r="L4093" s="46" t="str">
        <f t="shared" si="383"/>
        <v/>
      </c>
      <c r="M4093" t="str" cm="1">
        <f t="array" ref="M4093">IF(L4093="","",_xlfn.IFS(
  AND(L4093&gt;=TIME(9,0,0), L4093&lt;TIME(16,0,0)),"Morning",
  AND(L4093&gt;=TIME(16,0,0), L4093&lt;TIME(23,59,0)),"Evening",
  L4093&gt;=TIME(23,59,0),"Night",
  L4093&lt;TIME(9,0,0),"Night"
))</f>
        <v/>
      </c>
      <c r="O4093" t="str">
        <f t="shared" si="380"/>
        <v/>
      </c>
    </row>
    <row r="4094" spans="7:15" x14ac:dyDescent="0.25">
      <c r="G4094" t="str">
        <f t="shared" si="378"/>
        <v/>
      </c>
      <c r="H4094" s="13" t="str">
        <f t="shared" si="381"/>
        <v/>
      </c>
      <c r="I4094" t="str">
        <f>IFERROR(INDEX(Analysis!$D$116:$N$137, MATCH(B4094, Analysis!$C$116:$C$137, 0), MATCH(C4094, Analysis!$D$115:$N$115, 0)), "")</f>
        <v/>
      </c>
      <c r="J4094" t="str">
        <f t="shared" si="382"/>
        <v/>
      </c>
      <c r="K4094" s="28" t="str">
        <f t="shared" si="379"/>
        <v/>
      </c>
      <c r="L4094" s="46" t="str">
        <f t="shared" si="383"/>
        <v/>
      </c>
      <c r="M4094" t="str" cm="1">
        <f t="array" ref="M4094">IF(L4094="","",_xlfn.IFS(
  AND(L4094&gt;=TIME(9,0,0), L4094&lt;TIME(16,0,0)),"Morning",
  AND(L4094&gt;=TIME(16,0,0), L4094&lt;TIME(23,59,0)),"Evening",
  L4094&gt;=TIME(23,59,0),"Night",
  L4094&lt;TIME(9,0,0),"Night"
))</f>
        <v/>
      </c>
      <c r="O4094" t="str">
        <f t="shared" si="380"/>
        <v/>
      </c>
    </row>
    <row r="4095" spans="7:15" x14ac:dyDescent="0.25">
      <c r="G4095" t="str">
        <f t="shared" si="378"/>
        <v/>
      </c>
      <c r="H4095" s="13" t="str">
        <f t="shared" si="381"/>
        <v/>
      </c>
      <c r="I4095" t="str">
        <f>IFERROR(INDEX(Analysis!$D$116:$N$137, MATCH(B4095, Analysis!$C$116:$C$137, 0), MATCH(C4095, Analysis!$D$115:$N$115, 0)), "")</f>
        <v/>
      </c>
      <c r="J4095" t="str">
        <f t="shared" si="382"/>
        <v/>
      </c>
      <c r="K4095" s="28" t="str">
        <f t="shared" si="379"/>
        <v/>
      </c>
      <c r="L4095" s="46" t="str">
        <f t="shared" si="383"/>
        <v/>
      </c>
      <c r="M4095" t="str" cm="1">
        <f t="array" ref="M4095">IF(L4095="","",_xlfn.IFS(
  AND(L4095&gt;=TIME(9,0,0), L4095&lt;TIME(16,0,0)),"Morning",
  AND(L4095&gt;=TIME(16,0,0), L4095&lt;TIME(23,59,0)),"Evening",
  L4095&gt;=TIME(23,59,0),"Night",
  L4095&lt;TIME(9,0,0),"Night"
))</f>
        <v/>
      </c>
      <c r="O4095" t="str">
        <f t="shared" si="380"/>
        <v/>
      </c>
    </row>
    <row r="4096" spans="7:15" x14ac:dyDescent="0.25">
      <c r="G4096" t="str">
        <f t="shared" si="378"/>
        <v/>
      </c>
      <c r="H4096" s="13" t="str">
        <f t="shared" si="381"/>
        <v/>
      </c>
      <c r="I4096" t="str">
        <f>IFERROR(INDEX(Analysis!$D$116:$N$137, MATCH(B4096, Analysis!$C$116:$C$137, 0), MATCH(C4096, Analysis!$D$115:$N$115, 0)), "")</f>
        <v/>
      </c>
      <c r="J4096" t="str">
        <f t="shared" si="382"/>
        <v/>
      </c>
      <c r="K4096" s="28" t="str">
        <f t="shared" si="379"/>
        <v/>
      </c>
      <c r="L4096" s="46" t="str">
        <f t="shared" si="383"/>
        <v/>
      </c>
      <c r="M4096" t="str" cm="1">
        <f t="array" ref="M4096">IF(L4096="","",_xlfn.IFS(
  AND(L4096&gt;=TIME(9,0,0), L4096&lt;TIME(16,0,0)),"Morning",
  AND(L4096&gt;=TIME(16,0,0), L4096&lt;TIME(23,59,0)),"Evening",
  L4096&gt;=TIME(23,59,0),"Night",
  L4096&lt;TIME(9,0,0),"Night"
))</f>
        <v/>
      </c>
      <c r="O4096" t="str">
        <f t="shared" si="380"/>
        <v/>
      </c>
    </row>
    <row r="4097" spans="7:15" x14ac:dyDescent="0.25">
      <c r="G4097" t="str">
        <f t="shared" si="378"/>
        <v/>
      </c>
      <c r="H4097" s="13" t="str">
        <f t="shared" si="381"/>
        <v/>
      </c>
      <c r="I4097" t="str">
        <f>IFERROR(INDEX(Analysis!$D$116:$N$137, MATCH(B4097, Analysis!$C$116:$C$137, 0), MATCH(C4097, Analysis!$D$115:$N$115, 0)), "")</f>
        <v/>
      </c>
      <c r="J4097" t="str">
        <f t="shared" si="382"/>
        <v/>
      </c>
      <c r="K4097" s="28" t="str">
        <f t="shared" si="379"/>
        <v/>
      </c>
      <c r="L4097" s="46" t="str">
        <f t="shared" si="383"/>
        <v/>
      </c>
      <c r="M4097" t="str" cm="1">
        <f t="array" ref="M4097">IF(L4097="","",_xlfn.IFS(
  AND(L4097&gt;=TIME(9,0,0), L4097&lt;TIME(16,0,0)),"Morning",
  AND(L4097&gt;=TIME(16,0,0), L4097&lt;TIME(23,59,0)),"Evening",
  L4097&gt;=TIME(23,59,0),"Night",
  L4097&lt;TIME(9,0,0),"Night"
))</f>
        <v/>
      </c>
      <c r="O4097" t="str">
        <f t="shared" si="380"/>
        <v/>
      </c>
    </row>
    <row r="4098" spans="7:15" x14ac:dyDescent="0.25">
      <c r="G4098" t="str">
        <f t="shared" ref="G4098:G4161" si="384">IF(ISBLANK(A4098), "", IF(ISBLANK(F4098), 0, F4098))</f>
        <v/>
      </c>
      <c r="H4098" s="13" t="str">
        <f t="shared" si="381"/>
        <v/>
      </c>
      <c r="I4098" t="str">
        <f>IFERROR(INDEX(Analysis!$D$116:$N$137, MATCH(B4098, Analysis!$C$116:$C$137, 0), MATCH(C4098, Analysis!$D$115:$N$115, 0)), "")</f>
        <v/>
      </c>
      <c r="J4098" t="str">
        <f t="shared" si="382"/>
        <v/>
      </c>
      <c r="K4098" s="28" t="str">
        <f t="shared" ref="K4098:K4161" si="385">IF(ISBLANK(A4098),"",DATE(YEAR(A4098),MONTH(A4098),DAY(A4098)))</f>
        <v/>
      </c>
      <c r="L4098" s="46" t="str">
        <f t="shared" si="383"/>
        <v/>
      </c>
      <c r="M4098" t="str" cm="1">
        <f t="array" ref="M4098">IF(L4098="","",_xlfn.IFS(
  AND(L4098&gt;=TIME(9,0,0), L4098&lt;TIME(16,0,0)),"Morning",
  AND(L4098&gt;=TIME(16,0,0), L4098&lt;TIME(23,59,0)),"Evening",
  L4098&gt;=TIME(23,59,0),"Night",
  L4098&lt;TIME(9,0,0),"Night"
))</f>
        <v/>
      </c>
      <c r="O4098" t="str">
        <f t="shared" ref="O4098:O4161" si="386">IF(N4098="ON", _xlfn.IMAGE(E4098, 1), "")</f>
        <v/>
      </c>
    </row>
    <row r="4099" spans="7:15" x14ac:dyDescent="0.25">
      <c r="G4099" t="str">
        <f t="shared" si="384"/>
        <v/>
      </c>
      <c r="H4099" s="13" t="str">
        <f t="shared" ref="H4099:H4162" si="387">IF(ISBLANK(E4099),"",HYPERLINK(E4099,"Click here"))</f>
        <v/>
      </c>
      <c r="I4099" t="str">
        <f>IFERROR(INDEX(Analysis!$D$116:$N$137, MATCH(B4099, Analysis!$C$116:$C$137, 0), MATCH(C4099, Analysis!$D$115:$N$115, 0)), "")</f>
        <v/>
      </c>
      <c r="J4099" t="str">
        <f t="shared" ref="J4099:J4162" si="388">IF(ISBLANK(A4099),"",WEEKNUM(A4099))</f>
        <v/>
      </c>
      <c r="K4099" s="28" t="str">
        <f t="shared" si="385"/>
        <v/>
      </c>
      <c r="L4099" s="46" t="str">
        <f t="shared" ref="L4099:L4162" si="389">IF(A4099="", "", A4099 - INT(A4099))</f>
        <v/>
      </c>
      <c r="M4099" t="str" cm="1">
        <f t="array" ref="M4099">IF(L4099="","",_xlfn.IFS(
  AND(L4099&gt;=TIME(9,0,0), L4099&lt;TIME(16,0,0)),"Morning",
  AND(L4099&gt;=TIME(16,0,0), L4099&lt;TIME(23,59,0)),"Evening",
  L4099&gt;=TIME(23,59,0),"Night",
  L4099&lt;TIME(9,0,0),"Night"
))</f>
        <v/>
      </c>
      <c r="O4099" t="str">
        <f t="shared" si="386"/>
        <v/>
      </c>
    </row>
    <row r="4100" spans="7:15" x14ac:dyDescent="0.25">
      <c r="G4100" t="str">
        <f t="shared" si="384"/>
        <v/>
      </c>
      <c r="H4100" s="13" t="str">
        <f t="shared" si="387"/>
        <v/>
      </c>
      <c r="I4100" t="str">
        <f>IFERROR(INDEX(Analysis!$D$116:$N$137, MATCH(B4100, Analysis!$C$116:$C$137, 0), MATCH(C4100, Analysis!$D$115:$N$115, 0)), "")</f>
        <v/>
      </c>
      <c r="J4100" t="str">
        <f t="shared" si="388"/>
        <v/>
      </c>
      <c r="K4100" s="28" t="str">
        <f t="shared" si="385"/>
        <v/>
      </c>
      <c r="L4100" s="46" t="str">
        <f t="shared" si="389"/>
        <v/>
      </c>
      <c r="M4100" t="str" cm="1">
        <f t="array" ref="M4100">IF(L4100="","",_xlfn.IFS(
  AND(L4100&gt;=TIME(9,0,0), L4100&lt;TIME(16,0,0)),"Morning",
  AND(L4100&gt;=TIME(16,0,0), L4100&lt;TIME(23,59,0)),"Evening",
  L4100&gt;=TIME(23,59,0),"Night",
  L4100&lt;TIME(9,0,0),"Night"
))</f>
        <v/>
      </c>
      <c r="O4100" t="str">
        <f t="shared" si="386"/>
        <v/>
      </c>
    </row>
    <row r="4101" spans="7:15" x14ac:dyDescent="0.25">
      <c r="G4101" t="str">
        <f t="shared" si="384"/>
        <v/>
      </c>
      <c r="H4101" s="13" t="str">
        <f t="shared" si="387"/>
        <v/>
      </c>
      <c r="I4101" t="str">
        <f>IFERROR(INDEX(Analysis!$D$116:$N$137, MATCH(B4101, Analysis!$C$116:$C$137, 0), MATCH(C4101, Analysis!$D$115:$N$115, 0)), "")</f>
        <v/>
      </c>
      <c r="J4101" t="str">
        <f t="shared" si="388"/>
        <v/>
      </c>
      <c r="K4101" s="28" t="str">
        <f t="shared" si="385"/>
        <v/>
      </c>
      <c r="L4101" s="46" t="str">
        <f t="shared" si="389"/>
        <v/>
      </c>
      <c r="M4101" t="str" cm="1">
        <f t="array" ref="M4101">IF(L4101="","",_xlfn.IFS(
  AND(L4101&gt;=TIME(9,0,0), L4101&lt;TIME(16,0,0)),"Morning",
  AND(L4101&gt;=TIME(16,0,0), L4101&lt;TIME(23,59,0)),"Evening",
  L4101&gt;=TIME(23,59,0),"Night",
  L4101&lt;TIME(9,0,0),"Night"
))</f>
        <v/>
      </c>
      <c r="O4101" t="str">
        <f t="shared" si="386"/>
        <v/>
      </c>
    </row>
    <row r="4102" spans="7:15" x14ac:dyDescent="0.25">
      <c r="G4102" t="str">
        <f t="shared" si="384"/>
        <v/>
      </c>
      <c r="H4102" s="13" t="str">
        <f t="shared" si="387"/>
        <v/>
      </c>
      <c r="I4102" t="str">
        <f>IFERROR(INDEX(Analysis!$D$116:$N$137, MATCH(B4102, Analysis!$C$116:$C$137, 0), MATCH(C4102, Analysis!$D$115:$N$115, 0)), "")</f>
        <v/>
      </c>
      <c r="J4102" t="str">
        <f t="shared" si="388"/>
        <v/>
      </c>
      <c r="K4102" s="28" t="str">
        <f t="shared" si="385"/>
        <v/>
      </c>
      <c r="L4102" s="46" t="str">
        <f t="shared" si="389"/>
        <v/>
      </c>
      <c r="M4102" t="str" cm="1">
        <f t="array" ref="M4102">IF(L4102="","",_xlfn.IFS(
  AND(L4102&gt;=TIME(9,0,0), L4102&lt;TIME(16,0,0)),"Morning",
  AND(L4102&gt;=TIME(16,0,0), L4102&lt;TIME(23,59,0)),"Evening",
  L4102&gt;=TIME(23,59,0),"Night",
  L4102&lt;TIME(9,0,0),"Night"
))</f>
        <v/>
      </c>
      <c r="O4102" t="str">
        <f t="shared" si="386"/>
        <v/>
      </c>
    </row>
    <row r="4103" spans="7:15" x14ac:dyDescent="0.25">
      <c r="G4103" t="str">
        <f t="shared" si="384"/>
        <v/>
      </c>
      <c r="H4103" s="13" t="str">
        <f t="shared" si="387"/>
        <v/>
      </c>
      <c r="I4103" t="str">
        <f>IFERROR(INDEX(Analysis!$D$116:$N$137, MATCH(B4103, Analysis!$C$116:$C$137, 0), MATCH(C4103, Analysis!$D$115:$N$115, 0)), "")</f>
        <v/>
      </c>
      <c r="J4103" t="str">
        <f t="shared" si="388"/>
        <v/>
      </c>
      <c r="K4103" s="28" t="str">
        <f t="shared" si="385"/>
        <v/>
      </c>
      <c r="L4103" s="46" t="str">
        <f t="shared" si="389"/>
        <v/>
      </c>
      <c r="M4103" t="str" cm="1">
        <f t="array" ref="M4103">IF(L4103="","",_xlfn.IFS(
  AND(L4103&gt;=TIME(9,0,0), L4103&lt;TIME(16,0,0)),"Morning",
  AND(L4103&gt;=TIME(16,0,0), L4103&lt;TIME(23,59,0)),"Evening",
  L4103&gt;=TIME(23,59,0),"Night",
  L4103&lt;TIME(9,0,0),"Night"
))</f>
        <v/>
      </c>
      <c r="O4103" t="str">
        <f t="shared" si="386"/>
        <v/>
      </c>
    </row>
    <row r="4104" spans="7:15" x14ac:dyDescent="0.25">
      <c r="G4104" t="str">
        <f t="shared" si="384"/>
        <v/>
      </c>
      <c r="H4104" s="13" t="str">
        <f t="shared" si="387"/>
        <v/>
      </c>
      <c r="I4104" t="str">
        <f>IFERROR(INDEX(Analysis!$D$116:$N$137, MATCH(B4104, Analysis!$C$116:$C$137, 0), MATCH(C4104, Analysis!$D$115:$N$115, 0)), "")</f>
        <v/>
      </c>
      <c r="J4104" t="str">
        <f t="shared" si="388"/>
        <v/>
      </c>
      <c r="K4104" s="28" t="str">
        <f t="shared" si="385"/>
        <v/>
      </c>
      <c r="L4104" s="46" t="str">
        <f t="shared" si="389"/>
        <v/>
      </c>
      <c r="M4104" t="str" cm="1">
        <f t="array" ref="M4104">IF(L4104="","",_xlfn.IFS(
  AND(L4104&gt;=TIME(9,0,0), L4104&lt;TIME(16,0,0)),"Morning",
  AND(L4104&gt;=TIME(16,0,0), L4104&lt;TIME(23,59,0)),"Evening",
  L4104&gt;=TIME(23,59,0),"Night",
  L4104&lt;TIME(9,0,0),"Night"
))</f>
        <v/>
      </c>
      <c r="O4104" t="str">
        <f t="shared" si="386"/>
        <v/>
      </c>
    </row>
    <row r="4105" spans="7:15" x14ac:dyDescent="0.25">
      <c r="G4105" t="str">
        <f t="shared" si="384"/>
        <v/>
      </c>
      <c r="H4105" s="13" t="str">
        <f t="shared" si="387"/>
        <v/>
      </c>
      <c r="I4105" t="str">
        <f>IFERROR(INDEX(Analysis!$D$116:$N$137, MATCH(B4105, Analysis!$C$116:$C$137, 0), MATCH(C4105, Analysis!$D$115:$N$115, 0)), "")</f>
        <v/>
      </c>
      <c r="J4105" t="str">
        <f t="shared" si="388"/>
        <v/>
      </c>
      <c r="K4105" s="28" t="str">
        <f t="shared" si="385"/>
        <v/>
      </c>
      <c r="L4105" s="46" t="str">
        <f t="shared" si="389"/>
        <v/>
      </c>
      <c r="M4105" t="str" cm="1">
        <f t="array" ref="M4105">IF(L4105="","",_xlfn.IFS(
  AND(L4105&gt;=TIME(9,0,0), L4105&lt;TIME(16,0,0)),"Morning",
  AND(L4105&gt;=TIME(16,0,0), L4105&lt;TIME(23,59,0)),"Evening",
  L4105&gt;=TIME(23,59,0),"Night",
  L4105&lt;TIME(9,0,0),"Night"
))</f>
        <v/>
      </c>
      <c r="O4105" t="str">
        <f t="shared" si="386"/>
        <v/>
      </c>
    </row>
    <row r="4106" spans="7:15" x14ac:dyDescent="0.25">
      <c r="G4106" t="str">
        <f t="shared" si="384"/>
        <v/>
      </c>
      <c r="H4106" s="13" t="str">
        <f t="shared" si="387"/>
        <v/>
      </c>
      <c r="I4106" t="str">
        <f>IFERROR(INDEX(Analysis!$D$116:$N$137, MATCH(B4106, Analysis!$C$116:$C$137, 0), MATCH(C4106, Analysis!$D$115:$N$115, 0)), "")</f>
        <v/>
      </c>
      <c r="J4106" t="str">
        <f t="shared" si="388"/>
        <v/>
      </c>
      <c r="K4106" s="28" t="str">
        <f t="shared" si="385"/>
        <v/>
      </c>
      <c r="L4106" s="46" t="str">
        <f t="shared" si="389"/>
        <v/>
      </c>
      <c r="M4106" t="str" cm="1">
        <f t="array" ref="M4106">IF(L4106="","",_xlfn.IFS(
  AND(L4106&gt;=TIME(9,0,0), L4106&lt;TIME(16,0,0)),"Morning",
  AND(L4106&gt;=TIME(16,0,0), L4106&lt;TIME(23,59,0)),"Evening",
  L4106&gt;=TIME(23,59,0),"Night",
  L4106&lt;TIME(9,0,0),"Night"
))</f>
        <v/>
      </c>
      <c r="O4106" t="str">
        <f t="shared" si="386"/>
        <v/>
      </c>
    </row>
    <row r="4107" spans="7:15" x14ac:dyDescent="0.25">
      <c r="G4107" t="str">
        <f t="shared" si="384"/>
        <v/>
      </c>
      <c r="H4107" s="13" t="str">
        <f t="shared" si="387"/>
        <v/>
      </c>
      <c r="I4107" t="str">
        <f>IFERROR(INDEX(Analysis!$D$116:$N$137, MATCH(B4107, Analysis!$C$116:$C$137, 0), MATCH(C4107, Analysis!$D$115:$N$115, 0)), "")</f>
        <v/>
      </c>
      <c r="J4107" t="str">
        <f t="shared" si="388"/>
        <v/>
      </c>
      <c r="K4107" s="28" t="str">
        <f t="shared" si="385"/>
        <v/>
      </c>
      <c r="L4107" s="46" t="str">
        <f t="shared" si="389"/>
        <v/>
      </c>
      <c r="M4107" t="str" cm="1">
        <f t="array" ref="M4107">IF(L4107="","",_xlfn.IFS(
  AND(L4107&gt;=TIME(9,0,0), L4107&lt;TIME(16,0,0)),"Morning",
  AND(L4107&gt;=TIME(16,0,0), L4107&lt;TIME(23,59,0)),"Evening",
  L4107&gt;=TIME(23,59,0),"Night",
  L4107&lt;TIME(9,0,0),"Night"
))</f>
        <v/>
      </c>
      <c r="O4107" t="str">
        <f t="shared" si="386"/>
        <v/>
      </c>
    </row>
    <row r="4108" spans="7:15" x14ac:dyDescent="0.25">
      <c r="G4108" t="str">
        <f t="shared" si="384"/>
        <v/>
      </c>
      <c r="H4108" s="13" t="str">
        <f t="shared" si="387"/>
        <v/>
      </c>
      <c r="I4108" t="str">
        <f>IFERROR(INDEX(Analysis!$D$116:$N$137, MATCH(B4108, Analysis!$C$116:$C$137, 0), MATCH(C4108, Analysis!$D$115:$N$115, 0)), "")</f>
        <v/>
      </c>
      <c r="J4108" t="str">
        <f t="shared" si="388"/>
        <v/>
      </c>
      <c r="K4108" s="28" t="str">
        <f t="shared" si="385"/>
        <v/>
      </c>
      <c r="L4108" s="46" t="str">
        <f t="shared" si="389"/>
        <v/>
      </c>
      <c r="M4108" t="str" cm="1">
        <f t="array" ref="M4108">IF(L4108="","",_xlfn.IFS(
  AND(L4108&gt;=TIME(9,0,0), L4108&lt;TIME(16,0,0)),"Morning",
  AND(L4108&gt;=TIME(16,0,0), L4108&lt;TIME(23,59,0)),"Evening",
  L4108&gt;=TIME(23,59,0),"Night",
  L4108&lt;TIME(9,0,0),"Night"
))</f>
        <v/>
      </c>
      <c r="O4108" t="str">
        <f t="shared" si="386"/>
        <v/>
      </c>
    </row>
    <row r="4109" spans="7:15" x14ac:dyDescent="0.25">
      <c r="G4109" t="str">
        <f t="shared" si="384"/>
        <v/>
      </c>
      <c r="H4109" s="13" t="str">
        <f t="shared" si="387"/>
        <v/>
      </c>
      <c r="I4109" t="str">
        <f>IFERROR(INDEX(Analysis!$D$116:$N$137, MATCH(B4109, Analysis!$C$116:$C$137, 0), MATCH(C4109, Analysis!$D$115:$N$115, 0)), "")</f>
        <v/>
      </c>
      <c r="J4109" t="str">
        <f t="shared" si="388"/>
        <v/>
      </c>
      <c r="K4109" s="28" t="str">
        <f t="shared" si="385"/>
        <v/>
      </c>
      <c r="L4109" s="46" t="str">
        <f t="shared" si="389"/>
        <v/>
      </c>
      <c r="M4109" t="str" cm="1">
        <f t="array" ref="M4109">IF(L4109="","",_xlfn.IFS(
  AND(L4109&gt;=TIME(9,0,0), L4109&lt;TIME(16,0,0)),"Morning",
  AND(L4109&gt;=TIME(16,0,0), L4109&lt;TIME(23,59,0)),"Evening",
  L4109&gt;=TIME(23,59,0),"Night",
  L4109&lt;TIME(9,0,0),"Night"
))</f>
        <v/>
      </c>
      <c r="O4109" t="str">
        <f t="shared" si="386"/>
        <v/>
      </c>
    </row>
    <row r="4110" spans="7:15" x14ac:dyDescent="0.25">
      <c r="G4110" t="str">
        <f t="shared" si="384"/>
        <v/>
      </c>
      <c r="H4110" s="13" t="str">
        <f t="shared" si="387"/>
        <v/>
      </c>
      <c r="I4110" t="str">
        <f>IFERROR(INDEX(Analysis!$D$116:$N$137, MATCH(B4110, Analysis!$C$116:$C$137, 0), MATCH(C4110, Analysis!$D$115:$N$115, 0)), "")</f>
        <v/>
      </c>
      <c r="J4110" t="str">
        <f t="shared" si="388"/>
        <v/>
      </c>
      <c r="K4110" s="28" t="str">
        <f t="shared" si="385"/>
        <v/>
      </c>
      <c r="L4110" s="46" t="str">
        <f t="shared" si="389"/>
        <v/>
      </c>
      <c r="M4110" t="str" cm="1">
        <f t="array" ref="M4110">IF(L4110="","",_xlfn.IFS(
  AND(L4110&gt;=TIME(9,0,0), L4110&lt;TIME(16,0,0)),"Morning",
  AND(L4110&gt;=TIME(16,0,0), L4110&lt;TIME(23,59,0)),"Evening",
  L4110&gt;=TIME(23,59,0),"Night",
  L4110&lt;TIME(9,0,0),"Night"
))</f>
        <v/>
      </c>
      <c r="O4110" t="str">
        <f t="shared" si="386"/>
        <v/>
      </c>
    </row>
    <row r="4111" spans="7:15" x14ac:dyDescent="0.25">
      <c r="G4111" t="str">
        <f t="shared" si="384"/>
        <v/>
      </c>
      <c r="H4111" s="13" t="str">
        <f t="shared" si="387"/>
        <v/>
      </c>
      <c r="I4111" t="str">
        <f>IFERROR(INDEX(Analysis!$D$116:$N$137, MATCH(B4111, Analysis!$C$116:$C$137, 0), MATCH(C4111, Analysis!$D$115:$N$115, 0)), "")</f>
        <v/>
      </c>
      <c r="J4111" t="str">
        <f t="shared" si="388"/>
        <v/>
      </c>
      <c r="K4111" s="28" t="str">
        <f t="shared" si="385"/>
        <v/>
      </c>
      <c r="L4111" s="46" t="str">
        <f t="shared" si="389"/>
        <v/>
      </c>
      <c r="M4111" t="str" cm="1">
        <f t="array" ref="M4111">IF(L4111="","",_xlfn.IFS(
  AND(L4111&gt;=TIME(9,0,0), L4111&lt;TIME(16,0,0)),"Morning",
  AND(L4111&gt;=TIME(16,0,0), L4111&lt;TIME(23,59,0)),"Evening",
  L4111&gt;=TIME(23,59,0),"Night",
  L4111&lt;TIME(9,0,0),"Night"
))</f>
        <v/>
      </c>
      <c r="O4111" t="str">
        <f t="shared" si="386"/>
        <v/>
      </c>
    </row>
    <row r="4112" spans="7:15" x14ac:dyDescent="0.25">
      <c r="G4112" t="str">
        <f t="shared" si="384"/>
        <v/>
      </c>
      <c r="H4112" s="13" t="str">
        <f t="shared" si="387"/>
        <v/>
      </c>
      <c r="I4112" t="str">
        <f>IFERROR(INDEX(Analysis!$D$116:$N$137, MATCH(B4112, Analysis!$C$116:$C$137, 0), MATCH(C4112, Analysis!$D$115:$N$115, 0)), "")</f>
        <v/>
      </c>
      <c r="J4112" t="str">
        <f t="shared" si="388"/>
        <v/>
      </c>
      <c r="K4112" s="28" t="str">
        <f t="shared" si="385"/>
        <v/>
      </c>
      <c r="L4112" s="46" t="str">
        <f t="shared" si="389"/>
        <v/>
      </c>
      <c r="M4112" t="str" cm="1">
        <f t="array" ref="M4112">IF(L4112="","",_xlfn.IFS(
  AND(L4112&gt;=TIME(9,0,0), L4112&lt;TIME(16,0,0)),"Morning",
  AND(L4112&gt;=TIME(16,0,0), L4112&lt;TIME(23,59,0)),"Evening",
  L4112&gt;=TIME(23,59,0),"Night",
  L4112&lt;TIME(9,0,0),"Night"
))</f>
        <v/>
      </c>
      <c r="O4112" t="str">
        <f t="shared" si="386"/>
        <v/>
      </c>
    </row>
    <row r="4113" spans="7:15" x14ac:dyDescent="0.25">
      <c r="G4113" t="str">
        <f t="shared" si="384"/>
        <v/>
      </c>
      <c r="H4113" s="13" t="str">
        <f t="shared" si="387"/>
        <v/>
      </c>
      <c r="I4113" t="str">
        <f>IFERROR(INDEX(Analysis!$D$116:$N$137, MATCH(B4113, Analysis!$C$116:$C$137, 0), MATCH(C4113, Analysis!$D$115:$N$115, 0)), "")</f>
        <v/>
      </c>
      <c r="J4113" t="str">
        <f t="shared" si="388"/>
        <v/>
      </c>
      <c r="K4113" s="28" t="str">
        <f t="shared" si="385"/>
        <v/>
      </c>
      <c r="L4113" s="46" t="str">
        <f t="shared" si="389"/>
        <v/>
      </c>
      <c r="M4113" t="str" cm="1">
        <f t="array" ref="M4113">IF(L4113="","",_xlfn.IFS(
  AND(L4113&gt;=TIME(9,0,0), L4113&lt;TIME(16,0,0)),"Morning",
  AND(L4113&gt;=TIME(16,0,0), L4113&lt;TIME(23,59,0)),"Evening",
  L4113&gt;=TIME(23,59,0),"Night",
  L4113&lt;TIME(9,0,0),"Night"
))</f>
        <v/>
      </c>
      <c r="O4113" t="str">
        <f t="shared" si="386"/>
        <v/>
      </c>
    </row>
    <row r="4114" spans="7:15" x14ac:dyDescent="0.25">
      <c r="G4114" t="str">
        <f t="shared" si="384"/>
        <v/>
      </c>
      <c r="H4114" s="13" t="str">
        <f t="shared" si="387"/>
        <v/>
      </c>
      <c r="I4114" t="str">
        <f>IFERROR(INDEX(Analysis!$D$116:$N$137, MATCH(B4114, Analysis!$C$116:$C$137, 0), MATCH(C4114, Analysis!$D$115:$N$115, 0)), "")</f>
        <v/>
      </c>
      <c r="J4114" t="str">
        <f t="shared" si="388"/>
        <v/>
      </c>
      <c r="K4114" s="28" t="str">
        <f t="shared" si="385"/>
        <v/>
      </c>
      <c r="L4114" s="46" t="str">
        <f t="shared" si="389"/>
        <v/>
      </c>
      <c r="M4114" t="str" cm="1">
        <f t="array" ref="M4114">IF(L4114="","",_xlfn.IFS(
  AND(L4114&gt;=TIME(9,0,0), L4114&lt;TIME(16,0,0)),"Morning",
  AND(L4114&gt;=TIME(16,0,0), L4114&lt;TIME(23,59,0)),"Evening",
  L4114&gt;=TIME(23,59,0),"Night",
  L4114&lt;TIME(9,0,0),"Night"
))</f>
        <v/>
      </c>
      <c r="O4114" t="str">
        <f t="shared" si="386"/>
        <v/>
      </c>
    </row>
    <row r="4115" spans="7:15" x14ac:dyDescent="0.25">
      <c r="G4115" t="str">
        <f t="shared" si="384"/>
        <v/>
      </c>
      <c r="H4115" s="13" t="str">
        <f t="shared" si="387"/>
        <v/>
      </c>
      <c r="I4115" t="str">
        <f>IFERROR(INDEX(Analysis!$D$116:$N$137, MATCH(B4115, Analysis!$C$116:$C$137, 0), MATCH(C4115, Analysis!$D$115:$N$115, 0)), "")</f>
        <v/>
      </c>
      <c r="J4115" t="str">
        <f t="shared" si="388"/>
        <v/>
      </c>
      <c r="K4115" s="28" t="str">
        <f t="shared" si="385"/>
        <v/>
      </c>
      <c r="L4115" s="46" t="str">
        <f t="shared" si="389"/>
        <v/>
      </c>
      <c r="M4115" t="str" cm="1">
        <f t="array" ref="M4115">IF(L4115="","",_xlfn.IFS(
  AND(L4115&gt;=TIME(9,0,0), L4115&lt;TIME(16,0,0)),"Morning",
  AND(L4115&gt;=TIME(16,0,0), L4115&lt;TIME(23,59,0)),"Evening",
  L4115&gt;=TIME(23,59,0),"Night",
  L4115&lt;TIME(9,0,0),"Night"
))</f>
        <v/>
      </c>
      <c r="O4115" t="str">
        <f t="shared" si="386"/>
        <v/>
      </c>
    </row>
    <row r="4116" spans="7:15" x14ac:dyDescent="0.25">
      <c r="G4116" t="str">
        <f t="shared" si="384"/>
        <v/>
      </c>
      <c r="H4116" s="13" t="str">
        <f t="shared" si="387"/>
        <v/>
      </c>
      <c r="I4116" t="str">
        <f>IFERROR(INDEX(Analysis!$D$116:$N$137, MATCH(B4116, Analysis!$C$116:$C$137, 0), MATCH(C4116, Analysis!$D$115:$N$115, 0)), "")</f>
        <v/>
      </c>
      <c r="J4116" t="str">
        <f t="shared" si="388"/>
        <v/>
      </c>
      <c r="K4116" s="28" t="str">
        <f t="shared" si="385"/>
        <v/>
      </c>
      <c r="L4116" s="46" t="str">
        <f t="shared" si="389"/>
        <v/>
      </c>
      <c r="M4116" t="str" cm="1">
        <f t="array" ref="M4116">IF(L4116="","",_xlfn.IFS(
  AND(L4116&gt;=TIME(9,0,0), L4116&lt;TIME(16,0,0)),"Morning",
  AND(L4116&gt;=TIME(16,0,0), L4116&lt;TIME(23,59,0)),"Evening",
  L4116&gt;=TIME(23,59,0),"Night",
  L4116&lt;TIME(9,0,0),"Night"
))</f>
        <v/>
      </c>
      <c r="O4116" t="str">
        <f t="shared" si="386"/>
        <v/>
      </c>
    </row>
    <row r="4117" spans="7:15" x14ac:dyDescent="0.25">
      <c r="G4117" t="str">
        <f t="shared" si="384"/>
        <v/>
      </c>
      <c r="H4117" s="13" t="str">
        <f t="shared" si="387"/>
        <v/>
      </c>
      <c r="I4117" t="str">
        <f>IFERROR(INDEX(Analysis!$D$116:$N$137, MATCH(B4117, Analysis!$C$116:$C$137, 0), MATCH(C4117, Analysis!$D$115:$N$115, 0)), "")</f>
        <v/>
      </c>
      <c r="J4117" t="str">
        <f t="shared" si="388"/>
        <v/>
      </c>
      <c r="K4117" s="28" t="str">
        <f t="shared" si="385"/>
        <v/>
      </c>
      <c r="L4117" s="46" t="str">
        <f t="shared" si="389"/>
        <v/>
      </c>
      <c r="M4117" t="str" cm="1">
        <f t="array" ref="M4117">IF(L4117="","",_xlfn.IFS(
  AND(L4117&gt;=TIME(9,0,0), L4117&lt;TIME(16,0,0)),"Morning",
  AND(L4117&gt;=TIME(16,0,0), L4117&lt;TIME(23,59,0)),"Evening",
  L4117&gt;=TIME(23,59,0),"Night",
  L4117&lt;TIME(9,0,0),"Night"
))</f>
        <v/>
      </c>
      <c r="O4117" t="str">
        <f t="shared" si="386"/>
        <v/>
      </c>
    </row>
    <row r="4118" spans="7:15" x14ac:dyDescent="0.25">
      <c r="G4118" t="str">
        <f t="shared" si="384"/>
        <v/>
      </c>
      <c r="H4118" s="13" t="str">
        <f t="shared" si="387"/>
        <v/>
      </c>
      <c r="I4118" t="str">
        <f>IFERROR(INDEX(Analysis!$D$116:$N$137, MATCH(B4118, Analysis!$C$116:$C$137, 0), MATCH(C4118, Analysis!$D$115:$N$115, 0)), "")</f>
        <v/>
      </c>
      <c r="J4118" t="str">
        <f t="shared" si="388"/>
        <v/>
      </c>
      <c r="K4118" s="28" t="str">
        <f t="shared" si="385"/>
        <v/>
      </c>
      <c r="L4118" s="46" t="str">
        <f t="shared" si="389"/>
        <v/>
      </c>
      <c r="M4118" t="str" cm="1">
        <f t="array" ref="M4118">IF(L4118="","",_xlfn.IFS(
  AND(L4118&gt;=TIME(9,0,0), L4118&lt;TIME(16,0,0)),"Morning",
  AND(L4118&gt;=TIME(16,0,0), L4118&lt;TIME(23,59,0)),"Evening",
  L4118&gt;=TIME(23,59,0),"Night",
  L4118&lt;TIME(9,0,0),"Night"
))</f>
        <v/>
      </c>
      <c r="O4118" t="str">
        <f t="shared" si="386"/>
        <v/>
      </c>
    </row>
    <row r="4119" spans="7:15" x14ac:dyDescent="0.25">
      <c r="G4119" t="str">
        <f t="shared" si="384"/>
        <v/>
      </c>
      <c r="H4119" s="13" t="str">
        <f t="shared" si="387"/>
        <v/>
      </c>
      <c r="I4119" t="str">
        <f>IFERROR(INDEX(Analysis!$D$116:$N$137, MATCH(B4119, Analysis!$C$116:$C$137, 0), MATCH(C4119, Analysis!$D$115:$N$115, 0)), "")</f>
        <v/>
      </c>
      <c r="J4119" t="str">
        <f t="shared" si="388"/>
        <v/>
      </c>
      <c r="K4119" s="28" t="str">
        <f t="shared" si="385"/>
        <v/>
      </c>
      <c r="L4119" s="46" t="str">
        <f t="shared" si="389"/>
        <v/>
      </c>
      <c r="M4119" t="str" cm="1">
        <f t="array" ref="M4119">IF(L4119="","",_xlfn.IFS(
  AND(L4119&gt;=TIME(9,0,0), L4119&lt;TIME(16,0,0)),"Morning",
  AND(L4119&gt;=TIME(16,0,0), L4119&lt;TIME(23,59,0)),"Evening",
  L4119&gt;=TIME(23,59,0),"Night",
  L4119&lt;TIME(9,0,0),"Night"
))</f>
        <v/>
      </c>
      <c r="O4119" t="str">
        <f t="shared" si="386"/>
        <v/>
      </c>
    </row>
    <row r="4120" spans="7:15" x14ac:dyDescent="0.25">
      <c r="G4120" t="str">
        <f t="shared" si="384"/>
        <v/>
      </c>
      <c r="H4120" s="13" t="str">
        <f t="shared" si="387"/>
        <v/>
      </c>
      <c r="I4120" t="str">
        <f>IFERROR(INDEX(Analysis!$D$116:$N$137, MATCH(B4120, Analysis!$C$116:$C$137, 0), MATCH(C4120, Analysis!$D$115:$N$115, 0)), "")</f>
        <v/>
      </c>
      <c r="J4120" t="str">
        <f t="shared" si="388"/>
        <v/>
      </c>
      <c r="K4120" s="28" t="str">
        <f t="shared" si="385"/>
        <v/>
      </c>
      <c r="L4120" s="46" t="str">
        <f t="shared" si="389"/>
        <v/>
      </c>
      <c r="M4120" t="str" cm="1">
        <f t="array" ref="M4120">IF(L4120="","",_xlfn.IFS(
  AND(L4120&gt;=TIME(9,0,0), L4120&lt;TIME(16,0,0)),"Morning",
  AND(L4120&gt;=TIME(16,0,0), L4120&lt;TIME(23,59,0)),"Evening",
  L4120&gt;=TIME(23,59,0),"Night",
  L4120&lt;TIME(9,0,0),"Night"
))</f>
        <v/>
      </c>
      <c r="O4120" t="str">
        <f t="shared" si="386"/>
        <v/>
      </c>
    </row>
    <row r="4121" spans="7:15" x14ac:dyDescent="0.25">
      <c r="G4121" t="str">
        <f t="shared" si="384"/>
        <v/>
      </c>
      <c r="H4121" s="13" t="str">
        <f t="shared" si="387"/>
        <v/>
      </c>
      <c r="I4121" t="str">
        <f>IFERROR(INDEX(Analysis!$D$116:$N$137, MATCH(B4121, Analysis!$C$116:$C$137, 0), MATCH(C4121, Analysis!$D$115:$N$115, 0)), "")</f>
        <v/>
      </c>
      <c r="J4121" t="str">
        <f t="shared" si="388"/>
        <v/>
      </c>
      <c r="K4121" s="28" t="str">
        <f t="shared" si="385"/>
        <v/>
      </c>
      <c r="L4121" s="46" t="str">
        <f t="shared" si="389"/>
        <v/>
      </c>
      <c r="M4121" t="str" cm="1">
        <f t="array" ref="M4121">IF(L4121="","",_xlfn.IFS(
  AND(L4121&gt;=TIME(9,0,0), L4121&lt;TIME(16,0,0)),"Morning",
  AND(L4121&gt;=TIME(16,0,0), L4121&lt;TIME(23,59,0)),"Evening",
  L4121&gt;=TIME(23,59,0),"Night",
  L4121&lt;TIME(9,0,0),"Night"
))</f>
        <v/>
      </c>
      <c r="O4121" t="str">
        <f t="shared" si="386"/>
        <v/>
      </c>
    </row>
    <row r="4122" spans="7:15" x14ac:dyDescent="0.25">
      <c r="G4122" t="str">
        <f t="shared" si="384"/>
        <v/>
      </c>
      <c r="H4122" s="13" t="str">
        <f t="shared" si="387"/>
        <v/>
      </c>
      <c r="I4122" t="str">
        <f>IFERROR(INDEX(Analysis!$D$116:$N$137, MATCH(B4122, Analysis!$C$116:$C$137, 0), MATCH(C4122, Analysis!$D$115:$N$115, 0)), "")</f>
        <v/>
      </c>
      <c r="J4122" t="str">
        <f t="shared" si="388"/>
        <v/>
      </c>
      <c r="K4122" s="28" t="str">
        <f t="shared" si="385"/>
        <v/>
      </c>
      <c r="L4122" s="46" t="str">
        <f t="shared" si="389"/>
        <v/>
      </c>
      <c r="M4122" t="str" cm="1">
        <f t="array" ref="M4122">IF(L4122="","",_xlfn.IFS(
  AND(L4122&gt;=TIME(9,0,0), L4122&lt;TIME(16,0,0)),"Morning",
  AND(L4122&gt;=TIME(16,0,0), L4122&lt;TIME(23,59,0)),"Evening",
  L4122&gt;=TIME(23,59,0),"Night",
  L4122&lt;TIME(9,0,0),"Night"
))</f>
        <v/>
      </c>
      <c r="O4122" t="str">
        <f t="shared" si="386"/>
        <v/>
      </c>
    </row>
    <row r="4123" spans="7:15" x14ac:dyDescent="0.25">
      <c r="G4123" t="str">
        <f t="shared" si="384"/>
        <v/>
      </c>
      <c r="H4123" s="13" t="str">
        <f t="shared" si="387"/>
        <v/>
      </c>
      <c r="I4123" t="str">
        <f>IFERROR(INDEX(Analysis!$D$116:$N$137, MATCH(B4123, Analysis!$C$116:$C$137, 0), MATCH(C4123, Analysis!$D$115:$N$115, 0)), "")</f>
        <v/>
      </c>
      <c r="J4123" t="str">
        <f t="shared" si="388"/>
        <v/>
      </c>
      <c r="K4123" s="28" t="str">
        <f t="shared" si="385"/>
        <v/>
      </c>
      <c r="L4123" s="46" t="str">
        <f t="shared" si="389"/>
        <v/>
      </c>
      <c r="M4123" t="str" cm="1">
        <f t="array" ref="M4123">IF(L4123="","",_xlfn.IFS(
  AND(L4123&gt;=TIME(9,0,0), L4123&lt;TIME(16,0,0)),"Morning",
  AND(L4123&gt;=TIME(16,0,0), L4123&lt;TIME(23,59,0)),"Evening",
  L4123&gt;=TIME(23,59,0),"Night",
  L4123&lt;TIME(9,0,0),"Night"
))</f>
        <v/>
      </c>
      <c r="O4123" t="str">
        <f t="shared" si="386"/>
        <v/>
      </c>
    </row>
    <row r="4124" spans="7:15" x14ac:dyDescent="0.25">
      <c r="G4124" t="str">
        <f t="shared" si="384"/>
        <v/>
      </c>
      <c r="H4124" s="13" t="str">
        <f t="shared" si="387"/>
        <v/>
      </c>
      <c r="I4124" t="str">
        <f>IFERROR(INDEX(Analysis!$D$116:$N$137, MATCH(B4124, Analysis!$C$116:$C$137, 0), MATCH(C4124, Analysis!$D$115:$N$115, 0)), "")</f>
        <v/>
      </c>
      <c r="J4124" t="str">
        <f t="shared" si="388"/>
        <v/>
      </c>
      <c r="K4124" s="28" t="str">
        <f t="shared" si="385"/>
        <v/>
      </c>
      <c r="L4124" s="46" t="str">
        <f t="shared" si="389"/>
        <v/>
      </c>
      <c r="M4124" t="str" cm="1">
        <f t="array" ref="M4124">IF(L4124="","",_xlfn.IFS(
  AND(L4124&gt;=TIME(9,0,0), L4124&lt;TIME(16,0,0)),"Morning",
  AND(L4124&gt;=TIME(16,0,0), L4124&lt;TIME(23,59,0)),"Evening",
  L4124&gt;=TIME(23,59,0),"Night",
  L4124&lt;TIME(9,0,0),"Night"
))</f>
        <v/>
      </c>
      <c r="O4124" t="str">
        <f t="shared" si="386"/>
        <v/>
      </c>
    </row>
    <row r="4125" spans="7:15" x14ac:dyDescent="0.25">
      <c r="G4125" t="str">
        <f t="shared" si="384"/>
        <v/>
      </c>
      <c r="H4125" s="13" t="str">
        <f t="shared" si="387"/>
        <v/>
      </c>
      <c r="I4125" t="str">
        <f>IFERROR(INDEX(Analysis!$D$116:$N$137, MATCH(B4125, Analysis!$C$116:$C$137, 0), MATCH(C4125, Analysis!$D$115:$N$115, 0)), "")</f>
        <v/>
      </c>
      <c r="J4125" t="str">
        <f t="shared" si="388"/>
        <v/>
      </c>
      <c r="K4125" s="28" t="str">
        <f t="shared" si="385"/>
        <v/>
      </c>
      <c r="L4125" s="46" t="str">
        <f t="shared" si="389"/>
        <v/>
      </c>
      <c r="M4125" t="str" cm="1">
        <f t="array" ref="M4125">IF(L4125="","",_xlfn.IFS(
  AND(L4125&gt;=TIME(9,0,0), L4125&lt;TIME(16,0,0)),"Morning",
  AND(L4125&gt;=TIME(16,0,0), L4125&lt;TIME(23,59,0)),"Evening",
  L4125&gt;=TIME(23,59,0),"Night",
  L4125&lt;TIME(9,0,0),"Night"
))</f>
        <v/>
      </c>
      <c r="O4125" t="str">
        <f t="shared" si="386"/>
        <v/>
      </c>
    </row>
    <row r="4126" spans="7:15" x14ac:dyDescent="0.25">
      <c r="G4126" t="str">
        <f t="shared" si="384"/>
        <v/>
      </c>
      <c r="H4126" s="13" t="str">
        <f t="shared" si="387"/>
        <v/>
      </c>
      <c r="I4126" t="str">
        <f>IFERROR(INDEX(Analysis!$D$116:$N$137, MATCH(B4126, Analysis!$C$116:$C$137, 0), MATCH(C4126, Analysis!$D$115:$N$115, 0)), "")</f>
        <v/>
      </c>
      <c r="J4126" t="str">
        <f t="shared" si="388"/>
        <v/>
      </c>
      <c r="K4126" s="28" t="str">
        <f t="shared" si="385"/>
        <v/>
      </c>
      <c r="L4126" s="46" t="str">
        <f t="shared" si="389"/>
        <v/>
      </c>
      <c r="M4126" t="str" cm="1">
        <f t="array" ref="M4126">IF(L4126="","",_xlfn.IFS(
  AND(L4126&gt;=TIME(9,0,0), L4126&lt;TIME(16,0,0)),"Morning",
  AND(L4126&gt;=TIME(16,0,0), L4126&lt;TIME(23,59,0)),"Evening",
  L4126&gt;=TIME(23,59,0),"Night",
  L4126&lt;TIME(9,0,0),"Night"
))</f>
        <v/>
      </c>
      <c r="O4126" t="str">
        <f t="shared" si="386"/>
        <v/>
      </c>
    </row>
    <row r="4127" spans="7:15" x14ac:dyDescent="0.25">
      <c r="G4127" t="str">
        <f t="shared" si="384"/>
        <v/>
      </c>
      <c r="H4127" s="13" t="str">
        <f t="shared" si="387"/>
        <v/>
      </c>
      <c r="I4127" t="str">
        <f>IFERROR(INDEX(Analysis!$D$116:$N$137, MATCH(B4127, Analysis!$C$116:$C$137, 0), MATCH(C4127, Analysis!$D$115:$N$115, 0)), "")</f>
        <v/>
      </c>
      <c r="J4127" t="str">
        <f t="shared" si="388"/>
        <v/>
      </c>
      <c r="K4127" s="28" t="str">
        <f t="shared" si="385"/>
        <v/>
      </c>
      <c r="L4127" s="46" t="str">
        <f t="shared" si="389"/>
        <v/>
      </c>
      <c r="M4127" t="str" cm="1">
        <f t="array" ref="M4127">IF(L4127="","",_xlfn.IFS(
  AND(L4127&gt;=TIME(9,0,0), L4127&lt;TIME(16,0,0)),"Morning",
  AND(L4127&gt;=TIME(16,0,0), L4127&lt;TIME(23,59,0)),"Evening",
  L4127&gt;=TIME(23,59,0),"Night",
  L4127&lt;TIME(9,0,0),"Night"
))</f>
        <v/>
      </c>
      <c r="O4127" t="str">
        <f t="shared" si="386"/>
        <v/>
      </c>
    </row>
    <row r="4128" spans="7:15" x14ac:dyDescent="0.25">
      <c r="G4128" t="str">
        <f t="shared" si="384"/>
        <v/>
      </c>
      <c r="H4128" s="13" t="str">
        <f t="shared" si="387"/>
        <v/>
      </c>
      <c r="I4128" t="str">
        <f>IFERROR(INDEX(Analysis!$D$116:$N$137, MATCH(B4128, Analysis!$C$116:$C$137, 0), MATCH(C4128, Analysis!$D$115:$N$115, 0)), "")</f>
        <v/>
      </c>
      <c r="J4128" t="str">
        <f t="shared" si="388"/>
        <v/>
      </c>
      <c r="K4128" s="28" t="str">
        <f t="shared" si="385"/>
        <v/>
      </c>
      <c r="L4128" s="46" t="str">
        <f t="shared" si="389"/>
        <v/>
      </c>
      <c r="M4128" t="str" cm="1">
        <f t="array" ref="M4128">IF(L4128="","",_xlfn.IFS(
  AND(L4128&gt;=TIME(9,0,0), L4128&lt;TIME(16,0,0)),"Morning",
  AND(L4128&gt;=TIME(16,0,0), L4128&lt;TIME(23,59,0)),"Evening",
  L4128&gt;=TIME(23,59,0),"Night",
  L4128&lt;TIME(9,0,0),"Night"
))</f>
        <v/>
      </c>
      <c r="O4128" t="str">
        <f t="shared" si="386"/>
        <v/>
      </c>
    </row>
    <row r="4129" spans="7:15" x14ac:dyDescent="0.25">
      <c r="G4129" t="str">
        <f t="shared" si="384"/>
        <v/>
      </c>
      <c r="H4129" s="13" t="str">
        <f t="shared" si="387"/>
        <v/>
      </c>
      <c r="I4129" t="str">
        <f>IFERROR(INDEX(Analysis!$D$116:$N$137, MATCH(B4129, Analysis!$C$116:$C$137, 0), MATCH(C4129, Analysis!$D$115:$N$115, 0)), "")</f>
        <v/>
      </c>
      <c r="J4129" t="str">
        <f t="shared" si="388"/>
        <v/>
      </c>
      <c r="K4129" s="28" t="str">
        <f t="shared" si="385"/>
        <v/>
      </c>
      <c r="L4129" s="46" t="str">
        <f t="shared" si="389"/>
        <v/>
      </c>
      <c r="M4129" t="str" cm="1">
        <f t="array" ref="M4129">IF(L4129="","",_xlfn.IFS(
  AND(L4129&gt;=TIME(9,0,0), L4129&lt;TIME(16,0,0)),"Morning",
  AND(L4129&gt;=TIME(16,0,0), L4129&lt;TIME(23,59,0)),"Evening",
  L4129&gt;=TIME(23,59,0),"Night",
  L4129&lt;TIME(9,0,0),"Night"
))</f>
        <v/>
      </c>
      <c r="O4129" t="str">
        <f t="shared" si="386"/>
        <v/>
      </c>
    </row>
    <row r="4130" spans="7:15" x14ac:dyDescent="0.25">
      <c r="G4130" t="str">
        <f t="shared" si="384"/>
        <v/>
      </c>
      <c r="H4130" s="13" t="str">
        <f t="shared" si="387"/>
        <v/>
      </c>
      <c r="I4130" t="str">
        <f>IFERROR(INDEX(Analysis!$D$116:$N$137, MATCH(B4130, Analysis!$C$116:$C$137, 0), MATCH(C4130, Analysis!$D$115:$N$115, 0)), "")</f>
        <v/>
      </c>
      <c r="J4130" t="str">
        <f t="shared" si="388"/>
        <v/>
      </c>
      <c r="K4130" s="28" t="str">
        <f t="shared" si="385"/>
        <v/>
      </c>
      <c r="L4130" s="46" t="str">
        <f t="shared" si="389"/>
        <v/>
      </c>
      <c r="M4130" t="str" cm="1">
        <f t="array" ref="M4130">IF(L4130="","",_xlfn.IFS(
  AND(L4130&gt;=TIME(9,0,0), L4130&lt;TIME(16,0,0)),"Morning",
  AND(L4130&gt;=TIME(16,0,0), L4130&lt;TIME(23,59,0)),"Evening",
  L4130&gt;=TIME(23,59,0),"Night",
  L4130&lt;TIME(9,0,0),"Night"
))</f>
        <v/>
      </c>
      <c r="O4130" t="str">
        <f t="shared" si="386"/>
        <v/>
      </c>
    </row>
    <row r="4131" spans="7:15" x14ac:dyDescent="0.25">
      <c r="G4131" t="str">
        <f t="shared" si="384"/>
        <v/>
      </c>
      <c r="H4131" s="13" t="str">
        <f t="shared" si="387"/>
        <v/>
      </c>
      <c r="I4131" t="str">
        <f>IFERROR(INDEX(Analysis!$D$116:$N$137, MATCH(B4131, Analysis!$C$116:$C$137, 0), MATCH(C4131, Analysis!$D$115:$N$115, 0)), "")</f>
        <v/>
      </c>
      <c r="J4131" t="str">
        <f t="shared" si="388"/>
        <v/>
      </c>
      <c r="K4131" s="28" t="str">
        <f t="shared" si="385"/>
        <v/>
      </c>
      <c r="L4131" s="46" t="str">
        <f t="shared" si="389"/>
        <v/>
      </c>
      <c r="M4131" t="str" cm="1">
        <f t="array" ref="M4131">IF(L4131="","",_xlfn.IFS(
  AND(L4131&gt;=TIME(9,0,0), L4131&lt;TIME(16,0,0)),"Morning",
  AND(L4131&gt;=TIME(16,0,0), L4131&lt;TIME(23,59,0)),"Evening",
  L4131&gt;=TIME(23,59,0),"Night",
  L4131&lt;TIME(9,0,0),"Night"
))</f>
        <v/>
      </c>
      <c r="O4131" t="str">
        <f t="shared" si="386"/>
        <v/>
      </c>
    </row>
    <row r="4132" spans="7:15" x14ac:dyDescent="0.25">
      <c r="G4132" t="str">
        <f t="shared" si="384"/>
        <v/>
      </c>
      <c r="H4132" s="13" t="str">
        <f t="shared" si="387"/>
        <v/>
      </c>
      <c r="I4132" t="str">
        <f>IFERROR(INDEX(Analysis!$D$116:$N$137, MATCH(B4132, Analysis!$C$116:$C$137, 0), MATCH(C4132, Analysis!$D$115:$N$115, 0)), "")</f>
        <v/>
      </c>
      <c r="J4132" t="str">
        <f t="shared" si="388"/>
        <v/>
      </c>
      <c r="K4132" s="28" t="str">
        <f t="shared" si="385"/>
        <v/>
      </c>
      <c r="L4132" s="46" t="str">
        <f t="shared" si="389"/>
        <v/>
      </c>
      <c r="M4132" t="str" cm="1">
        <f t="array" ref="M4132">IF(L4132="","",_xlfn.IFS(
  AND(L4132&gt;=TIME(9,0,0), L4132&lt;TIME(16,0,0)),"Morning",
  AND(L4132&gt;=TIME(16,0,0), L4132&lt;TIME(23,59,0)),"Evening",
  L4132&gt;=TIME(23,59,0),"Night",
  L4132&lt;TIME(9,0,0),"Night"
))</f>
        <v/>
      </c>
      <c r="O4132" t="str">
        <f t="shared" si="386"/>
        <v/>
      </c>
    </row>
    <row r="4133" spans="7:15" x14ac:dyDescent="0.25">
      <c r="G4133" t="str">
        <f t="shared" si="384"/>
        <v/>
      </c>
      <c r="H4133" s="13" t="str">
        <f t="shared" si="387"/>
        <v/>
      </c>
      <c r="I4133" t="str">
        <f>IFERROR(INDEX(Analysis!$D$116:$N$137, MATCH(B4133, Analysis!$C$116:$C$137, 0), MATCH(C4133, Analysis!$D$115:$N$115, 0)), "")</f>
        <v/>
      </c>
      <c r="J4133" t="str">
        <f t="shared" si="388"/>
        <v/>
      </c>
      <c r="K4133" s="28" t="str">
        <f t="shared" si="385"/>
        <v/>
      </c>
      <c r="L4133" s="46" t="str">
        <f t="shared" si="389"/>
        <v/>
      </c>
      <c r="M4133" t="str" cm="1">
        <f t="array" ref="M4133">IF(L4133="","",_xlfn.IFS(
  AND(L4133&gt;=TIME(9,0,0), L4133&lt;TIME(16,0,0)),"Morning",
  AND(L4133&gt;=TIME(16,0,0), L4133&lt;TIME(23,59,0)),"Evening",
  L4133&gt;=TIME(23,59,0),"Night",
  L4133&lt;TIME(9,0,0),"Night"
))</f>
        <v/>
      </c>
      <c r="O4133" t="str">
        <f t="shared" si="386"/>
        <v/>
      </c>
    </row>
    <row r="4134" spans="7:15" x14ac:dyDescent="0.25">
      <c r="G4134" t="str">
        <f t="shared" si="384"/>
        <v/>
      </c>
      <c r="H4134" s="13" t="str">
        <f t="shared" si="387"/>
        <v/>
      </c>
      <c r="I4134" t="str">
        <f>IFERROR(INDEX(Analysis!$D$116:$N$137, MATCH(B4134, Analysis!$C$116:$C$137, 0), MATCH(C4134, Analysis!$D$115:$N$115, 0)), "")</f>
        <v/>
      </c>
      <c r="J4134" t="str">
        <f t="shared" si="388"/>
        <v/>
      </c>
      <c r="K4134" s="28" t="str">
        <f t="shared" si="385"/>
        <v/>
      </c>
      <c r="L4134" s="46" t="str">
        <f t="shared" si="389"/>
        <v/>
      </c>
      <c r="M4134" t="str" cm="1">
        <f t="array" ref="M4134">IF(L4134="","",_xlfn.IFS(
  AND(L4134&gt;=TIME(9,0,0), L4134&lt;TIME(16,0,0)),"Morning",
  AND(L4134&gt;=TIME(16,0,0), L4134&lt;TIME(23,59,0)),"Evening",
  L4134&gt;=TIME(23,59,0),"Night",
  L4134&lt;TIME(9,0,0),"Night"
))</f>
        <v/>
      </c>
      <c r="O4134" t="str">
        <f t="shared" si="386"/>
        <v/>
      </c>
    </row>
    <row r="4135" spans="7:15" x14ac:dyDescent="0.25">
      <c r="G4135" t="str">
        <f t="shared" si="384"/>
        <v/>
      </c>
      <c r="H4135" s="13" t="str">
        <f t="shared" si="387"/>
        <v/>
      </c>
      <c r="I4135" t="str">
        <f>IFERROR(INDEX(Analysis!$D$116:$N$137, MATCH(B4135, Analysis!$C$116:$C$137, 0), MATCH(C4135, Analysis!$D$115:$N$115, 0)), "")</f>
        <v/>
      </c>
      <c r="J4135" t="str">
        <f t="shared" si="388"/>
        <v/>
      </c>
      <c r="K4135" s="28" t="str">
        <f t="shared" si="385"/>
        <v/>
      </c>
      <c r="L4135" s="46" t="str">
        <f t="shared" si="389"/>
        <v/>
      </c>
      <c r="M4135" t="str" cm="1">
        <f t="array" ref="M4135">IF(L4135="","",_xlfn.IFS(
  AND(L4135&gt;=TIME(9,0,0), L4135&lt;TIME(16,0,0)),"Morning",
  AND(L4135&gt;=TIME(16,0,0), L4135&lt;TIME(23,59,0)),"Evening",
  L4135&gt;=TIME(23,59,0),"Night",
  L4135&lt;TIME(9,0,0),"Night"
))</f>
        <v/>
      </c>
      <c r="O4135" t="str">
        <f t="shared" si="386"/>
        <v/>
      </c>
    </row>
    <row r="4136" spans="7:15" x14ac:dyDescent="0.25">
      <c r="G4136" t="str">
        <f t="shared" si="384"/>
        <v/>
      </c>
      <c r="H4136" s="13" t="str">
        <f t="shared" si="387"/>
        <v/>
      </c>
      <c r="I4136" t="str">
        <f>IFERROR(INDEX(Analysis!$D$116:$N$137, MATCH(B4136, Analysis!$C$116:$C$137, 0), MATCH(C4136, Analysis!$D$115:$N$115, 0)), "")</f>
        <v/>
      </c>
      <c r="J4136" t="str">
        <f t="shared" si="388"/>
        <v/>
      </c>
      <c r="K4136" s="28" t="str">
        <f t="shared" si="385"/>
        <v/>
      </c>
      <c r="L4136" s="46" t="str">
        <f t="shared" si="389"/>
        <v/>
      </c>
      <c r="M4136" t="str" cm="1">
        <f t="array" ref="M4136">IF(L4136="","",_xlfn.IFS(
  AND(L4136&gt;=TIME(9,0,0), L4136&lt;TIME(16,0,0)),"Morning",
  AND(L4136&gt;=TIME(16,0,0), L4136&lt;TIME(23,59,0)),"Evening",
  L4136&gt;=TIME(23,59,0),"Night",
  L4136&lt;TIME(9,0,0),"Night"
))</f>
        <v/>
      </c>
      <c r="O4136" t="str">
        <f t="shared" si="386"/>
        <v/>
      </c>
    </row>
    <row r="4137" spans="7:15" x14ac:dyDescent="0.25">
      <c r="G4137" t="str">
        <f t="shared" si="384"/>
        <v/>
      </c>
      <c r="H4137" s="13" t="str">
        <f t="shared" si="387"/>
        <v/>
      </c>
      <c r="I4137" t="str">
        <f>IFERROR(INDEX(Analysis!$D$116:$N$137, MATCH(B4137, Analysis!$C$116:$C$137, 0), MATCH(C4137, Analysis!$D$115:$N$115, 0)), "")</f>
        <v/>
      </c>
      <c r="J4137" t="str">
        <f t="shared" si="388"/>
        <v/>
      </c>
      <c r="K4137" s="28" t="str">
        <f t="shared" si="385"/>
        <v/>
      </c>
      <c r="L4137" s="46" t="str">
        <f t="shared" si="389"/>
        <v/>
      </c>
      <c r="M4137" t="str" cm="1">
        <f t="array" ref="M4137">IF(L4137="","",_xlfn.IFS(
  AND(L4137&gt;=TIME(9,0,0), L4137&lt;TIME(16,0,0)),"Morning",
  AND(L4137&gt;=TIME(16,0,0), L4137&lt;TIME(23,59,0)),"Evening",
  L4137&gt;=TIME(23,59,0),"Night",
  L4137&lt;TIME(9,0,0),"Night"
))</f>
        <v/>
      </c>
      <c r="O4137" t="str">
        <f t="shared" si="386"/>
        <v/>
      </c>
    </row>
    <row r="4138" spans="7:15" x14ac:dyDescent="0.25">
      <c r="G4138" t="str">
        <f t="shared" si="384"/>
        <v/>
      </c>
      <c r="H4138" s="13" t="str">
        <f t="shared" si="387"/>
        <v/>
      </c>
      <c r="I4138" t="str">
        <f>IFERROR(INDEX(Analysis!$D$116:$N$137, MATCH(B4138, Analysis!$C$116:$C$137, 0), MATCH(C4138, Analysis!$D$115:$N$115, 0)), "")</f>
        <v/>
      </c>
      <c r="J4138" t="str">
        <f t="shared" si="388"/>
        <v/>
      </c>
      <c r="K4138" s="28" t="str">
        <f t="shared" si="385"/>
        <v/>
      </c>
      <c r="L4138" s="46" t="str">
        <f t="shared" si="389"/>
        <v/>
      </c>
      <c r="M4138" t="str" cm="1">
        <f t="array" ref="M4138">IF(L4138="","",_xlfn.IFS(
  AND(L4138&gt;=TIME(9,0,0), L4138&lt;TIME(16,0,0)),"Morning",
  AND(L4138&gt;=TIME(16,0,0), L4138&lt;TIME(23,59,0)),"Evening",
  L4138&gt;=TIME(23,59,0),"Night",
  L4138&lt;TIME(9,0,0),"Night"
))</f>
        <v/>
      </c>
      <c r="O4138" t="str">
        <f t="shared" si="386"/>
        <v/>
      </c>
    </row>
    <row r="4139" spans="7:15" x14ac:dyDescent="0.25">
      <c r="G4139" t="str">
        <f t="shared" si="384"/>
        <v/>
      </c>
      <c r="H4139" s="13" t="str">
        <f t="shared" si="387"/>
        <v/>
      </c>
      <c r="I4139" t="str">
        <f>IFERROR(INDEX(Analysis!$D$116:$N$137, MATCH(B4139, Analysis!$C$116:$C$137, 0), MATCH(C4139, Analysis!$D$115:$N$115, 0)), "")</f>
        <v/>
      </c>
      <c r="J4139" t="str">
        <f t="shared" si="388"/>
        <v/>
      </c>
      <c r="K4139" s="28" t="str">
        <f t="shared" si="385"/>
        <v/>
      </c>
      <c r="L4139" s="46" t="str">
        <f t="shared" si="389"/>
        <v/>
      </c>
      <c r="M4139" t="str" cm="1">
        <f t="array" ref="M4139">IF(L4139="","",_xlfn.IFS(
  AND(L4139&gt;=TIME(9,0,0), L4139&lt;TIME(16,0,0)),"Morning",
  AND(L4139&gt;=TIME(16,0,0), L4139&lt;TIME(23,59,0)),"Evening",
  L4139&gt;=TIME(23,59,0),"Night",
  L4139&lt;TIME(9,0,0),"Night"
))</f>
        <v/>
      </c>
      <c r="O4139" t="str">
        <f t="shared" si="386"/>
        <v/>
      </c>
    </row>
    <row r="4140" spans="7:15" x14ac:dyDescent="0.25">
      <c r="G4140" t="str">
        <f t="shared" si="384"/>
        <v/>
      </c>
      <c r="H4140" s="13" t="str">
        <f t="shared" si="387"/>
        <v/>
      </c>
      <c r="I4140" t="str">
        <f>IFERROR(INDEX(Analysis!$D$116:$N$137, MATCH(B4140, Analysis!$C$116:$C$137, 0), MATCH(C4140, Analysis!$D$115:$N$115, 0)), "")</f>
        <v/>
      </c>
      <c r="J4140" t="str">
        <f t="shared" si="388"/>
        <v/>
      </c>
      <c r="K4140" s="28" t="str">
        <f t="shared" si="385"/>
        <v/>
      </c>
      <c r="L4140" s="46" t="str">
        <f t="shared" si="389"/>
        <v/>
      </c>
      <c r="M4140" t="str" cm="1">
        <f t="array" ref="M4140">IF(L4140="","",_xlfn.IFS(
  AND(L4140&gt;=TIME(9,0,0), L4140&lt;TIME(16,0,0)),"Morning",
  AND(L4140&gt;=TIME(16,0,0), L4140&lt;TIME(23,59,0)),"Evening",
  L4140&gt;=TIME(23,59,0),"Night",
  L4140&lt;TIME(9,0,0),"Night"
))</f>
        <v/>
      </c>
      <c r="O4140" t="str">
        <f t="shared" si="386"/>
        <v/>
      </c>
    </row>
    <row r="4141" spans="7:15" x14ac:dyDescent="0.25">
      <c r="G4141" t="str">
        <f t="shared" si="384"/>
        <v/>
      </c>
      <c r="H4141" s="13" t="str">
        <f t="shared" si="387"/>
        <v/>
      </c>
      <c r="I4141" t="str">
        <f>IFERROR(INDEX(Analysis!$D$116:$N$137, MATCH(B4141, Analysis!$C$116:$C$137, 0), MATCH(C4141, Analysis!$D$115:$N$115, 0)), "")</f>
        <v/>
      </c>
      <c r="J4141" t="str">
        <f t="shared" si="388"/>
        <v/>
      </c>
      <c r="K4141" s="28" t="str">
        <f t="shared" si="385"/>
        <v/>
      </c>
      <c r="L4141" s="46" t="str">
        <f t="shared" si="389"/>
        <v/>
      </c>
      <c r="M4141" t="str" cm="1">
        <f t="array" ref="M4141">IF(L4141="","",_xlfn.IFS(
  AND(L4141&gt;=TIME(9,0,0), L4141&lt;TIME(16,0,0)),"Morning",
  AND(L4141&gt;=TIME(16,0,0), L4141&lt;TIME(23,59,0)),"Evening",
  L4141&gt;=TIME(23,59,0),"Night",
  L4141&lt;TIME(9,0,0),"Night"
))</f>
        <v/>
      </c>
      <c r="O4141" t="str">
        <f t="shared" si="386"/>
        <v/>
      </c>
    </row>
    <row r="4142" spans="7:15" x14ac:dyDescent="0.25">
      <c r="G4142" t="str">
        <f t="shared" si="384"/>
        <v/>
      </c>
      <c r="H4142" s="13" t="str">
        <f t="shared" si="387"/>
        <v/>
      </c>
      <c r="I4142" t="str">
        <f>IFERROR(INDEX(Analysis!$D$116:$N$137, MATCH(B4142, Analysis!$C$116:$C$137, 0), MATCH(C4142, Analysis!$D$115:$N$115, 0)), "")</f>
        <v/>
      </c>
      <c r="J4142" t="str">
        <f t="shared" si="388"/>
        <v/>
      </c>
      <c r="K4142" s="28" t="str">
        <f t="shared" si="385"/>
        <v/>
      </c>
      <c r="L4142" s="46" t="str">
        <f t="shared" si="389"/>
        <v/>
      </c>
      <c r="M4142" t="str" cm="1">
        <f t="array" ref="M4142">IF(L4142="","",_xlfn.IFS(
  AND(L4142&gt;=TIME(9,0,0), L4142&lt;TIME(16,0,0)),"Morning",
  AND(L4142&gt;=TIME(16,0,0), L4142&lt;TIME(23,59,0)),"Evening",
  L4142&gt;=TIME(23,59,0),"Night",
  L4142&lt;TIME(9,0,0),"Night"
))</f>
        <v/>
      </c>
      <c r="O4142" t="str">
        <f t="shared" si="386"/>
        <v/>
      </c>
    </row>
    <row r="4143" spans="7:15" x14ac:dyDescent="0.25">
      <c r="G4143" t="str">
        <f t="shared" si="384"/>
        <v/>
      </c>
      <c r="H4143" s="13" t="str">
        <f t="shared" si="387"/>
        <v/>
      </c>
      <c r="I4143" t="str">
        <f>IFERROR(INDEX(Analysis!$D$116:$N$137, MATCH(B4143, Analysis!$C$116:$C$137, 0), MATCH(C4143, Analysis!$D$115:$N$115, 0)), "")</f>
        <v/>
      </c>
      <c r="J4143" t="str">
        <f t="shared" si="388"/>
        <v/>
      </c>
      <c r="K4143" s="28" t="str">
        <f t="shared" si="385"/>
        <v/>
      </c>
      <c r="L4143" s="46" t="str">
        <f t="shared" si="389"/>
        <v/>
      </c>
      <c r="M4143" t="str" cm="1">
        <f t="array" ref="M4143">IF(L4143="","",_xlfn.IFS(
  AND(L4143&gt;=TIME(9,0,0), L4143&lt;TIME(16,0,0)),"Morning",
  AND(L4143&gt;=TIME(16,0,0), L4143&lt;TIME(23,59,0)),"Evening",
  L4143&gt;=TIME(23,59,0),"Night",
  L4143&lt;TIME(9,0,0),"Night"
))</f>
        <v/>
      </c>
      <c r="O4143" t="str">
        <f t="shared" si="386"/>
        <v/>
      </c>
    </row>
    <row r="4144" spans="7:15" x14ac:dyDescent="0.25">
      <c r="G4144" t="str">
        <f t="shared" si="384"/>
        <v/>
      </c>
      <c r="H4144" s="13" t="str">
        <f t="shared" si="387"/>
        <v/>
      </c>
      <c r="I4144" t="str">
        <f>IFERROR(INDEX(Analysis!$D$116:$N$137, MATCH(B4144, Analysis!$C$116:$C$137, 0), MATCH(C4144, Analysis!$D$115:$N$115, 0)), "")</f>
        <v/>
      </c>
      <c r="J4144" t="str">
        <f t="shared" si="388"/>
        <v/>
      </c>
      <c r="K4144" s="28" t="str">
        <f t="shared" si="385"/>
        <v/>
      </c>
      <c r="L4144" s="46" t="str">
        <f t="shared" si="389"/>
        <v/>
      </c>
      <c r="M4144" t="str" cm="1">
        <f t="array" ref="M4144">IF(L4144="","",_xlfn.IFS(
  AND(L4144&gt;=TIME(9,0,0), L4144&lt;TIME(16,0,0)),"Morning",
  AND(L4144&gt;=TIME(16,0,0), L4144&lt;TIME(23,59,0)),"Evening",
  L4144&gt;=TIME(23,59,0),"Night",
  L4144&lt;TIME(9,0,0),"Night"
))</f>
        <v/>
      </c>
      <c r="O4144" t="str">
        <f t="shared" si="386"/>
        <v/>
      </c>
    </row>
    <row r="4145" spans="7:15" x14ac:dyDescent="0.25">
      <c r="G4145" t="str">
        <f t="shared" si="384"/>
        <v/>
      </c>
      <c r="H4145" s="13" t="str">
        <f t="shared" si="387"/>
        <v/>
      </c>
      <c r="I4145" t="str">
        <f>IFERROR(INDEX(Analysis!$D$116:$N$137, MATCH(B4145, Analysis!$C$116:$C$137, 0), MATCH(C4145, Analysis!$D$115:$N$115, 0)), "")</f>
        <v/>
      </c>
      <c r="J4145" t="str">
        <f t="shared" si="388"/>
        <v/>
      </c>
      <c r="K4145" s="28" t="str">
        <f t="shared" si="385"/>
        <v/>
      </c>
      <c r="L4145" s="46" t="str">
        <f t="shared" si="389"/>
        <v/>
      </c>
      <c r="M4145" t="str" cm="1">
        <f t="array" ref="M4145">IF(L4145="","",_xlfn.IFS(
  AND(L4145&gt;=TIME(9,0,0), L4145&lt;TIME(16,0,0)),"Morning",
  AND(L4145&gt;=TIME(16,0,0), L4145&lt;TIME(23,59,0)),"Evening",
  L4145&gt;=TIME(23,59,0),"Night",
  L4145&lt;TIME(9,0,0),"Night"
))</f>
        <v/>
      </c>
      <c r="O4145" t="str">
        <f t="shared" si="386"/>
        <v/>
      </c>
    </row>
    <row r="4146" spans="7:15" x14ac:dyDescent="0.25">
      <c r="G4146" t="str">
        <f t="shared" si="384"/>
        <v/>
      </c>
      <c r="H4146" s="13" t="str">
        <f t="shared" si="387"/>
        <v/>
      </c>
      <c r="I4146" t="str">
        <f>IFERROR(INDEX(Analysis!$D$116:$N$137, MATCH(B4146, Analysis!$C$116:$C$137, 0), MATCH(C4146, Analysis!$D$115:$N$115, 0)), "")</f>
        <v/>
      </c>
      <c r="J4146" t="str">
        <f t="shared" si="388"/>
        <v/>
      </c>
      <c r="K4146" s="28" t="str">
        <f t="shared" si="385"/>
        <v/>
      </c>
      <c r="L4146" s="46" t="str">
        <f t="shared" si="389"/>
        <v/>
      </c>
      <c r="M4146" t="str" cm="1">
        <f t="array" ref="M4146">IF(L4146="","",_xlfn.IFS(
  AND(L4146&gt;=TIME(9,0,0), L4146&lt;TIME(16,0,0)),"Morning",
  AND(L4146&gt;=TIME(16,0,0), L4146&lt;TIME(23,59,0)),"Evening",
  L4146&gt;=TIME(23,59,0),"Night",
  L4146&lt;TIME(9,0,0),"Night"
))</f>
        <v/>
      </c>
      <c r="O4146" t="str">
        <f t="shared" si="386"/>
        <v/>
      </c>
    </row>
    <row r="4147" spans="7:15" x14ac:dyDescent="0.25">
      <c r="G4147" t="str">
        <f t="shared" si="384"/>
        <v/>
      </c>
      <c r="H4147" s="13" t="str">
        <f t="shared" si="387"/>
        <v/>
      </c>
      <c r="I4147" t="str">
        <f>IFERROR(INDEX(Analysis!$D$116:$N$137, MATCH(B4147, Analysis!$C$116:$C$137, 0), MATCH(C4147, Analysis!$D$115:$N$115, 0)), "")</f>
        <v/>
      </c>
      <c r="J4147" t="str">
        <f t="shared" si="388"/>
        <v/>
      </c>
      <c r="K4147" s="28" t="str">
        <f t="shared" si="385"/>
        <v/>
      </c>
      <c r="L4147" s="46" t="str">
        <f t="shared" si="389"/>
        <v/>
      </c>
      <c r="M4147" t="str" cm="1">
        <f t="array" ref="M4147">IF(L4147="","",_xlfn.IFS(
  AND(L4147&gt;=TIME(9,0,0), L4147&lt;TIME(16,0,0)),"Morning",
  AND(L4147&gt;=TIME(16,0,0), L4147&lt;TIME(23,59,0)),"Evening",
  L4147&gt;=TIME(23,59,0),"Night",
  L4147&lt;TIME(9,0,0),"Night"
))</f>
        <v/>
      </c>
      <c r="O4147" t="str">
        <f t="shared" si="386"/>
        <v/>
      </c>
    </row>
    <row r="4148" spans="7:15" x14ac:dyDescent="0.25">
      <c r="G4148" t="str">
        <f t="shared" si="384"/>
        <v/>
      </c>
      <c r="H4148" s="13" t="str">
        <f t="shared" si="387"/>
        <v/>
      </c>
      <c r="I4148" t="str">
        <f>IFERROR(INDEX(Analysis!$D$116:$N$137, MATCH(B4148, Analysis!$C$116:$C$137, 0), MATCH(C4148, Analysis!$D$115:$N$115, 0)), "")</f>
        <v/>
      </c>
      <c r="J4148" t="str">
        <f t="shared" si="388"/>
        <v/>
      </c>
      <c r="K4148" s="28" t="str">
        <f t="shared" si="385"/>
        <v/>
      </c>
      <c r="L4148" s="46" t="str">
        <f t="shared" si="389"/>
        <v/>
      </c>
      <c r="M4148" t="str" cm="1">
        <f t="array" ref="M4148">IF(L4148="","",_xlfn.IFS(
  AND(L4148&gt;=TIME(9,0,0), L4148&lt;TIME(16,0,0)),"Morning",
  AND(L4148&gt;=TIME(16,0,0), L4148&lt;TIME(23,59,0)),"Evening",
  L4148&gt;=TIME(23,59,0),"Night",
  L4148&lt;TIME(9,0,0),"Night"
))</f>
        <v/>
      </c>
      <c r="O4148" t="str">
        <f t="shared" si="386"/>
        <v/>
      </c>
    </row>
    <row r="4149" spans="7:15" x14ac:dyDescent="0.25">
      <c r="G4149" t="str">
        <f t="shared" si="384"/>
        <v/>
      </c>
      <c r="H4149" s="13" t="str">
        <f t="shared" si="387"/>
        <v/>
      </c>
      <c r="I4149" t="str">
        <f>IFERROR(INDEX(Analysis!$D$116:$N$137, MATCH(B4149, Analysis!$C$116:$C$137, 0), MATCH(C4149, Analysis!$D$115:$N$115, 0)), "")</f>
        <v/>
      </c>
      <c r="J4149" t="str">
        <f t="shared" si="388"/>
        <v/>
      </c>
      <c r="K4149" s="28" t="str">
        <f t="shared" si="385"/>
        <v/>
      </c>
      <c r="L4149" s="46" t="str">
        <f t="shared" si="389"/>
        <v/>
      </c>
      <c r="M4149" t="str" cm="1">
        <f t="array" ref="M4149">IF(L4149="","",_xlfn.IFS(
  AND(L4149&gt;=TIME(9,0,0), L4149&lt;TIME(16,0,0)),"Morning",
  AND(L4149&gt;=TIME(16,0,0), L4149&lt;TIME(23,59,0)),"Evening",
  L4149&gt;=TIME(23,59,0),"Night",
  L4149&lt;TIME(9,0,0),"Night"
))</f>
        <v/>
      </c>
      <c r="O4149" t="str">
        <f t="shared" si="386"/>
        <v/>
      </c>
    </row>
    <row r="4150" spans="7:15" x14ac:dyDescent="0.25">
      <c r="G4150" t="str">
        <f t="shared" si="384"/>
        <v/>
      </c>
      <c r="H4150" s="13" t="str">
        <f t="shared" si="387"/>
        <v/>
      </c>
      <c r="I4150" t="str">
        <f>IFERROR(INDEX(Analysis!$D$116:$N$137, MATCH(B4150, Analysis!$C$116:$C$137, 0), MATCH(C4150, Analysis!$D$115:$N$115, 0)), "")</f>
        <v/>
      </c>
      <c r="J4150" t="str">
        <f t="shared" si="388"/>
        <v/>
      </c>
      <c r="K4150" s="28" t="str">
        <f t="shared" si="385"/>
        <v/>
      </c>
      <c r="L4150" s="46" t="str">
        <f t="shared" si="389"/>
        <v/>
      </c>
      <c r="M4150" t="str" cm="1">
        <f t="array" ref="M4150">IF(L4150="","",_xlfn.IFS(
  AND(L4150&gt;=TIME(9,0,0), L4150&lt;TIME(16,0,0)),"Morning",
  AND(L4150&gt;=TIME(16,0,0), L4150&lt;TIME(23,59,0)),"Evening",
  L4150&gt;=TIME(23,59,0),"Night",
  L4150&lt;TIME(9,0,0),"Night"
))</f>
        <v/>
      </c>
      <c r="O4150" t="str">
        <f t="shared" si="386"/>
        <v/>
      </c>
    </row>
    <row r="4151" spans="7:15" x14ac:dyDescent="0.25">
      <c r="G4151" t="str">
        <f t="shared" si="384"/>
        <v/>
      </c>
      <c r="H4151" s="13" t="str">
        <f t="shared" si="387"/>
        <v/>
      </c>
      <c r="I4151" t="str">
        <f>IFERROR(INDEX(Analysis!$D$116:$N$137, MATCH(B4151, Analysis!$C$116:$C$137, 0), MATCH(C4151, Analysis!$D$115:$N$115, 0)), "")</f>
        <v/>
      </c>
      <c r="J4151" t="str">
        <f t="shared" si="388"/>
        <v/>
      </c>
      <c r="K4151" s="28" t="str">
        <f t="shared" si="385"/>
        <v/>
      </c>
      <c r="L4151" s="46" t="str">
        <f t="shared" si="389"/>
        <v/>
      </c>
      <c r="M4151" t="str" cm="1">
        <f t="array" ref="M4151">IF(L4151="","",_xlfn.IFS(
  AND(L4151&gt;=TIME(9,0,0), L4151&lt;TIME(16,0,0)),"Morning",
  AND(L4151&gt;=TIME(16,0,0), L4151&lt;TIME(23,59,0)),"Evening",
  L4151&gt;=TIME(23,59,0),"Night",
  L4151&lt;TIME(9,0,0),"Night"
))</f>
        <v/>
      </c>
      <c r="O4151" t="str">
        <f t="shared" si="386"/>
        <v/>
      </c>
    </row>
    <row r="4152" spans="7:15" x14ac:dyDescent="0.25">
      <c r="G4152" t="str">
        <f t="shared" si="384"/>
        <v/>
      </c>
      <c r="H4152" s="13" t="str">
        <f t="shared" si="387"/>
        <v/>
      </c>
      <c r="I4152" t="str">
        <f>IFERROR(INDEX(Analysis!$D$116:$N$137, MATCH(B4152, Analysis!$C$116:$C$137, 0), MATCH(C4152, Analysis!$D$115:$N$115, 0)), "")</f>
        <v/>
      </c>
      <c r="J4152" t="str">
        <f t="shared" si="388"/>
        <v/>
      </c>
      <c r="K4152" s="28" t="str">
        <f t="shared" si="385"/>
        <v/>
      </c>
      <c r="L4152" s="46" t="str">
        <f t="shared" si="389"/>
        <v/>
      </c>
      <c r="M4152" t="str" cm="1">
        <f t="array" ref="M4152">IF(L4152="","",_xlfn.IFS(
  AND(L4152&gt;=TIME(9,0,0), L4152&lt;TIME(16,0,0)),"Morning",
  AND(L4152&gt;=TIME(16,0,0), L4152&lt;TIME(23,59,0)),"Evening",
  L4152&gt;=TIME(23,59,0),"Night",
  L4152&lt;TIME(9,0,0),"Night"
))</f>
        <v/>
      </c>
      <c r="O4152" t="str">
        <f t="shared" si="386"/>
        <v/>
      </c>
    </row>
    <row r="4153" spans="7:15" x14ac:dyDescent="0.25">
      <c r="G4153" t="str">
        <f t="shared" si="384"/>
        <v/>
      </c>
      <c r="H4153" s="13" t="str">
        <f t="shared" si="387"/>
        <v/>
      </c>
      <c r="I4153" t="str">
        <f>IFERROR(INDEX(Analysis!$D$116:$N$137, MATCH(B4153, Analysis!$C$116:$C$137, 0), MATCH(C4153, Analysis!$D$115:$N$115, 0)), "")</f>
        <v/>
      </c>
      <c r="J4153" t="str">
        <f t="shared" si="388"/>
        <v/>
      </c>
      <c r="K4153" s="28" t="str">
        <f t="shared" si="385"/>
        <v/>
      </c>
      <c r="L4153" s="46" t="str">
        <f t="shared" si="389"/>
        <v/>
      </c>
      <c r="M4153" t="str" cm="1">
        <f t="array" ref="M4153">IF(L4153="","",_xlfn.IFS(
  AND(L4153&gt;=TIME(9,0,0), L4153&lt;TIME(16,0,0)),"Morning",
  AND(L4153&gt;=TIME(16,0,0), L4153&lt;TIME(23,59,0)),"Evening",
  L4153&gt;=TIME(23,59,0),"Night",
  L4153&lt;TIME(9,0,0),"Night"
))</f>
        <v/>
      </c>
      <c r="O4153" t="str">
        <f t="shared" si="386"/>
        <v/>
      </c>
    </row>
    <row r="4154" spans="7:15" x14ac:dyDescent="0.25">
      <c r="G4154" t="str">
        <f t="shared" si="384"/>
        <v/>
      </c>
      <c r="H4154" s="13" t="str">
        <f t="shared" si="387"/>
        <v/>
      </c>
      <c r="I4154" t="str">
        <f>IFERROR(INDEX(Analysis!$D$116:$N$137, MATCH(B4154, Analysis!$C$116:$C$137, 0), MATCH(C4154, Analysis!$D$115:$N$115, 0)), "")</f>
        <v/>
      </c>
      <c r="J4154" t="str">
        <f t="shared" si="388"/>
        <v/>
      </c>
      <c r="K4154" s="28" t="str">
        <f t="shared" si="385"/>
        <v/>
      </c>
      <c r="L4154" s="46" t="str">
        <f t="shared" si="389"/>
        <v/>
      </c>
      <c r="M4154" t="str" cm="1">
        <f t="array" ref="M4154">IF(L4154="","",_xlfn.IFS(
  AND(L4154&gt;=TIME(9,0,0), L4154&lt;TIME(16,0,0)),"Morning",
  AND(L4154&gt;=TIME(16,0,0), L4154&lt;TIME(23,59,0)),"Evening",
  L4154&gt;=TIME(23,59,0),"Night",
  L4154&lt;TIME(9,0,0),"Night"
))</f>
        <v/>
      </c>
      <c r="O4154" t="str">
        <f t="shared" si="386"/>
        <v/>
      </c>
    </row>
    <row r="4155" spans="7:15" x14ac:dyDescent="0.25">
      <c r="G4155" t="str">
        <f t="shared" si="384"/>
        <v/>
      </c>
      <c r="H4155" s="13" t="str">
        <f t="shared" si="387"/>
        <v/>
      </c>
      <c r="I4155" t="str">
        <f>IFERROR(INDEX(Analysis!$D$116:$N$137, MATCH(B4155, Analysis!$C$116:$C$137, 0), MATCH(C4155, Analysis!$D$115:$N$115, 0)), "")</f>
        <v/>
      </c>
      <c r="J4155" t="str">
        <f t="shared" si="388"/>
        <v/>
      </c>
      <c r="K4155" s="28" t="str">
        <f t="shared" si="385"/>
        <v/>
      </c>
      <c r="L4155" s="46" t="str">
        <f t="shared" si="389"/>
        <v/>
      </c>
      <c r="M4155" t="str" cm="1">
        <f t="array" ref="M4155">IF(L4155="","",_xlfn.IFS(
  AND(L4155&gt;=TIME(9,0,0), L4155&lt;TIME(16,0,0)),"Morning",
  AND(L4155&gt;=TIME(16,0,0), L4155&lt;TIME(23,59,0)),"Evening",
  L4155&gt;=TIME(23,59,0),"Night",
  L4155&lt;TIME(9,0,0),"Night"
))</f>
        <v/>
      </c>
      <c r="O4155" t="str">
        <f t="shared" si="386"/>
        <v/>
      </c>
    </row>
    <row r="4156" spans="7:15" x14ac:dyDescent="0.25">
      <c r="G4156" t="str">
        <f t="shared" si="384"/>
        <v/>
      </c>
      <c r="H4156" s="13" t="str">
        <f t="shared" si="387"/>
        <v/>
      </c>
      <c r="I4156" t="str">
        <f>IFERROR(INDEX(Analysis!$D$116:$N$137, MATCH(B4156, Analysis!$C$116:$C$137, 0), MATCH(C4156, Analysis!$D$115:$N$115, 0)), "")</f>
        <v/>
      </c>
      <c r="J4156" t="str">
        <f t="shared" si="388"/>
        <v/>
      </c>
      <c r="K4156" s="28" t="str">
        <f t="shared" si="385"/>
        <v/>
      </c>
      <c r="L4156" s="46" t="str">
        <f t="shared" si="389"/>
        <v/>
      </c>
      <c r="M4156" t="str" cm="1">
        <f t="array" ref="M4156">IF(L4156="","",_xlfn.IFS(
  AND(L4156&gt;=TIME(9,0,0), L4156&lt;TIME(16,0,0)),"Morning",
  AND(L4156&gt;=TIME(16,0,0), L4156&lt;TIME(23,59,0)),"Evening",
  L4156&gt;=TIME(23,59,0),"Night",
  L4156&lt;TIME(9,0,0),"Night"
))</f>
        <v/>
      </c>
      <c r="O4156" t="str">
        <f t="shared" si="386"/>
        <v/>
      </c>
    </row>
    <row r="4157" spans="7:15" x14ac:dyDescent="0.25">
      <c r="G4157" t="str">
        <f t="shared" si="384"/>
        <v/>
      </c>
      <c r="H4157" s="13" t="str">
        <f t="shared" si="387"/>
        <v/>
      </c>
      <c r="I4157" t="str">
        <f>IFERROR(INDEX(Analysis!$D$116:$N$137, MATCH(B4157, Analysis!$C$116:$C$137, 0), MATCH(C4157, Analysis!$D$115:$N$115, 0)), "")</f>
        <v/>
      </c>
      <c r="J4157" t="str">
        <f t="shared" si="388"/>
        <v/>
      </c>
      <c r="K4157" s="28" t="str">
        <f t="shared" si="385"/>
        <v/>
      </c>
      <c r="L4157" s="46" t="str">
        <f t="shared" si="389"/>
        <v/>
      </c>
      <c r="M4157" t="str" cm="1">
        <f t="array" ref="M4157">IF(L4157="","",_xlfn.IFS(
  AND(L4157&gt;=TIME(9,0,0), L4157&lt;TIME(16,0,0)),"Morning",
  AND(L4157&gt;=TIME(16,0,0), L4157&lt;TIME(23,59,0)),"Evening",
  L4157&gt;=TIME(23,59,0),"Night",
  L4157&lt;TIME(9,0,0),"Night"
))</f>
        <v/>
      </c>
      <c r="O4157" t="str">
        <f t="shared" si="386"/>
        <v/>
      </c>
    </row>
    <row r="4158" spans="7:15" x14ac:dyDescent="0.25">
      <c r="G4158" t="str">
        <f t="shared" si="384"/>
        <v/>
      </c>
      <c r="H4158" s="13" t="str">
        <f t="shared" si="387"/>
        <v/>
      </c>
      <c r="I4158" t="str">
        <f>IFERROR(INDEX(Analysis!$D$116:$N$137, MATCH(B4158, Analysis!$C$116:$C$137, 0), MATCH(C4158, Analysis!$D$115:$N$115, 0)), "")</f>
        <v/>
      </c>
      <c r="J4158" t="str">
        <f t="shared" si="388"/>
        <v/>
      </c>
      <c r="K4158" s="28" t="str">
        <f t="shared" si="385"/>
        <v/>
      </c>
      <c r="L4158" s="46" t="str">
        <f t="shared" si="389"/>
        <v/>
      </c>
      <c r="M4158" t="str" cm="1">
        <f t="array" ref="M4158">IF(L4158="","",_xlfn.IFS(
  AND(L4158&gt;=TIME(9,0,0), L4158&lt;TIME(16,0,0)),"Morning",
  AND(L4158&gt;=TIME(16,0,0), L4158&lt;TIME(23,59,0)),"Evening",
  L4158&gt;=TIME(23,59,0),"Night",
  L4158&lt;TIME(9,0,0),"Night"
))</f>
        <v/>
      </c>
      <c r="O4158" t="str">
        <f t="shared" si="386"/>
        <v/>
      </c>
    </row>
    <row r="4159" spans="7:15" x14ac:dyDescent="0.25">
      <c r="G4159" t="str">
        <f t="shared" si="384"/>
        <v/>
      </c>
      <c r="H4159" s="13" t="str">
        <f t="shared" si="387"/>
        <v/>
      </c>
      <c r="I4159" t="str">
        <f>IFERROR(INDEX(Analysis!$D$116:$N$137, MATCH(B4159, Analysis!$C$116:$C$137, 0), MATCH(C4159, Analysis!$D$115:$N$115, 0)), "")</f>
        <v/>
      </c>
      <c r="J4159" t="str">
        <f t="shared" si="388"/>
        <v/>
      </c>
      <c r="K4159" s="28" t="str">
        <f t="shared" si="385"/>
        <v/>
      </c>
      <c r="L4159" s="46" t="str">
        <f t="shared" si="389"/>
        <v/>
      </c>
      <c r="M4159" t="str" cm="1">
        <f t="array" ref="M4159">IF(L4159="","",_xlfn.IFS(
  AND(L4159&gt;=TIME(9,0,0), L4159&lt;TIME(16,0,0)),"Morning",
  AND(L4159&gt;=TIME(16,0,0), L4159&lt;TIME(23,59,0)),"Evening",
  L4159&gt;=TIME(23,59,0),"Night",
  L4159&lt;TIME(9,0,0),"Night"
))</f>
        <v/>
      </c>
      <c r="O4159" t="str">
        <f t="shared" si="386"/>
        <v/>
      </c>
    </row>
    <row r="4160" spans="7:15" x14ac:dyDescent="0.25">
      <c r="G4160" t="str">
        <f t="shared" si="384"/>
        <v/>
      </c>
      <c r="H4160" s="13" t="str">
        <f t="shared" si="387"/>
        <v/>
      </c>
      <c r="I4160" t="str">
        <f>IFERROR(INDEX(Analysis!$D$116:$N$137, MATCH(B4160, Analysis!$C$116:$C$137, 0), MATCH(C4160, Analysis!$D$115:$N$115, 0)), "")</f>
        <v/>
      </c>
      <c r="J4160" t="str">
        <f t="shared" si="388"/>
        <v/>
      </c>
      <c r="K4160" s="28" t="str">
        <f t="shared" si="385"/>
        <v/>
      </c>
      <c r="L4160" s="46" t="str">
        <f t="shared" si="389"/>
        <v/>
      </c>
      <c r="M4160" t="str" cm="1">
        <f t="array" ref="M4160">IF(L4160="","",_xlfn.IFS(
  AND(L4160&gt;=TIME(9,0,0), L4160&lt;TIME(16,0,0)),"Morning",
  AND(L4160&gt;=TIME(16,0,0), L4160&lt;TIME(23,59,0)),"Evening",
  L4160&gt;=TIME(23,59,0),"Night",
  L4160&lt;TIME(9,0,0),"Night"
))</f>
        <v/>
      </c>
      <c r="O4160" t="str">
        <f t="shared" si="386"/>
        <v/>
      </c>
    </row>
    <row r="4161" spans="7:15" x14ac:dyDescent="0.25">
      <c r="G4161" t="str">
        <f t="shared" si="384"/>
        <v/>
      </c>
      <c r="H4161" s="13" t="str">
        <f t="shared" si="387"/>
        <v/>
      </c>
      <c r="I4161" t="str">
        <f>IFERROR(INDEX(Analysis!$D$116:$N$137, MATCH(B4161, Analysis!$C$116:$C$137, 0), MATCH(C4161, Analysis!$D$115:$N$115, 0)), "")</f>
        <v/>
      </c>
      <c r="J4161" t="str">
        <f t="shared" si="388"/>
        <v/>
      </c>
      <c r="K4161" s="28" t="str">
        <f t="shared" si="385"/>
        <v/>
      </c>
      <c r="L4161" s="46" t="str">
        <f t="shared" si="389"/>
        <v/>
      </c>
      <c r="M4161" t="str" cm="1">
        <f t="array" ref="M4161">IF(L4161="","",_xlfn.IFS(
  AND(L4161&gt;=TIME(9,0,0), L4161&lt;TIME(16,0,0)),"Morning",
  AND(L4161&gt;=TIME(16,0,0), L4161&lt;TIME(23,59,0)),"Evening",
  L4161&gt;=TIME(23,59,0),"Night",
  L4161&lt;TIME(9,0,0),"Night"
))</f>
        <v/>
      </c>
      <c r="O4161" t="str">
        <f t="shared" si="386"/>
        <v/>
      </c>
    </row>
    <row r="4162" spans="7:15" x14ac:dyDescent="0.25">
      <c r="G4162" t="str">
        <f t="shared" ref="G4162:G4225" si="390">IF(ISBLANK(A4162), "", IF(ISBLANK(F4162), 0, F4162))</f>
        <v/>
      </c>
      <c r="H4162" s="13" t="str">
        <f t="shared" si="387"/>
        <v/>
      </c>
      <c r="I4162" t="str">
        <f>IFERROR(INDEX(Analysis!$D$116:$N$137, MATCH(B4162, Analysis!$C$116:$C$137, 0), MATCH(C4162, Analysis!$D$115:$N$115, 0)), "")</f>
        <v/>
      </c>
      <c r="J4162" t="str">
        <f t="shared" si="388"/>
        <v/>
      </c>
      <c r="K4162" s="28" t="str">
        <f t="shared" ref="K4162:K4225" si="391">IF(ISBLANK(A4162),"",DATE(YEAR(A4162),MONTH(A4162),DAY(A4162)))</f>
        <v/>
      </c>
      <c r="L4162" s="46" t="str">
        <f t="shared" si="389"/>
        <v/>
      </c>
      <c r="M4162" t="str" cm="1">
        <f t="array" ref="M4162">IF(L4162="","",_xlfn.IFS(
  AND(L4162&gt;=TIME(9,0,0), L4162&lt;TIME(16,0,0)),"Morning",
  AND(L4162&gt;=TIME(16,0,0), L4162&lt;TIME(23,59,0)),"Evening",
  L4162&gt;=TIME(23,59,0),"Night",
  L4162&lt;TIME(9,0,0),"Night"
))</f>
        <v/>
      </c>
      <c r="O4162" t="str">
        <f t="shared" ref="O4162:O4225" si="392">IF(N4162="ON", _xlfn.IMAGE(E4162, 1), "")</f>
        <v/>
      </c>
    </row>
    <row r="4163" spans="7:15" x14ac:dyDescent="0.25">
      <c r="G4163" t="str">
        <f t="shared" si="390"/>
        <v/>
      </c>
      <c r="H4163" s="13" t="str">
        <f t="shared" ref="H4163:H4226" si="393">IF(ISBLANK(E4163),"",HYPERLINK(E4163,"Click here"))</f>
        <v/>
      </c>
      <c r="I4163" t="str">
        <f>IFERROR(INDEX(Analysis!$D$116:$N$137, MATCH(B4163, Analysis!$C$116:$C$137, 0), MATCH(C4163, Analysis!$D$115:$N$115, 0)), "")</f>
        <v/>
      </c>
      <c r="J4163" t="str">
        <f t="shared" ref="J4163:J4226" si="394">IF(ISBLANK(A4163),"",WEEKNUM(A4163))</f>
        <v/>
      </c>
      <c r="K4163" s="28" t="str">
        <f t="shared" si="391"/>
        <v/>
      </c>
      <c r="L4163" s="46" t="str">
        <f t="shared" ref="L4163:L4226" si="395">IF(A4163="", "", A4163 - INT(A4163))</f>
        <v/>
      </c>
      <c r="M4163" t="str" cm="1">
        <f t="array" ref="M4163">IF(L4163="","",_xlfn.IFS(
  AND(L4163&gt;=TIME(9,0,0), L4163&lt;TIME(16,0,0)),"Morning",
  AND(L4163&gt;=TIME(16,0,0), L4163&lt;TIME(23,59,0)),"Evening",
  L4163&gt;=TIME(23,59,0),"Night",
  L4163&lt;TIME(9,0,0),"Night"
))</f>
        <v/>
      </c>
      <c r="O4163" t="str">
        <f t="shared" si="392"/>
        <v/>
      </c>
    </row>
    <row r="4164" spans="7:15" x14ac:dyDescent="0.25">
      <c r="G4164" t="str">
        <f t="shared" si="390"/>
        <v/>
      </c>
      <c r="H4164" s="13" t="str">
        <f t="shared" si="393"/>
        <v/>
      </c>
      <c r="I4164" t="str">
        <f>IFERROR(INDEX(Analysis!$D$116:$N$137, MATCH(B4164, Analysis!$C$116:$C$137, 0), MATCH(C4164, Analysis!$D$115:$N$115, 0)), "")</f>
        <v/>
      </c>
      <c r="J4164" t="str">
        <f t="shared" si="394"/>
        <v/>
      </c>
      <c r="K4164" s="28" t="str">
        <f t="shared" si="391"/>
        <v/>
      </c>
      <c r="L4164" s="46" t="str">
        <f t="shared" si="395"/>
        <v/>
      </c>
      <c r="M4164" t="str" cm="1">
        <f t="array" ref="M4164">IF(L4164="","",_xlfn.IFS(
  AND(L4164&gt;=TIME(9,0,0), L4164&lt;TIME(16,0,0)),"Morning",
  AND(L4164&gt;=TIME(16,0,0), L4164&lt;TIME(23,59,0)),"Evening",
  L4164&gt;=TIME(23,59,0),"Night",
  L4164&lt;TIME(9,0,0),"Night"
))</f>
        <v/>
      </c>
      <c r="O4164" t="str">
        <f t="shared" si="392"/>
        <v/>
      </c>
    </row>
    <row r="4165" spans="7:15" x14ac:dyDescent="0.25">
      <c r="G4165" t="str">
        <f t="shared" si="390"/>
        <v/>
      </c>
      <c r="H4165" s="13" t="str">
        <f t="shared" si="393"/>
        <v/>
      </c>
      <c r="I4165" t="str">
        <f>IFERROR(INDEX(Analysis!$D$116:$N$137, MATCH(B4165, Analysis!$C$116:$C$137, 0), MATCH(C4165, Analysis!$D$115:$N$115, 0)), "")</f>
        <v/>
      </c>
      <c r="J4165" t="str">
        <f t="shared" si="394"/>
        <v/>
      </c>
      <c r="K4165" s="28" t="str">
        <f t="shared" si="391"/>
        <v/>
      </c>
      <c r="L4165" s="46" t="str">
        <f t="shared" si="395"/>
        <v/>
      </c>
      <c r="M4165" t="str" cm="1">
        <f t="array" ref="M4165">IF(L4165="","",_xlfn.IFS(
  AND(L4165&gt;=TIME(9,0,0), L4165&lt;TIME(16,0,0)),"Morning",
  AND(L4165&gt;=TIME(16,0,0), L4165&lt;TIME(23,59,0)),"Evening",
  L4165&gt;=TIME(23,59,0),"Night",
  L4165&lt;TIME(9,0,0),"Night"
))</f>
        <v/>
      </c>
      <c r="O4165" t="str">
        <f t="shared" si="392"/>
        <v/>
      </c>
    </row>
    <row r="4166" spans="7:15" x14ac:dyDescent="0.25">
      <c r="G4166" t="str">
        <f t="shared" si="390"/>
        <v/>
      </c>
      <c r="H4166" s="13" t="str">
        <f t="shared" si="393"/>
        <v/>
      </c>
      <c r="I4166" t="str">
        <f>IFERROR(INDEX(Analysis!$D$116:$N$137, MATCH(B4166, Analysis!$C$116:$C$137, 0), MATCH(C4166, Analysis!$D$115:$N$115, 0)), "")</f>
        <v/>
      </c>
      <c r="J4166" t="str">
        <f t="shared" si="394"/>
        <v/>
      </c>
      <c r="K4166" s="28" t="str">
        <f t="shared" si="391"/>
        <v/>
      </c>
      <c r="L4166" s="46" t="str">
        <f t="shared" si="395"/>
        <v/>
      </c>
      <c r="M4166" t="str" cm="1">
        <f t="array" ref="M4166">IF(L4166="","",_xlfn.IFS(
  AND(L4166&gt;=TIME(9,0,0), L4166&lt;TIME(16,0,0)),"Morning",
  AND(L4166&gt;=TIME(16,0,0), L4166&lt;TIME(23,59,0)),"Evening",
  L4166&gt;=TIME(23,59,0),"Night",
  L4166&lt;TIME(9,0,0),"Night"
))</f>
        <v/>
      </c>
      <c r="O4166" t="str">
        <f t="shared" si="392"/>
        <v/>
      </c>
    </row>
    <row r="4167" spans="7:15" x14ac:dyDescent="0.25">
      <c r="G4167" t="str">
        <f t="shared" si="390"/>
        <v/>
      </c>
      <c r="H4167" s="13" t="str">
        <f t="shared" si="393"/>
        <v/>
      </c>
      <c r="I4167" t="str">
        <f>IFERROR(INDEX(Analysis!$D$116:$N$137, MATCH(B4167, Analysis!$C$116:$C$137, 0), MATCH(C4167, Analysis!$D$115:$N$115, 0)), "")</f>
        <v/>
      </c>
      <c r="J4167" t="str">
        <f t="shared" si="394"/>
        <v/>
      </c>
      <c r="K4167" s="28" t="str">
        <f t="shared" si="391"/>
        <v/>
      </c>
      <c r="L4167" s="46" t="str">
        <f t="shared" si="395"/>
        <v/>
      </c>
      <c r="M4167" t="str" cm="1">
        <f t="array" ref="M4167">IF(L4167="","",_xlfn.IFS(
  AND(L4167&gt;=TIME(9,0,0), L4167&lt;TIME(16,0,0)),"Morning",
  AND(L4167&gt;=TIME(16,0,0), L4167&lt;TIME(23,59,0)),"Evening",
  L4167&gt;=TIME(23,59,0),"Night",
  L4167&lt;TIME(9,0,0),"Night"
))</f>
        <v/>
      </c>
      <c r="O4167" t="str">
        <f t="shared" si="392"/>
        <v/>
      </c>
    </row>
    <row r="4168" spans="7:15" x14ac:dyDescent="0.25">
      <c r="G4168" t="str">
        <f t="shared" si="390"/>
        <v/>
      </c>
      <c r="H4168" s="13" t="str">
        <f t="shared" si="393"/>
        <v/>
      </c>
      <c r="I4168" t="str">
        <f>IFERROR(INDEX(Analysis!$D$116:$N$137, MATCH(B4168, Analysis!$C$116:$C$137, 0), MATCH(C4168, Analysis!$D$115:$N$115, 0)), "")</f>
        <v/>
      </c>
      <c r="J4168" t="str">
        <f t="shared" si="394"/>
        <v/>
      </c>
      <c r="K4168" s="28" t="str">
        <f t="shared" si="391"/>
        <v/>
      </c>
      <c r="L4168" s="46" t="str">
        <f t="shared" si="395"/>
        <v/>
      </c>
      <c r="M4168" t="str" cm="1">
        <f t="array" ref="M4168">IF(L4168="","",_xlfn.IFS(
  AND(L4168&gt;=TIME(9,0,0), L4168&lt;TIME(16,0,0)),"Morning",
  AND(L4168&gt;=TIME(16,0,0), L4168&lt;TIME(23,59,0)),"Evening",
  L4168&gt;=TIME(23,59,0),"Night",
  L4168&lt;TIME(9,0,0),"Night"
))</f>
        <v/>
      </c>
      <c r="O4168" t="str">
        <f t="shared" si="392"/>
        <v/>
      </c>
    </row>
    <row r="4169" spans="7:15" x14ac:dyDescent="0.25">
      <c r="G4169" t="str">
        <f t="shared" si="390"/>
        <v/>
      </c>
      <c r="H4169" s="13" t="str">
        <f t="shared" si="393"/>
        <v/>
      </c>
      <c r="I4169" t="str">
        <f>IFERROR(INDEX(Analysis!$D$116:$N$137, MATCH(B4169, Analysis!$C$116:$C$137, 0), MATCH(C4169, Analysis!$D$115:$N$115, 0)), "")</f>
        <v/>
      </c>
      <c r="J4169" t="str">
        <f t="shared" si="394"/>
        <v/>
      </c>
      <c r="K4169" s="28" t="str">
        <f t="shared" si="391"/>
        <v/>
      </c>
      <c r="L4169" s="46" t="str">
        <f t="shared" si="395"/>
        <v/>
      </c>
      <c r="M4169" t="str" cm="1">
        <f t="array" ref="M4169">IF(L4169="","",_xlfn.IFS(
  AND(L4169&gt;=TIME(9,0,0), L4169&lt;TIME(16,0,0)),"Morning",
  AND(L4169&gt;=TIME(16,0,0), L4169&lt;TIME(23,59,0)),"Evening",
  L4169&gt;=TIME(23,59,0),"Night",
  L4169&lt;TIME(9,0,0),"Night"
))</f>
        <v/>
      </c>
      <c r="O4169" t="str">
        <f t="shared" si="392"/>
        <v/>
      </c>
    </row>
    <row r="4170" spans="7:15" x14ac:dyDescent="0.25">
      <c r="G4170" t="str">
        <f t="shared" si="390"/>
        <v/>
      </c>
      <c r="H4170" s="13" t="str">
        <f t="shared" si="393"/>
        <v/>
      </c>
      <c r="I4170" t="str">
        <f>IFERROR(INDEX(Analysis!$D$116:$N$137, MATCH(B4170, Analysis!$C$116:$C$137, 0), MATCH(C4170, Analysis!$D$115:$N$115, 0)), "")</f>
        <v/>
      </c>
      <c r="J4170" t="str">
        <f t="shared" si="394"/>
        <v/>
      </c>
      <c r="K4170" s="28" t="str">
        <f t="shared" si="391"/>
        <v/>
      </c>
      <c r="L4170" s="46" t="str">
        <f t="shared" si="395"/>
        <v/>
      </c>
      <c r="M4170" t="str" cm="1">
        <f t="array" ref="M4170">IF(L4170="","",_xlfn.IFS(
  AND(L4170&gt;=TIME(9,0,0), L4170&lt;TIME(16,0,0)),"Morning",
  AND(L4170&gt;=TIME(16,0,0), L4170&lt;TIME(23,59,0)),"Evening",
  L4170&gt;=TIME(23,59,0),"Night",
  L4170&lt;TIME(9,0,0),"Night"
))</f>
        <v/>
      </c>
      <c r="O4170" t="str">
        <f t="shared" si="392"/>
        <v/>
      </c>
    </row>
    <row r="4171" spans="7:15" x14ac:dyDescent="0.25">
      <c r="G4171" t="str">
        <f t="shared" si="390"/>
        <v/>
      </c>
      <c r="H4171" s="13" t="str">
        <f t="shared" si="393"/>
        <v/>
      </c>
      <c r="I4171" t="str">
        <f>IFERROR(INDEX(Analysis!$D$116:$N$137, MATCH(B4171, Analysis!$C$116:$C$137, 0), MATCH(C4171, Analysis!$D$115:$N$115, 0)), "")</f>
        <v/>
      </c>
      <c r="J4171" t="str">
        <f t="shared" si="394"/>
        <v/>
      </c>
      <c r="K4171" s="28" t="str">
        <f t="shared" si="391"/>
        <v/>
      </c>
      <c r="L4171" s="46" t="str">
        <f t="shared" si="395"/>
        <v/>
      </c>
      <c r="M4171" t="str" cm="1">
        <f t="array" ref="M4171">IF(L4171="","",_xlfn.IFS(
  AND(L4171&gt;=TIME(9,0,0), L4171&lt;TIME(16,0,0)),"Morning",
  AND(L4171&gt;=TIME(16,0,0), L4171&lt;TIME(23,59,0)),"Evening",
  L4171&gt;=TIME(23,59,0),"Night",
  L4171&lt;TIME(9,0,0),"Night"
))</f>
        <v/>
      </c>
      <c r="O4171" t="str">
        <f t="shared" si="392"/>
        <v/>
      </c>
    </row>
    <row r="4172" spans="7:15" x14ac:dyDescent="0.25">
      <c r="G4172" t="str">
        <f t="shared" si="390"/>
        <v/>
      </c>
      <c r="H4172" s="13" t="str">
        <f t="shared" si="393"/>
        <v/>
      </c>
      <c r="I4172" t="str">
        <f>IFERROR(INDEX(Analysis!$D$116:$N$137, MATCH(B4172, Analysis!$C$116:$C$137, 0), MATCH(C4172, Analysis!$D$115:$N$115, 0)), "")</f>
        <v/>
      </c>
      <c r="J4172" t="str">
        <f t="shared" si="394"/>
        <v/>
      </c>
      <c r="K4172" s="28" t="str">
        <f t="shared" si="391"/>
        <v/>
      </c>
      <c r="L4172" s="46" t="str">
        <f t="shared" si="395"/>
        <v/>
      </c>
      <c r="M4172" t="str" cm="1">
        <f t="array" ref="M4172">IF(L4172="","",_xlfn.IFS(
  AND(L4172&gt;=TIME(9,0,0), L4172&lt;TIME(16,0,0)),"Morning",
  AND(L4172&gt;=TIME(16,0,0), L4172&lt;TIME(23,59,0)),"Evening",
  L4172&gt;=TIME(23,59,0),"Night",
  L4172&lt;TIME(9,0,0),"Night"
))</f>
        <v/>
      </c>
      <c r="O4172" t="str">
        <f t="shared" si="392"/>
        <v/>
      </c>
    </row>
    <row r="4173" spans="7:15" x14ac:dyDescent="0.25">
      <c r="G4173" t="str">
        <f t="shared" si="390"/>
        <v/>
      </c>
      <c r="H4173" s="13" t="str">
        <f t="shared" si="393"/>
        <v/>
      </c>
      <c r="I4173" t="str">
        <f>IFERROR(INDEX(Analysis!$D$116:$N$137, MATCH(B4173, Analysis!$C$116:$C$137, 0), MATCH(C4173, Analysis!$D$115:$N$115, 0)), "")</f>
        <v/>
      </c>
      <c r="J4173" t="str">
        <f t="shared" si="394"/>
        <v/>
      </c>
      <c r="K4173" s="28" t="str">
        <f t="shared" si="391"/>
        <v/>
      </c>
      <c r="L4173" s="46" t="str">
        <f t="shared" si="395"/>
        <v/>
      </c>
      <c r="M4173" t="str" cm="1">
        <f t="array" ref="M4173">IF(L4173="","",_xlfn.IFS(
  AND(L4173&gt;=TIME(9,0,0), L4173&lt;TIME(16,0,0)),"Morning",
  AND(L4173&gt;=TIME(16,0,0), L4173&lt;TIME(23,59,0)),"Evening",
  L4173&gt;=TIME(23,59,0),"Night",
  L4173&lt;TIME(9,0,0),"Night"
))</f>
        <v/>
      </c>
      <c r="O4173" t="str">
        <f t="shared" si="392"/>
        <v/>
      </c>
    </row>
    <row r="4174" spans="7:15" x14ac:dyDescent="0.25">
      <c r="G4174" t="str">
        <f t="shared" si="390"/>
        <v/>
      </c>
      <c r="H4174" s="13" t="str">
        <f t="shared" si="393"/>
        <v/>
      </c>
      <c r="I4174" t="str">
        <f>IFERROR(INDEX(Analysis!$D$116:$N$137, MATCH(B4174, Analysis!$C$116:$C$137, 0), MATCH(C4174, Analysis!$D$115:$N$115, 0)), "")</f>
        <v/>
      </c>
      <c r="J4174" t="str">
        <f t="shared" si="394"/>
        <v/>
      </c>
      <c r="K4174" s="28" t="str">
        <f t="shared" si="391"/>
        <v/>
      </c>
      <c r="L4174" s="46" t="str">
        <f t="shared" si="395"/>
        <v/>
      </c>
      <c r="M4174" t="str" cm="1">
        <f t="array" ref="M4174">IF(L4174="","",_xlfn.IFS(
  AND(L4174&gt;=TIME(9,0,0), L4174&lt;TIME(16,0,0)),"Morning",
  AND(L4174&gt;=TIME(16,0,0), L4174&lt;TIME(23,59,0)),"Evening",
  L4174&gt;=TIME(23,59,0),"Night",
  L4174&lt;TIME(9,0,0),"Night"
))</f>
        <v/>
      </c>
      <c r="O4174" t="str">
        <f t="shared" si="392"/>
        <v/>
      </c>
    </row>
    <row r="4175" spans="7:15" x14ac:dyDescent="0.25">
      <c r="G4175" t="str">
        <f t="shared" si="390"/>
        <v/>
      </c>
      <c r="H4175" s="13" t="str">
        <f t="shared" si="393"/>
        <v/>
      </c>
      <c r="I4175" t="str">
        <f>IFERROR(INDEX(Analysis!$D$116:$N$137, MATCH(B4175, Analysis!$C$116:$C$137, 0), MATCH(C4175, Analysis!$D$115:$N$115, 0)), "")</f>
        <v/>
      </c>
      <c r="J4175" t="str">
        <f t="shared" si="394"/>
        <v/>
      </c>
      <c r="K4175" s="28" t="str">
        <f t="shared" si="391"/>
        <v/>
      </c>
      <c r="L4175" s="46" t="str">
        <f t="shared" si="395"/>
        <v/>
      </c>
      <c r="M4175" t="str" cm="1">
        <f t="array" ref="M4175">IF(L4175="","",_xlfn.IFS(
  AND(L4175&gt;=TIME(9,0,0), L4175&lt;TIME(16,0,0)),"Morning",
  AND(L4175&gt;=TIME(16,0,0), L4175&lt;TIME(23,59,0)),"Evening",
  L4175&gt;=TIME(23,59,0),"Night",
  L4175&lt;TIME(9,0,0),"Night"
))</f>
        <v/>
      </c>
      <c r="O4175" t="str">
        <f t="shared" si="392"/>
        <v/>
      </c>
    </row>
    <row r="4176" spans="7:15" x14ac:dyDescent="0.25">
      <c r="G4176" t="str">
        <f t="shared" si="390"/>
        <v/>
      </c>
      <c r="H4176" s="13" t="str">
        <f t="shared" si="393"/>
        <v/>
      </c>
      <c r="I4176" t="str">
        <f>IFERROR(INDEX(Analysis!$D$116:$N$137, MATCH(B4176, Analysis!$C$116:$C$137, 0), MATCH(C4176, Analysis!$D$115:$N$115, 0)), "")</f>
        <v/>
      </c>
      <c r="J4176" t="str">
        <f t="shared" si="394"/>
        <v/>
      </c>
      <c r="K4176" s="28" t="str">
        <f t="shared" si="391"/>
        <v/>
      </c>
      <c r="L4176" s="46" t="str">
        <f t="shared" si="395"/>
        <v/>
      </c>
      <c r="M4176" t="str" cm="1">
        <f t="array" ref="M4176">IF(L4176="","",_xlfn.IFS(
  AND(L4176&gt;=TIME(9,0,0), L4176&lt;TIME(16,0,0)),"Morning",
  AND(L4176&gt;=TIME(16,0,0), L4176&lt;TIME(23,59,0)),"Evening",
  L4176&gt;=TIME(23,59,0),"Night",
  L4176&lt;TIME(9,0,0),"Night"
))</f>
        <v/>
      </c>
      <c r="O4176" t="str">
        <f t="shared" si="392"/>
        <v/>
      </c>
    </row>
    <row r="4177" spans="7:15" x14ac:dyDescent="0.25">
      <c r="G4177" t="str">
        <f t="shared" si="390"/>
        <v/>
      </c>
      <c r="H4177" s="13" t="str">
        <f t="shared" si="393"/>
        <v/>
      </c>
      <c r="I4177" t="str">
        <f>IFERROR(INDEX(Analysis!$D$116:$N$137, MATCH(B4177, Analysis!$C$116:$C$137, 0), MATCH(C4177, Analysis!$D$115:$N$115, 0)), "")</f>
        <v/>
      </c>
      <c r="J4177" t="str">
        <f t="shared" si="394"/>
        <v/>
      </c>
      <c r="K4177" s="28" t="str">
        <f t="shared" si="391"/>
        <v/>
      </c>
      <c r="L4177" s="46" t="str">
        <f t="shared" si="395"/>
        <v/>
      </c>
      <c r="M4177" t="str" cm="1">
        <f t="array" ref="M4177">IF(L4177="","",_xlfn.IFS(
  AND(L4177&gt;=TIME(9,0,0), L4177&lt;TIME(16,0,0)),"Morning",
  AND(L4177&gt;=TIME(16,0,0), L4177&lt;TIME(23,59,0)),"Evening",
  L4177&gt;=TIME(23,59,0),"Night",
  L4177&lt;TIME(9,0,0),"Night"
))</f>
        <v/>
      </c>
      <c r="O4177" t="str">
        <f t="shared" si="392"/>
        <v/>
      </c>
    </row>
    <row r="4178" spans="7:15" x14ac:dyDescent="0.25">
      <c r="G4178" t="str">
        <f t="shared" si="390"/>
        <v/>
      </c>
      <c r="H4178" s="13" t="str">
        <f t="shared" si="393"/>
        <v/>
      </c>
      <c r="I4178" t="str">
        <f>IFERROR(INDEX(Analysis!$D$116:$N$137, MATCH(B4178, Analysis!$C$116:$C$137, 0), MATCH(C4178, Analysis!$D$115:$N$115, 0)), "")</f>
        <v/>
      </c>
      <c r="J4178" t="str">
        <f t="shared" si="394"/>
        <v/>
      </c>
      <c r="K4178" s="28" t="str">
        <f t="shared" si="391"/>
        <v/>
      </c>
      <c r="L4178" s="46" t="str">
        <f t="shared" si="395"/>
        <v/>
      </c>
      <c r="M4178" t="str" cm="1">
        <f t="array" ref="M4178">IF(L4178="","",_xlfn.IFS(
  AND(L4178&gt;=TIME(9,0,0), L4178&lt;TIME(16,0,0)),"Morning",
  AND(L4178&gt;=TIME(16,0,0), L4178&lt;TIME(23,59,0)),"Evening",
  L4178&gt;=TIME(23,59,0),"Night",
  L4178&lt;TIME(9,0,0),"Night"
))</f>
        <v/>
      </c>
      <c r="O4178" t="str">
        <f t="shared" si="392"/>
        <v/>
      </c>
    </row>
    <row r="4179" spans="7:15" x14ac:dyDescent="0.25">
      <c r="G4179" t="str">
        <f t="shared" si="390"/>
        <v/>
      </c>
      <c r="H4179" s="13" t="str">
        <f t="shared" si="393"/>
        <v/>
      </c>
      <c r="I4179" t="str">
        <f>IFERROR(INDEX(Analysis!$D$116:$N$137, MATCH(B4179, Analysis!$C$116:$C$137, 0), MATCH(C4179, Analysis!$D$115:$N$115, 0)), "")</f>
        <v/>
      </c>
      <c r="J4179" t="str">
        <f t="shared" si="394"/>
        <v/>
      </c>
      <c r="K4179" s="28" t="str">
        <f t="shared" si="391"/>
        <v/>
      </c>
      <c r="L4179" s="46" t="str">
        <f t="shared" si="395"/>
        <v/>
      </c>
      <c r="M4179" t="str" cm="1">
        <f t="array" ref="M4179">IF(L4179="","",_xlfn.IFS(
  AND(L4179&gt;=TIME(9,0,0), L4179&lt;TIME(16,0,0)),"Morning",
  AND(L4179&gt;=TIME(16,0,0), L4179&lt;TIME(23,59,0)),"Evening",
  L4179&gt;=TIME(23,59,0),"Night",
  L4179&lt;TIME(9,0,0),"Night"
))</f>
        <v/>
      </c>
      <c r="O4179" t="str">
        <f t="shared" si="392"/>
        <v/>
      </c>
    </row>
    <row r="4180" spans="7:15" x14ac:dyDescent="0.25">
      <c r="G4180" t="str">
        <f t="shared" si="390"/>
        <v/>
      </c>
      <c r="H4180" s="13" t="str">
        <f t="shared" si="393"/>
        <v/>
      </c>
      <c r="I4180" t="str">
        <f>IFERROR(INDEX(Analysis!$D$116:$N$137, MATCH(B4180, Analysis!$C$116:$C$137, 0), MATCH(C4180, Analysis!$D$115:$N$115, 0)), "")</f>
        <v/>
      </c>
      <c r="J4180" t="str">
        <f t="shared" si="394"/>
        <v/>
      </c>
      <c r="K4180" s="28" t="str">
        <f t="shared" si="391"/>
        <v/>
      </c>
      <c r="L4180" s="46" t="str">
        <f t="shared" si="395"/>
        <v/>
      </c>
      <c r="M4180" t="str" cm="1">
        <f t="array" ref="M4180">IF(L4180="","",_xlfn.IFS(
  AND(L4180&gt;=TIME(9,0,0), L4180&lt;TIME(16,0,0)),"Morning",
  AND(L4180&gt;=TIME(16,0,0), L4180&lt;TIME(23,59,0)),"Evening",
  L4180&gt;=TIME(23,59,0),"Night",
  L4180&lt;TIME(9,0,0),"Night"
))</f>
        <v/>
      </c>
      <c r="O4180" t="str">
        <f t="shared" si="392"/>
        <v/>
      </c>
    </row>
    <row r="4181" spans="7:15" x14ac:dyDescent="0.25">
      <c r="G4181" t="str">
        <f t="shared" si="390"/>
        <v/>
      </c>
      <c r="H4181" s="13" t="str">
        <f t="shared" si="393"/>
        <v/>
      </c>
      <c r="I4181" t="str">
        <f>IFERROR(INDEX(Analysis!$D$116:$N$137, MATCH(B4181, Analysis!$C$116:$C$137, 0), MATCH(C4181, Analysis!$D$115:$N$115, 0)), "")</f>
        <v/>
      </c>
      <c r="J4181" t="str">
        <f t="shared" si="394"/>
        <v/>
      </c>
      <c r="K4181" s="28" t="str">
        <f t="shared" si="391"/>
        <v/>
      </c>
      <c r="L4181" s="46" t="str">
        <f t="shared" si="395"/>
        <v/>
      </c>
      <c r="M4181" t="str" cm="1">
        <f t="array" ref="M4181">IF(L4181="","",_xlfn.IFS(
  AND(L4181&gt;=TIME(9,0,0), L4181&lt;TIME(16,0,0)),"Morning",
  AND(L4181&gt;=TIME(16,0,0), L4181&lt;TIME(23,59,0)),"Evening",
  L4181&gt;=TIME(23,59,0),"Night",
  L4181&lt;TIME(9,0,0),"Night"
))</f>
        <v/>
      </c>
      <c r="O4181" t="str">
        <f t="shared" si="392"/>
        <v/>
      </c>
    </row>
    <row r="4182" spans="7:15" x14ac:dyDescent="0.25">
      <c r="G4182" t="str">
        <f t="shared" si="390"/>
        <v/>
      </c>
      <c r="H4182" s="13" t="str">
        <f t="shared" si="393"/>
        <v/>
      </c>
      <c r="I4182" t="str">
        <f>IFERROR(INDEX(Analysis!$D$116:$N$137, MATCH(B4182, Analysis!$C$116:$C$137, 0), MATCH(C4182, Analysis!$D$115:$N$115, 0)), "")</f>
        <v/>
      </c>
      <c r="J4182" t="str">
        <f t="shared" si="394"/>
        <v/>
      </c>
      <c r="K4182" s="28" t="str">
        <f t="shared" si="391"/>
        <v/>
      </c>
      <c r="L4182" s="46" t="str">
        <f t="shared" si="395"/>
        <v/>
      </c>
      <c r="M4182" t="str" cm="1">
        <f t="array" ref="M4182">IF(L4182="","",_xlfn.IFS(
  AND(L4182&gt;=TIME(9,0,0), L4182&lt;TIME(16,0,0)),"Morning",
  AND(L4182&gt;=TIME(16,0,0), L4182&lt;TIME(23,59,0)),"Evening",
  L4182&gt;=TIME(23,59,0),"Night",
  L4182&lt;TIME(9,0,0),"Night"
))</f>
        <v/>
      </c>
      <c r="O4182" t="str">
        <f t="shared" si="392"/>
        <v/>
      </c>
    </row>
    <row r="4183" spans="7:15" x14ac:dyDescent="0.25">
      <c r="G4183" t="str">
        <f t="shared" si="390"/>
        <v/>
      </c>
      <c r="H4183" s="13" t="str">
        <f t="shared" si="393"/>
        <v/>
      </c>
      <c r="I4183" t="str">
        <f>IFERROR(INDEX(Analysis!$D$116:$N$137, MATCH(B4183, Analysis!$C$116:$C$137, 0), MATCH(C4183, Analysis!$D$115:$N$115, 0)), "")</f>
        <v/>
      </c>
      <c r="J4183" t="str">
        <f t="shared" si="394"/>
        <v/>
      </c>
      <c r="K4183" s="28" t="str">
        <f t="shared" si="391"/>
        <v/>
      </c>
      <c r="L4183" s="46" t="str">
        <f t="shared" si="395"/>
        <v/>
      </c>
      <c r="M4183" t="str" cm="1">
        <f t="array" ref="M4183">IF(L4183="","",_xlfn.IFS(
  AND(L4183&gt;=TIME(9,0,0), L4183&lt;TIME(16,0,0)),"Morning",
  AND(L4183&gt;=TIME(16,0,0), L4183&lt;TIME(23,59,0)),"Evening",
  L4183&gt;=TIME(23,59,0),"Night",
  L4183&lt;TIME(9,0,0),"Night"
))</f>
        <v/>
      </c>
      <c r="O4183" t="str">
        <f t="shared" si="392"/>
        <v/>
      </c>
    </row>
    <row r="4184" spans="7:15" x14ac:dyDescent="0.25">
      <c r="G4184" t="str">
        <f t="shared" si="390"/>
        <v/>
      </c>
      <c r="H4184" s="13" t="str">
        <f t="shared" si="393"/>
        <v/>
      </c>
      <c r="I4184" t="str">
        <f>IFERROR(INDEX(Analysis!$D$116:$N$137, MATCH(B4184, Analysis!$C$116:$C$137, 0), MATCH(C4184, Analysis!$D$115:$N$115, 0)), "")</f>
        <v/>
      </c>
      <c r="J4184" t="str">
        <f t="shared" si="394"/>
        <v/>
      </c>
      <c r="K4184" s="28" t="str">
        <f t="shared" si="391"/>
        <v/>
      </c>
      <c r="L4184" s="46" t="str">
        <f t="shared" si="395"/>
        <v/>
      </c>
      <c r="M4184" t="str" cm="1">
        <f t="array" ref="M4184">IF(L4184="","",_xlfn.IFS(
  AND(L4184&gt;=TIME(9,0,0), L4184&lt;TIME(16,0,0)),"Morning",
  AND(L4184&gt;=TIME(16,0,0), L4184&lt;TIME(23,59,0)),"Evening",
  L4184&gt;=TIME(23,59,0),"Night",
  L4184&lt;TIME(9,0,0),"Night"
))</f>
        <v/>
      </c>
      <c r="O4184" t="str">
        <f t="shared" si="392"/>
        <v/>
      </c>
    </row>
    <row r="4185" spans="7:15" x14ac:dyDescent="0.25">
      <c r="G4185" t="str">
        <f t="shared" si="390"/>
        <v/>
      </c>
      <c r="H4185" s="13" t="str">
        <f t="shared" si="393"/>
        <v/>
      </c>
      <c r="I4185" t="str">
        <f>IFERROR(INDEX(Analysis!$D$116:$N$137, MATCH(B4185, Analysis!$C$116:$C$137, 0), MATCH(C4185, Analysis!$D$115:$N$115, 0)), "")</f>
        <v/>
      </c>
      <c r="J4185" t="str">
        <f t="shared" si="394"/>
        <v/>
      </c>
      <c r="K4185" s="28" t="str">
        <f t="shared" si="391"/>
        <v/>
      </c>
      <c r="L4185" s="46" t="str">
        <f t="shared" si="395"/>
        <v/>
      </c>
      <c r="M4185" t="str" cm="1">
        <f t="array" ref="M4185">IF(L4185="","",_xlfn.IFS(
  AND(L4185&gt;=TIME(9,0,0), L4185&lt;TIME(16,0,0)),"Morning",
  AND(L4185&gt;=TIME(16,0,0), L4185&lt;TIME(23,59,0)),"Evening",
  L4185&gt;=TIME(23,59,0),"Night",
  L4185&lt;TIME(9,0,0),"Night"
))</f>
        <v/>
      </c>
      <c r="O4185" t="str">
        <f t="shared" si="392"/>
        <v/>
      </c>
    </row>
    <row r="4186" spans="7:15" x14ac:dyDescent="0.25">
      <c r="G4186" t="str">
        <f t="shared" si="390"/>
        <v/>
      </c>
      <c r="H4186" s="13" t="str">
        <f t="shared" si="393"/>
        <v/>
      </c>
      <c r="I4186" t="str">
        <f>IFERROR(INDEX(Analysis!$D$116:$N$137, MATCH(B4186, Analysis!$C$116:$C$137, 0), MATCH(C4186, Analysis!$D$115:$N$115, 0)), "")</f>
        <v/>
      </c>
      <c r="J4186" t="str">
        <f t="shared" si="394"/>
        <v/>
      </c>
      <c r="K4186" s="28" t="str">
        <f t="shared" si="391"/>
        <v/>
      </c>
      <c r="L4186" s="46" t="str">
        <f t="shared" si="395"/>
        <v/>
      </c>
      <c r="M4186" t="str" cm="1">
        <f t="array" ref="M4186">IF(L4186="","",_xlfn.IFS(
  AND(L4186&gt;=TIME(9,0,0), L4186&lt;TIME(16,0,0)),"Morning",
  AND(L4186&gt;=TIME(16,0,0), L4186&lt;TIME(23,59,0)),"Evening",
  L4186&gt;=TIME(23,59,0),"Night",
  L4186&lt;TIME(9,0,0),"Night"
))</f>
        <v/>
      </c>
      <c r="O4186" t="str">
        <f t="shared" si="392"/>
        <v/>
      </c>
    </row>
    <row r="4187" spans="7:15" x14ac:dyDescent="0.25">
      <c r="G4187" t="str">
        <f t="shared" si="390"/>
        <v/>
      </c>
      <c r="H4187" s="13" t="str">
        <f t="shared" si="393"/>
        <v/>
      </c>
      <c r="I4187" t="str">
        <f>IFERROR(INDEX(Analysis!$D$116:$N$137, MATCH(B4187, Analysis!$C$116:$C$137, 0), MATCH(C4187, Analysis!$D$115:$N$115, 0)), "")</f>
        <v/>
      </c>
      <c r="J4187" t="str">
        <f t="shared" si="394"/>
        <v/>
      </c>
      <c r="K4187" s="28" t="str">
        <f t="shared" si="391"/>
        <v/>
      </c>
      <c r="L4187" s="46" t="str">
        <f t="shared" si="395"/>
        <v/>
      </c>
      <c r="M4187" t="str" cm="1">
        <f t="array" ref="M4187">IF(L4187="","",_xlfn.IFS(
  AND(L4187&gt;=TIME(9,0,0), L4187&lt;TIME(16,0,0)),"Morning",
  AND(L4187&gt;=TIME(16,0,0), L4187&lt;TIME(23,59,0)),"Evening",
  L4187&gt;=TIME(23,59,0),"Night",
  L4187&lt;TIME(9,0,0),"Night"
))</f>
        <v/>
      </c>
      <c r="O4187" t="str">
        <f t="shared" si="392"/>
        <v/>
      </c>
    </row>
    <row r="4188" spans="7:15" x14ac:dyDescent="0.25">
      <c r="G4188" t="str">
        <f t="shared" si="390"/>
        <v/>
      </c>
      <c r="H4188" s="13" t="str">
        <f t="shared" si="393"/>
        <v/>
      </c>
      <c r="I4188" t="str">
        <f>IFERROR(INDEX(Analysis!$D$116:$N$137, MATCH(B4188, Analysis!$C$116:$C$137, 0), MATCH(C4188, Analysis!$D$115:$N$115, 0)), "")</f>
        <v/>
      </c>
      <c r="J4188" t="str">
        <f t="shared" si="394"/>
        <v/>
      </c>
      <c r="K4188" s="28" t="str">
        <f t="shared" si="391"/>
        <v/>
      </c>
      <c r="L4188" s="46" t="str">
        <f t="shared" si="395"/>
        <v/>
      </c>
      <c r="M4188" t="str" cm="1">
        <f t="array" ref="M4188">IF(L4188="","",_xlfn.IFS(
  AND(L4188&gt;=TIME(9,0,0), L4188&lt;TIME(16,0,0)),"Morning",
  AND(L4188&gt;=TIME(16,0,0), L4188&lt;TIME(23,59,0)),"Evening",
  L4188&gt;=TIME(23,59,0),"Night",
  L4188&lt;TIME(9,0,0),"Night"
))</f>
        <v/>
      </c>
      <c r="O4188" t="str">
        <f t="shared" si="392"/>
        <v/>
      </c>
    </row>
    <row r="4189" spans="7:15" x14ac:dyDescent="0.25">
      <c r="G4189" t="str">
        <f t="shared" si="390"/>
        <v/>
      </c>
      <c r="H4189" s="13" t="str">
        <f t="shared" si="393"/>
        <v/>
      </c>
      <c r="I4189" t="str">
        <f>IFERROR(INDEX(Analysis!$D$116:$N$137, MATCH(B4189, Analysis!$C$116:$C$137, 0), MATCH(C4189, Analysis!$D$115:$N$115, 0)), "")</f>
        <v/>
      </c>
      <c r="J4189" t="str">
        <f t="shared" si="394"/>
        <v/>
      </c>
      <c r="K4189" s="28" t="str">
        <f t="shared" si="391"/>
        <v/>
      </c>
      <c r="L4189" s="46" t="str">
        <f t="shared" si="395"/>
        <v/>
      </c>
      <c r="M4189" t="str" cm="1">
        <f t="array" ref="M4189">IF(L4189="","",_xlfn.IFS(
  AND(L4189&gt;=TIME(9,0,0), L4189&lt;TIME(16,0,0)),"Morning",
  AND(L4189&gt;=TIME(16,0,0), L4189&lt;TIME(23,59,0)),"Evening",
  L4189&gt;=TIME(23,59,0),"Night",
  L4189&lt;TIME(9,0,0),"Night"
))</f>
        <v/>
      </c>
      <c r="O4189" t="str">
        <f t="shared" si="392"/>
        <v/>
      </c>
    </row>
    <row r="4190" spans="7:15" x14ac:dyDescent="0.25">
      <c r="G4190" t="str">
        <f t="shared" si="390"/>
        <v/>
      </c>
      <c r="H4190" s="13" t="str">
        <f t="shared" si="393"/>
        <v/>
      </c>
      <c r="I4190" t="str">
        <f>IFERROR(INDEX(Analysis!$D$116:$N$137, MATCH(B4190, Analysis!$C$116:$C$137, 0), MATCH(C4190, Analysis!$D$115:$N$115, 0)), "")</f>
        <v/>
      </c>
      <c r="J4190" t="str">
        <f t="shared" si="394"/>
        <v/>
      </c>
      <c r="K4190" s="28" t="str">
        <f t="shared" si="391"/>
        <v/>
      </c>
      <c r="L4190" s="46" t="str">
        <f t="shared" si="395"/>
        <v/>
      </c>
      <c r="M4190" t="str" cm="1">
        <f t="array" ref="M4190">IF(L4190="","",_xlfn.IFS(
  AND(L4190&gt;=TIME(9,0,0), L4190&lt;TIME(16,0,0)),"Morning",
  AND(L4190&gt;=TIME(16,0,0), L4190&lt;TIME(23,59,0)),"Evening",
  L4190&gt;=TIME(23,59,0),"Night",
  L4190&lt;TIME(9,0,0),"Night"
))</f>
        <v/>
      </c>
      <c r="O4190" t="str">
        <f t="shared" si="392"/>
        <v/>
      </c>
    </row>
    <row r="4191" spans="7:15" x14ac:dyDescent="0.25">
      <c r="G4191" t="str">
        <f t="shared" si="390"/>
        <v/>
      </c>
      <c r="H4191" s="13" t="str">
        <f t="shared" si="393"/>
        <v/>
      </c>
      <c r="I4191" t="str">
        <f>IFERROR(INDEX(Analysis!$D$116:$N$137, MATCH(B4191, Analysis!$C$116:$C$137, 0), MATCH(C4191, Analysis!$D$115:$N$115, 0)), "")</f>
        <v/>
      </c>
      <c r="J4191" t="str">
        <f t="shared" si="394"/>
        <v/>
      </c>
      <c r="K4191" s="28" t="str">
        <f t="shared" si="391"/>
        <v/>
      </c>
      <c r="L4191" s="46" t="str">
        <f t="shared" si="395"/>
        <v/>
      </c>
      <c r="M4191" t="str" cm="1">
        <f t="array" ref="M4191">IF(L4191="","",_xlfn.IFS(
  AND(L4191&gt;=TIME(9,0,0), L4191&lt;TIME(16,0,0)),"Morning",
  AND(L4191&gt;=TIME(16,0,0), L4191&lt;TIME(23,59,0)),"Evening",
  L4191&gt;=TIME(23,59,0),"Night",
  L4191&lt;TIME(9,0,0),"Night"
))</f>
        <v/>
      </c>
      <c r="O4191" t="str">
        <f t="shared" si="392"/>
        <v/>
      </c>
    </row>
    <row r="4192" spans="7:15" x14ac:dyDescent="0.25">
      <c r="G4192" t="str">
        <f t="shared" si="390"/>
        <v/>
      </c>
      <c r="H4192" s="13" t="str">
        <f t="shared" si="393"/>
        <v/>
      </c>
      <c r="I4192" t="str">
        <f>IFERROR(INDEX(Analysis!$D$116:$N$137, MATCH(B4192, Analysis!$C$116:$C$137, 0), MATCH(C4192, Analysis!$D$115:$N$115, 0)), "")</f>
        <v/>
      </c>
      <c r="J4192" t="str">
        <f t="shared" si="394"/>
        <v/>
      </c>
      <c r="K4192" s="28" t="str">
        <f t="shared" si="391"/>
        <v/>
      </c>
      <c r="L4192" s="46" t="str">
        <f t="shared" si="395"/>
        <v/>
      </c>
      <c r="M4192" t="str" cm="1">
        <f t="array" ref="M4192">IF(L4192="","",_xlfn.IFS(
  AND(L4192&gt;=TIME(9,0,0), L4192&lt;TIME(16,0,0)),"Morning",
  AND(L4192&gt;=TIME(16,0,0), L4192&lt;TIME(23,59,0)),"Evening",
  L4192&gt;=TIME(23,59,0),"Night",
  L4192&lt;TIME(9,0,0),"Night"
))</f>
        <v/>
      </c>
      <c r="O4192" t="str">
        <f t="shared" si="392"/>
        <v/>
      </c>
    </row>
    <row r="4193" spans="7:15" x14ac:dyDescent="0.25">
      <c r="G4193" t="str">
        <f t="shared" si="390"/>
        <v/>
      </c>
      <c r="H4193" s="13" t="str">
        <f t="shared" si="393"/>
        <v/>
      </c>
      <c r="I4193" t="str">
        <f>IFERROR(INDEX(Analysis!$D$116:$N$137, MATCH(B4193, Analysis!$C$116:$C$137, 0), MATCH(C4193, Analysis!$D$115:$N$115, 0)), "")</f>
        <v/>
      </c>
      <c r="J4193" t="str">
        <f t="shared" si="394"/>
        <v/>
      </c>
      <c r="K4193" s="28" t="str">
        <f t="shared" si="391"/>
        <v/>
      </c>
      <c r="L4193" s="46" t="str">
        <f t="shared" si="395"/>
        <v/>
      </c>
      <c r="M4193" t="str" cm="1">
        <f t="array" ref="M4193">IF(L4193="","",_xlfn.IFS(
  AND(L4193&gt;=TIME(9,0,0), L4193&lt;TIME(16,0,0)),"Morning",
  AND(L4193&gt;=TIME(16,0,0), L4193&lt;TIME(23,59,0)),"Evening",
  L4193&gt;=TIME(23,59,0),"Night",
  L4193&lt;TIME(9,0,0),"Night"
))</f>
        <v/>
      </c>
      <c r="O4193" t="str">
        <f t="shared" si="392"/>
        <v/>
      </c>
    </row>
    <row r="4194" spans="7:15" x14ac:dyDescent="0.25">
      <c r="G4194" t="str">
        <f t="shared" si="390"/>
        <v/>
      </c>
      <c r="H4194" s="13" t="str">
        <f t="shared" si="393"/>
        <v/>
      </c>
      <c r="I4194" t="str">
        <f>IFERROR(INDEX(Analysis!$D$116:$N$137, MATCH(B4194, Analysis!$C$116:$C$137, 0), MATCH(C4194, Analysis!$D$115:$N$115, 0)), "")</f>
        <v/>
      </c>
      <c r="J4194" t="str">
        <f t="shared" si="394"/>
        <v/>
      </c>
      <c r="K4194" s="28" t="str">
        <f t="shared" si="391"/>
        <v/>
      </c>
      <c r="L4194" s="46" t="str">
        <f t="shared" si="395"/>
        <v/>
      </c>
      <c r="M4194" t="str" cm="1">
        <f t="array" ref="M4194">IF(L4194="","",_xlfn.IFS(
  AND(L4194&gt;=TIME(9,0,0), L4194&lt;TIME(16,0,0)),"Morning",
  AND(L4194&gt;=TIME(16,0,0), L4194&lt;TIME(23,59,0)),"Evening",
  L4194&gt;=TIME(23,59,0),"Night",
  L4194&lt;TIME(9,0,0),"Night"
))</f>
        <v/>
      </c>
      <c r="O4194" t="str">
        <f t="shared" si="392"/>
        <v/>
      </c>
    </row>
    <row r="4195" spans="7:15" x14ac:dyDescent="0.25">
      <c r="G4195" t="str">
        <f t="shared" si="390"/>
        <v/>
      </c>
      <c r="H4195" s="13" t="str">
        <f t="shared" si="393"/>
        <v/>
      </c>
      <c r="I4195" t="str">
        <f>IFERROR(INDEX(Analysis!$D$116:$N$137, MATCH(B4195, Analysis!$C$116:$C$137, 0), MATCH(C4195, Analysis!$D$115:$N$115, 0)), "")</f>
        <v/>
      </c>
      <c r="J4195" t="str">
        <f t="shared" si="394"/>
        <v/>
      </c>
      <c r="K4195" s="28" t="str">
        <f t="shared" si="391"/>
        <v/>
      </c>
      <c r="L4195" s="46" t="str">
        <f t="shared" si="395"/>
        <v/>
      </c>
      <c r="M4195" t="str" cm="1">
        <f t="array" ref="M4195">IF(L4195="","",_xlfn.IFS(
  AND(L4195&gt;=TIME(9,0,0), L4195&lt;TIME(16,0,0)),"Morning",
  AND(L4195&gt;=TIME(16,0,0), L4195&lt;TIME(23,59,0)),"Evening",
  L4195&gt;=TIME(23,59,0),"Night",
  L4195&lt;TIME(9,0,0),"Night"
))</f>
        <v/>
      </c>
      <c r="O4195" t="str">
        <f t="shared" si="392"/>
        <v/>
      </c>
    </row>
    <row r="4196" spans="7:15" x14ac:dyDescent="0.25">
      <c r="G4196" t="str">
        <f t="shared" si="390"/>
        <v/>
      </c>
      <c r="H4196" s="13" t="str">
        <f t="shared" si="393"/>
        <v/>
      </c>
      <c r="I4196" t="str">
        <f>IFERROR(INDEX(Analysis!$D$116:$N$137, MATCH(B4196, Analysis!$C$116:$C$137, 0), MATCH(C4196, Analysis!$D$115:$N$115, 0)), "")</f>
        <v/>
      </c>
      <c r="J4196" t="str">
        <f t="shared" si="394"/>
        <v/>
      </c>
      <c r="K4196" s="28" t="str">
        <f t="shared" si="391"/>
        <v/>
      </c>
      <c r="L4196" s="46" t="str">
        <f t="shared" si="395"/>
        <v/>
      </c>
      <c r="M4196" t="str" cm="1">
        <f t="array" ref="M4196">IF(L4196="","",_xlfn.IFS(
  AND(L4196&gt;=TIME(9,0,0), L4196&lt;TIME(16,0,0)),"Morning",
  AND(L4196&gt;=TIME(16,0,0), L4196&lt;TIME(23,59,0)),"Evening",
  L4196&gt;=TIME(23,59,0),"Night",
  L4196&lt;TIME(9,0,0),"Night"
))</f>
        <v/>
      </c>
      <c r="O4196" t="str">
        <f t="shared" si="392"/>
        <v/>
      </c>
    </row>
    <row r="4197" spans="7:15" x14ac:dyDescent="0.25">
      <c r="G4197" t="str">
        <f t="shared" si="390"/>
        <v/>
      </c>
      <c r="H4197" s="13" t="str">
        <f t="shared" si="393"/>
        <v/>
      </c>
      <c r="I4197" t="str">
        <f>IFERROR(INDEX(Analysis!$D$116:$N$137, MATCH(B4197, Analysis!$C$116:$C$137, 0), MATCH(C4197, Analysis!$D$115:$N$115, 0)), "")</f>
        <v/>
      </c>
      <c r="J4197" t="str">
        <f t="shared" si="394"/>
        <v/>
      </c>
      <c r="K4197" s="28" t="str">
        <f t="shared" si="391"/>
        <v/>
      </c>
      <c r="L4197" s="46" t="str">
        <f t="shared" si="395"/>
        <v/>
      </c>
      <c r="M4197" t="str" cm="1">
        <f t="array" ref="M4197">IF(L4197="","",_xlfn.IFS(
  AND(L4197&gt;=TIME(9,0,0), L4197&lt;TIME(16,0,0)),"Morning",
  AND(L4197&gt;=TIME(16,0,0), L4197&lt;TIME(23,59,0)),"Evening",
  L4197&gt;=TIME(23,59,0),"Night",
  L4197&lt;TIME(9,0,0),"Night"
))</f>
        <v/>
      </c>
      <c r="O4197" t="str">
        <f t="shared" si="392"/>
        <v/>
      </c>
    </row>
    <row r="4198" spans="7:15" x14ac:dyDescent="0.25">
      <c r="G4198" t="str">
        <f t="shared" si="390"/>
        <v/>
      </c>
      <c r="H4198" s="13" t="str">
        <f t="shared" si="393"/>
        <v/>
      </c>
      <c r="I4198" t="str">
        <f>IFERROR(INDEX(Analysis!$D$116:$N$137, MATCH(B4198, Analysis!$C$116:$C$137, 0), MATCH(C4198, Analysis!$D$115:$N$115, 0)), "")</f>
        <v/>
      </c>
      <c r="J4198" t="str">
        <f t="shared" si="394"/>
        <v/>
      </c>
      <c r="K4198" s="28" t="str">
        <f t="shared" si="391"/>
        <v/>
      </c>
      <c r="L4198" s="46" t="str">
        <f t="shared" si="395"/>
        <v/>
      </c>
      <c r="M4198" t="str" cm="1">
        <f t="array" ref="M4198">IF(L4198="","",_xlfn.IFS(
  AND(L4198&gt;=TIME(9,0,0), L4198&lt;TIME(16,0,0)),"Morning",
  AND(L4198&gt;=TIME(16,0,0), L4198&lt;TIME(23,59,0)),"Evening",
  L4198&gt;=TIME(23,59,0),"Night",
  L4198&lt;TIME(9,0,0),"Night"
))</f>
        <v/>
      </c>
      <c r="O4198" t="str">
        <f t="shared" si="392"/>
        <v/>
      </c>
    </row>
    <row r="4199" spans="7:15" x14ac:dyDescent="0.25">
      <c r="G4199" t="str">
        <f t="shared" si="390"/>
        <v/>
      </c>
      <c r="H4199" s="13" t="str">
        <f t="shared" si="393"/>
        <v/>
      </c>
      <c r="I4199" t="str">
        <f>IFERROR(INDEX(Analysis!$D$116:$N$137, MATCH(B4199, Analysis!$C$116:$C$137, 0), MATCH(C4199, Analysis!$D$115:$N$115, 0)), "")</f>
        <v/>
      </c>
      <c r="J4199" t="str">
        <f t="shared" si="394"/>
        <v/>
      </c>
      <c r="K4199" s="28" t="str">
        <f t="shared" si="391"/>
        <v/>
      </c>
      <c r="L4199" s="46" t="str">
        <f t="shared" si="395"/>
        <v/>
      </c>
      <c r="M4199" t="str" cm="1">
        <f t="array" ref="M4199">IF(L4199="","",_xlfn.IFS(
  AND(L4199&gt;=TIME(9,0,0), L4199&lt;TIME(16,0,0)),"Morning",
  AND(L4199&gt;=TIME(16,0,0), L4199&lt;TIME(23,59,0)),"Evening",
  L4199&gt;=TIME(23,59,0),"Night",
  L4199&lt;TIME(9,0,0),"Night"
))</f>
        <v/>
      </c>
      <c r="O4199" t="str">
        <f t="shared" si="392"/>
        <v/>
      </c>
    </row>
    <row r="4200" spans="7:15" x14ac:dyDescent="0.25">
      <c r="G4200" t="str">
        <f t="shared" si="390"/>
        <v/>
      </c>
      <c r="H4200" s="13" t="str">
        <f t="shared" si="393"/>
        <v/>
      </c>
      <c r="I4200" t="str">
        <f>IFERROR(INDEX(Analysis!$D$116:$N$137, MATCH(B4200, Analysis!$C$116:$C$137, 0), MATCH(C4200, Analysis!$D$115:$N$115, 0)), "")</f>
        <v/>
      </c>
      <c r="J4200" t="str">
        <f t="shared" si="394"/>
        <v/>
      </c>
      <c r="K4200" s="28" t="str">
        <f t="shared" si="391"/>
        <v/>
      </c>
      <c r="L4200" s="46" t="str">
        <f t="shared" si="395"/>
        <v/>
      </c>
      <c r="M4200" t="str" cm="1">
        <f t="array" ref="M4200">IF(L4200="","",_xlfn.IFS(
  AND(L4200&gt;=TIME(9,0,0), L4200&lt;TIME(16,0,0)),"Morning",
  AND(L4200&gt;=TIME(16,0,0), L4200&lt;TIME(23,59,0)),"Evening",
  L4200&gt;=TIME(23,59,0),"Night",
  L4200&lt;TIME(9,0,0),"Night"
))</f>
        <v/>
      </c>
      <c r="O4200" t="str">
        <f t="shared" si="392"/>
        <v/>
      </c>
    </row>
    <row r="4201" spans="7:15" x14ac:dyDescent="0.25">
      <c r="G4201" t="str">
        <f t="shared" si="390"/>
        <v/>
      </c>
      <c r="H4201" s="13" t="str">
        <f t="shared" si="393"/>
        <v/>
      </c>
      <c r="I4201" t="str">
        <f>IFERROR(INDEX(Analysis!$D$116:$N$137, MATCH(B4201, Analysis!$C$116:$C$137, 0), MATCH(C4201, Analysis!$D$115:$N$115, 0)), "")</f>
        <v/>
      </c>
      <c r="J4201" t="str">
        <f t="shared" si="394"/>
        <v/>
      </c>
      <c r="K4201" s="28" t="str">
        <f t="shared" si="391"/>
        <v/>
      </c>
      <c r="L4201" s="46" t="str">
        <f t="shared" si="395"/>
        <v/>
      </c>
      <c r="M4201" t="str" cm="1">
        <f t="array" ref="M4201">IF(L4201="","",_xlfn.IFS(
  AND(L4201&gt;=TIME(9,0,0), L4201&lt;TIME(16,0,0)),"Morning",
  AND(L4201&gt;=TIME(16,0,0), L4201&lt;TIME(23,59,0)),"Evening",
  L4201&gt;=TIME(23,59,0),"Night",
  L4201&lt;TIME(9,0,0),"Night"
))</f>
        <v/>
      </c>
      <c r="O4201" t="str">
        <f t="shared" si="392"/>
        <v/>
      </c>
    </row>
    <row r="4202" spans="7:15" x14ac:dyDescent="0.25">
      <c r="G4202" t="str">
        <f t="shared" si="390"/>
        <v/>
      </c>
      <c r="H4202" s="13" t="str">
        <f t="shared" si="393"/>
        <v/>
      </c>
      <c r="I4202" t="str">
        <f>IFERROR(INDEX(Analysis!$D$116:$N$137, MATCH(B4202, Analysis!$C$116:$C$137, 0), MATCH(C4202, Analysis!$D$115:$N$115, 0)), "")</f>
        <v/>
      </c>
      <c r="J4202" t="str">
        <f t="shared" si="394"/>
        <v/>
      </c>
      <c r="K4202" s="28" t="str">
        <f t="shared" si="391"/>
        <v/>
      </c>
      <c r="L4202" s="46" t="str">
        <f t="shared" si="395"/>
        <v/>
      </c>
      <c r="M4202" t="str" cm="1">
        <f t="array" ref="M4202">IF(L4202="","",_xlfn.IFS(
  AND(L4202&gt;=TIME(9,0,0), L4202&lt;TIME(16,0,0)),"Morning",
  AND(L4202&gt;=TIME(16,0,0), L4202&lt;TIME(23,59,0)),"Evening",
  L4202&gt;=TIME(23,59,0),"Night",
  L4202&lt;TIME(9,0,0),"Night"
))</f>
        <v/>
      </c>
      <c r="O4202" t="str">
        <f t="shared" si="392"/>
        <v/>
      </c>
    </row>
    <row r="4203" spans="7:15" x14ac:dyDescent="0.25">
      <c r="G4203" t="str">
        <f t="shared" si="390"/>
        <v/>
      </c>
      <c r="H4203" s="13" t="str">
        <f t="shared" si="393"/>
        <v/>
      </c>
      <c r="I4203" t="str">
        <f>IFERROR(INDEX(Analysis!$D$116:$N$137, MATCH(B4203, Analysis!$C$116:$C$137, 0), MATCH(C4203, Analysis!$D$115:$N$115, 0)), "")</f>
        <v/>
      </c>
      <c r="J4203" t="str">
        <f t="shared" si="394"/>
        <v/>
      </c>
      <c r="K4203" s="28" t="str">
        <f t="shared" si="391"/>
        <v/>
      </c>
      <c r="L4203" s="46" t="str">
        <f t="shared" si="395"/>
        <v/>
      </c>
      <c r="M4203" t="str" cm="1">
        <f t="array" ref="M4203">IF(L4203="","",_xlfn.IFS(
  AND(L4203&gt;=TIME(9,0,0), L4203&lt;TIME(16,0,0)),"Morning",
  AND(L4203&gt;=TIME(16,0,0), L4203&lt;TIME(23,59,0)),"Evening",
  L4203&gt;=TIME(23,59,0),"Night",
  L4203&lt;TIME(9,0,0),"Night"
))</f>
        <v/>
      </c>
      <c r="O4203" t="str">
        <f t="shared" si="392"/>
        <v/>
      </c>
    </row>
    <row r="4204" spans="7:15" x14ac:dyDescent="0.25">
      <c r="G4204" t="str">
        <f t="shared" si="390"/>
        <v/>
      </c>
      <c r="H4204" s="13" t="str">
        <f t="shared" si="393"/>
        <v/>
      </c>
      <c r="I4204" t="str">
        <f>IFERROR(INDEX(Analysis!$D$116:$N$137, MATCH(B4204, Analysis!$C$116:$C$137, 0), MATCH(C4204, Analysis!$D$115:$N$115, 0)), "")</f>
        <v/>
      </c>
      <c r="J4204" t="str">
        <f t="shared" si="394"/>
        <v/>
      </c>
      <c r="K4204" s="28" t="str">
        <f t="shared" si="391"/>
        <v/>
      </c>
      <c r="L4204" s="46" t="str">
        <f t="shared" si="395"/>
        <v/>
      </c>
      <c r="M4204" t="str" cm="1">
        <f t="array" ref="M4204">IF(L4204="","",_xlfn.IFS(
  AND(L4204&gt;=TIME(9,0,0), L4204&lt;TIME(16,0,0)),"Morning",
  AND(L4204&gt;=TIME(16,0,0), L4204&lt;TIME(23,59,0)),"Evening",
  L4204&gt;=TIME(23,59,0),"Night",
  L4204&lt;TIME(9,0,0),"Night"
))</f>
        <v/>
      </c>
      <c r="O4204" t="str">
        <f t="shared" si="392"/>
        <v/>
      </c>
    </row>
    <row r="4205" spans="7:15" x14ac:dyDescent="0.25">
      <c r="G4205" t="str">
        <f t="shared" si="390"/>
        <v/>
      </c>
      <c r="H4205" s="13" t="str">
        <f t="shared" si="393"/>
        <v/>
      </c>
      <c r="I4205" t="str">
        <f>IFERROR(INDEX(Analysis!$D$116:$N$137, MATCH(B4205, Analysis!$C$116:$C$137, 0), MATCH(C4205, Analysis!$D$115:$N$115, 0)), "")</f>
        <v/>
      </c>
      <c r="J4205" t="str">
        <f t="shared" si="394"/>
        <v/>
      </c>
      <c r="K4205" s="28" t="str">
        <f t="shared" si="391"/>
        <v/>
      </c>
      <c r="L4205" s="46" t="str">
        <f t="shared" si="395"/>
        <v/>
      </c>
      <c r="M4205" t="str" cm="1">
        <f t="array" ref="M4205">IF(L4205="","",_xlfn.IFS(
  AND(L4205&gt;=TIME(9,0,0), L4205&lt;TIME(16,0,0)),"Morning",
  AND(L4205&gt;=TIME(16,0,0), L4205&lt;TIME(23,59,0)),"Evening",
  L4205&gt;=TIME(23,59,0),"Night",
  L4205&lt;TIME(9,0,0),"Night"
))</f>
        <v/>
      </c>
      <c r="O4205" t="str">
        <f t="shared" si="392"/>
        <v/>
      </c>
    </row>
    <row r="4206" spans="7:15" x14ac:dyDescent="0.25">
      <c r="G4206" t="str">
        <f t="shared" si="390"/>
        <v/>
      </c>
      <c r="H4206" s="13" t="str">
        <f t="shared" si="393"/>
        <v/>
      </c>
      <c r="I4206" t="str">
        <f>IFERROR(INDEX(Analysis!$D$116:$N$137, MATCH(B4206, Analysis!$C$116:$C$137, 0), MATCH(C4206, Analysis!$D$115:$N$115, 0)), "")</f>
        <v/>
      </c>
      <c r="J4206" t="str">
        <f t="shared" si="394"/>
        <v/>
      </c>
      <c r="K4206" s="28" t="str">
        <f t="shared" si="391"/>
        <v/>
      </c>
      <c r="L4206" s="46" t="str">
        <f t="shared" si="395"/>
        <v/>
      </c>
      <c r="M4206" t="str" cm="1">
        <f t="array" ref="M4206">IF(L4206="","",_xlfn.IFS(
  AND(L4206&gt;=TIME(9,0,0), L4206&lt;TIME(16,0,0)),"Morning",
  AND(L4206&gt;=TIME(16,0,0), L4206&lt;TIME(23,59,0)),"Evening",
  L4206&gt;=TIME(23,59,0),"Night",
  L4206&lt;TIME(9,0,0),"Night"
))</f>
        <v/>
      </c>
      <c r="O4206" t="str">
        <f t="shared" si="392"/>
        <v/>
      </c>
    </row>
    <row r="4207" spans="7:15" x14ac:dyDescent="0.25">
      <c r="G4207" t="str">
        <f t="shared" si="390"/>
        <v/>
      </c>
      <c r="H4207" s="13" t="str">
        <f t="shared" si="393"/>
        <v/>
      </c>
      <c r="I4207" t="str">
        <f>IFERROR(INDEX(Analysis!$D$116:$N$137, MATCH(B4207, Analysis!$C$116:$C$137, 0), MATCH(C4207, Analysis!$D$115:$N$115, 0)), "")</f>
        <v/>
      </c>
      <c r="J4207" t="str">
        <f t="shared" si="394"/>
        <v/>
      </c>
      <c r="K4207" s="28" t="str">
        <f t="shared" si="391"/>
        <v/>
      </c>
      <c r="L4207" s="46" t="str">
        <f t="shared" si="395"/>
        <v/>
      </c>
      <c r="M4207" t="str" cm="1">
        <f t="array" ref="M4207">IF(L4207="","",_xlfn.IFS(
  AND(L4207&gt;=TIME(9,0,0), L4207&lt;TIME(16,0,0)),"Morning",
  AND(L4207&gt;=TIME(16,0,0), L4207&lt;TIME(23,59,0)),"Evening",
  L4207&gt;=TIME(23,59,0),"Night",
  L4207&lt;TIME(9,0,0),"Night"
))</f>
        <v/>
      </c>
      <c r="O4207" t="str">
        <f t="shared" si="392"/>
        <v/>
      </c>
    </row>
    <row r="4208" spans="7:15" x14ac:dyDescent="0.25">
      <c r="G4208" t="str">
        <f t="shared" si="390"/>
        <v/>
      </c>
      <c r="H4208" s="13" t="str">
        <f t="shared" si="393"/>
        <v/>
      </c>
      <c r="I4208" t="str">
        <f>IFERROR(INDEX(Analysis!$D$116:$N$137, MATCH(B4208, Analysis!$C$116:$C$137, 0), MATCH(C4208, Analysis!$D$115:$N$115, 0)), "")</f>
        <v/>
      </c>
      <c r="J4208" t="str">
        <f t="shared" si="394"/>
        <v/>
      </c>
      <c r="K4208" s="28" t="str">
        <f t="shared" si="391"/>
        <v/>
      </c>
      <c r="L4208" s="46" t="str">
        <f t="shared" si="395"/>
        <v/>
      </c>
      <c r="M4208" t="str" cm="1">
        <f t="array" ref="M4208">IF(L4208="","",_xlfn.IFS(
  AND(L4208&gt;=TIME(9,0,0), L4208&lt;TIME(16,0,0)),"Morning",
  AND(L4208&gt;=TIME(16,0,0), L4208&lt;TIME(23,59,0)),"Evening",
  L4208&gt;=TIME(23,59,0),"Night",
  L4208&lt;TIME(9,0,0),"Night"
))</f>
        <v/>
      </c>
      <c r="O4208" t="str">
        <f t="shared" si="392"/>
        <v/>
      </c>
    </row>
    <row r="4209" spans="7:15" x14ac:dyDescent="0.25">
      <c r="G4209" t="str">
        <f t="shared" si="390"/>
        <v/>
      </c>
      <c r="H4209" s="13" t="str">
        <f t="shared" si="393"/>
        <v/>
      </c>
      <c r="I4209" t="str">
        <f>IFERROR(INDEX(Analysis!$D$116:$N$137, MATCH(B4209, Analysis!$C$116:$C$137, 0), MATCH(C4209, Analysis!$D$115:$N$115, 0)), "")</f>
        <v/>
      </c>
      <c r="J4209" t="str">
        <f t="shared" si="394"/>
        <v/>
      </c>
      <c r="K4209" s="28" t="str">
        <f t="shared" si="391"/>
        <v/>
      </c>
      <c r="L4209" s="46" t="str">
        <f t="shared" si="395"/>
        <v/>
      </c>
      <c r="M4209" t="str" cm="1">
        <f t="array" ref="M4209">IF(L4209="","",_xlfn.IFS(
  AND(L4209&gt;=TIME(9,0,0), L4209&lt;TIME(16,0,0)),"Morning",
  AND(L4209&gt;=TIME(16,0,0), L4209&lt;TIME(23,59,0)),"Evening",
  L4209&gt;=TIME(23,59,0),"Night",
  L4209&lt;TIME(9,0,0),"Night"
))</f>
        <v/>
      </c>
      <c r="O4209" t="str">
        <f t="shared" si="392"/>
        <v/>
      </c>
    </row>
    <row r="4210" spans="7:15" x14ac:dyDescent="0.25">
      <c r="G4210" t="str">
        <f t="shared" si="390"/>
        <v/>
      </c>
      <c r="H4210" s="13" t="str">
        <f t="shared" si="393"/>
        <v/>
      </c>
      <c r="I4210" t="str">
        <f>IFERROR(INDEX(Analysis!$D$116:$N$137, MATCH(B4210, Analysis!$C$116:$C$137, 0), MATCH(C4210, Analysis!$D$115:$N$115, 0)), "")</f>
        <v/>
      </c>
      <c r="J4210" t="str">
        <f t="shared" si="394"/>
        <v/>
      </c>
      <c r="K4210" s="28" t="str">
        <f t="shared" si="391"/>
        <v/>
      </c>
      <c r="L4210" s="46" t="str">
        <f t="shared" si="395"/>
        <v/>
      </c>
      <c r="M4210" t="str" cm="1">
        <f t="array" ref="M4210">IF(L4210="","",_xlfn.IFS(
  AND(L4210&gt;=TIME(9,0,0), L4210&lt;TIME(16,0,0)),"Morning",
  AND(L4210&gt;=TIME(16,0,0), L4210&lt;TIME(23,59,0)),"Evening",
  L4210&gt;=TIME(23,59,0),"Night",
  L4210&lt;TIME(9,0,0),"Night"
))</f>
        <v/>
      </c>
      <c r="O4210" t="str">
        <f t="shared" si="392"/>
        <v/>
      </c>
    </row>
    <row r="4211" spans="7:15" x14ac:dyDescent="0.25">
      <c r="G4211" t="str">
        <f t="shared" si="390"/>
        <v/>
      </c>
      <c r="H4211" s="13" t="str">
        <f t="shared" si="393"/>
        <v/>
      </c>
      <c r="I4211" t="str">
        <f>IFERROR(INDEX(Analysis!$D$116:$N$137, MATCH(B4211, Analysis!$C$116:$C$137, 0), MATCH(C4211, Analysis!$D$115:$N$115, 0)), "")</f>
        <v/>
      </c>
      <c r="J4211" t="str">
        <f t="shared" si="394"/>
        <v/>
      </c>
      <c r="K4211" s="28" t="str">
        <f t="shared" si="391"/>
        <v/>
      </c>
      <c r="L4211" s="46" t="str">
        <f t="shared" si="395"/>
        <v/>
      </c>
      <c r="M4211" t="str" cm="1">
        <f t="array" ref="M4211">IF(L4211="","",_xlfn.IFS(
  AND(L4211&gt;=TIME(9,0,0), L4211&lt;TIME(16,0,0)),"Morning",
  AND(L4211&gt;=TIME(16,0,0), L4211&lt;TIME(23,59,0)),"Evening",
  L4211&gt;=TIME(23,59,0),"Night",
  L4211&lt;TIME(9,0,0),"Night"
))</f>
        <v/>
      </c>
      <c r="O4211" t="str">
        <f t="shared" si="392"/>
        <v/>
      </c>
    </row>
    <row r="4212" spans="7:15" x14ac:dyDescent="0.25">
      <c r="G4212" t="str">
        <f t="shared" si="390"/>
        <v/>
      </c>
      <c r="H4212" s="13" t="str">
        <f t="shared" si="393"/>
        <v/>
      </c>
      <c r="I4212" t="str">
        <f>IFERROR(INDEX(Analysis!$D$116:$N$137, MATCH(B4212, Analysis!$C$116:$C$137, 0), MATCH(C4212, Analysis!$D$115:$N$115, 0)), "")</f>
        <v/>
      </c>
      <c r="J4212" t="str">
        <f t="shared" si="394"/>
        <v/>
      </c>
      <c r="K4212" s="28" t="str">
        <f t="shared" si="391"/>
        <v/>
      </c>
      <c r="L4212" s="46" t="str">
        <f t="shared" si="395"/>
        <v/>
      </c>
      <c r="M4212" t="str" cm="1">
        <f t="array" ref="M4212">IF(L4212="","",_xlfn.IFS(
  AND(L4212&gt;=TIME(9,0,0), L4212&lt;TIME(16,0,0)),"Morning",
  AND(L4212&gt;=TIME(16,0,0), L4212&lt;TIME(23,59,0)),"Evening",
  L4212&gt;=TIME(23,59,0),"Night",
  L4212&lt;TIME(9,0,0),"Night"
))</f>
        <v/>
      </c>
      <c r="O4212" t="str">
        <f t="shared" si="392"/>
        <v/>
      </c>
    </row>
    <row r="4213" spans="7:15" x14ac:dyDescent="0.25">
      <c r="G4213" t="str">
        <f t="shared" si="390"/>
        <v/>
      </c>
      <c r="H4213" s="13" t="str">
        <f t="shared" si="393"/>
        <v/>
      </c>
      <c r="I4213" t="str">
        <f>IFERROR(INDEX(Analysis!$D$116:$N$137, MATCH(B4213, Analysis!$C$116:$C$137, 0), MATCH(C4213, Analysis!$D$115:$N$115, 0)), "")</f>
        <v/>
      </c>
      <c r="J4213" t="str">
        <f t="shared" si="394"/>
        <v/>
      </c>
      <c r="K4213" s="28" t="str">
        <f t="shared" si="391"/>
        <v/>
      </c>
      <c r="L4213" s="46" t="str">
        <f t="shared" si="395"/>
        <v/>
      </c>
      <c r="M4213" t="str" cm="1">
        <f t="array" ref="M4213">IF(L4213="","",_xlfn.IFS(
  AND(L4213&gt;=TIME(9,0,0), L4213&lt;TIME(16,0,0)),"Morning",
  AND(L4213&gt;=TIME(16,0,0), L4213&lt;TIME(23,59,0)),"Evening",
  L4213&gt;=TIME(23,59,0),"Night",
  L4213&lt;TIME(9,0,0),"Night"
))</f>
        <v/>
      </c>
      <c r="O4213" t="str">
        <f t="shared" si="392"/>
        <v/>
      </c>
    </row>
    <row r="4214" spans="7:15" x14ac:dyDescent="0.25">
      <c r="G4214" t="str">
        <f t="shared" si="390"/>
        <v/>
      </c>
      <c r="H4214" s="13" t="str">
        <f t="shared" si="393"/>
        <v/>
      </c>
      <c r="I4214" t="str">
        <f>IFERROR(INDEX(Analysis!$D$116:$N$137, MATCH(B4214, Analysis!$C$116:$C$137, 0), MATCH(C4214, Analysis!$D$115:$N$115, 0)), "")</f>
        <v/>
      </c>
      <c r="J4214" t="str">
        <f t="shared" si="394"/>
        <v/>
      </c>
      <c r="K4214" s="28" t="str">
        <f t="shared" si="391"/>
        <v/>
      </c>
      <c r="L4214" s="46" t="str">
        <f t="shared" si="395"/>
        <v/>
      </c>
      <c r="M4214" t="str" cm="1">
        <f t="array" ref="M4214">IF(L4214="","",_xlfn.IFS(
  AND(L4214&gt;=TIME(9,0,0), L4214&lt;TIME(16,0,0)),"Morning",
  AND(L4214&gt;=TIME(16,0,0), L4214&lt;TIME(23,59,0)),"Evening",
  L4214&gt;=TIME(23,59,0),"Night",
  L4214&lt;TIME(9,0,0),"Night"
))</f>
        <v/>
      </c>
      <c r="O4214" t="str">
        <f t="shared" si="392"/>
        <v/>
      </c>
    </row>
    <row r="4215" spans="7:15" x14ac:dyDescent="0.25">
      <c r="G4215" t="str">
        <f t="shared" si="390"/>
        <v/>
      </c>
      <c r="H4215" s="13" t="str">
        <f t="shared" si="393"/>
        <v/>
      </c>
      <c r="I4215" t="str">
        <f>IFERROR(INDEX(Analysis!$D$116:$N$137, MATCH(B4215, Analysis!$C$116:$C$137, 0), MATCH(C4215, Analysis!$D$115:$N$115, 0)), "")</f>
        <v/>
      </c>
      <c r="J4215" t="str">
        <f t="shared" si="394"/>
        <v/>
      </c>
      <c r="K4215" s="28" t="str">
        <f t="shared" si="391"/>
        <v/>
      </c>
      <c r="L4215" s="46" t="str">
        <f t="shared" si="395"/>
        <v/>
      </c>
      <c r="M4215" t="str" cm="1">
        <f t="array" ref="M4215">IF(L4215="","",_xlfn.IFS(
  AND(L4215&gt;=TIME(9,0,0), L4215&lt;TIME(16,0,0)),"Morning",
  AND(L4215&gt;=TIME(16,0,0), L4215&lt;TIME(23,59,0)),"Evening",
  L4215&gt;=TIME(23,59,0),"Night",
  L4215&lt;TIME(9,0,0),"Night"
))</f>
        <v/>
      </c>
      <c r="O4215" t="str">
        <f t="shared" si="392"/>
        <v/>
      </c>
    </row>
    <row r="4216" spans="7:15" x14ac:dyDescent="0.25">
      <c r="G4216" t="str">
        <f t="shared" si="390"/>
        <v/>
      </c>
      <c r="H4216" s="13" t="str">
        <f t="shared" si="393"/>
        <v/>
      </c>
      <c r="I4216" t="str">
        <f>IFERROR(INDEX(Analysis!$D$116:$N$137, MATCH(B4216, Analysis!$C$116:$C$137, 0), MATCH(C4216, Analysis!$D$115:$N$115, 0)), "")</f>
        <v/>
      </c>
      <c r="J4216" t="str">
        <f t="shared" si="394"/>
        <v/>
      </c>
      <c r="K4216" s="28" t="str">
        <f t="shared" si="391"/>
        <v/>
      </c>
      <c r="L4216" s="46" t="str">
        <f t="shared" si="395"/>
        <v/>
      </c>
      <c r="M4216" t="str" cm="1">
        <f t="array" ref="M4216">IF(L4216="","",_xlfn.IFS(
  AND(L4216&gt;=TIME(9,0,0), L4216&lt;TIME(16,0,0)),"Morning",
  AND(L4216&gt;=TIME(16,0,0), L4216&lt;TIME(23,59,0)),"Evening",
  L4216&gt;=TIME(23,59,0),"Night",
  L4216&lt;TIME(9,0,0),"Night"
))</f>
        <v/>
      </c>
      <c r="O4216" t="str">
        <f t="shared" si="392"/>
        <v/>
      </c>
    </row>
    <row r="4217" spans="7:15" x14ac:dyDescent="0.25">
      <c r="G4217" t="str">
        <f t="shared" si="390"/>
        <v/>
      </c>
      <c r="H4217" s="13" t="str">
        <f t="shared" si="393"/>
        <v/>
      </c>
      <c r="I4217" t="str">
        <f>IFERROR(INDEX(Analysis!$D$116:$N$137, MATCH(B4217, Analysis!$C$116:$C$137, 0), MATCH(C4217, Analysis!$D$115:$N$115, 0)), "")</f>
        <v/>
      </c>
      <c r="J4217" t="str">
        <f t="shared" si="394"/>
        <v/>
      </c>
      <c r="K4217" s="28" t="str">
        <f t="shared" si="391"/>
        <v/>
      </c>
      <c r="L4217" s="46" t="str">
        <f t="shared" si="395"/>
        <v/>
      </c>
      <c r="M4217" t="str" cm="1">
        <f t="array" ref="M4217">IF(L4217="","",_xlfn.IFS(
  AND(L4217&gt;=TIME(9,0,0), L4217&lt;TIME(16,0,0)),"Morning",
  AND(L4217&gt;=TIME(16,0,0), L4217&lt;TIME(23,59,0)),"Evening",
  L4217&gt;=TIME(23,59,0),"Night",
  L4217&lt;TIME(9,0,0),"Night"
))</f>
        <v/>
      </c>
      <c r="O4217" t="str">
        <f t="shared" si="392"/>
        <v/>
      </c>
    </row>
    <row r="4218" spans="7:15" x14ac:dyDescent="0.25">
      <c r="G4218" t="str">
        <f t="shared" si="390"/>
        <v/>
      </c>
      <c r="H4218" s="13" t="str">
        <f t="shared" si="393"/>
        <v/>
      </c>
      <c r="I4218" t="str">
        <f>IFERROR(INDEX(Analysis!$D$116:$N$137, MATCH(B4218, Analysis!$C$116:$C$137, 0), MATCH(C4218, Analysis!$D$115:$N$115, 0)), "")</f>
        <v/>
      </c>
      <c r="J4218" t="str">
        <f t="shared" si="394"/>
        <v/>
      </c>
      <c r="K4218" s="28" t="str">
        <f t="shared" si="391"/>
        <v/>
      </c>
      <c r="L4218" s="46" t="str">
        <f t="shared" si="395"/>
        <v/>
      </c>
      <c r="M4218" t="str" cm="1">
        <f t="array" ref="M4218">IF(L4218="","",_xlfn.IFS(
  AND(L4218&gt;=TIME(9,0,0), L4218&lt;TIME(16,0,0)),"Morning",
  AND(L4218&gt;=TIME(16,0,0), L4218&lt;TIME(23,59,0)),"Evening",
  L4218&gt;=TIME(23,59,0),"Night",
  L4218&lt;TIME(9,0,0),"Night"
))</f>
        <v/>
      </c>
      <c r="O4218" t="str">
        <f t="shared" si="392"/>
        <v/>
      </c>
    </row>
    <row r="4219" spans="7:15" x14ac:dyDescent="0.25">
      <c r="G4219" t="str">
        <f t="shared" si="390"/>
        <v/>
      </c>
      <c r="H4219" s="13" t="str">
        <f t="shared" si="393"/>
        <v/>
      </c>
      <c r="I4219" t="str">
        <f>IFERROR(INDEX(Analysis!$D$116:$N$137, MATCH(B4219, Analysis!$C$116:$C$137, 0), MATCH(C4219, Analysis!$D$115:$N$115, 0)), "")</f>
        <v/>
      </c>
      <c r="J4219" t="str">
        <f t="shared" si="394"/>
        <v/>
      </c>
      <c r="K4219" s="28" t="str">
        <f t="shared" si="391"/>
        <v/>
      </c>
      <c r="L4219" s="46" t="str">
        <f t="shared" si="395"/>
        <v/>
      </c>
      <c r="M4219" t="str" cm="1">
        <f t="array" ref="M4219">IF(L4219="","",_xlfn.IFS(
  AND(L4219&gt;=TIME(9,0,0), L4219&lt;TIME(16,0,0)),"Morning",
  AND(L4219&gt;=TIME(16,0,0), L4219&lt;TIME(23,59,0)),"Evening",
  L4219&gt;=TIME(23,59,0),"Night",
  L4219&lt;TIME(9,0,0),"Night"
))</f>
        <v/>
      </c>
      <c r="O4219" t="str">
        <f t="shared" si="392"/>
        <v/>
      </c>
    </row>
    <row r="4220" spans="7:15" x14ac:dyDescent="0.25">
      <c r="G4220" t="str">
        <f t="shared" si="390"/>
        <v/>
      </c>
      <c r="H4220" s="13" t="str">
        <f t="shared" si="393"/>
        <v/>
      </c>
      <c r="I4220" t="str">
        <f>IFERROR(INDEX(Analysis!$D$116:$N$137, MATCH(B4220, Analysis!$C$116:$C$137, 0), MATCH(C4220, Analysis!$D$115:$N$115, 0)), "")</f>
        <v/>
      </c>
      <c r="J4220" t="str">
        <f t="shared" si="394"/>
        <v/>
      </c>
      <c r="K4220" s="28" t="str">
        <f t="shared" si="391"/>
        <v/>
      </c>
      <c r="L4220" s="46" t="str">
        <f t="shared" si="395"/>
        <v/>
      </c>
      <c r="M4220" t="str" cm="1">
        <f t="array" ref="M4220">IF(L4220="","",_xlfn.IFS(
  AND(L4220&gt;=TIME(9,0,0), L4220&lt;TIME(16,0,0)),"Morning",
  AND(L4220&gt;=TIME(16,0,0), L4220&lt;TIME(23,59,0)),"Evening",
  L4220&gt;=TIME(23,59,0),"Night",
  L4220&lt;TIME(9,0,0),"Night"
))</f>
        <v/>
      </c>
      <c r="O4220" t="str">
        <f t="shared" si="392"/>
        <v/>
      </c>
    </row>
    <row r="4221" spans="7:15" x14ac:dyDescent="0.25">
      <c r="G4221" t="str">
        <f t="shared" si="390"/>
        <v/>
      </c>
      <c r="H4221" s="13" t="str">
        <f t="shared" si="393"/>
        <v/>
      </c>
      <c r="I4221" t="str">
        <f>IFERROR(INDEX(Analysis!$D$116:$N$137, MATCH(B4221, Analysis!$C$116:$C$137, 0), MATCH(C4221, Analysis!$D$115:$N$115, 0)), "")</f>
        <v/>
      </c>
      <c r="J4221" t="str">
        <f t="shared" si="394"/>
        <v/>
      </c>
      <c r="K4221" s="28" t="str">
        <f t="shared" si="391"/>
        <v/>
      </c>
      <c r="L4221" s="46" t="str">
        <f t="shared" si="395"/>
        <v/>
      </c>
      <c r="M4221" t="str" cm="1">
        <f t="array" ref="M4221">IF(L4221="","",_xlfn.IFS(
  AND(L4221&gt;=TIME(9,0,0), L4221&lt;TIME(16,0,0)),"Morning",
  AND(L4221&gt;=TIME(16,0,0), L4221&lt;TIME(23,59,0)),"Evening",
  L4221&gt;=TIME(23,59,0),"Night",
  L4221&lt;TIME(9,0,0),"Night"
))</f>
        <v/>
      </c>
      <c r="O4221" t="str">
        <f t="shared" si="392"/>
        <v/>
      </c>
    </row>
    <row r="4222" spans="7:15" x14ac:dyDescent="0.25">
      <c r="G4222" t="str">
        <f t="shared" si="390"/>
        <v/>
      </c>
      <c r="H4222" s="13" t="str">
        <f t="shared" si="393"/>
        <v/>
      </c>
      <c r="I4222" t="str">
        <f>IFERROR(INDEX(Analysis!$D$116:$N$137, MATCH(B4222, Analysis!$C$116:$C$137, 0), MATCH(C4222, Analysis!$D$115:$N$115, 0)), "")</f>
        <v/>
      </c>
      <c r="J4222" t="str">
        <f t="shared" si="394"/>
        <v/>
      </c>
      <c r="K4222" s="28" t="str">
        <f t="shared" si="391"/>
        <v/>
      </c>
      <c r="L4222" s="46" t="str">
        <f t="shared" si="395"/>
        <v/>
      </c>
      <c r="M4222" t="str" cm="1">
        <f t="array" ref="M4222">IF(L4222="","",_xlfn.IFS(
  AND(L4222&gt;=TIME(9,0,0), L4222&lt;TIME(16,0,0)),"Morning",
  AND(L4222&gt;=TIME(16,0,0), L4222&lt;TIME(23,59,0)),"Evening",
  L4222&gt;=TIME(23,59,0),"Night",
  L4222&lt;TIME(9,0,0),"Night"
))</f>
        <v/>
      </c>
      <c r="O4222" t="str">
        <f t="shared" si="392"/>
        <v/>
      </c>
    </row>
    <row r="4223" spans="7:15" x14ac:dyDescent="0.25">
      <c r="G4223" t="str">
        <f t="shared" si="390"/>
        <v/>
      </c>
      <c r="H4223" s="13" t="str">
        <f t="shared" si="393"/>
        <v/>
      </c>
      <c r="I4223" t="str">
        <f>IFERROR(INDEX(Analysis!$D$116:$N$137, MATCH(B4223, Analysis!$C$116:$C$137, 0), MATCH(C4223, Analysis!$D$115:$N$115, 0)), "")</f>
        <v/>
      </c>
      <c r="J4223" t="str">
        <f t="shared" si="394"/>
        <v/>
      </c>
      <c r="K4223" s="28" t="str">
        <f t="shared" si="391"/>
        <v/>
      </c>
      <c r="L4223" s="46" t="str">
        <f t="shared" si="395"/>
        <v/>
      </c>
      <c r="M4223" t="str" cm="1">
        <f t="array" ref="M4223">IF(L4223="","",_xlfn.IFS(
  AND(L4223&gt;=TIME(9,0,0), L4223&lt;TIME(16,0,0)),"Morning",
  AND(L4223&gt;=TIME(16,0,0), L4223&lt;TIME(23,59,0)),"Evening",
  L4223&gt;=TIME(23,59,0),"Night",
  L4223&lt;TIME(9,0,0),"Night"
))</f>
        <v/>
      </c>
      <c r="O4223" t="str">
        <f t="shared" si="392"/>
        <v/>
      </c>
    </row>
    <row r="4224" spans="7:15" x14ac:dyDescent="0.25">
      <c r="G4224" t="str">
        <f t="shared" si="390"/>
        <v/>
      </c>
      <c r="H4224" s="13" t="str">
        <f t="shared" si="393"/>
        <v/>
      </c>
      <c r="I4224" t="str">
        <f>IFERROR(INDEX(Analysis!$D$116:$N$137, MATCH(B4224, Analysis!$C$116:$C$137, 0), MATCH(C4224, Analysis!$D$115:$N$115, 0)), "")</f>
        <v/>
      </c>
      <c r="J4224" t="str">
        <f t="shared" si="394"/>
        <v/>
      </c>
      <c r="K4224" s="28" t="str">
        <f t="shared" si="391"/>
        <v/>
      </c>
      <c r="L4224" s="46" t="str">
        <f t="shared" si="395"/>
        <v/>
      </c>
      <c r="M4224" t="str" cm="1">
        <f t="array" ref="M4224">IF(L4224="","",_xlfn.IFS(
  AND(L4224&gt;=TIME(9,0,0), L4224&lt;TIME(16,0,0)),"Morning",
  AND(L4224&gt;=TIME(16,0,0), L4224&lt;TIME(23,59,0)),"Evening",
  L4224&gt;=TIME(23,59,0),"Night",
  L4224&lt;TIME(9,0,0),"Night"
))</f>
        <v/>
      </c>
      <c r="O4224" t="str">
        <f t="shared" si="392"/>
        <v/>
      </c>
    </row>
    <row r="4225" spans="7:15" x14ac:dyDescent="0.25">
      <c r="G4225" t="str">
        <f t="shared" si="390"/>
        <v/>
      </c>
      <c r="H4225" s="13" t="str">
        <f t="shared" si="393"/>
        <v/>
      </c>
      <c r="I4225" t="str">
        <f>IFERROR(INDEX(Analysis!$D$116:$N$137, MATCH(B4225, Analysis!$C$116:$C$137, 0), MATCH(C4225, Analysis!$D$115:$N$115, 0)), "")</f>
        <v/>
      </c>
      <c r="J4225" t="str">
        <f t="shared" si="394"/>
        <v/>
      </c>
      <c r="K4225" s="28" t="str">
        <f t="shared" si="391"/>
        <v/>
      </c>
      <c r="L4225" s="46" t="str">
        <f t="shared" si="395"/>
        <v/>
      </c>
      <c r="M4225" t="str" cm="1">
        <f t="array" ref="M4225">IF(L4225="","",_xlfn.IFS(
  AND(L4225&gt;=TIME(9,0,0), L4225&lt;TIME(16,0,0)),"Morning",
  AND(L4225&gt;=TIME(16,0,0), L4225&lt;TIME(23,59,0)),"Evening",
  L4225&gt;=TIME(23,59,0),"Night",
  L4225&lt;TIME(9,0,0),"Night"
))</f>
        <v/>
      </c>
      <c r="O4225" t="str">
        <f t="shared" si="392"/>
        <v/>
      </c>
    </row>
    <row r="4226" spans="7:15" x14ac:dyDescent="0.25">
      <c r="G4226" t="str">
        <f t="shared" ref="G4226:G4289" si="396">IF(ISBLANK(A4226), "", IF(ISBLANK(F4226), 0, F4226))</f>
        <v/>
      </c>
      <c r="H4226" s="13" t="str">
        <f t="shared" si="393"/>
        <v/>
      </c>
      <c r="I4226" t="str">
        <f>IFERROR(INDEX(Analysis!$D$116:$N$137, MATCH(B4226, Analysis!$C$116:$C$137, 0), MATCH(C4226, Analysis!$D$115:$N$115, 0)), "")</f>
        <v/>
      </c>
      <c r="J4226" t="str">
        <f t="shared" si="394"/>
        <v/>
      </c>
      <c r="K4226" s="28" t="str">
        <f t="shared" ref="K4226:K4289" si="397">IF(ISBLANK(A4226),"",DATE(YEAR(A4226),MONTH(A4226),DAY(A4226)))</f>
        <v/>
      </c>
      <c r="L4226" s="46" t="str">
        <f t="shared" si="395"/>
        <v/>
      </c>
      <c r="M4226" t="str" cm="1">
        <f t="array" ref="M4226">IF(L4226="","",_xlfn.IFS(
  AND(L4226&gt;=TIME(9,0,0), L4226&lt;TIME(16,0,0)),"Morning",
  AND(L4226&gt;=TIME(16,0,0), L4226&lt;TIME(23,59,0)),"Evening",
  L4226&gt;=TIME(23,59,0),"Night",
  L4226&lt;TIME(9,0,0),"Night"
))</f>
        <v/>
      </c>
      <c r="O4226" t="str">
        <f t="shared" ref="O4226:O4289" si="398">IF(N4226="ON", _xlfn.IMAGE(E4226, 1), "")</f>
        <v/>
      </c>
    </row>
    <row r="4227" spans="7:15" x14ac:dyDescent="0.25">
      <c r="G4227" t="str">
        <f t="shared" si="396"/>
        <v/>
      </c>
      <c r="H4227" s="13" t="str">
        <f t="shared" ref="H4227:H4290" si="399">IF(ISBLANK(E4227),"",HYPERLINK(E4227,"Click here"))</f>
        <v/>
      </c>
      <c r="I4227" t="str">
        <f>IFERROR(INDEX(Analysis!$D$116:$N$137, MATCH(B4227, Analysis!$C$116:$C$137, 0), MATCH(C4227, Analysis!$D$115:$N$115, 0)), "")</f>
        <v/>
      </c>
      <c r="J4227" t="str">
        <f t="shared" ref="J4227:J4290" si="400">IF(ISBLANK(A4227),"",WEEKNUM(A4227))</f>
        <v/>
      </c>
      <c r="K4227" s="28" t="str">
        <f t="shared" si="397"/>
        <v/>
      </c>
      <c r="L4227" s="46" t="str">
        <f t="shared" ref="L4227:L4290" si="401">IF(A4227="", "", A4227 - INT(A4227))</f>
        <v/>
      </c>
      <c r="M4227" t="str" cm="1">
        <f t="array" ref="M4227">IF(L4227="","",_xlfn.IFS(
  AND(L4227&gt;=TIME(9,0,0), L4227&lt;TIME(16,0,0)),"Morning",
  AND(L4227&gt;=TIME(16,0,0), L4227&lt;TIME(23,59,0)),"Evening",
  L4227&gt;=TIME(23,59,0),"Night",
  L4227&lt;TIME(9,0,0),"Night"
))</f>
        <v/>
      </c>
      <c r="O4227" t="str">
        <f t="shared" si="398"/>
        <v/>
      </c>
    </row>
    <row r="4228" spans="7:15" x14ac:dyDescent="0.25">
      <c r="G4228" t="str">
        <f t="shared" si="396"/>
        <v/>
      </c>
      <c r="H4228" s="13" t="str">
        <f t="shared" si="399"/>
        <v/>
      </c>
      <c r="I4228" t="str">
        <f>IFERROR(INDEX(Analysis!$D$116:$N$137, MATCH(B4228, Analysis!$C$116:$C$137, 0), MATCH(C4228, Analysis!$D$115:$N$115, 0)), "")</f>
        <v/>
      </c>
      <c r="J4228" t="str">
        <f t="shared" si="400"/>
        <v/>
      </c>
      <c r="K4228" s="28" t="str">
        <f t="shared" si="397"/>
        <v/>
      </c>
      <c r="L4228" s="46" t="str">
        <f t="shared" si="401"/>
        <v/>
      </c>
      <c r="M4228" t="str" cm="1">
        <f t="array" ref="M4228">IF(L4228="","",_xlfn.IFS(
  AND(L4228&gt;=TIME(9,0,0), L4228&lt;TIME(16,0,0)),"Morning",
  AND(L4228&gt;=TIME(16,0,0), L4228&lt;TIME(23,59,0)),"Evening",
  L4228&gt;=TIME(23,59,0),"Night",
  L4228&lt;TIME(9,0,0),"Night"
))</f>
        <v/>
      </c>
      <c r="O4228" t="str">
        <f t="shared" si="398"/>
        <v/>
      </c>
    </row>
    <row r="4229" spans="7:15" x14ac:dyDescent="0.25">
      <c r="G4229" t="str">
        <f t="shared" si="396"/>
        <v/>
      </c>
      <c r="H4229" s="13" t="str">
        <f t="shared" si="399"/>
        <v/>
      </c>
      <c r="I4229" t="str">
        <f>IFERROR(INDEX(Analysis!$D$116:$N$137, MATCH(B4229, Analysis!$C$116:$C$137, 0), MATCH(C4229, Analysis!$D$115:$N$115, 0)), "")</f>
        <v/>
      </c>
      <c r="J4229" t="str">
        <f t="shared" si="400"/>
        <v/>
      </c>
      <c r="K4229" s="28" t="str">
        <f t="shared" si="397"/>
        <v/>
      </c>
      <c r="L4229" s="46" t="str">
        <f t="shared" si="401"/>
        <v/>
      </c>
      <c r="M4229" t="str" cm="1">
        <f t="array" ref="M4229">IF(L4229="","",_xlfn.IFS(
  AND(L4229&gt;=TIME(9,0,0), L4229&lt;TIME(16,0,0)),"Morning",
  AND(L4229&gt;=TIME(16,0,0), L4229&lt;TIME(23,59,0)),"Evening",
  L4229&gt;=TIME(23,59,0),"Night",
  L4229&lt;TIME(9,0,0),"Night"
))</f>
        <v/>
      </c>
      <c r="O4229" t="str">
        <f t="shared" si="398"/>
        <v/>
      </c>
    </row>
    <row r="4230" spans="7:15" x14ac:dyDescent="0.25">
      <c r="G4230" t="str">
        <f t="shared" si="396"/>
        <v/>
      </c>
      <c r="H4230" s="13" t="str">
        <f t="shared" si="399"/>
        <v/>
      </c>
      <c r="I4230" t="str">
        <f>IFERROR(INDEX(Analysis!$D$116:$N$137, MATCH(B4230, Analysis!$C$116:$C$137, 0), MATCH(C4230, Analysis!$D$115:$N$115, 0)), "")</f>
        <v/>
      </c>
      <c r="J4230" t="str">
        <f t="shared" si="400"/>
        <v/>
      </c>
      <c r="K4230" s="28" t="str">
        <f t="shared" si="397"/>
        <v/>
      </c>
      <c r="L4230" s="46" t="str">
        <f t="shared" si="401"/>
        <v/>
      </c>
      <c r="M4230" t="str" cm="1">
        <f t="array" ref="M4230">IF(L4230="","",_xlfn.IFS(
  AND(L4230&gt;=TIME(9,0,0), L4230&lt;TIME(16,0,0)),"Morning",
  AND(L4230&gt;=TIME(16,0,0), L4230&lt;TIME(23,59,0)),"Evening",
  L4230&gt;=TIME(23,59,0),"Night",
  L4230&lt;TIME(9,0,0),"Night"
))</f>
        <v/>
      </c>
      <c r="O4230" t="str">
        <f t="shared" si="398"/>
        <v/>
      </c>
    </row>
    <row r="4231" spans="7:15" x14ac:dyDescent="0.25">
      <c r="G4231" t="str">
        <f t="shared" si="396"/>
        <v/>
      </c>
      <c r="H4231" s="13" t="str">
        <f t="shared" si="399"/>
        <v/>
      </c>
      <c r="I4231" t="str">
        <f>IFERROR(INDEX(Analysis!$D$116:$N$137, MATCH(B4231, Analysis!$C$116:$C$137, 0), MATCH(C4231, Analysis!$D$115:$N$115, 0)), "")</f>
        <v/>
      </c>
      <c r="J4231" t="str">
        <f t="shared" si="400"/>
        <v/>
      </c>
      <c r="K4231" s="28" t="str">
        <f t="shared" si="397"/>
        <v/>
      </c>
      <c r="L4231" s="46" t="str">
        <f t="shared" si="401"/>
        <v/>
      </c>
      <c r="M4231" t="str" cm="1">
        <f t="array" ref="M4231">IF(L4231="","",_xlfn.IFS(
  AND(L4231&gt;=TIME(9,0,0), L4231&lt;TIME(16,0,0)),"Morning",
  AND(L4231&gt;=TIME(16,0,0), L4231&lt;TIME(23,59,0)),"Evening",
  L4231&gt;=TIME(23,59,0),"Night",
  L4231&lt;TIME(9,0,0),"Night"
))</f>
        <v/>
      </c>
      <c r="O4231" t="str">
        <f t="shared" si="398"/>
        <v/>
      </c>
    </row>
    <row r="4232" spans="7:15" x14ac:dyDescent="0.25">
      <c r="G4232" t="str">
        <f t="shared" si="396"/>
        <v/>
      </c>
      <c r="H4232" s="13" t="str">
        <f t="shared" si="399"/>
        <v/>
      </c>
      <c r="I4232" t="str">
        <f>IFERROR(INDEX(Analysis!$D$116:$N$137, MATCH(B4232, Analysis!$C$116:$C$137, 0), MATCH(C4232, Analysis!$D$115:$N$115, 0)), "")</f>
        <v/>
      </c>
      <c r="J4232" t="str">
        <f t="shared" si="400"/>
        <v/>
      </c>
      <c r="K4232" s="28" t="str">
        <f t="shared" si="397"/>
        <v/>
      </c>
      <c r="L4232" s="46" t="str">
        <f t="shared" si="401"/>
        <v/>
      </c>
      <c r="M4232" t="str" cm="1">
        <f t="array" ref="M4232">IF(L4232="","",_xlfn.IFS(
  AND(L4232&gt;=TIME(9,0,0), L4232&lt;TIME(16,0,0)),"Morning",
  AND(L4232&gt;=TIME(16,0,0), L4232&lt;TIME(23,59,0)),"Evening",
  L4232&gt;=TIME(23,59,0),"Night",
  L4232&lt;TIME(9,0,0),"Night"
))</f>
        <v/>
      </c>
      <c r="O4232" t="str">
        <f t="shared" si="398"/>
        <v/>
      </c>
    </row>
    <row r="4233" spans="7:15" x14ac:dyDescent="0.25">
      <c r="G4233" t="str">
        <f t="shared" si="396"/>
        <v/>
      </c>
      <c r="H4233" s="13" t="str">
        <f t="shared" si="399"/>
        <v/>
      </c>
      <c r="I4233" t="str">
        <f>IFERROR(INDEX(Analysis!$D$116:$N$137, MATCH(B4233, Analysis!$C$116:$C$137, 0), MATCH(C4233, Analysis!$D$115:$N$115, 0)), "")</f>
        <v/>
      </c>
      <c r="J4233" t="str">
        <f t="shared" si="400"/>
        <v/>
      </c>
      <c r="K4233" s="28" t="str">
        <f t="shared" si="397"/>
        <v/>
      </c>
      <c r="L4233" s="46" t="str">
        <f t="shared" si="401"/>
        <v/>
      </c>
      <c r="M4233" t="str" cm="1">
        <f t="array" ref="M4233">IF(L4233="","",_xlfn.IFS(
  AND(L4233&gt;=TIME(9,0,0), L4233&lt;TIME(16,0,0)),"Morning",
  AND(L4233&gt;=TIME(16,0,0), L4233&lt;TIME(23,59,0)),"Evening",
  L4233&gt;=TIME(23,59,0),"Night",
  L4233&lt;TIME(9,0,0),"Night"
))</f>
        <v/>
      </c>
      <c r="O4233" t="str">
        <f t="shared" si="398"/>
        <v/>
      </c>
    </row>
    <row r="4234" spans="7:15" x14ac:dyDescent="0.25">
      <c r="G4234" t="str">
        <f t="shared" si="396"/>
        <v/>
      </c>
      <c r="H4234" s="13" t="str">
        <f t="shared" si="399"/>
        <v/>
      </c>
      <c r="I4234" t="str">
        <f>IFERROR(INDEX(Analysis!$D$116:$N$137, MATCH(B4234, Analysis!$C$116:$C$137, 0), MATCH(C4234, Analysis!$D$115:$N$115, 0)), "")</f>
        <v/>
      </c>
      <c r="J4234" t="str">
        <f t="shared" si="400"/>
        <v/>
      </c>
      <c r="K4234" s="28" t="str">
        <f t="shared" si="397"/>
        <v/>
      </c>
      <c r="L4234" s="46" t="str">
        <f t="shared" si="401"/>
        <v/>
      </c>
      <c r="M4234" t="str" cm="1">
        <f t="array" ref="M4234">IF(L4234="","",_xlfn.IFS(
  AND(L4234&gt;=TIME(9,0,0), L4234&lt;TIME(16,0,0)),"Morning",
  AND(L4234&gt;=TIME(16,0,0), L4234&lt;TIME(23,59,0)),"Evening",
  L4234&gt;=TIME(23,59,0),"Night",
  L4234&lt;TIME(9,0,0),"Night"
))</f>
        <v/>
      </c>
      <c r="O4234" t="str">
        <f t="shared" si="398"/>
        <v/>
      </c>
    </row>
    <row r="4235" spans="7:15" x14ac:dyDescent="0.25">
      <c r="G4235" t="str">
        <f t="shared" si="396"/>
        <v/>
      </c>
      <c r="H4235" s="13" t="str">
        <f t="shared" si="399"/>
        <v/>
      </c>
      <c r="I4235" t="str">
        <f>IFERROR(INDEX(Analysis!$D$116:$N$137, MATCH(B4235, Analysis!$C$116:$C$137, 0), MATCH(C4235, Analysis!$D$115:$N$115, 0)), "")</f>
        <v/>
      </c>
      <c r="J4235" t="str">
        <f t="shared" si="400"/>
        <v/>
      </c>
      <c r="K4235" s="28" t="str">
        <f t="shared" si="397"/>
        <v/>
      </c>
      <c r="L4235" s="46" t="str">
        <f t="shared" si="401"/>
        <v/>
      </c>
      <c r="M4235" t="str" cm="1">
        <f t="array" ref="M4235">IF(L4235="","",_xlfn.IFS(
  AND(L4235&gt;=TIME(9,0,0), L4235&lt;TIME(16,0,0)),"Morning",
  AND(L4235&gt;=TIME(16,0,0), L4235&lt;TIME(23,59,0)),"Evening",
  L4235&gt;=TIME(23,59,0),"Night",
  L4235&lt;TIME(9,0,0),"Night"
))</f>
        <v/>
      </c>
      <c r="O4235" t="str">
        <f t="shared" si="398"/>
        <v/>
      </c>
    </row>
    <row r="4236" spans="7:15" x14ac:dyDescent="0.25">
      <c r="G4236" t="str">
        <f t="shared" si="396"/>
        <v/>
      </c>
      <c r="H4236" s="13" t="str">
        <f t="shared" si="399"/>
        <v/>
      </c>
      <c r="I4236" t="str">
        <f>IFERROR(INDEX(Analysis!$D$116:$N$137, MATCH(B4236, Analysis!$C$116:$C$137, 0), MATCH(C4236, Analysis!$D$115:$N$115, 0)), "")</f>
        <v/>
      </c>
      <c r="J4236" t="str">
        <f t="shared" si="400"/>
        <v/>
      </c>
      <c r="K4236" s="28" t="str">
        <f t="shared" si="397"/>
        <v/>
      </c>
      <c r="L4236" s="46" t="str">
        <f t="shared" si="401"/>
        <v/>
      </c>
      <c r="M4236" t="str" cm="1">
        <f t="array" ref="M4236">IF(L4236="","",_xlfn.IFS(
  AND(L4236&gt;=TIME(9,0,0), L4236&lt;TIME(16,0,0)),"Morning",
  AND(L4236&gt;=TIME(16,0,0), L4236&lt;TIME(23,59,0)),"Evening",
  L4236&gt;=TIME(23,59,0),"Night",
  L4236&lt;TIME(9,0,0),"Night"
))</f>
        <v/>
      </c>
      <c r="O4236" t="str">
        <f t="shared" si="398"/>
        <v/>
      </c>
    </row>
    <row r="4237" spans="7:15" x14ac:dyDescent="0.25">
      <c r="G4237" t="str">
        <f t="shared" si="396"/>
        <v/>
      </c>
      <c r="H4237" s="13" t="str">
        <f t="shared" si="399"/>
        <v/>
      </c>
      <c r="I4237" t="str">
        <f>IFERROR(INDEX(Analysis!$D$116:$N$137, MATCH(B4237, Analysis!$C$116:$C$137, 0), MATCH(C4237, Analysis!$D$115:$N$115, 0)), "")</f>
        <v/>
      </c>
      <c r="J4237" t="str">
        <f t="shared" si="400"/>
        <v/>
      </c>
      <c r="K4237" s="28" t="str">
        <f t="shared" si="397"/>
        <v/>
      </c>
      <c r="L4237" s="46" t="str">
        <f t="shared" si="401"/>
        <v/>
      </c>
      <c r="M4237" t="str" cm="1">
        <f t="array" ref="M4237">IF(L4237="","",_xlfn.IFS(
  AND(L4237&gt;=TIME(9,0,0), L4237&lt;TIME(16,0,0)),"Morning",
  AND(L4237&gt;=TIME(16,0,0), L4237&lt;TIME(23,59,0)),"Evening",
  L4237&gt;=TIME(23,59,0),"Night",
  L4237&lt;TIME(9,0,0),"Night"
))</f>
        <v/>
      </c>
      <c r="O4237" t="str">
        <f t="shared" si="398"/>
        <v/>
      </c>
    </row>
    <row r="4238" spans="7:15" x14ac:dyDescent="0.25">
      <c r="G4238" t="str">
        <f t="shared" si="396"/>
        <v/>
      </c>
      <c r="H4238" s="13" t="str">
        <f t="shared" si="399"/>
        <v/>
      </c>
      <c r="I4238" t="str">
        <f>IFERROR(INDEX(Analysis!$D$116:$N$137, MATCH(B4238, Analysis!$C$116:$C$137, 0), MATCH(C4238, Analysis!$D$115:$N$115, 0)), "")</f>
        <v/>
      </c>
      <c r="J4238" t="str">
        <f t="shared" si="400"/>
        <v/>
      </c>
      <c r="K4238" s="28" t="str">
        <f t="shared" si="397"/>
        <v/>
      </c>
      <c r="L4238" s="46" t="str">
        <f t="shared" si="401"/>
        <v/>
      </c>
      <c r="M4238" t="str" cm="1">
        <f t="array" ref="M4238">IF(L4238="","",_xlfn.IFS(
  AND(L4238&gt;=TIME(9,0,0), L4238&lt;TIME(16,0,0)),"Morning",
  AND(L4238&gt;=TIME(16,0,0), L4238&lt;TIME(23,59,0)),"Evening",
  L4238&gt;=TIME(23,59,0),"Night",
  L4238&lt;TIME(9,0,0),"Night"
))</f>
        <v/>
      </c>
      <c r="O4238" t="str">
        <f t="shared" si="398"/>
        <v/>
      </c>
    </row>
    <row r="4239" spans="7:15" x14ac:dyDescent="0.25">
      <c r="G4239" t="str">
        <f t="shared" si="396"/>
        <v/>
      </c>
      <c r="H4239" s="13" t="str">
        <f t="shared" si="399"/>
        <v/>
      </c>
      <c r="I4239" t="str">
        <f>IFERROR(INDEX(Analysis!$D$116:$N$137, MATCH(B4239, Analysis!$C$116:$C$137, 0), MATCH(C4239, Analysis!$D$115:$N$115, 0)), "")</f>
        <v/>
      </c>
      <c r="J4239" t="str">
        <f t="shared" si="400"/>
        <v/>
      </c>
      <c r="K4239" s="28" t="str">
        <f t="shared" si="397"/>
        <v/>
      </c>
      <c r="L4239" s="46" t="str">
        <f t="shared" si="401"/>
        <v/>
      </c>
      <c r="M4239" t="str" cm="1">
        <f t="array" ref="M4239">IF(L4239="","",_xlfn.IFS(
  AND(L4239&gt;=TIME(9,0,0), L4239&lt;TIME(16,0,0)),"Morning",
  AND(L4239&gt;=TIME(16,0,0), L4239&lt;TIME(23,59,0)),"Evening",
  L4239&gt;=TIME(23,59,0),"Night",
  L4239&lt;TIME(9,0,0),"Night"
))</f>
        <v/>
      </c>
      <c r="O4239" t="str">
        <f t="shared" si="398"/>
        <v/>
      </c>
    </row>
    <row r="4240" spans="7:15" x14ac:dyDescent="0.25">
      <c r="G4240" t="str">
        <f t="shared" si="396"/>
        <v/>
      </c>
      <c r="H4240" s="13" t="str">
        <f t="shared" si="399"/>
        <v/>
      </c>
      <c r="I4240" t="str">
        <f>IFERROR(INDEX(Analysis!$D$116:$N$137, MATCH(B4240, Analysis!$C$116:$C$137, 0), MATCH(C4240, Analysis!$D$115:$N$115, 0)), "")</f>
        <v/>
      </c>
      <c r="J4240" t="str">
        <f t="shared" si="400"/>
        <v/>
      </c>
      <c r="K4240" s="28" t="str">
        <f t="shared" si="397"/>
        <v/>
      </c>
      <c r="L4240" s="46" t="str">
        <f t="shared" si="401"/>
        <v/>
      </c>
      <c r="M4240" t="str" cm="1">
        <f t="array" ref="M4240">IF(L4240="","",_xlfn.IFS(
  AND(L4240&gt;=TIME(9,0,0), L4240&lt;TIME(16,0,0)),"Morning",
  AND(L4240&gt;=TIME(16,0,0), L4240&lt;TIME(23,59,0)),"Evening",
  L4240&gt;=TIME(23,59,0),"Night",
  L4240&lt;TIME(9,0,0),"Night"
))</f>
        <v/>
      </c>
      <c r="O4240" t="str">
        <f t="shared" si="398"/>
        <v/>
      </c>
    </row>
    <row r="4241" spans="7:15" x14ac:dyDescent="0.25">
      <c r="G4241" t="str">
        <f t="shared" si="396"/>
        <v/>
      </c>
      <c r="H4241" s="13" t="str">
        <f t="shared" si="399"/>
        <v/>
      </c>
      <c r="I4241" t="str">
        <f>IFERROR(INDEX(Analysis!$D$116:$N$137, MATCH(B4241, Analysis!$C$116:$C$137, 0), MATCH(C4241, Analysis!$D$115:$N$115, 0)), "")</f>
        <v/>
      </c>
      <c r="J4241" t="str">
        <f t="shared" si="400"/>
        <v/>
      </c>
      <c r="K4241" s="28" t="str">
        <f t="shared" si="397"/>
        <v/>
      </c>
      <c r="L4241" s="46" t="str">
        <f t="shared" si="401"/>
        <v/>
      </c>
      <c r="M4241" t="str" cm="1">
        <f t="array" ref="M4241">IF(L4241="","",_xlfn.IFS(
  AND(L4241&gt;=TIME(9,0,0), L4241&lt;TIME(16,0,0)),"Morning",
  AND(L4241&gt;=TIME(16,0,0), L4241&lt;TIME(23,59,0)),"Evening",
  L4241&gt;=TIME(23,59,0),"Night",
  L4241&lt;TIME(9,0,0),"Night"
))</f>
        <v/>
      </c>
      <c r="O4241" t="str">
        <f t="shared" si="398"/>
        <v/>
      </c>
    </row>
    <row r="4242" spans="7:15" x14ac:dyDescent="0.25">
      <c r="G4242" t="str">
        <f t="shared" si="396"/>
        <v/>
      </c>
      <c r="H4242" s="13" t="str">
        <f t="shared" si="399"/>
        <v/>
      </c>
      <c r="I4242" t="str">
        <f>IFERROR(INDEX(Analysis!$D$116:$N$137, MATCH(B4242, Analysis!$C$116:$C$137, 0), MATCH(C4242, Analysis!$D$115:$N$115, 0)), "")</f>
        <v/>
      </c>
      <c r="J4242" t="str">
        <f t="shared" si="400"/>
        <v/>
      </c>
      <c r="K4242" s="28" t="str">
        <f t="shared" si="397"/>
        <v/>
      </c>
      <c r="L4242" s="46" t="str">
        <f t="shared" si="401"/>
        <v/>
      </c>
      <c r="M4242" t="str" cm="1">
        <f t="array" ref="M4242">IF(L4242="","",_xlfn.IFS(
  AND(L4242&gt;=TIME(9,0,0), L4242&lt;TIME(16,0,0)),"Morning",
  AND(L4242&gt;=TIME(16,0,0), L4242&lt;TIME(23,59,0)),"Evening",
  L4242&gt;=TIME(23,59,0),"Night",
  L4242&lt;TIME(9,0,0),"Night"
))</f>
        <v/>
      </c>
      <c r="O4242" t="str">
        <f t="shared" si="398"/>
        <v/>
      </c>
    </row>
    <row r="4243" spans="7:15" x14ac:dyDescent="0.25">
      <c r="G4243" t="str">
        <f t="shared" si="396"/>
        <v/>
      </c>
      <c r="H4243" s="13" t="str">
        <f t="shared" si="399"/>
        <v/>
      </c>
      <c r="I4243" t="str">
        <f>IFERROR(INDEX(Analysis!$D$116:$N$137, MATCH(B4243, Analysis!$C$116:$C$137, 0), MATCH(C4243, Analysis!$D$115:$N$115, 0)), "")</f>
        <v/>
      </c>
      <c r="J4243" t="str">
        <f t="shared" si="400"/>
        <v/>
      </c>
      <c r="K4243" s="28" t="str">
        <f t="shared" si="397"/>
        <v/>
      </c>
      <c r="L4243" s="46" t="str">
        <f t="shared" si="401"/>
        <v/>
      </c>
      <c r="M4243" t="str" cm="1">
        <f t="array" ref="M4243">IF(L4243="","",_xlfn.IFS(
  AND(L4243&gt;=TIME(9,0,0), L4243&lt;TIME(16,0,0)),"Morning",
  AND(L4243&gt;=TIME(16,0,0), L4243&lt;TIME(23,59,0)),"Evening",
  L4243&gt;=TIME(23,59,0),"Night",
  L4243&lt;TIME(9,0,0),"Night"
))</f>
        <v/>
      </c>
      <c r="O4243" t="str">
        <f t="shared" si="398"/>
        <v/>
      </c>
    </row>
    <row r="4244" spans="7:15" x14ac:dyDescent="0.25">
      <c r="G4244" t="str">
        <f t="shared" si="396"/>
        <v/>
      </c>
      <c r="H4244" s="13" t="str">
        <f t="shared" si="399"/>
        <v/>
      </c>
      <c r="I4244" t="str">
        <f>IFERROR(INDEX(Analysis!$D$116:$N$137, MATCH(B4244, Analysis!$C$116:$C$137, 0), MATCH(C4244, Analysis!$D$115:$N$115, 0)), "")</f>
        <v/>
      </c>
      <c r="J4244" t="str">
        <f t="shared" si="400"/>
        <v/>
      </c>
      <c r="K4244" s="28" t="str">
        <f t="shared" si="397"/>
        <v/>
      </c>
      <c r="L4244" s="46" t="str">
        <f t="shared" si="401"/>
        <v/>
      </c>
      <c r="M4244" t="str" cm="1">
        <f t="array" ref="M4244">IF(L4244="","",_xlfn.IFS(
  AND(L4244&gt;=TIME(9,0,0), L4244&lt;TIME(16,0,0)),"Morning",
  AND(L4244&gt;=TIME(16,0,0), L4244&lt;TIME(23,59,0)),"Evening",
  L4244&gt;=TIME(23,59,0),"Night",
  L4244&lt;TIME(9,0,0),"Night"
))</f>
        <v/>
      </c>
      <c r="O4244" t="str">
        <f t="shared" si="398"/>
        <v/>
      </c>
    </row>
    <row r="4245" spans="7:15" x14ac:dyDescent="0.25">
      <c r="G4245" t="str">
        <f t="shared" si="396"/>
        <v/>
      </c>
      <c r="H4245" s="13" t="str">
        <f t="shared" si="399"/>
        <v/>
      </c>
      <c r="I4245" t="str">
        <f>IFERROR(INDEX(Analysis!$D$116:$N$137, MATCH(B4245, Analysis!$C$116:$C$137, 0), MATCH(C4245, Analysis!$D$115:$N$115, 0)), "")</f>
        <v/>
      </c>
      <c r="J4245" t="str">
        <f t="shared" si="400"/>
        <v/>
      </c>
      <c r="K4245" s="28" t="str">
        <f t="shared" si="397"/>
        <v/>
      </c>
      <c r="L4245" s="46" t="str">
        <f t="shared" si="401"/>
        <v/>
      </c>
      <c r="M4245" t="str" cm="1">
        <f t="array" ref="M4245">IF(L4245="","",_xlfn.IFS(
  AND(L4245&gt;=TIME(9,0,0), L4245&lt;TIME(16,0,0)),"Morning",
  AND(L4245&gt;=TIME(16,0,0), L4245&lt;TIME(23,59,0)),"Evening",
  L4245&gt;=TIME(23,59,0),"Night",
  L4245&lt;TIME(9,0,0),"Night"
))</f>
        <v/>
      </c>
      <c r="O4245" t="str">
        <f t="shared" si="398"/>
        <v/>
      </c>
    </row>
    <row r="4246" spans="7:15" x14ac:dyDescent="0.25">
      <c r="G4246" t="str">
        <f t="shared" si="396"/>
        <v/>
      </c>
      <c r="H4246" s="13" t="str">
        <f t="shared" si="399"/>
        <v/>
      </c>
      <c r="I4246" t="str">
        <f>IFERROR(INDEX(Analysis!$D$116:$N$137, MATCH(B4246, Analysis!$C$116:$C$137, 0), MATCH(C4246, Analysis!$D$115:$N$115, 0)), "")</f>
        <v/>
      </c>
      <c r="J4246" t="str">
        <f t="shared" si="400"/>
        <v/>
      </c>
      <c r="K4246" s="28" t="str">
        <f t="shared" si="397"/>
        <v/>
      </c>
      <c r="L4246" s="46" t="str">
        <f t="shared" si="401"/>
        <v/>
      </c>
      <c r="M4246" t="str" cm="1">
        <f t="array" ref="M4246">IF(L4246="","",_xlfn.IFS(
  AND(L4246&gt;=TIME(9,0,0), L4246&lt;TIME(16,0,0)),"Morning",
  AND(L4246&gt;=TIME(16,0,0), L4246&lt;TIME(23,59,0)),"Evening",
  L4246&gt;=TIME(23,59,0),"Night",
  L4246&lt;TIME(9,0,0),"Night"
))</f>
        <v/>
      </c>
      <c r="O4246" t="str">
        <f t="shared" si="398"/>
        <v/>
      </c>
    </row>
    <row r="4247" spans="7:15" x14ac:dyDescent="0.25">
      <c r="G4247" t="str">
        <f t="shared" si="396"/>
        <v/>
      </c>
      <c r="H4247" s="13" t="str">
        <f t="shared" si="399"/>
        <v/>
      </c>
      <c r="I4247" t="str">
        <f>IFERROR(INDEX(Analysis!$D$116:$N$137, MATCH(B4247, Analysis!$C$116:$C$137, 0), MATCH(C4247, Analysis!$D$115:$N$115, 0)), "")</f>
        <v/>
      </c>
      <c r="J4247" t="str">
        <f t="shared" si="400"/>
        <v/>
      </c>
      <c r="K4247" s="28" t="str">
        <f t="shared" si="397"/>
        <v/>
      </c>
      <c r="L4247" s="46" t="str">
        <f t="shared" si="401"/>
        <v/>
      </c>
      <c r="M4247" t="str" cm="1">
        <f t="array" ref="M4247">IF(L4247="","",_xlfn.IFS(
  AND(L4247&gt;=TIME(9,0,0), L4247&lt;TIME(16,0,0)),"Morning",
  AND(L4247&gt;=TIME(16,0,0), L4247&lt;TIME(23,59,0)),"Evening",
  L4247&gt;=TIME(23,59,0),"Night",
  L4247&lt;TIME(9,0,0),"Night"
))</f>
        <v/>
      </c>
      <c r="O4247" t="str">
        <f t="shared" si="398"/>
        <v/>
      </c>
    </row>
    <row r="4248" spans="7:15" x14ac:dyDescent="0.25">
      <c r="G4248" t="str">
        <f t="shared" si="396"/>
        <v/>
      </c>
      <c r="H4248" s="13" t="str">
        <f t="shared" si="399"/>
        <v/>
      </c>
      <c r="I4248" t="str">
        <f>IFERROR(INDEX(Analysis!$D$116:$N$137, MATCH(B4248, Analysis!$C$116:$C$137, 0), MATCH(C4248, Analysis!$D$115:$N$115, 0)), "")</f>
        <v/>
      </c>
      <c r="J4248" t="str">
        <f t="shared" si="400"/>
        <v/>
      </c>
      <c r="K4248" s="28" t="str">
        <f t="shared" si="397"/>
        <v/>
      </c>
      <c r="L4248" s="46" t="str">
        <f t="shared" si="401"/>
        <v/>
      </c>
      <c r="M4248" t="str" cm="1">
        <f t="array" ref="M4248">IF(L4248="","",_xlfn.IFS(
  AND(L4248&gt;=TIME(9,0,0), L4248&lt;TIME(16,0,0)),"Morning",
  AND(L4248&gt;=TIME(16,0,0), L4248&lt;TIME(23,59,0)),"Evening",
  L4248&gt;=TIME(23,59,0),"Night",
  L4248&lt;TIME(9,0,0),"Night"
))</f>
        <v/>
      </c>
      <c r="O4248" t="str">
        <f t="shared" si="398"/>
        <v/>
      </c>
    </row>
    <row r="4249" spans="7:15" x14ac:dyDescent="0.25">
      <c r="G4249" t="str">
        <f t="shared" si="396"/>
        <v/>
      </c>
      <c r="H4249" s="13" t="str">
        <f t="shared" si="399"/>
        <v/>
      </c>
      <c r="I4249" t="str">
        <f>IFERROR(INDEX(Analysis!$D$116:$N$137, MATCH(B4249, Analysis!$C$116:$C$137, 0), MATCH(C4249, Analysis!$D$115:$N$115, 0)), "")</f>
        <v/>
      </c>
      <c r="J4249" t="str">
        <f t="shared" si="400"/>
        <v/>
      </c>
      <c r="K4249" s="28" t="str">
        <f t="shared" si="397"/>
        <v/>
      </c>
      <c r="L4249" s="46" t="str">
        <f t="shared" si="401"/>
        <v/>
      </c>
      <c r="M4249" t="str" cm="1">
        <f t="array" ref="M4249">IF(L4249="","",_xlfn.IFS(
  AND(L4249&gt;=TIME(9,0,0), L4249&lt;TIME(16,0,0)),"Morning",
  AND(L4249&gt;=TIME(16,0,0), L4249&lt;TIME(23,59,0)),"Evening",
  L4249&gt;=TIME(23,59,0),"Night",
  L4249&lt;TIME(9,0,0),"Night"
))</f>
        <v/>
      </c>
      <c r="O4249" t="str">
        <f t="shared" si="398"/>
        <v/>
      </c>
    </row>
    <row r="4250" spans="7:15" x14ac:dyDescent="0.25">
      <c r="G4250" t="str">
        <f t="shared" si="396"/>
        <v/>
      </c>
      <c r="H4250" s="13" t="str">
        <f t="shared" si="399"/>
        <v/>
      </c>
      <c r="I4250" t="str">
        <f>IFERROR(INDEX(Analysis!$D$116:$N$137, MATCH(B4250, Analysis!$C$116:$C$137, 0), MATCH(C4250, Analysis!$D$115:$N$115, 0)), "")</f>
        <v/>
      </c>
      <c r="J4250" t="str">
        <f t="shared" si="400"/>
        <v/>
      </c>
      <c r="K4250" s="28" t="str">
        <f t="shared" si="397"/>
        <v/>
      </c>
      <c r="L4250" s="46" t="str">
        <f t="shared" si="401"/>
        <v/>
      </c>
      <c r="M4250" t="str" cm="1">
        <f t="array" ref="M4250">IF(L4250="","",_xlfn.IFS(
  AND(L4250&gt;=TIME(9,0,0), L4250&lt;TIME(16,0,0)),"Morning",
  AND(L4250&gt;=TIME(16,0,0), L4250&lt;TIME(23,59,0)),"Evening",
  L4250&gt;=TIME(23,59,0),"Night",
  L4250&lt;TIME(9,0,0),"Night"
))</f>
        <v/>
      </c>
      <c r="O4250" t="str">
        <f t="shared" si="398"/>
        <v/>
      </c>
    </row>
    <row r="4251" spans="7:15" x14ac:dyDescent="0.25">
      <c r="G4251" t="str">
        <f t="shared" si="396"/>
        <v/>
      </c>
      <c r="H4251" s="13" t="str">
        <f t="shared" si="399"/>
        <v/>
      </c>
      <c r="I4251" t="str">
        <f>IFERROR(INDEX(Analysis!$D$116:$N$137, MATCH(B4251, Analysis!$C$116:$C$137, 0), MATCH(C4251, Analysis!$D$115:$N$115, 0)), "")</f>
        <v/>
      </c>
      <c r="J4251" t="str">
        <f t="shared" si="400"/>
        <v/>
      </c>
      <c r="K4251" s="28" t="str">
        <f t="shared" si="397"/>
        <v/>
      </c>
      <c r="L4251" s="46" t="str">
        <f t="shared" si="401"/>
        <v/>
      </c>
      <c r="M4251" t="str" cm="1">
        <f t="array" ref="M4251">IF(L4251="","",_xlfn.IFS(
  AND(L4251&gt;=TIME(9,0,0), L4251&lt;TIME(16,0,0)),"Morning",
  AND(L4251&gt;=TIME(16,0,0), L4251&lt;TIME(23,59,0)),"Evening",
  L4251&gt;=TIME(23,59,0),"Night",
  L4251&lt;TIME(9,0,0),"Night"
))</f>
        <v/>
      </c>
      <c r="O4251" t="str">
        <f t="shared" si="398"/>
        <v/>
      </c>
    </row>
    <row r="4252" spans="7:15" x14ac:dyDescent="0.25">
      <c r="G4252" t="str">
        <f t="shared" si="396"/>
        <v/>
      </c>
      <c r="H4252" s="13" t="str">
        <f t="shared" si="399"/>
        <v/>
      </c>
      <c r="I4252" t="str">
        <f>IFERROR(INDEX(Analysis!$D$116:$N$137, MATCH(B4252, Analysis!$C$116:$C$137, 0), MATCH(C4252, Analysis!$D$115:$N$115, 0)), "")</f>
        <v/>
      </c>
      <c r="J4252" t="str">
        <f t="shared" si="400"/>
        <v/>
      </c>
      <c r="K4252" s="28" t="str">
        <f t="shared" si="397"/>
        <v/>
      </c>
      <c r="L4252" s="46" t="str">
        <f t="shared" si="401"/>
        <v/>
      </c>
      <c r="M4252" t="str" cm="1">
        <f t="array" ref="M4252">IF(L4252="","",_xlfn.IFS(
  AND(L4252&gt;=TIME(9,0,0), L4252&lt;TIME(16,0,0)),"Morning",
  AND(L4252&gt;=TIME(16,0,0), L4252&lt;TIME(23,59,0)),"Evening",
  L4252&gt;=TIME(23,59,0),"Night",
  L4252&lt;TIME(9,0,0),"Night"
))</f>
        <v/>
      </c>
      <c r="O4252" t="str">
        <f t="shared" si="398"/>
        <v/>
      </c>
    </row>
    <row r="4253" spans="7:15" x14ac:dyDescent="0.25">
      <c r="G4253" t="str">
        <f t="shared" si="396"/>
        <v/>
      </c>
      <c r="H4253" s="13" t="str">
        <f t="shared" si="399"/>
        <v/>
      </c>
      <c r="I4253" t="str">
        <f>IFERROR(INDEX(Analysis!$D$116:$N$137, MATCH(B4253, Analysis!$C$116:$C$137, 0), MATCH(C4253, Analysis!$D$115:$N$115, 0)), "")</f>
        <v/>
      </c>
      <c r="J4253" t="str">
        <f t="shared" si="400"/>
        <v/>
      </c>
      <c r="K4253" s="28" t="str">
        <f t="shared" si="397"/>
        <v/>
      </c>
      <c r="L4253" s="46" t="str">
        <f t="shared" si="401"/>
        <v/>
      </c>
      <c r="M4253" t="str" cm="1">
        <f t="array" ref="M4253">IF(L4253="","",_xlfn.IFS(
  AND(L4253&gt;=TIME(9,0,0), L4253&lt;TIME(16,0,0)),"Morning",
  AND(L4253&gt;=TIME(16,0,0), L4253&lt;TIME(23,59,0)),"Evening",
  L4253&gt;=TIME(23,59,0),"Night",
  L4253&lt;TIME(9,0,0),"Night"
))</f>
        <v/>
      </c>
      <c r="O4253" t="str">
        <f t="shared" si="398"/>
        <v/>
      </c>
    </row>
    <row r="4254" spans="7:15" x14ac:dyDescent="0.25">
      <c r="G4254" t="str">
        <f t="shared" si="396"/>
        <v/>
      </c>
      <c r="H4254" s="13" t="str">
        <f t="shared" si="399"/>
        <v/>
      </c>
      <c r="I4254" t="str">
        <f>IFERROR(INDEX(Analysis!$D$116:$N$137, MATCH(B4254, Analysis!$C$116:$C$137, 0), MATCH(C4254, Analysis!$D$115:$N$115, 0)), "")</f>
        <v/>
      </c>
      <c r="J4254" t="str">
        <f t="shared" si="400"/>
        <v/>
      </c>
      <c r="K4254" s="28" t="str">
        <f t="shared" si="397"/>
        <v/>
      </c>
      <c r="L4254" s="46" t="str">
        <f t="shared" si="401"/>
        <v/>
      </c>
      <c r="M4254" t="str" cm="1">
        <f t="array" ref="M4254">IF(L4254="","",_xlfn.IFS(
  AND(L4254&gt;=TIME(9,0,0), L4254&lt;TIME(16,0,0)),"Morning",
  AND(L4254&gt;=TIME(16,0,0), L4254&lt;TIME(23,59,0)),"Evening",
  L4254&gt;=TIME(23,59,0),"Night",
  L4254&lt;TIME(9,0,0),"Night"
))</f>
        <v/>
      </c>
      <c r="O4254" t="str">
        <f t="shared" si="398"/>
        <v/>
      </c>
    </row>
    <row r="4255" spans="7:15" x14ac:dyDescent="0.25">
      <c r="G4255" t="str">
        <f t="shared" si="396"/>
        <v/>
      </c>
      <c r="H4255" s="13" t="str">
        <f t="shared" si="399"/>
        <v/>
      </c>
      <c r="I4255" t="str">
        <f>IFERROR(INDEX(Analysis!$D$116:$N$137, MATCH(B4255, Analysis!$C$116:$C$137, 0), MATCH(C4255, Analysis!$D$115:$N$115, 0)), "")</f>
        <v/>
      </c>
      <c r="J4255" t="str">
        <f t="shared" si="400"/>
        <v/>
      </c>
      <c r="K4255" s="28" t="str">
        <f t="shared" si="397"/>
        <v/>
      </c>
      <c r="L4255" s="46" t="str">
        <f t="shared" si="401"/>
        <v/>
      </c>
      <c r="M4255" t="str" cm="1">
        <f t="array" ref="M4255">IF(L4255="","",_xlfn.IFS(
  AND(L4255&gt;=TIME(9,0,0), L4255&lt;TIME(16,0,0)),"Morning",
  AND(L4255&gt;=TIME(16,0,0), L4255&lt;TIME(23,59,0)),"Evening",
  L4255&gt;=TIME(23,59,0),"Night",
  L4255&lt;TIME(9,0,0),"Night"
))</f>
        <v/>
      </c>
      <c r="O4255" t="str">
        <f t="shared" si="398"/>
        <v/>
      </c>
    </row>
    <row r="4256" spans="7:15" x14ac:dyDescent="0.25">
      <c r="G4256" t="str">
        <f t="shared" si="396"/>
        <v/>
      </c>
      <c r="H4256" s="13" t="str">
        <f t="shared" si="399"/>
        <v/>
      </c>
      <c r="I4256" t="str">
        <f>IFERROR(INDEX(Analysis!$D$116:$N$137, MATCH(B4256, Analysis!$C$116:$C$137, 0), MATCH(C4256, Analysis!$D$115:$N$115, 0)), "")</f>
        <v/>
      </c>
      <c r="J4256" t="str">
        <f t="shared" si="400"/>
        <v/>
      </c>
      <c r="K4256" s="28" t="str">
        <f t="shared" si="397"/>
        <v/>
      </c>
      <c r="L4256" s="46" t="str">
        <f t="shared" si="401"/>
        <v/>
      </c>
      <c r="M4256" t="str" cm="1">
        <f t="array" ref="M4256">IF(L4256="","",_xlfn.IFS(
  AND(L4256&gt;=TIME(9,0,0), L4256&lt;TIME(16,0,0)),"Morning",
  AND(L4256&gt;=TIME(16,0,0), L4256&lt;TIME(23,59,0)),"Evening",
  L4256&gt;=TIME(23,59,0),"Night",
  L4256&lt;TIME(9,0,0),"Night"
))</f>
        <v/>
      </c>
      <c r="O4256" t="str">
        <f t="shared" si="398"/>
        <v/>
      </c>
    </row>
    <row r="4257" spans="7:15" x14ac:dyDescent="0.25">
      <c r="G4257" t="str">
        <f t="shared" si="396"/>
        <v/>
      </c>
      <c r="H4257" s="13" t="str">
        <f t="shared" si="399"/>
        <v/>
      </c>
      <c r="I4257" t="str">
        <f>IFERROR(INDEX(Analysis!$D$116:$N$137, MATCH(B4257, Analysis!$C$116:$C$137, 0), MATCH(C4257, Analysis!$D$115:$N$115, 0)), "")</f>
        <v/>
      </c>
      <c r="J4257" t="str">
        <f t="shared" si="400"/>
        <v/>
      </c>
      <c r="K4257" s="28" t="str">
        <f t="shared" si="397"/>
        <v/>
      </c>
      <c r="L4257" s="46" t="str">
        <f t="shared" si="401"/>
        <v/>
      </c>
      <c r="M4257" t="str" cm="1">
        <f t="array" ref="M4257">IF(L4257="","",_xlfn.IFS(
  AND(L4257&gt;=TIME(9,0,0), L4257&lt;TIME(16,0,0)),"Morning",
  AND(L4257&gt;=TIME(16,0,0), L4257&lt;TIME(23,59,0)),"Evening",
  L4257&gt;=TIME(23,59,0),"Night",
  L4257&lt;TIME(9,0,0),"Night"
))</f>
        <v/>
      </c>
      <c r="O4257" t="str">
        <f t="shared" si="398"/>
        <v/>
      </c>
    </row>
    <row r="4258" spans="7:15" x14ac:dyDescent="0.25">
      <c r="G4258" t="str">
        <f t="shared" si="396"/>
        <v/>
      </c>
      <c r="H4258" s="13" t="str">
        <f t="shared" si="399"/>
        <v/>
      </c>
      <c r="I4258" t="str">
        <f>IFERROR(INDEX(Analysis!$D$116:$N$137, MATCH(B4258, Analysis!$C$116:$C$137, 0), MATCH(C4258, Analysis!$D$115:$N$115, 0)), "")</f>
        <v/>
      </c>
      <c r="J4258" t="str">
        <f t="shared" si="400"/>
        <v/>
      </c>
      <c r="K4258" s="28" t="str">
        <f t="shared" si="397"/>
        <v/>
      </c>
      <c r="L4258" s="46" t="str">
        <f t="shared" si="401"/>
        <v/>
      </c>
      <c r="M4258" t="str" cm="1">
        <f t="array" ref="M4258">IF(L4258="","",_xlfn.IFS(
  AND(L4258&gt;=TIME(9,0,0), L4258&lt;TIME(16,0,0)),"Morning",
  AND(L4258&gt;=TIME(16,0,0), L4258&lt;TIME(23,59,0)),"Evening",
  L4258&gt;=TIME(23,59,0),"Night",
  L4258&lt;TIME(9,0,0),"Night"
))</f>
        <v/>
      </c>
      <c r="O4258" t="str">
        <f t="shared" si="398"/>
        <v/>
      </c>
    </row>
    <row r="4259" spans="7:15" x14ac:dyDescent="0.25">
      <c r="G4259" t="str">
        <f t="shared" si="396"/>
        <v/>
      </c>
      <c r="H4259" s="13" t="str">
        <f t="shared" si="399"/>
        <v/>
      </c>
      <c r="I4259" t="str">
        <f>IFERROR(INDEX(Analysis!$D$116:$N$137, MATCH(B4259, Analysis!$C$116:$C$137, 0), MATCH(C4259, Analysis!$D$115:$N$115, 0)), "")</f>
        <v/>
      </c>
      <c r="J4259" t="str">
        <f t="shared" si="400"/>
        <v/>
      </c>
      <c r="K4259" s="28" t="str">
        <f t="shared" si="397"/>
        <v/>
      </c>
      <c r="L4259" s="46" t="str">
        <f t="shared" si="401"/>
        <v/>
      </c>
      <c r="M4259" t="str" cm="1">
        <f t="array" ref="M4259">IF(L4259="","",_xlfn.IFS(
  AND(L4259&gt;=TIME(9,0,0), L4259&lt;TIME(16,0,0)),"Morning",
  AND(L4259&gt;=TIME(16,0,0), L4259&lt;TIME(23,59,0)),"Evening",
  L4259&gt;=TIME(23,59,0),"Night",
  L4259&lt;TIME(9,0,0),"Night"
))</f>
        <v/>
      </c>
      <c r="O4259" t="str">
        <f t="shared" si="398"/>
        <v/>
      </c>
    </row>
    <row r="4260" spans="7:15" x14ac:dyDescent="0.25">
      <c r="G4260" t="str">
        <f t="shared" si="396"/>
        <v/>
      </c>
      <c r="H4260" s="13" t="str">
        <f t="shared" si="399"/>
        <v/>
      </c>
      <c r="I4260" t="str">
        <f>IFERROR(INDEX(Analysis!$D$116:$N$137, MATCH(B4260, Analysis!$C$116:$C$137, 0), MATCH(C4260, Analysis!$D$115:$N$115, 0)), "")</f>
        <v/>
      </c>
      <c r="J4260" t="str">
        <f t="shared" si="400"/>
        <v/>
      </c>
      <c r="K4260" s="28" t="str">
        <f t="shared" si="397"/>
        <v/>
      </c>
      <c r="L4260" s="46" t="str">
        <f t="shared" si="401"/>
        <v/>
      </c>
      <c r="M4260" t="str" cm="1">
        <f t="array" ref="M4260">IF(L4260="","",_xlfn.IFS(
  AND(L4260&gt;=TIME(9,0,0), L4260&lt;TIME(16,0,0)),"Morning",
  AND(L4260&gt;=TIME(16,0,0), L4260&lt;TIME(23,59,0)),"Evening",
  L4260&gt;=TIME(23,59,0),"Night",
  L4260&lt;TIME(9,0,0),"Night"
))</f>
        <v/>
      </c>
      <c r="O4260" t="str">
        <f t="shared" si="398"/>
        <v/>
      </c>
    </row>
    <row r="4261" spans="7:15" x14ac:dyDescent="0.25">
      <c r="G4261" t="str">
        <f t="shared" si="396"/>
        <v/>
      </c>
      <c r="H4261" s="13" t="str">
        <f t="shared" si="399"/>
        <v/>
      </c>
      <c r="I4261" t="str">
        <f>IFERROR(INDEX(Analysis!$D$116:$N$137, MATCH(B4261, Analysis!$C$116:$C$137, 0), MATCH(C4261, Analysis!$D$115:$N$115, 0)), "")</f>
        <v/>
      </c>
      <c r="J4261" t="str">
        <f t="shared" si="400"/>
        <v/>
      </c>
      <c r="K4261" s="28" t="str">
        <f t="shared" si="397"/>
        <v/>
      </c>
      <c r="L4261" s="46" t="str">
        <f t="shared" si="401"/>
        <v/>
      </c>
      <c r="M4261" t="str" cm="1">
        <f t="array" ref="M4261">IF(L4261="","",_xlfn.IFS(
  AND(L4261&gt;=TIME(9,0,0), L4261&lt;TIME(16,0,0)),"Morning",
  AND(L4261&gt;=TIME(16,0,0), L4261&lt;TIME(23,59,0)),"Evening",
  L4261&gt;=TIME(23,59,0),"Night",
  L4261&lt;TIME(9,0,0),"Night"
))</f>
        <v/>
      </c>
      <c r="O4261" t="str">
        <f t="shared" si="398"/>
        <v/>
      </c>
    </row>
    <row r="4262" spans="7:15" x14ac:dyDescent="0.25">
      <c r="G4262" t="str">
        <f t="shared" si="396"/>
        <v/>
      </c>
      <c r="H4262" s="13" t="str">
        <f t="shared" si="399"/>
        <v/>
      </c>
      <c r="I4262" t="str">
        <f>IFERROR(INDEX(Analysis!$D$116:$N$137, MATCH(B4262, Analysis!$C$116:$C$137, 0), MATCH(C4262, Analysis!$D$115:$N$115, 0)), "")</f>
        <v/>
      </c>
      <c r="J4262" t="str">
        <f t="shared" si="400"/>
        <v/>
      </c>
      <c r="K4262" s="28" t="str">
        <f t="shared" si="397"/>
        <v/>
      </c>
      <c r="L4262" s="46" t="str">
        <f t="shared" si="401"/>
        <v/>
      </c>
      <c r="M4262" t="str" cm="1">
        <f t="array" ref="M4262">IF(L4262="","",_xlfn.IFS(
  AND(L4262&gt;=TIME(9,0,0), L4262&lt;TIME(16,0,0)),"Morning",
  AND(L4262&gt;=TIME(16,0,0), L4262&lt;TIME(23,59,0)),"Evening",
  L4262&gt;=TIME(23,59,0),"Night",
  L4262&lt;TIME(9,0,0),"Night"
))</f>
        <v/>
      </c>
      <c r="O4262" t="str">
        <f t="shared" si="398"/>
        <v/>
      </c>
    </row>
    <row r="4263" spans="7:15" x14ac:dyDescent="0.25">
      <c r="G4263" t="str">
        <f t="shared" si="396"/>
        <v/>
      </c>
      <c r="H4263" s="13" t="str">
        <f t="shared" si="399"/>
        <v/>
      </c>
      <c r="I4263" t="str">
        <f>IFERROR(INDEX(Analysis!$D$116:$N$137, MATCH(B4263, Analysis!$C$116:$C$137, 0), MATCH(C4263, Analysis!$D$115:$N$115, 0)), "")</f>
        <v/>
      </c>
      <c r="J4263" t="str">
        <f t="shared" si="400"/>
        <v/>
      </c>
      <c r="K4263" s="28" t="str">
        <f t="shared" si="397"/>
        <v/>
      </c>
      <c r="L4263" s="46" t="str">
        <f t="shared" si="401"/>
        <v/>
      </c>
      <c r="M4263" t="str" cm="1">
        <f t="array" ref="M4263">IF(L4263="","",_xlfn.IFS(
  AND(L4263&gt;=TIME(9,0,0), L4263&lt;TIME(16,0,0)),"Morning",
  AND(L4263&gt;=TIME(16,0,0), L4263&lt;TIME(23,59,0)),"Evening",
  L4263&gt;=TIME(23,59,0),"Night",
  L4263&lt;TIME(9,0,0),"Night"
))</f>
        <v/>
      </c>
      <c r="O4263" t="str">
        <f t="shared" si="398"/>
        <v/>
      </c>
    </row>
    <row r="4264" spans="7:15" x14ac:dyDescent="0.25">
      <c r="G4264" t="str">
        <f t="shared" si="396"/>
        <v/>
      </c>
      <c r="H4264" s="13" t="str">
        <f t="shared" si="399"/>
        <v/>
      </c>
      <c r="I4264" t="str">
        <f>IFERROR(INDEX(Analysis!$D$116:$N$137, MATCH(B4264, Analysis!$C$116:$C$137, 0), MATCH(C4264, Analysis!$D$115:$N$115, 0)), "")</f>
        <v/>
      </c>
      <c r="J4264" t="str">
        <f t="shared" si="400"/>
        <v/>
      </c>
      <c r="K4264" s="28" t="str">
        <f t="shared" si="397"/>
        <v/>
      </c>
      <c r="L4264" s="46" t="str">
        <f t="shared" si="401"/>
        <v/>
      </c>
      <c r="M4264" t="str" cm="1">
        <f t="array" ref="M4264">IF(L4264="","",_xlfn.IFS(
  AND(L4264&gt;=TIME(9,0,0), L4264&lt;TIME(16,0,0)),"Morning",
  AND(L4264&gt;=TIME(16,0,0), L4264&lt;TIME(23,59,0)),"Evening",
  L4264&gt;=TIME(23,59,0),"Night",
  L4264&lt;TIME(9,0,0),"Night"
))</f>
        <v/>
      </c>
      <c r="O4264" t="str">
        <f t="shared" si="398"/>
        <v/>
      </c>
    </row>
    <row r="4265" spans="7:15" x14ac:dyDescent="0.25">
      <c r="G4265" t="str">
        <f t="shared" si="396"/>
        <v/>
      </c>
      <c r="H4265" s="13" t="str">
        <f t="shared" si="399"/>
        <v/>
      </c>
      <c r="I4265" t="str">
        <f>IFERROR(INDEX(Analysis!$D$116:$N$137, MATCH(B4265, Analysis!$C$116:$C$137, 0), MATCH(C4265, Analysis!$D$115:$N$115, 0)), "")</f>
        <v/>
      </c>
      <c r="J4265" t="str">
        <f t="shared" si="400"/>
        <v/>
      </c>
      <c r="K4265" s="28" t="str">
        <f t="shared" si="397"/>
        <v/>
      </c>
      <c r="L4265" s="46" t="str">
        <f t="shared" si="401"/>
        <v/>
      </c>
      <c r="M4265" t="str" cm="1">
        <f t="array" ref="M4265">IF(L4265="","",_xlfn.IFS(
  AND(L4265&gt;=TIME(9,0,0), L4265&lt;TIME(16,0,0)),"Morning",
  AND(L4265&gt;=TIME(16,0,0), L4265&lt;TIME(23,59,0)),"Evening",
  L4265&gt;=TIME(23,59,0),"Night",
  L4265&lt;TIME(9,0,0),"Night"
))</f>
        <v/>
      </c>
      <c r="O4265" t="str">
        <f t="shared" si="398"/>
        <v/>
      </c>
    </row>
    <row r="4266" spans="7:15" x14ac:dyDescent="0.25">
      <c r="G4266" t="str">
        <f t="shared" si="396"/>
        <v/>
      </c>
      <c r="H4266" s="13" t="str">
        <f t="shared" si="399"/>
        <v/>
      </c>
      <c r="I4266" t="str">
        <f>IFERROR(INDEX(Analysis!$D$116:$N$137, MATCH(B4266, Analysis!$C$116:$C$137, 0), MATCH(C4266, Analysis!$D$115:$N$115, 0)), "")</f>
        <v/>
      </c>
      <c r="J4266" t="str">
        <f t="shared" si="400"/>
        <v/>
      </c>
      <c r="K4266" s="28" t="str">
        <f t="shared" si="397"/>
        <v/>
      </c>
      <c r="L4266" s="46" t="str">
        <f t="shared" si="401"/>
        <v/>
      </c>
      <c r="M4266" t="str" cm="1">
        <f t="array" ref="M4266">IF(L4266="","",_xlfn.IFS(
  AND(L4266&gt;=TIME(9,0,0), L4266&lt;TIME(16,0,0)),"Morning",
  AND(L4266&gt;=TIME(16,0,0), L4266&lt;TIME(23,59,0)),"Evening",
  L4266&gt;=TIME(23,59,0),"Night",
  L4266&lt;TIME(9,0,0),"Night"
))</f>
        <v/>
      </c>
      <c r="O4266" t="str">
        <f t="shared" si="398"/>
        <v/>
      </c>
    </row>
    <row r="4267" spans="7:15" x14ac:dyDescent="0.25">
      <c r="G4267" t="str">
        <f t="shared" si="396"/>
        <v/>
      </c>
      <c r="H4267" s="13" t="str">
        <f t="shared" si="399"/>
        <v/>
      </c>
      <c r="I4267" t="str">
        <f>IFERROR(INDEX(Analysis!$D$116:$N$137, MATCH(B4267, Analysis!$C$116:$C$137, 0), MATCH(C4267, Analysis!$D$115:$N$115, 0)), "")</f>
        <v/>
      </c>
      <c r="J4267" t="str">
        <f t="shared" si="400"/>
        <v/>
      </c>
      <c r="K4267" s="28" t="str">
        <f t="shared" si="397"/>
        <v/>
      </c>
      <c r="L4267" s="46" t="str">
        <f t="shared" si="401"/>
        <v/>
      </c>
      <c r="M4267" t="str" cm="1">
        <f t="array" ref="M4267">IF(L4267="","",_xlfn.IFS(
  AND(L4267&gt;=TIME(9,0,0), L4267&lt;TIME(16,0,0)),"Morning",
  AND(L4267&gt;=TIME(16,0,0), L4267&lt;TIME(23,59,0)),"Evening",
  L4267&gt;=TIME(23,59,0),"Night",
  L4267&lt;TIME(9,0,0),"Night"
))</f>
        <v/>
      </c>
      <c r="O4267" t="str">
        <f t="shared" si="398"/>
        <v/>
      </c>
    </row>
    <row r="4268" spans="7:15" x14ac:dyDescent="0.25">
      <c r="G4268" t="str">
        <f t="shared" si="396"/>
        <v/>
      </c>
      <c r="H4268" s="13" t="str">
        <f t="shared" si="399"/>
        <v/>
      </c>
      <c r="I4268" t="str">
        <f>IFERROR(INDEX(Analysis!$D$116:$N$137, MATCH(B4268, Analysis!$C$116:$C$137, 0), MATCH(C4268, Analysis!$D$115:$N$115, 0)), "")</f>
        <v/>
      </c>
      <c r="J4268" t="str">
        <f t="shared" si="400"/>
        <v/>
      </c>
      <c r="K4268" s="28" t="str">
        <f t="shared" si="397"/>
        <v/>
      </c>
      <c r="L4268" s="46" t="str">
        <f t="shared" si="401"/>
        <v/>
      </c>
      <c r="M4268" t="str" cm="1">
        <f t="array" ref="M4268">IF(L4268="","",_xlfn.IFS(
  AND(L4268&gt;=TIME(9,0,0), L4268&lt;TIME(16,0,0)),"Morning",
  AND(L4268&gt;=TIME(16,0,0), L4268&lt;TIME(23,59,0)),"Evening",
  L4268&gt;=TIME(23,59,0),"Night",
  L4268&lt;TIME(9,0,0),"Night"
))</f>
        <v/>
      </c>
      <c r="O4268" t="str">
        <f t="shared" si="398"/>
        <v/>
      </c>
    </row>
    <row r="4269" spans="7:15" x14ac:dyDescent="0.25">
      <c r="G4269" t="str">
        <f t="shared" si="396"/>
        <v/>
      </c>
      <c r="H4269" s="13" t="str">
        <f t="shared" si="399"/>
        <v/>
      </c>
      <c r="I4269" t="str">
        <f>IFERROR(INDEX(Analysis!$D$116:$N$137, MATCH(B4269, Analysis!$C$116:$C$137, 0), MATCH(C4269, Analysis!$D$115:$N$115, 0)), "")</f>
        <v/>
      </c>
      <c r="J4269" t="str">
        <f t="shared" si="400"/>
        <v/>
      </c>
      <c r="K4269" s="28" t="str">
        <f t="shared" si="397"/>
        <v/>
      </c>
      <c r="L4269" s="46" t="str">
        <f t="shared" si="401"/>
        <v/>
      </c>
      <c r="M4269" t="str" cm="1">
        <f t="array" ref="M4269">IF(L4269="","",_xlfn.IFS(
  AND(L4269&gt;=TIME(9,0,0), L4269&lt;TIME(16,0,0)),"Morning",
  AND(L4269&gt;=TIME(16,0,0), L4269&lt;TIME(23,59,0)),"Evening",
  L4269&gt;=TIME(23,59,0),"Night",
  L4269&lt;TIME(9,0,0),"Night"
))</f>
        <v/>
      </c>
      <c r="O4269" t="str">
        <f t="shared" si="398"/>
        <v/>
      </c>
    </row>
    <row r="4270" spans="7:15" x14ac:dyDescent="0.25">
      <c r="G4270" t="str">
        <f t="shared" si="396"/>
        <v/>
      </c>
      <c r="H4270" s="13" t="str">
        <f t="shared" si="399"/>
        <v/>
      </c>
      <c r="I4270" t="str">
        <f>IFERROR(INDEX(Analysis!$D$116:$N$137, MATCH(B4270, Analysis!$C$116:$C$137, 0), MATCH(C4270, Analysis!$D$115:$N$115, 0)), "")</f>
        <v/>
      </c>
      <c r="J4270" t="str">
        <f t="shared" si="400"/>
        <v/>
      </c>
      <c r="K4270" s="28" t="str">
        <f t="shared" si="397"/>
        <v/>
      </c>
      <c r="L4270" s="46" t="str">
        <f t="shared" si="401"/>
        <v/>
      </c>
      <c r="M4270" t="str" cm="1">
        <f t="array" ref="M4270">IF(L4270="","",_xlfn.IFS(
  AND(L4270&gt;=TIME(9,0,0), L4270&lt;TIME(16,0,0)),"Morning",
  AND(L4270&gt;=TIME(16,0,0), L4270&lt;TIME(23,59,0)),"Evening",
  L4270&gt;=TIME(23,59,0),"Night",
  L4270&lt;TIME(9,0,0),"Night"
))</f>
        <v/>
      </c>
      <c r="O4270" t="str">
        <f t="shared" si="398"/>
        <v/>
      </c>
    </row>
    <row r="4271" spans="7:15" x14ac:dyDescent="0.25">
      <c r="G4271" t="str">
        <f t="shared" si="396"/>
        <v/>
      </c>
      <c r="H4271" s="13" t="str">
        <f t="shared" si="399"/>
        <v/>
      </c>
      <c r="I4271" t="str">
        <f>IFERROR(INDEX(Analysis!$D$116:$N$137, MATCH(B4271, Analysis!$C$116:$C$137, 0), MATCH(C4271, Analysis!$D$115:$N$115, 0)), "")</f>
        <v/>
      </c>
      <c r="J4271" t="str">
        <f t="shared" si="400"/>
        <v/>
      </c>
      <c r="K4271" s="28" t="str">
        <f t="shared" si="397"/>
        <v/>
      </c>
      <c r="L4271" s="46" t="str">
        <f t="shared" si="401"/>
        <v/>
      </c>
      <c r="M4271" t="str" cm="1">
        <f t="array" ref="M4271">IF(L4271="","",_xlfn.IFS(
  AND(L4271&gt;=TIME(9,0,0), L4271&lt;TIME(16,0,0)),"Morning",
  AND(L4271&gt;=TIME(16,0,0), L4271&lt;TIME(23,59,0)),"Evening",
  L4271&gt;=TIME(23,59,0),"Night",
  L4271&lt;TIME(9,0,0),"Night"
))</f>
        <v/>
      </c>
      <c r="O4271" t="str">
        <f t="shared" si="398"/>
        <v/>
      </c>
    </row>
    <row r="4272" spans="7:15" x14ac:dyDescent="0.25">
      <c r="G4272" t="str">
        <f t="shared" si="396"/>
        <v/>
      </c>
      <c r="H4272" s="13" t="str">
        <f t="shared" si="399"/>
        <v/>
      </c>
      <c r="I4272" t="str">
        <f>IFERROR(INDEX(Analysis!$D$116:$N$137, MATCH(B4272, Analysis!$C$116:$C$137, 0), MATCH(C4272, Analysis!$D$115:$N$115, 0)), "")</f>
        <v/>
      </c>
      <c r="J4272" t="str">
        <f t="shared" si="400"/>
        <v/>
      </c>
      <c r="K4272" s="28" t="str">
        <f t="shared" si="397"/>
        <v/>
      </c>
      <c r="L4272" s="46" t="str">
        <f t="shared" si="401"/>
        <v/>
      </c>
      <c r="M4272" t="str" cm="1">
        <f t="array" ref="M4272">IF(L4272="","",_xlfn.IFS(
  AND(L4272&gt;=TIME(9,0,0), L4272&lt;TIME(16,0,0)),"Morning",
  AND(L4272&gt;=TIME(16,0,0), L4272&lt;TIME(23,59,0)),"Evening",
  L4272&gt;=TIME(23,59,0),"Night",
  L4272&lt;TIME(9,0,0),"Night"
))</f>
        <v/>
      </c>
      <c r="O4272" t="str">
        <f t="shared" si="398"/>
        <v/>
      </c>
    </row>
    <row r="4273" spans="7:15" x14ac:dyDescent="0.25">
      <c r="G4273" t="str">
        <f t="shared" si="396"/>
        <v/>
      </c>
      <c r="H4273" s="13" t="str">
        <f t="shared" si="399"/>
        <v/>
      </c>
      <c r="I4273" t="str">
        <f>IFERROR(INDEX(Analysis!$D$116:$N$137, MATCH(B4273, Analysis!$C$116:$C$137, 0), MATCH(C4273, Analysis!$D$115:$N$115, 0)), "")</f>
        <v/>
      </c>
      <c r="J4273" t="str">
        <f t="shared" si="400"/>
        <v/>
      </c>
      <c r="K4273" s="28" t="str">
        <f t="shared" si="397"/>
        <v/>
      </c>
      <c r="L4273" s="46" t="str">
        <f t="shared" si="401"/>
        <v/>
      </c>
      <c r="M4273" t="str" cm="1">
        <f t="array" ref="M4273">IF(L4273="","",_xlfn.IFS(
  AND(L4273&gt;=TIME(9,0,0), L4273&lt;TIME(16,0,0)),"Morning",
  AND(L4273&gt;=TIME(16,0,0), L4273&lt;TIME(23,59,0)),"Evening",
  L4273&gt;=TIME(23,59,0),"Night",
  L4273&lt;TIME(9,0,0),"Night"
))</f>
        <v/>
      </c>
      <c r="O4273" t="str">
        <f t="shared" si="398"/>
        <v/>
      </c>
    </row>
    <row r="4274" spans="7:15" x14ac:dyDescent="0.25">
      <c r="G4274" t="str">
        <f t="shared" si="396"/>
        <v/>
      </c>
      <c r="H4274" s="13" t="str">
        <f t="shared" si="399"/>
        <v/>
      </c>
      <c r="I4274" t="str">
        <f>IFERROR(INDEX(Analysis!$D$116:$N$137, MATCH(B4274, Analysis!$C$116:$C$137, 0), MATCH(C4274, Analysis!$D$115:$N$115, 0)), "")</f>
        <v/>
      </c>
      <c r="J4274" t="str">
        <f t="shared" si="400"/>
        <v/>
      </c>
      <c r="K4274" s="28" t="str">
        <f t="shared" si="397"/>
        <v/>
      </c>
      <c r="L4274" s="46" t="str">
        <f t="shared" si="401"/>
        <v/>
      </c>
      <c r="M4274" t="str" cm="1">
        <f t="array" ref="M4274">IF(L4274="","",_xlfn.IFS(
  AND(L4274&gt;=TIME(9,0,0), L4274&lt;TIME(16,0,0)),"Morning",
  AND(L4274&gt;=TIME(16,0,0), L4274&lt;TIME(23,59,0)),"Evening",
  L4274&gt;=TIME(23,59,0),"Night",
  L4274&lt;TIME(9,0,0),"Night"
))</f>
        <v/>
      </c>
      <c r="O4274" t="str">
        <f t="shared" si="398"/>
        <v/>
      </c>
    </row>
    <row r="4275" spans="7:15" x14ac:dyDescent="0.25">
      <c r="G4275" t="str">
        <f t="shared" si="396"/>
        <v/>
      </c>
      <c r="H4275" s="13" t="str">
        <f t="shared" si="399"/>
        <v/>
      </c>
      <c r="I4275" t="str">
        <f>IFERROR(INDEX(Analysis!$D$116:$N$137, MATCH(B4275, Analysis!$C$116:$C$137, 0), MATCH(C4275, Analysis!$D$115:$N$115, 0)), "")</f>
        <v/>
      </c>
      <c r="J4275" t="str">
        <f t="shared" si="400"/>
        <v/>
      </c>
      <c r="K4275" s="28" t="str">
        <f t="shared" si="397"/>
        <v/>
      </c>
      <c r="L4275" s="46" t="str">
        <f t="shared" si="401"/>
        <v/>
      </c>
      <c r="M4275" t="str" cm="1">
        <f t="array" ref="M4275">IF(L4275="","",_xlfn.IFS(
  AND(L4275&gt;=TIME(9,0,0), L4275&lt;TIME(16,0,0)),"Morning",
  AND(L4275&gt;=TIME(16,0,0), L4275&lt;TIME(23,59,0)),"Evening",
  L4275&gt;=TIME(23,59,0),"Night",
  L4275&lt;TIME(9,0,0),"Night"
))</f>
        <v/>
      </c>
      <c r="O4275" t="str">
        <f t="shared" si="398"/>
        <v/>
      </c>
    </row>
    <row r="4276" spans="7:15" x14ac:dyDescent="0.25">
      <c r="G4276" t="str">
        <f t="shared" si="396"/>
        <v/>
      </c>
      <c r="H4276" s="13" t="str">
        <f t="shared" si="399"/>
        <v/>
      </c>
      <c r="I4276" t="str">
        <f>IFERROR(INDEX(Analysis!$D$116:$N$137, MATCH(B4276, Analysis!$C$116:$C$137, 0), MATCH(C4276, Analysis!$D$115:$N$115, 0)), "")</f>
        <v/>
      </c>
      <c r="J4276" t="str">
        <f t="shared" si="400"/>
        <v/>
      </c>
      <c r="K4276" s="28" t="str">
        <f t="shared" si="397"/>
        <v/>
      </c>
      <c r="L4276" s="46" t="str">
        <f t="shared" si="401"/>
        <v/>
      </c>
      <c r="M4276" t="str" cm="1">
        <f t="array" ref="M4276">IF(L4276="","",_xlfn.IFS(
  AND(L4276&gt;=TIME(9,0,0), L4276&lt;TIME(16,0,0)),"Morning",
  AND(L4276&gt;=TIME(16,0,0), L4276&lt;TIME(23,59,0)),"Evening",
  L4276&gt;=TIME(23,59,0),"Night",
  L4276&lt;TIME(9,0,0),"Night"
))</f>
        <v/>
      </c>
      <c r="O4276" t="str">
        <f t="shared" si="398"/>
        <v/>
      </c>
    </row>
    <row r="4277" spans="7:15" x14ac:dyDescent="0.25">
      <c r="G4277" t="str">
        <f t="shared" si="396"/>
        <v/>
      </c>
      <c r="H4277" s="13" t="str">
        <f t="shared" si="399"/>
        <v/>
      </c>
      <c r="I4277" t="str">
        <f>IFERROR(INDEX(Analysis!$D$116:$N$137, MATCH(B4277, Analysis!$C$116:$C$137, 0), MATCH(C4277, Analysis!$D$115:$N$115, 0)), "")</f>
        <v/>
      </c>
      <c r="J4277" t="str">
        <f t="shared" si="400"/>
        <v/>
      </c>
      <c r="K4277" s="28" t="str">
        <f t="shared" si="397"/>
        <v/>
      </c>
      <c r="L4277" s="46" t="str">
        <f t="shared" si="401"/>
        <v/>
      </c>
      <c r="M4277" t="str" cm="1">
        <f t="array" ref="M4277">IF(L4277="","",_xlfn.IFS(
  AND(L4277&gt;=TIME(9,0,0), L4277&lt;TIME(16,0,0)),"Morning",
  AND(L4277&gt;=TIME(16,0,0), L4277&lt;TIME(23,59,0)),"Evening",
  L4277&gt;=TIME(23,59,0),"Night",
  L4277&lt;TIME(9,0,0),"Night"
))</f>
        <v/>
      </c>
      <c r="O4277" t="str">
        <f t="shared" si="398"/>
        <v/>
      </c>
    </row>
    <row r="4278" spans="7:15" x14ac:dyDescent="0.25">
      <c r="G4278" t="str">
        <f t="shared" si="396"/>
        <v/>
      </c>
      <c r="H4278" s="13" t="str">
        <f t="shared" si="399"/>
        <v/>
      </c>
      <c r="I4278" t="str">
        <f>IFERROR(INDEX(Analysis!$D$116:$N$137, MATCH(B4278, Analysis!$C$116:$C$137, 0), MATCH(C4278, Analysis!$D$115:$N$115, 0)), "")</f>
        <v/>
      </c>
      <c r="J4278" t="str">
        <f t="shared" si="400"/>
        <v/>
      </c>
      <c r="K4278" s="28" t="str">
        <f t="shared" si="397"/>
        <v/>
      </c>
      <c r="L4278" s="46" t="str">
        <f t="shared" si="401"/>
        <v/>
      </c>
      <c r="M4278" t="str" cm="1">
        <f t="array" ref="M4278">IF(L4278="","",_xlfn.IFS(
  AND(L4278&gt;=TIME(9,0,0), L4278&lt;TIME(16,0,0)),"Morning",
  AND(L4278&gt;=TIME(16,0,0), L4278&lt;TIME(23,59,0)),"Evening",
  L4278&gt;=TIME(23,59,0),"Night",
  L4278&lt;TIME(9,0,0),"Night"
))</f>
        <v/>
      </c>
      <c r="O4278" t="str">
        <f t="shared" si="398"/>
        <v/>
      </c>
    </row>
    <row r="4279" spans="7:15" x14ac:dyDescent="0.25">
      <c r="G4279" t="str">
        <f t="shared" si="396"/>
        <v/>
      </c>
      <c r="H4279" s="13" t="str">
        <f t="shared" si="399"/>
        <v/>
      </c>
      <c r="I4279" t="str">
        <f>IFERROR(INDEX(Analysis!$D$116:$N$137, MATCH(B4279, Analysis!$C$116:$C$137, 0), MATCH(C4279, Analysis!$D$115:$N$115, 0)), "")</f>
        <v/>
      </c>
      <c r="J4279" t="str">
        <f t="shared" si="400"/>
        <v/>
      </c>
      <c r="K4279" s="28" t="str">
        <f t="shared" si="397"/>
        <v/>
      </c>
      <c r="L4279" s="46" t="str">
        <f t="shared" si="401"/>
        <v/>
      </c>
      <c r="M4279" t="str" cm="1">
        <f t="array" ref="M4279">IF(L4279="","",_xlfn.IFS(
  AND(L4279&gt;=TIME(9,0,0), L4279&lt;TIME(16,0,0)),"Morning",
  AND(L4279&gt;=TIME(16,0,0), L4279&lt;TIME(23,59,0)),"Evening",
  L4279&gt;=TIME(23,59,0),"Night",
  L4279&lt;TIME(9,0,0),"Night"
))</f>
        <v/>
      </c>
      <c r="O4279" t="str">
        <f t="shared" si="398"/>
        <v/>
      </c>
    </row>
    <row r="4280" spans="7:15" x14ac:dyDescent="0.25">
      <c r="G4280" t="str">
        <f t="shared" si="396"/>
        <v/>
      </c>
      <c r="H4280" s="13" t="str">
        <f t="shared" si="399"/>
        <v/>
      </c>
      <c r="I4280" t="str">
        <f>IFERROR(INDEX(Analysis!$D$116:$N$137, MATCH(B4280, Analysis!$C$116:$C$137, 0), MATCH(C4280, Analysis!$D$115:$N$115, 0)), "")</f>
        <v/>
      </c>
      <c r="J4280" t="str">
        <f t="shared" si="400"/>
        <v/>
      </c>
      <c r="K4280" s="28" t="str">
        <f t="shared" si="397"/>
        <v/>
      </c>
      <c r="L4280" s="46" t="str">
        <f t="shared" si="401"/>
        <v/>
      </c>
      <c r="M4280" t="str" cm="1">
        <f t="array" ref="M4280">IF(L4280="","",_xlfn.IFS(
  AND(L4280&gt;=TIME(9,0,0), L4280&lt;TIME(16,0,0)),"Morning",
  AND(L4280&gt;=TIME(16,0,0), L4280&lt;TIME(23,59,0)),"Evening",
  L4280&gt;=TIME(23,59,0),"Night",
  L4280&lt;TIME(9,0,0),"Night"
))</f>
        <v/>
      </c>
      <c r="O4280" t="str">
        <f t="shared" si="398"/>
        <v/>
      </c>
    </row>
    <row r="4281" spans="7:15" x14ac:dyDescent="0.25">
      <c r="G4281" t="str">
        <f t="shared" si="396"/>
        <v/>
      </c>
      <c r="H4281" s="13" t="str">
        <f t="shared" si="399"/>
        <v/>
      </c>
      <c r="I4281" t="str">
        <f>IFERROR(INDEX(Analysis!$D$116:$N$137, MATCH(B4281, Analysis!$C$116:$C$137, 0), MATCH(C4281, Analysis!$D$115:$N$115, 0)), "")</f>
        <v/>
      </c>
      <c r="J4281" t="str">
        <f t="shared" si="400"/>
        <v/>
      </c>
      <c r="K4281" s="28" t="str">
        <f t="shared" si="397"/>
        <v/>
      </c>
      <c r="L4281" s="46" t="str">
        <f t="shared" si="401"/>
        <v/>
      </c>
      <c r="M4281" t="str" cm="1">
        <f t="array" ref="M4281">IF(L4281="","",_xlfn.IFS(
  AND(L4281&gt;=TIME(9,0,0), L4281&lt;TIME(16,0,0)),"Morning",
  AND(L4281&gt;=TIME(16,0,0), L4281&lt;TIME(23,59,0)),"Evening",
  L4281&gt;=TIME(23,59,0),"Night",
  L4281&lt;TIME(9,0,0),"Night"
))</f>
        <v/>
      </c>
      <c r="O4281" t="str">
        <f t="shared" si="398"/>
        <v/>
      </c>
    </row>
    <row r="4282" spans="7:15" x14ac:dyDescent="0.25">
      <c r="G4282" t="str">
        <f t="shared" si="396"/>
        <v/>
      </c>
      <c r="H4282" s="13" t="str">
        <f t="shared" si="399"/>
        <v/>
      </c>
      <c r="I4282" t="str">
        <f>IFERROR(INDEX(Analysis!$D$116:$N$137, MATCH(B4282, Analysis!$C$116:$C$137, 0), MATCH(C4282, Analysis!$D$115:$N$115, 0)), "")</f>
        <v/>
      </c>
      <c r="J4282" t="str">
        <f t="shared" si="400"/>
        <v/>
      </c>
      <c r="K4282" s="28" t="str">
        <f t="shared" si="397"/>
        <v/>
      </c>
      <c r="L4282" s="46" t="str">
        <f t="shared" si="401"/>
        <v/>
      </c>
      <c r="M4282" t="str" cm="1">
        <f t="array" ref="M4282">IF(L4282="","",_xlfn.IFS(
  AND(L4282&gt;=TIME(9,0,0), L4282&lt;TIME(16,0,0)),"Morning",
  AND(L4282&gt;=TIME(16,0,0), L4282&lt;TIME(23,59,0)),"Evening",
  L4282&gt;=TIME(23,59,0),"Night",
  L4282&lt;TIME(9,0,0),"Night"
))</f>
        <v/>
      </c>
      <c r="O4282" t="str">
        <f t="shared" si="398"/>
        <v/>
      </c>
    </row>
    <row r="4283" spans="7:15" x14ac:dyDescent="0.25">
      <c r="G4283" t="str">
        <f t="shared" si="396"/>
        <v/>
      </c>
      <c r="H4283" s="13" t="str">
        <f t="shared" si="399"/>
        <v/>
      </c>
      <c r="I4283" t="str">
        <f>IFERROR(INDEX(Analysis!$D$116:$N$137, MATCH(B4283, Analysis!$C$116:$C$137, 0), MATCH(C4283, Analysis!$D$115:$N$115, 0)), "")</f>
        <v/>
      </c>
      <c r="J4283" t="str">
        <f t="shared" si="400"/>
        <v/>
      </c>
      <c r="K4283" s="28" t="str">
        <f t="shared" si="397"/>
        <v/>
      </c>
      <c r="L4283" s="46" t="str">
        <f t="shared" si="401"/>
        <v/>
      </c>
      <c r="M4283" t="str" cm="1">
        <f t="array" ref="M4283">IF(L4283="","",_xlfn.IFS(
  AND(L4283&gt;=TIME(9,0,0), L4283&lt;TIME(16,0,0)),"Morning",
  AND(L4283&gt;=TIME(16,0,0), L4283&lt;TIME(23,59,0)),"Evening",
  L4283&gt;=TIME(23,59,0),"Night",
  L4283&lt;TIME(9,0,0),"Night"
))</f>
        <v/>
      </c>
      <c r="O4283" t="str">
        <f t="shared" si="398"/>
        <v/>
      </c>
    </row>
    <row r="4284" spans="7:15" x14ac:dyDescent="0.25">
      <c r="G4284" t="str">
        <f t="shared" si="396"/>
        <v/>
      </c>
      <c r="H4284" s="13" t="str">
        <f t="shared" si="399"/>
        <v/>
      </c>
      <c r="I4284" t="str">
        <f>IFERROR(INDEX(Analysis!$D$116:$N$137, MATCH(B4284, Analysis!$C$116:$C$137, 0), MATCH(C4284, Analysis!$D$115:$N$115, 0)), "")</f>
        <v/>
      </c>
      <c r="J4284" t="str">
        <f t="shared" si="400"/>
        <v/>
      </c>
      <c r="K4284" s="28" t="str">
        <f t="shared" si="397"/>
        <v/>
      </c>
      <c r="L4284" s="46" t="str">
        <f t="shared" si="401"/>
        <v/>
      </c>
      <c r="M4284" t="str" cm="1">
        <f t="array" ref="M4284">IF(L4284="","",_xlfn.IFS(
  AND(L4284&gt;=TIME(9,0,0), L4284&lt;TIME(16,0,0)),"Morning",
  AND(L4284&gt;=TIME(16,0,0), L4284&lt;TIME(23,59,0)),"Evening",
  L4284&gt;=TIME(23,59,0),"Night",
  L4284&lt;TIME(9,0,0),"Night"
))</f>
        <v/>
      </c>
      <c r="O4284" t="str">
        <f t="shared" si="398"/>
        <v/>
      </c>
    </row>
    <row r="4285" spans="7:15" x14ac:dyDescent="0.25">
      <c r="G4285" t="str">
        <f t="shared" si="396"/>
        <v/>
      </c>
      <c r="H4285" s="13" t="str">
        <f t="shared" si="399"/>
        <v/>
      </c>
      <c r="I4285" t="str">
        <f>IFERROR(INDEX(Analysis!$D$116:$N$137, MATCH(B4285, Analysis!$C$116:$C$137, 0), MATCH(C4285, Analysis!$D$115:$N$115, 0)), "")</f>
        <v/>
      </c>
      <c r="J4285" t="str">
        <f t="shared" si="400"/>
        <v/>
      </c>
      <c r="K4285" s="28" t="str">
        <f t="shared" si="397"/>
        <v/>
      </c>
      <c r="L4285" s="46" t="str">
        <f t="shared" si="401"/>
        <v/>
      </c>
      <c r="M4285" t="str" cm="1">
        <f t="array" ref="M4285">IF(L4285="","",_xlfn.IFS(
  AND(L4285&gt;=TIME(9,0,0), L4285&lt;TIME(16,0,0)),"Morning",
  AND(L4285&gt;=TIME(16,0,0), L4285&lt;TIME(23,59,0)),"Evening",
  L4285&gt;=TIME(23,59,0),"Night",
  L4285&lt;TIME(9,0,0),"Night"
))</f>
        <v/>
      </c>
      <c r="O4285" t="str">
        <f t="shared" si="398"/>
        <v/>
      </c>
    </row>
    <row r="4286" spans="7:15" x14ac:dyDescent="0.25">
      <c r="G4286" t="str">
        <f t="shared" si="396"/>
        <v/>
      </c>
      <c r="H4286" s="13" t="str">
        <f t="shared" si="399"/>
        <v/>
      </c>
      <c r="I4286" t="str">
        <f>IFERROR(INDEX(Analysis!$D$116:$N$137, MATCH(B4286, Analysis!$C$116:$C$137, 0), MATCH(C4286, Analysis!$D$115:$N$115, 0)), "")</f>
        <v/>
      </c>
      <c r="J4286" t="str">
        <f t="shared" si="400"/>
        <v/>
      </c>
      <c r="K4286" s="28" t="str">
        <f t="shared" si="397"/>
        <v/>
      </c>
      <c r="L4286" s="46" t="str">
        <f t="shared" si="401"/>
        <v/>
      </c>
      <c r="M4286" t="str" cm="1">
        <f t="array" ref="M4286">IF(L4286="","",_xlfn.IFS(
  AND(L4286&gt;=TIME(9,0,0), L4286&lt;TIME(16,0,0)),"Morning",
  AND(L4286&gt;=TIME(16,0,0), L4286&lt;TIME(23,59,0)),"Evening",
  L4286&gt;=TIME(23,59,0),"Night",
  L4286&lt;TIME(9,0,0),"Night"
))</f>
        <v/>
      </c>
      <c r="O4286" t="str">
        <f t="shared" si="398"/>
        <v/>
      </c>
    </row>
    <row r="4287" spans="7:15" x14ac:dyDescent="0.25">
      <c r="G4287" t="str">
        <f t="shared" si="396"/>
        <v/>
      </c>
      <c r="H4287" s="13" t="str">
        <f t="shared" si="399"/>
        <v/>
      </c>
      <c r="I4287" t="str">
        <f>IFERROR(INDEX(Analysis!$D$116:$N$137, MATCH(B4287, Analysis!$C$116:$C$137, 0), MATCH(C4287, Analysis!$D$115:$N$115, 0)), "")</f>
        <v/>
      </c>
      <c r="J4287" t="str">
        <f t="shared" si="400"/>
        <v/>
      </c>
      <c r="K4287" s="28" t="str">
        <f t="shared" si="397"/>
        <v/>
      </c>
      <c r="L4287" s="46" t="str">
        <f t="shared" si="401"/>
        <v/>
      </c>
      <c r="M4287" t="str" cm="1">
        <f t="array" ref="M4287">IF(L4287="","",_xlfn.IFS(
  AND(L4287&gt;=TIME(9,0,0), L4287&lt;TIME(16,0,0)),"Morning",
  AND(L4287&gt;=TIME(16,0,0), L4287&lt;TIME(23,59,0)),"Evening",
  L4287&gt;=TIME(23,59,0),"Night",
  L4287&lt;TIME(9,0,0),"Night"
))</f>
        <v/>
      </c>
      <c r="O4287" t="str">
        <f t="shared" si="398"/>
        <v/>
      </c>
    </row>
    <row r="4288" spans="7:15" x14ac:dyDescent="0.25">
      <c r="G4288" t="str">
        <f t="shared" si="396"/>
        <v/>
      </c>
      <c r="H4288" s="13" t="str">
        <f t="shared" si="399"/>
        <v/>
      </c>
      <c r="I4288" t="str">
        <f>IFERROR(INDEX(Analysis!$D$116:$N$137, MATCH(B4288, Analysis!$C$116:$C$137, 0), MATCH(C4288, Analysis!$D$115:$N$115, 0)), "")</f>
        <v/>
      </c>
      <c r="J4288" t="str">
        <f t="shared" si="400"/>
        <v/>
      </c>
      <c r="K4288" s="28" t="str">
        <f t="shared" si="397"/>
        <v/>
      </c>
      <c r="L4288" s="46" t="str">
        <f t="shared" si="401"/>
        <v/>
      </c>
      <c r="M4288" t="str" cm="1">
        <f t="array" ref="M4288">IF(L4288="","",_xlfn.IFS(
  AND(L4288&gt;=TIME(9,0,0), L4288&lt;TIME(16,0,0)),"Morning",
  AND(L4288&gt;=TIME(16,0,0), L4288&lt;TIME(23,59,0)),"Evening",
  L4288&gt;=TIME(23,59,0),"Night",
  L4288&lt;TIME(9,0,0),"Night"
))</f>
        <v/>
      </c>
      <c r="O4288" t="str">
        <f t="shared" si="398"/>
        <v/>
      </c>
    </row>
    <row r="4289" spans="7:15" x14ac:dyDescent="0.25">
      <c r="G4289" t="str">
        <f t="shared" si="396"/>
        <v/>
      </c>
      <c r="H4289" s="13" t="str">
        <f t="shared" si="399"/>
        <v/>
      </c>
      <c r="I4289" t="str">
        <f>IFERROR(INDEX(Analysis!$D$116:$N$137, MATCH(B4289, Analysis!$C$116:$C$137, 0), MATCH(C4289, Analysis!$D$115:$N$115, 0)), "")</f>
        <v/>
      </c>
      <c r="J4289" t="str">
        <f t="shared" si="400"/>
        <v/>
      </c>
      <c r="K4289" s="28" t="str">
        <f t="shared" si="397"/>
        <v/>
      </c>
      <c r="L4289" s="46" t="str">
        <f t="shared" si="401"/>
        <v/>
      </c>
      <c r="M4289" t="str" cm="1">
        <f t="array" ref="M4289">IF(L4289="","",_xlfn.IFS(
  AND(L4289&gt;=TIME(9,0,0), L4289&lt;TIME(16,0,0)),"Morning",
  AND(L4289&gt;=TIME(16,0,0), L4289&lt;TIME(23,59,0)),"Evening",
  L4289&gt;=TIME(23,59,0),"Night",
  L4289&lt;TIME(9,0,0),"Night"
))</f>
        <v/>
      </c>
      <c r="O4289" t="str">
        <f t="shared" si="398"/>
        <v/>
      </c>
    </row>
    <row r="4290" spans="7:15" x14ac:dyDescent="0.25">
      <c r="G4290" t="str">
        <f t="shared" ref="G4290:G4353" si="402">IF(ISBLANK(A4290), "", IF(ISBLANK(F4290), 0, F4290))</f>
        <v/>
      </c>
      <c r="H4290" s="13" t="str">
        <f t="shared" si="399"/>
        <v/>
      </c>
      <c r="I4290" t="str">
        <f>IFERROR(INDEX(Analysis!$D$116:$N$137, MATCH(B4290, Analysis!$C$116:$C$137, 0), MATCH(C4290, Analysis!$D$115:$N$115, 0)), "")</f>
        <v/>
      </c>
      <c r="J4290" t="str">
        <f t="shared" si="400"/>
        <v/>
      </c>
      <c r="K4290" s="28" t="str">
        <f t="shared" ref="K4290:K4353" si="403">IF(ISBLANK(A4290),"",DATE(YEAR(A4290),MONTH(A4290),DAY(A4290)))</f>
        <v/>
      </c>
      <c r="L4290" s="46" t="str">
        <f t="shared" si="401"/>
        <v/>
      </c>
      <c r="M4290" t="str" cm="1">
        <f t="array" ref="M4290">IF(L4290="","",_xlfn.IFS(
  AND(L4290&gt;=TIME(9,0,0), L4290&lt;TIME(16,0,0)),"Morning",
  AND(L4290&gt;=TIME(16,0,0), L4290&lt;TIME(23,59,0)),"Evening",
  L4290&gt;=TIME(23,59,0),"Night",
  L4290&lt;TIME(9,0,0),"Night"
))</f>
        <v/>
      </c>
      <c r="O4290" t="str">
        <f t="shared" ref="O4290:O4353" si="404">IF(N4290="ON", _xlfn.IMAGE(E4290, 1), "")</f>
        <v/>
      </c>
    </row>
    <row r="4291" spans="7:15" x14ac:dyDescent="0.25">
      <c r="G4291" t="str">
        <f t="shared" si="402"/>
        <v/>
      </c>
      <c r="H4291" s="13" t="str">
        <f t="shared" ref="H4291:H4354" si="405">IF(ISBLANK(E4291),"",HYPERLINK(E4291,"Click here"))</f>
        <v/>
      </c>
      <c r="I4291" t="str">
        <f>IFERROR(INDEX(Analysis!$D$116:$N$137, MATCH(B4291, Analysis!$C$116:$C$137, 0), MATCH(C4291, Analysis!$D$115:$N$115, 0)), "")</f>
        <v/>
      </c>
      <c r="J4291" t="str">
        <f t="shared" ref="J4291:J4354" si="406">IF(ISBLANK(A4291),"",WEEKNUM(A4291))</f>
        <v/>
      </c>
      <c r="K4291" s="28" t="str">
        <f t="shared" si="403"/>
        <v/>
      </c>
      <c r="L4291" s="46" t="str">
        <f t="shared" ref="L4291:L4354" si="407">IF(A4291="", "", A4291 - INT(A4291))</f>
        <v/>
      </c>
      <c r="M4291" t="str" cm="1">
        <f t="array" ref="M4291">IF(L4291="","",_xlfn.IFS(
  AND(L4291&gt;=TIME(9,0,0), L4291&lt;TIME(16,0,0)),"Morning",
  AND(L4291&gt;=TIME(16,0,0), L4291&lt;TIME(23,59,0)),"Evening",
  L4291&gt;=TIME(23,59,0),"Night",
  L4291&lt;TIME(9,0,0),"Night"
))</f>
        <v/>
      </c>
      <c r="O4291" t="str">
        <f t="shared" si="404"/>
        <v/>
      </c>
    </row>
    <row r="4292" spans="7:15" x14ac:dyDescent="0.25">
      <c r="G4292" t="str">
        <f t="shared" si="402"/>
        <v/>
      </c>
      <c r="H4292" s="13" t="str">
        <f t="shared" si="405"/>
        <v/>
      </c>
      <c r="I4292" t="str">
        <f>IFERROR(INDEX(Analysis!$D$116:$N$137, MATCH(B4292, Analysis!$C$116:$C$137, 0), MATCH(C4292, Analysis!$D$115:$N$115, 0)), "")</f>
        <v/>
      </c>
      <c r="J4292" t="str">
        <f t="shared" si="406"/>
        <v/>
      </c>
      <c r="K4292" s="28" t="str">
        <f t="shared" si="403"/>
        <v/>
      </c>
      <c r="L4292" s="46" t="str">
        <f t="shared" si="407"/>
        <v/>
      </c>
      <c r="M4292" t="str" cm="1">
        <f t="array" ref="M4292">IF(L4292="","",_xlfn.IFS(
  AND(L4292&gt;=TIME(9,0,0), L4292&lt;TIME(16,0,0)),"Morning",
  AND(L4292&gt;=TIME(16,0,0), L4292&lt;TIME(23,59,0)),"Evening",
  L4292&gt;=TIME(23,59,0),"Night",
  L4292&lt;TIME(9,0,0),"Night"
))</f>
        <v/>
      </c>
      <c r="O4292" t="str">
        <f t="shared" si="404"/>
        <v/>
      </c>
    </row>
    <row r="4293" spans="7:15" x14ac:dyDescent="0.25">
      <c r="G4293" t="str">
        <f t="shared" si="402"/>
        <v/>
      </c>
      <c r="H4293" s="13" t="str">
        <f t="shared" si="405"/>
        <v/>
      </c>
      <c r="I4293" t="str">
        <f>IFERROR(INDEX(Analysis!$D$116:$N$137, MATCH(B4293, Analysis!$C$116:$C$137, 0), MATCH(C4293, Analysis!$D$115:$N$115, 0)), "")</f>
        <v/>
      </c>
      <c r="J4293" t="str">
        <f t="shared" si="406"/>
        <v/>
      </c>
      <c r="K4293" s="28" t="str">
        <f t="shared" si="403"/>
        <v/>
      </c>
      <c r="L4293" s="46" t="str">
        <f t="shared" si="407"/>
        <v/>
      </c>
      <c r="M4293" t="str" cm="1">
        <f t="array" ref="M4293">IF(L4293="","",_xlfn.IFS(
  AND(L4293&gt;=TIME(9,0,0), L4293&lt;TIME(16,0,0)),"Morning",
  AND(L4293&gt;=TIME(16,0,0), L4293&lt;TIME(23,59,0)),"Evening",
  L4293&gt;=TIME(23,59,0),"Night",
  L4293&lt;TIME(9,0,0),"Night"
))</f>
        <v/>
      </c>
      <c r="O4293" t="str">
        <f t="shared" si="404"/>
        <v/>
      </c>
    </row>
    <row r="4294" spans="7:15" x14ac:dyDescent="0.25">
      <c r="G4294" t="str">
        <f t="shared" si="402"/>
        <v/>
      </c>
      <c r="H4294" s="13" t="str">
        <f t="shared" si="405"/>
        <v/>
      </c>
      <c r="I4294" t="str">
        <f>IFERROR(INDEX(Analysis!$D$116:$N$137, MATCH(B4294, Analysis!$C$116:$C$137, 0), MATCH(C4294, Analysis!$D$115:$N$115, 0)), "")</f>
        <v/>
      </c>
      <c r="J4294" t="str">
        <f t="shared" si="406"/>
        <v/>
      </c>
      <c r="K4294" s="28" t="str">
        <f t="shared" si="403"/>
        <v/>
      </c>
      <c r="L4294" s="46" t="str">
        <f t="shared" si="407"/>
        <v/>
      </c>
      <c r="M4294" t="str" cm="1">
        <f t="array" ref="M4294">IF(L4294="","",_xlfn.IFS(
  AND(L4294&gt;=TIME(9,0,0), L4294&lt;TIME(16,0,0)),"Morning",
  AND(L4294&gt;=TIME(16,0,0), L4294&lt;TIME(23,59,0)),"Evening",
  L4294&gt;=TIME(23,59,0),"Night",
  L4294&lt;TIME(9,0,0),"Night"
))</f>
        <v/>
      </c>
      <c r="O4294" t="str">
        <f t="shared" si="404"/>
        <v/>
      </c>
    </row>
    <row r="4295" spans="7:15" x14ac:dyDescent="0.25">
      <c r="G4295" t="str">
        <f t="shared" si="402"/>
        <v/>
      </c>
      <c r="H4295" s="13" t="str">
        <f t="shared" si="405"/>
        <v/>
      </c>
      <c r="I4295" t="str">
        <f>IFERROR(INDEX(Analysis!$D$116:$N$137, MATCH(B4295, Analysis!$C$116:$C$137, 0), MATCH(C4295, Analysis!$D$115:$N$115, 0)), "")</f>
        <v/>
      </c>
      <c r="J4295" t="str">
        <f t="shared" si="406"/>
        <v/>
      </c>
      <c r="K4295" s="28" t="str">
        <f t="shared" si="403"/>
        <v/>
      </c>
      <c r="L4295" s="46" t="str">
        <f t="shared" si="407"/>
        <v/>
      </c>
      <c r="M4295" t="str" cm="1">
        <f t="array" ref="M4295">IF(L4295="","",_xlfn.IFS(
  AND(L4295&gt;=TIME(9,0,0), L4295&lt;TIME(16,0,0)),"Morning",
  AND(L4295&gt;=TIME(16,0,0), L4295&lt;TIME(23,59,0)),"Evening",
  L4295&gt;=TIME(23,59,0),"Night",
  L4295&lt;TIME(9,0,0),"Night"
))</f>
        <v/>
      </c>
      <c r="O4295" t="str">
        <f t="shared" si="404"/>
        <v/>
      </c>
    </row>
    <row r="4296" spans="7:15" x14ac:dyDescent="0.25">
      <c r="G4296" t="str">
        <f t="shared" si="402"/>
        <v/>
      </c>
      <c r="H4296" s="13" t="str">
        <f t="shared" si="405"/>
        <v/>
      </c>
      <c r="I4296" t="str">
        <f>IFERROR(INDEX(Analysis!$D$116:$N$137, MATCH(B4296, Analysis!$C$116:$C$137, 0), MATCH(C4296, Analysis!$D$115:$N$115, 0)), "")</f>
        <v/>
      </c>
      <c r="J4296" t="str">
        <f t="shared" si="406"/>
        <v/>
      </c>
      <c r="K4296" s="28" t="str">
        <f t="shared" si="403"/>
        <v/>
      </c>
      <c r="L4296" s="46" t="str">
        <f t="shared" si="407"/>
        <v/>
      </c>
      <c r="M4296" t="str" cm="1">
        <f t="array" ref="M4296">IF(L4296="","",_xlfn.IFS(
  AND(L4296&gt;=TIME(9,0,0), L4296&lt;TIME(16,0,0)),"Morning",
  AND(L4296&gt;=TIME(16,0,0), L4296&lt;TIME(23,59,0)),"Evening",
  L4296&gt;=TIME(23,59,0),"Night",
  L4296&lt;TIME(9,0,0),"Night"
))</f>
        <v/>
      </c>
      <c r="O4296" t="str">
        <f t="shared" si="404"/>
        <v/>
      </c>
    </row>
    <row r="4297" spans="7:15" x14ac:dyDescent="0.25">
      <c r="G4297" t="str">
        <f t="shared" si="402"/>
        <v/>
      </c>
      <c r="H4297" s="13" t="str">
        <f t="shared" si="405"/>
        <v/>
      </c>
      <c r="I4297" t="str">
        <f>IFERROR(INDEX(Analysis!$D$116:$N$137, MATCH(B4297, Analysis!$C$116:$C$137, 0), MATCH(C4297, Analysis!$D$115:$N$115, 0)), "")</f>
        <v/>
      </c>
      <c r="J4297" t="str">
        <f t="shared" si="406"/>
        <v/>
      </c>
      <c r="K4297" s="28" t="str">
        <f t="shared" si="403"/>
        <v/>
      </c>
      <c r="L4297" s="46" t="str">
        <f t="shared" si="407"/>
        <v/>
      </c>
      <c r="M4297" t="str" cm="1">
        <f t="array" ref="M4297">IF(L4297="","",_xlfn.IFS(
  AND(L4297&gt;=TIME(9,0,0), L4297&lt;TIME(16,0,0)),"Morning",
  AND(L4297&gt;=TIME(16,0,0), L4297&lt;TIME(23,59,0)),"Evening",
  L4297&gt;=TIME(23,59,0),"Night",
  L4297&lt;TIME(9,0,0),"Night"
))</f>
        <v/>
      </c>
      <c r="O4297" t="str">
        <f t="shared" si="404"/>
        <v/>
      </c>
    </row>
    <row r="4298" spans="7:15" x14ac:dyDescent="0.25">
      <c r="G4298" t="str">
        <f t="shared" si="402"/>
        <v/>
      </c>
      <c r="H4298" s="13" t="str">
        <f t="shared" si="405"/>
        <v/>
      </c>
      <c r="I4298" t="str">
        <f>IFERROR(INDEX(Analysis!$D$116:$N$137, MATCH(B4298, Analysis!$C$116:$C$137, 0), MATCH(C4298, Analysis!$D$115:$N$115, 0)), "")</f>
        <v/>
      </c>
      <c r="J4298" t="str">
        <f t="shared" si="406"/>
        <v/>
      </c>
      <c r="K4298" s="28" t="str">
        <f t="shared" si="403"/>
        <v/>
      </c>
      <c r="L4298" s="46" t="str">
        <f t="shared" si="407"/>
        <v/>
      </c>
      <c r="M4298" t="str" cm="1">
        <f t="array" ref="M4298">IF(L4298="","",_xlfn.IFS(
  AND(L4298&gt;=TIME(9,0,0), L4298&lt;TIME(16,0,0)),"Morning",
  AND(L4298&gt;=TIME(16,0,0), L4298&lt;TIME(23,59,0)),"Evening",
  L4298&gt;=TIME(23,59,0),"Night",
  L4298&lt;TIME(9,0,0),"Night"
))</f>
        <v/>
      </c>
      <c r="O4298" t="str">
        <f t="shared" si="404"/>
        <v/>
      </c>
    </row>
    <row r="4299" spans="7:15" x14ac:dyDescent="0.25">
      <c r="G4299" t="str">
        <f t="shared" si="402"/>
        <v/>
      </c>
      <c r="H4299" s="13" t="str">
        <f t="shared" si="405"/>
        <v/>
      </c>
      <c r="I4299" t="str">
        <f>IFERROR(INDEX(Analysis!$D$116:$N$137, MATCH(B4299, Analysis!$C$116:$C$137, 0), MATCH(C4299, Analysis!$D$115:$N$115, 0)), "")</f>
        <v/>
      </c>
      <c r="J4299" t="str">
        <f t="shared" si="406"/>
        <v/>
      </c>
      <c r="K4299" s="28" t="str">
        <f t="shared" si="403"/>
        <v/>
      </c>
      <c r="L4299" s="46" t="str">
        <f t="shared" si="407"/>
        <v/>
      </c>
      <c r="M4299" t="str" cm="1">
        <f t="array" ref="M4299">IF(L4299="","",_xlfn.IFS(
  AND(L4299&gt;=TIME(9,0,0), L4299&lt;TIME(16,0,0)),"Morning",
  AND(L4299&gt;=TIME(16,0,0), L4299&lt;TIME(23,59,0)),"Evening",
  L4299&gt;=TIME(23,59,0),"Night",
  L4299&lt;TIME(9,0,0),"Night"
))</f>
        <v/>
      </c>
      <c r="O4299" t="str">
        <f t="shared" si="404"/>
        <v/>
      </c>
    </row>
    <row r="4300" spans="7:15" x14ac:dyDescent="0.25">
      <c r="G4300" t="str">
        <f t="shared" si="402"/>
        <v/>
      </c>
      <c r="H4300" s="13" t="str">
        <f t="shared" si="405"/>
        <v/>
      </c>
      <c r="I4300" t="str">
        <f>IFERROR(INDEX(Analysis!$D$116:$N$137, MATCH(B4300, Analysis!$C$116:$C$137, 0), MATCH(C4300, Analysis!$D$115:$N$115, 0)), "")</f>
        <v/>
      </c>
      <c r="J4300" t="str">
        <f t="shared" si="406"/>
        <v/>
      </c>
      <c r="K4300" s="28" t="str">
        <f t="shared" si="403"/>
        <v/>
      </c>
      <c r="L4300" s="46" t="str">
        <f t="shared" si="407"/>
        <v/>
      </c>
      <c r="M4300" t="str" cm="1">
        <f t="array" ref="M4300">IF(L4300="","",_xlfn.IFS(
  AND(L4300&gt;=TIME(9,0,0), L4300&lt;TIME(16,0,0)),"Morning",
  AND(L4300&gt;=TIME(16,0,0), L4300&lt;TIME(23,59,0)),"Evening",
  L4300&gt;=TIME(23,59,0),"Night",
  L4300&lt;TIME(9,0,0),"Night"
))</f>
        <v/>
      </c>
      <c r="O4300" t="str">
        <f t="shared" si="404"/>
        <v/>
      </c>
    </row>
    <row r="4301" spans="7:15" x14ac:dyDescent="0.25">
      <c r="G4301" t="str">
        <f t="shared" si="402"/>
        <v/>
      </c>
      <c r="H4301" s="13" t="str">
        <f t="shared" si="405"/>
        <v/>
      </c>
      <c r="I4301" t="str">
        <f>IFERROR(INDEX(Analysis!$D$116:$N$137, MATCH(B4301, Analysis!$C$116:$C$137, 0), MATCH(C4301, Analysis!$D$115:$N$115, 0)), "")</f>
        <v/>
      </c>
      <c r="J4301" t="str">
        <f t="shared" si="406"/>
        <v/>
      </c>
      <c r="K4301" s="28" t="str">
        <f t="shared" si="403"/>
        <v/>
      </c>
      <c r="L4301" s="46" t="str">
        <f t="shared" si="407"/>
        <v/>
      </c>
      <c r="M4301" t="str" cm="1">
        <f t="array" ref="M4301">IF(L4301="","",_xlfn.IFS(
  AND(L4301&gt;=TIME(9,0,0), L4301&lt;TIME(16,0,0)),"Morning",
  AND(L4301&gt;=TIME(16,0,0), L4301&lt;TIME(23,59,0)),"Evening",
  L4301&gt;=TIME(23,59,0),"Night",
  L4301&lt;TIME(9,0,0),"Night"
))</f>
        <v/>
      </c>
      <c r="O4301" t="str">
        <f t="shared" si="404"/>
        <v/>
      </c>
    </row>
    <row r="4302" spans="7:15" x14ac:dyDescent="0.25">
      <c r="G4302" t="str">
        <f t="shared" si="402"/>
        <v/>
      </c>
      <c r="H4302" s="13" t="str">
        <f t="shared" si="405"/>
        <v/>
      </c>
      <c r="I4302" t="str">
        <f>IFERROR(INDEX(Analysis!$D$116:$N$137, MATCH(B4302, Analysis!$C$116:$C$137, 0), MATCH(C4302, Analysis!$D$115:$N$115, 0)), "")</f>
        <v/>
      </c>
      <c r="J4302" t="str">
        <f t="shared" si="406"/>
        <v/>
      </c>
      <c r="K4302" s="28" t="str">
        <f t="shared" si="403"/>
        <v/>
      </c>
      <c r="L4302" s="46" t="str">
        <f t="shared" si="407"/>
        <v/>
      </c>
      <c r="M4302" t="str" cm="1">
        <f t="array" ref="M4302">IF(L4302="","",_xlfn.IFS(
  AND(L4302&gt;=TIME(9,0,0), L4302&lt;TIME(16,0,0)),"Morning",
  AND(L4302&gt;=TIME(16,0,0), L4302&lt;TIME(23,59,0)),"Evening",
  L4302&gt;=TIME(23,59,0),"Night",
  L4302&lt;TIME(9,0,0),"Night"
))</f>
        <v/>
      </c>
      <c r="O4302" t="str">
        <f t="shared" si="404"/>
        <v/>
      </c>
    </row>
    <row r="4303" spans="7:15" x14ac:dyDescent="0.25">
      <c r="G4303" t="str">
        <f t="shared" si="402"/>
        <v/>
      </c>
      <c r="H4303" s="13" t="str">
        <f t="shared" si="405"/>
        <v/>
      </c>
      <c r="I4303" t="str">
        <f>IFERROR(INDEX(Analysis!$D$116:$N$137, MATCH(B4303, Analysis!$C$116:$C$137, 0), MATCH(C4303, Analysis!$D$115:$N$115, 0)), "")</f>
        <v/>
      </c>
      <c r="J4303" t="str">
        <f t="shared" si="406"/>
        <v/>
      </c>
      <c r="K4303" s="28" t="str">
        <f t="shared" si="403"/>
        <v/>
      </c>
      <c r="L4303" s="46" t="str">
        <f t="shared" si="407"/>
        <v/>
      </c>
      <c r="M4303" t="str" cm="1">
        <f t="array" ref="M4303">IF(L4303="","",_xlfn.IFS(
  AND(L4303&gt;=TIME(9,0,0), L4303&lt;TIME(16,0,0)),"Morning",
  AND(L4303&gt;=TIME(16,0,0), L4303&lt;TIME(23,59,0)),"Evening",
  L4303&gt;=TIME(23,59,0),"Night",
  L4303&lt;TIME(9,0,0),"Night"
))</f>
        <v/>
      </c>
      <c r="O4303" t="str">
        <f t="shared" si="404"/>
        <v/>
      </c>
    </row>
    <row r="4304" spans="7:15" x14ac:dyDescent="0.25">
      <c r="G4304" t="str">
        <f t="shared" si="402"/>
        <v/>
      </c>
      <c r="H4304" s="13" t="str">
        <f t="shared" si="405"/>
        <v/>
      </c>
      <c r="I4304" t="str">
        <f>IFERROR(INDEX(Analysis!$D$116:$N$137, MATCH(B4304, Analysis!$C$116:$C$137, 0), MATCH(C4304, Analysis!$D$115:$N$115, 0)), "")</f>
        <v/>
      </c>
      <c r="J4304" t="str">
        <f t="shared" si="406"/>
        <v/>
      </c>
      <c r="K4304" s="28" t="str">
        <f t="shared" si="403"/>
        <v/>
      </c>
      <c r="L4304" s="46" t="str">
        <f t="shared" si="407"/>
        <v/>
      </c>
      <c r="M4304" t="str" cm="1">
        <f t="array" ref="M4304">IF(L4304="","",_xlfn.IFS(
  AND(L4304&gt;=TIME(9,0,0), L4304&lt;TIME(16,0,0)),"Morning",
  AND(L4304&gt;=TIME(16,0,0), L4304&lt;TIME(23,59,0)),"Evening",
  L4304&gt;=TIME(23,59,0),"Night",
  L4304&lt;TIME(9,0,0),"Night"
))</f>
        <v/>
      </c>
      <c r="O4304" t="str">
        <f t="shared" si="404"/>
        <v/>
      </c>
    </row>
    <row r="4305" spans="7:15" x14ac:dyDescent="0.25">
      <c r="G4305" t="str">
        <f t="shared" si="402"/>
        <v/>
      </c>
      <c r="H4305" s="13" t="str">
        <f t="shared" si="405"/>
        <v/>
      </c>
      <c r="I4305" t="str">
        <f>IFERROR(INDEX(Analysis!$D$116:$N$137, MATCH(B4305, Analysis!$C$116:$C$137, 0), MATCH(C4305, Analysis!$D$115:$N$115, 0)), "")</f>
        <v/>
      </c>
      <c r="J4305" t="str">
        <f t="shared" si="406"/>
        <v/>
      </c>
      <c r="K4305" s="28" t="str">
        <f t="shared" si="403"/>
        <v/>
      </c>
      <c r="L4305" s="46" t="str">
        <f t="shared" si="407"/>
        <v/>
      </c>
      <c r="M4305" t="str" cm="1">
        <f t="array" ref="M4305">IF(L4305="","",_xlfn.IFS(
  AND(L4305&gt;=TIME(9,0,0), L4305&lt;TIME(16,0,0)),"Morning",
  AND(L4305&gt;=TIME(16,0,0), L4305&lt;TIME(23,59,0)),"Evening",
  L4305&gt;=TIME(23,59,0),"Night",
  L4305&lt;TIME(9,0,0),"Night"
))</f>
        <v/>
      </c>
      <c r="O4305" t="str">
        <f t="shared" si="404"/>
        <v/>
      </c>
    </row>
    <row r="4306" spans="7:15" x14ac:dyDescent="0.25">
      <c r="G4306" t="str">
        <f t="shared" si="402"/>
        <v/>
      </c>
      <c r="H4306" s="13" t="str">
        <f t="shared" si="405"/>
        <v/>
      </c>
      <c r="I4306" t="str">
        <f>IFERROR(INDEX(Analysis!$D$116:$N$137, MATCH(B4306, Analysis!$C$116:$C$137, 0), MATCH(C4306, Analysis!$D$115:$N$115, 0)), "")</f>
        <v/>
      </c>
      <c r="J4306" t="str">
        <f t="shared" si="406"/>
        <v/>
      </c>
      <c r="K4306" s="28" t="str">
        <f t="shared" si="403"/>
        <v/>
      </c>
      <c r="L4306" s="46" t="str">
        <f t="shared" si="407"/>
        <v/>
      </c>
      <c r="M4306" t="str" cm="1">
        <f t="array" ref="M4306">IF(L4306="","",_xlfn.IFS(
  AND(L4306&gt;=TIME(9,0,0), L4306&lt;TIME(16,0,0)),"Morning",
  AND(L4306&gt;=TIME(16,0,0), L4306&lt;TIME(23,59,0)),"Evening",
  L4306&gt;=TIME(23,59,0),"Night",
  L4306&lt;TIME(9,0,0),"Night"
))</f>
        <v/>
      </c>
      <c r="O4306" t="str">
        <f t="shared" si="404"/>
        <v/>
      </c>
    </row>
    <row r="4307" spans="7:15" x14ac:dyDescent="0.25">
      <c r="G4307" t="str">
        <f t="shared" si="402"/>
        <v/>
      </c>
      <c r="H4307" s="13" t="str">
        <f t="shared" si="405"/>
        <v/>
      </c>
      <c r="I4307" t="str">
        <f>IFERROR(INDEX(Analysis!$D$116:$N$137, MATCH(B4307, Analysis!$C$116:$C$137, 0), MATCH(C4307, Analysis!$D$115:$N$115, 0)), "")</f>
        <v/>
      </c>
      <c r="J4307" t="str">
        <f t="shared" si="406"/>
        <v/>
      </c>
      <c r="K4307" s="28" t="str">
        <f t="shared" si="403"/>
        <v/>
      </c>
      <c r="L4307" s="46" t="str">
        <f t="shared" si="407"/>
        <v/>
      </c>
      <c r="M4307" t="str" cm="1">
        <f t="array" ref="M4307">IF(L4307="","",_xlfn.IFS(
  AND(L4307&gt;=TIME(9,0,0), L4307&lt;TIME(16,0,0)),"Morning",
  AND(L4307&gt;=TIME(16,0,0), L4307&lt;TIME(23,59,0)),"Evening",
  L4307&gt;=TIME(23,59,0),"Night",
  L4307&lt;TIME(9,0,0),"Night"
))</f>
        <v/>
      </c>
      <c r="O4307" t="str">
        <f t="shared" si="404"/>
        <v/>
      </c>
    </row>
    <row r="4308" spans="7:15" x14ac:dyDescent="0.25">
      <c r="G4308" t="str">
        <f t="shared" si="402"/>
        <v/>
      </c>
      <c r="H4308" s="13" t="str">
        <f t="shared" si="405"/>
        <v/>
      </c>
      <c r="I4308" t="str">
        <f>IFERROR(INDEX(Analysis!$D$116:$N$137, MATCH(B4308, Analysis!$C$116:$C$137, 0), MATCH(C4308, Analysis!$D$115:$N$115, 0)), "")</f>
        <v/>
      </c>
      <c r="J4308" t="str">
        <f t="shared" si="406"/>
        <v/>
      </c>
      <c r="K4308" s="28" t="str">
        <f t="shared" si="403"/>
        <v/>
      </c>
      <c r="L4308" s="46" t="str">
        <f t="shared" si="407"/>
        <v/>
      </c>
      <c r="M4308" t="str" cm="1">
        <f t="array" ref="M4308">IF(L4308="","",_xlfn.IFS(
  AND(L4308&gt;=TIME(9,0,0), L4308&lt;TIME(16,0,0)),"Morning",
  AND(L4308&gt;=TIME(16,0,0), L4308&lt;TIME(23,59,0)),"Evening",
  L4308&gt;=TIME(23,59,0),"Night",
  L4308&lt;TIME(9,0,0),"Night"
))</f>
        <v/>
      </c>
      <c r="O4308" t="str">
        <f t="shared" si="404"/>
        <v/>
      </c>
    </row>
    <row r="4309" spans="7:15" x14ac:dyDescent="0.25">
      <c r="G4309" t="str">
        <f t="shared" si="402"/>
        <v/>
      </c>
      <c r="H4309" s="13" t="str">
        <f t="shared" si="405"/>
        <v/>
      </c>
      <c r="I4309" t="str">
        <f>IFERROR(INDEX(Analysis!$D$116:$N$137, MATCH(B4309, Analysis!$C$116:$C$137, 0), MATCH(C4309, Analysis!$D$115:$N$115, 0)), "")</f>
        <v/>
      </c>
      <c r="J4309" t="str">
        <f t="shared" si="406"/>
        <v/>
      </c>
      <c r="K4309" s="28" t="str">
        <f t="shared" si="403"/>
        <v/>
      </c>
      <c r="L4309" s="46" t="str">
        <f t="shared" si="407"/>
        <v/>
      </c>
      <c r="M4309" t="str" cm="1">
        <f t="array" ref="M4309">IF(L4309="","",_xlfn.IFS(
  AND(L4309&gt;=TIME(9,0,0), L4309&lt;TIME(16,0,0)),"Morning",
  AND(L4309&gt;=TIME(16,0,0), L4309&lt;TIME(23,59,0)),"Evening",
  L4309&gt;=TIME(23,59,0),"Night",
  L4309&lt;TIME(9,0,0),"Night"
))</f>
        <v/>
      </c>
      <c r="O4309" t="str">
        <f t="shared" si="404"/>
        <v/>
      </c>
    </row>
    <row r="4310" spans="7:15" x14ac:dyDescent="0.25">
      <c r="G4310" t="str">
        <f t="shared" si="402"/>
        <v/>
      </c>
      <c r="H4310" s="13" t="str">
        <f t="shared" si="405"/>
        <v/>
      </c>
      <c r="I4310" t="str">
        <f>IFERROR(INDEX(Analysis!$D$116:$N$137, MATCH(B4310, Analysis!$C$116:$C$137, 0), MATCH(C4310, Analysis!$D$115:$N$115, 0)), "")</f>
        <v/>
      </c>
      <c r="J4310" t="str">
        <f t="shared" si="406"/>
        <v/>
      </c>
      <c r="K4310" s="28" t="str">
        <f t="shared" si="403"/>
        <v/>
      </c>
      <c r="L4310" s="46" t="str">
        <f t="shared" si="407"/>
        <v/>
      </c>
      <c r="M4310" t="str" cm="1">
        <f t="array" ref="M4310">IF(L4310="","",_xlfn.IFS(
  AND(L4310&gt;=TIME(9,0,0), L4310&lt;TIME(16,0,0)),"Morning",
  AND(L4310&gt;=TIME(16,0,0), L4310&lt;TIME(23,59,0)),"Evening",
  L4310&gt;=TIME(23,59,0),"Night",
  L4310&lt;TIME(9,0,0),"Night"
))</f>
        <v/>
      </c>
      <c r="O4310" t="str">
        <f t="shared" si="404"/>
        <v/>
      </c>
    </row>
    <row r="4311" spans="7:15" x14ac:dyDescent="0.25">
      <c r="G4311" t="str">
        <f t="shared" si="402"/>
        <v/>
      </c>
      <c r="H4311" s="13" t="str">
        <f t="shared" si="405"/>
        <v/>
      </c>
      <c r="I4311" t="str">
        <f>IFERROR(INDEX(Analysis!$D$116:$N$137, MATCH(B4311, Analysis!$C$116:$C$137, 0), MATCH(C4311, Analysis!$D$115:$N$115, 0)), "")</f>
        <v/>
      </c>
      <c r="J4311" t="str">
        <f t="shared" si="406"/>
        <v/>
      </c>
      <c r="K4311" s="28" t="str">
        <f t="shared" si="403"/>
        <v/>
      </c>
      <c r="L4311" s="46" t="str">
        <f t="shared" si="407"/>
        <v/>
      </c>
      <c r="M4311" t="str" cm="1">
        <f t="array" ref="M4311">IF(L4311="","",_xlfn.IFS(
  AND(L4311&gt;=TIME(9,0,0), L4311&lt;TIME(16,0,0)),"Morning",
  AND(L4311&gt;=TIME(16,0,0), L4311&lt;TIME(23,59,0)),"Evening",
  L4311&gt;=TIME(23,59,0),"Night",
  L4311&lt;TIME(9,0,0),"Night"
))</f>
        <v/>
      </c>
      <c r="O4311" t="str">
        <f t="shared" si="404"/>
        <v/>
      </c>
    </row>
    <row r="4312" spans="7:15" x14ac:dyDescent="0.25">
      <c r="G4312" t="str">
        <f t="shared" si="402"/>
        <v/>
      </c>
      <c r="H4312" s="13" t="str">
        <f t="shared" si="405"/>
        <v/>
      </c>
      <c r="I4312" t="str">
        <f>IFERROR(INDEX(Analysis!$D$116:$N$137, MATCH(B4312, Analysis!$C$116:$C$137, 0), MATCH(C4312, Analysis!$D$115:$N$115, 0)), "")</f>
        <v/>
      </c>
      <c r="J4312" t="str">
        <f t="shared" si="406"/>
        <v/>
      </c>
      <c r="K4312" s="28" t="str">
        <f t="shared" si="403"/>
        <v/>
      </c>
      <c r="L4312" s="46" t="str">
        <f t="shared" si="407"/>
        <v/>
      </c>
      <c r="M4312" t="str" cm="1">
        <f t="array" ref="M4312">IF(L4312="","",_xlfn.IFS(
  AND(L4312&gt;=TIME(9,0,0), L4312&lt;TIME(16,0,0)),"Morning",
  AND(L4312&gt;=TIME(16,0,0), L4312&lt;TIME(23,59,0)),"Evening",
  L4312&gt;=TIME(23,59,0),"Night",
  L4312&lt;TIME(9,0,0),"Night"
))</f>
        <v/>
      </c>
      <c r="O4312" t="str">
        <f t="shared" si="404"/>
        <v/>
      </c>
    </row>
    <row r="4313" spans="7:15" x14ac:dyDescent="0.25">
      <c r="G4313" t="str">
        <f t="shared" si="402"/>
        <v/>
      </c>
      <c r="H4313" s="13" t="str">
        <f t="shared" si="405"/>
        <v/>
      </c>
      <c r="I4313" t="str">
        <f>IFERROR(INDEX(Analysis!$D$116:$N$137, MATCH(B4313, Analysis!$C$116:$C$137, 0), MATCH(C4313, Analysis!$D$115:$N$115, 0)), "")</f>
        <v/>
      </c>
      <c r="J4313" t="str">
        <f t="shared" si="406"/>
        <v/>
      </c>
      <c r="K4313" s="28" t="str">
        <f t="shared" si="403"/>
        <v/>
      </c>
      <c r="L4313" s="46" t="str">
        <f t="shared" si="407"/>
        <v/>
      </c>
      <c r="M4313" t="str" cm="1">
        <f t="array" ref="M4313">IF(L4313="","",_xlfn.IFS(
  AND(L4313&gt;=TIME(9,0,0), L4313&lt;TIME(16,0,0)),"Morning",
  AND(L4313&gt;=TIME(16,0,0), L4313&lt;TIME(23,59,0)),"Evening",
  L4313&gt;=TIME(23,59,0),"Night",
  L4313&lt;TIME(9,0,0),"Night"
))</f>
        <v/>
      </c>
      <c r="O4313" t="str">
        <f t="shared" si="404"/>
        <v/>
      </c>
    </row>
    <row r="4314" spans="7:15" x14ac:dyDescent="0.25">
      <c r="G4314" t="str">
        <f t="shared" si="402"/>
        <v/>
      </c>
      <c r="H4314" s="13" t="str">
        <f t="shared" si="405"/>
        <v/>
      </c>
      <c r="I4314" t="str">
        <f>IFERROR(INDEX(Analysis!$D$116:$N$137, MATCH(B4314, Analysis!$C$116:$C$137, 0), MATCH(C4314, Analysis!$D$115:$N$115, 0)), "")</f>
        <v/>
      </c>
      <c r="J4314" t="str">
        <f t="shared" si="406"/>
        <v/>
      </c>
      <c r="K4314" s="28" t="str">
        <f t="shared" si="403"/>
        <v/>
      </c>
      <c r="L4314" s="46" t="str">
        <f t="shared" si="407"/>
        <v/>
      </c>
      <c r="M4314" t="str" cm="1">
        <f t="array" ref="M4314">IF(L4314="","",_xlfn.IFS(
  AND(L4314&gt;=TIME(9,0,0), L4314&lt;TIME(16,0,0)),"Morning",
  AND(L4314&gt;=TIME(16,0,0), L4314&lt;TIME(23,59,0)),"Evening",
  L4314&gt;=TIME(23,59,0),"Night",
  L4314&lt;TIME(9,0,0),"Night"
))</f>
        <v/>
      </c>
      <c r="O4314" t="str">
        <f t="shared" si="404"/>
        <v/>
      </c>
    </row>
    <row r="4315" spans="7:15" x14ac:dyDescent="0.25">
      <c r="G4315" t="str">
        <f t="shared" si="402"/>
        <v/>
      </c>
      <c r="H4315" s="13" t="str">
        <f t="shared" si="405"/>
        <v/>
      </c>
      <c r="I4315" t="str">
        <f>IFERROR(INDEX(Analysis!$D$116:$N$137, MATCH(B4315, Analysis!$C$116:$C$137, 0), MATCH(C4315, Analysis!$D$115:$N$115, 0)), "")</f>
        <v/>
      </c>
      <c r="J4315" t="str">
        <f t="shared" si="406"/>
        <v/>
      </c>
      <c r="K4315" s="28" t="str">
        <f t="shared" si="403"/>
        <v/>
      </c>
      <c r="L4315" s="46" t="str">
        <f t="shared" si="407"/>
        <v/>
      </c>
      <c r="M4315" t="str" cm="1">
        <f t="array" ref="M4315">IF(L4315="","",_xlfn.IFS(
  AND(L4315&gt;=TIME(9,0,0), L4315&lt;TIME(16,0,0)),"Morning",
  AND(L4315&gt;=TIME(16,0,0), L4315&lt;TIME(23,59,0)),"Evening",
  L4315&gt;=TIME(23,59,0),"Night",
  L4315&lt;TIME(9,0,0),"Night"
))</f>
        <v/>
      </c>
      <c r="O4315" t="str">
        <f t="shared" si="404"/>
        <v/>
      </c>
    </row>
    <row r="4316" spans="7:15" x14ac:dyDescent="0.25">
      <c r="G4316" t="str">
        <f t="shared" si="402"/>
        <v/>
      </c>
      <c r="H4316" s="13" t="str">
        <f t="shared" si="405"/>
        <v/>
      </c>
      <c r="I4316" t="str">
        <f>IFERROR(INDEX(Analysis!$D$116:$N$137, MATCH(B4316, Analysis!$C$116:$C$137, 0), MATCH(C4316, Analysis!$D$115:$N$115, 0)), "")</f>
        <v/>
      </c>
      <c r="J4316" t="str">
        <f t="shared" si="406"/>
        <v/>
      </c>
      <c r="K4316" s="28" t="str">
        <f t="shared" si="403"/>
        <v/>
      </c>
      <c r="L4316" s="46" t="str">
        <f t="shared" si="407"/>
        <v/>
      </c>
      <c r="M4316" t="str" cm="1">
        <f t="array" ref="M4316">IF(L4316="","",_xlfn.IFS(
  AND(L4316&gt;=TIME(9,0,0), L4316&lt;TIME(16,0,0)),"Morning",
  AND(L4316&gt;=TIME(16,0,0), L4316&lt;TIME(23,59,0)),"Evening",
  L4316&gt;=TIME(23,59,0),"Night",
  L4316&lt;TIME(9,0,0),"Night"
))</f>
        <v/>
      </c>
      <c r="O4316" t="str">
        <f t="shared" si="404"/>
        <v/>
      </c>
    </row>
    <row r="4317" spans="7:15" x14ac:dyDescent="0.25">
      <c r="G4317" t="str">
        <f t="shared" si="402"/>
        <v/>
      </c>
      <c r="H4317" s="13" t="str">
        <f t="shared" si="405"/>
        <v/>
      </c>
      <c r="I4317" t="str">
        <f>IFERROR(INDEX(Analysis!$D$116:$N$137, MATCH(B4317, Analysis!$C$116:$C$137, 0), MATCH(C4317, Analysis!$D$115:$N$115, 0)), "")</f>
        <v/>
      </c>
      <c r="J4317" t="str">
        <f t="shared" si="406"/>
        <v/>
      </c>
      <c r="K4317" s="28" t="str">
        <f t="shared" si="403"/>
        <v/>
      </c>
      <c r="L4317" s="46" t="str">
        <f t="shared" si="407"/>
        <v/>
      </c>
      <c r="M4317" t="str" cm="1">
        <f t="array" ref="M4317">IF(L4317="","",_xlfn.IFS(
  AND(L4317&gt;=TIME(9,0,0), L4317&lt;TIME(16,0,0)),"Morning",
  AND(L4317&gt;=TIME(16,0,0), L4317&lt;TIME(23,59,0)),"Evening",
  L4317&gt;=TIME(23,59,0),"Night",
  L4317&lt;TIME(9,0,0),"Night"
))</f>
        <v/>
      </c>
      <c r="O4317" t="str">
        <f t="shared" si="404"/>
        <v/>
      </c>
    </row>
    <row r="4318" spans="7:15" x14ac:dyDescent="0.25">
      <c r="G4318" t="str">
        <f t="shared" si="402"/>
        <v/>
      </c>
      <c r="H4318" s="13" t="str">
        <f t="shared" si="405"/>
        <v/>
      </c>
      <c r="I4318" t="str">
        <f>IFERROR(INDEX(Analysis!$D$116:$N$137, MATCH(B4318, Analysis!$C$116:$C$137, 0), MATCH(C4318, Analysis!$D$115:$N$115, 0)), "")</f>
        <v/>
      </c>
      <c r="J4318" t="str">
        <f t="shared" si="406"/>
        <v/>
      </c>
      <c r="K4318" s="28" t="str">
        <f t="shared" si="403"/>
        <v/>
      </c>
      <c r="L4318" s="46" t="str">
        <f t="shared" si="407"/>
        <v/>
      </c>
      <c r="M4318" t="str" cm="1">
        <f t="array" ref="M4318">IF(L4318="","",_xlfn.IFS(
  AND(L4318&gt;=TIME(9,0,0), L4318&lt;TIME(16,0,0)),"Morning",
  AND(L4318&gt;=TIME(16,0,0), L4318&lt;TIME(23,59,0)),"Evening",
  L4318&gt;=TIME(23,59,0),"Night",
  L4318&lt;TIME(9,0,0),"Night"
))</f>
        <v/>
      </c>
      <c r="O4318" t="str">
        <f t="shared" si="404"/>
        <v/>
      </c>
    </row>
    <row r="4319" spans="7:15" x14ac:dyDescent="0.25">
      <c r="G4319" t="str">
        <f t="shared" si="402"/>
        <v/>
      </c>
      <c r="H4319" s="13" t="str">
        <f t="shared" si="405"/>
        <v/>
      </c>
      <c r="I4319" t="str">
        <f>IFERROR(INDEX(Analysis!$D$116:$N$137, MATCH(B4319, Analysis!$C$116:$C$137, 0), MATCH(C4319, Analysis!$D$115:$N$115, 0)), "")</f>
        <v/>
      </c>
      <c r="J4319" t="str">
        <f t="shared" si="406"/>
        <v/>
      </c>
      <c r="K4319" s="28" t="str">
        <f t="shared" si="403"/>
        <v/>
      </c>
      <c r="L4319" s="46" t="str">
        <f t="shared" si="407"/>
        <v/>
      </c>
      <c r="M4319" t="str" cm="1">
        <f t="array" ref="M4319">IF(L4319="","",_xlfn.IFS(
  AND(L4319&gt;=TIME(9,0,0), L4319&lt;TIME(16,0,0)),"Morning",
  AND(L4319&gt;=TIME(16,0,0), L4319&lt;TIME(23,59,0)),"Evening",
  L4319&gt;=TIME(23,59,0),"Night",
  L4319&lt;TIME(9,0,0),"Night"
))</f>
        <v/>
      </c>
      <c r="O4319" t="str">
        <f t="shared" si="404"/>
        <v/>
      </c>
    </row>
    <row r="4320" spans="7:15" x14ac:dyDescent="0.25">
      <c r="G4320" t="str">
        <f t="shared" si="402"/>
        <v/>
      </c>
      <c r="H4320" s="13" t="str">
        <f t="shared" si="405"/>
        <v/>
      </c>
      <c r="I4320" t="str">
        <f>IFERROR(INDEX(Analysis!$D$116:$N$137, MATCH(B4320, Analysis!$C$116:$C$137, 0), MATCH(C4320, Analysis!$D$115:$N$115, 0)), "")</f>
        <v/>
      </c>
      <c r="J4320" t="str">
        <f t="shared" si="406"/>
        <v/>
      </c>
      <c r="K4320" s="28" t="str">
        <f t="shared" si="403"/>
        <v/>
      </c>
      <c r="L4320" s="46" t="str">
        <f t="shared" si="407"/>
        <v/>
      </c>
      <c r="M4320" t="str" cm="1">
        <f t="array" ref="M4320">IF(L4320="","",_xlfn.IFS(
  AND(L4320&gt;=TIME(9,0,0), L4320&lt;TIME(16,0,0)),"Morning",
  AND(L4320&gt;=TIME(16,0,0), L4320&lt;TIME(23,59,0)),"Evening",
  L4320&gt;=TIME(23,59,0),"Night",
  L4320&lt;TIME(9,0,0),"Night"
))</f>
        <v/>
      </c>
      <c r="O4320" t="str">
        <f t="shared" si="404"/>
        <v/>
      </c>
    </row>
    <row r="4321" spans="7:15" x14ac:dyDescent="0.25">
      <c r="G4321" t="str">
        <f t="shared" si="402"/>
        <v/>
      </c>
      <c r="H4321" s="13" t="str">
        <f t="shared" si="405"/>
        <v/>
      </c>
      <c r="I4321" t="str">
        <f>IFERROR(INDEX(Analysis!$D$116:$N$137, MATCH(B4321, Analysis!$C$116:$C$137, 0), MATCH(C4321, Analysis!$D$115:$N$115, 0)), "")</f>
        <v/>
      </c>
      <c r="J4321" t="str">
        <f t="shared" si="406"/>
        <v/>
      </c>
      <c r="K4321" s="28" t="str">
        <f t="shared" si="403"/>
        <v/>
      </c>
      <c r="L4321" s="46" t="str">
        <f t="shared" si="407"/>
        <v/>
      </c>
      <c r="M4321" t="str" cm="1">
        <f t="array" ref="M4321">IF(L4321="","",_xlfn.IFS(
  AND(L4321&gt;=TIME(9,0,0), L4321&lt;TIME(16,0,0)),"Morning",
  AND(L4321&gt;=TIME(16,0,0), L4321&lt;TIME(23,59,0)),"Evening",
  L4321&gt;=TIME(23,59,0),"Night",
  L4321&lt;TIME(9,0,0),"Night"
))</f>
        <v/>
      </c>
      <c r="O4321" t="str">
        <f t="shared" si="404"/>
        <v/>
      </c>
    </row>
    <row r="4322" spans="7:15" x14ac:dyDescent="0.25">
      <c r="G4322" t="str">
        <f t="shared" si="402"/>
        <v/>
      </c>
      <c r="H4322" s="13" t="str">
        <f t="shared" si="405"/>
        <v/>
      </c>
      <c r="I4322" t="str">
        <f>IFERROR(INDEX(Analysis!$D$116:$N$137, MATCH(B4322, Analysis!$C$116:$C$137, 0), MATCH(C4322, Analysis!$D$115:$N$115, 0)), "")</f>
        <v/>
      </c>
      <c r="J4322" t="str">
        <f t="shared" si="406"/>
        <v/>
      </c>
      <c r="K4322" s="28" t="str">
        <f t="shared" si="403"/>
        <v/>
      </c>
      <c r="L4322" s="46" t="str">
        <f t="shared" si="407"/>
        <v/>
      </c>
      <c r="M4322" t="str" cm="1">
        <f t="array" ref="M4322">IF(L4322="","",_xlfn.IFS(
  AND(L4322&gt;=TIME(9,0,0), L4322&lt;TIME(16,0,0)),"Morning",
  AND(L4322&gt;=TIME(16,0,0), L4322&lt;TIME(23,59,0)),"Evening",
  L4322&gt;=TIME(23,59,0),"Night",
  L4322&lt;TIME(9,0,0),"Night"
))</f>
        <v/>
      </c>
      <c r="O4322" t="str">
        <f t="shared" si="404"/>
        <v/>
      </c>
    </row>
    <row r="4323" spans="7:15" x14ac:dyDescent="0.25">
      <c r="G4323" t="str">
        <f t="shared" si="402"/>
        <v/>
      </c>
      <c r="H4323" s="13" t="str">
        <f t="shared" si="405"/>
        <v/>
      </c>
      <c r="I4323" t="str">
        <f>IFERROR(INDEX(Analysis!$D$116:$N$137, MATCH(B4323, Analysis!$C$116:$C$137, 0), MATCH(C4323, Analysis!$D$115:$N$115, 0)), "")</f>
        <v/>
      </c>
      <c r="J4323" t="str">
        <f t="shared" si="406"/>
        <v/>
      </c>
      <c r="K4323" s="28" t="str">
        <f t="shared" si="403"/>
        <v/>
      </c>
      <c r="L4323" s="46" t="str">
        <f t="shared" si="407"/>
        <v/>
      </c>
      <c r="M4323" t="str" cm="1">
        <f t="array" ref="M4323">IF(L4323="","",_xlfn.IFS(
  AND(L4323&gt;=TIME(9,0,0), L4323&lt;TIME(16,0,0)),"Morning",
  AND(L4323&gt;=TIME(16,0,0), L4323&lt;TIME(23,59,0)),"Evening",
  L4323&gt;=TIME(23,59,0),"Night",
  L4323&lt;TIME(9,0,0),"Night"
))</f>
        <v/>
      </c>
      <c r="O4323" t="str">
        <f t="shared" si="404"/>
        <v/>
      </c>
    </row>
    <row r="4324" spans="7:15" x14ac:dyDescent="0.25">
      <c r="G4324" t="str">
        <f t="shared" si="402"/>
        <v/>
      </c>
      <c r="H4324" s="13" t="str">
        <f t="shared" si="405"/>
        <v/>
      </c>
      <c r="I4324" t="str">
        <f>IFERROR(INDEX(Analysis!$D$116:$N$137, MATCH(B4324, Analysis!$C$116:$C$137, 0), MATCH(C4324, Analysis!$D$115:$N$115, 0)), "")</f>
        <v/>
      </c>
      <c r="J4324" t="str">
        <f t="shared" si="406"/>
        <v/>
      </c>
      <c r="K4324" s="28" t="str">
        <f t="shared" si="403"/>
        <v/>
      </c>
      <c r="L4324" s="46" t="str">
        <f t="shared" si="407"/>
        <v/>
      </c>
      <c r="M4324" t="str" cm="1">
        <f t="array" ref="M4324">IF(L4324="","",_xlfn.IFS(
  AND(L4324&gt;=TIME(9,0,0), L4324&lt;TIME(16,0,0)),"Morning",
  AND(L4324&gt;=TIME(16,0,0), L4324&lt;TIME(23,59,0)),"Evening",
  L4324&gt;=TIME(23,59,0),"Night",
  L4324&lt;TIME(9,0,0),"Night"
))</f>
        <v/>
      </c>
      <c r="O4324" t="str">
        <f t="shared" si="404"/>
        <v/>
      </c>
    </row>
    <row r="4325" spans="7:15" x14ac:dyDescent="0.25">
      <c r="G4325" t="str">
        <f t="shared" si="402"/>
        <v/>
      </c>
      <c r="H4325" s="13" t="str">
        <f t="shared" si="405"/>
        <v/>
      </c>
      <c r="I4325" t="str">
        <f>IFERROR(INDEX(Analysis!$D$116:$N$137, MATCH(B4325, Analysis!$C$116:$C$137, 0), MATCH(C4325, Analysis!$D$115:$N$115, 0)), "")</f>
        <v/>
      </c>
      <c r="J4325" t="str">
        <f t="shared" si="406"/>
        <v/>
      </c>
      <c r="K4325" s="28" t="str">
        <f t="shared" si="403"/>
        <v/>
      </c>
      <c r="L4325" s="46" t="str">
        <f t="shared" si="407"/>
        <v/>
      </c>
      <c r="M4325" t="str" cm="1">
        <f t="array" ref="M4325">IF(L4325="","",_xlfn.IFS(
  AND(L4325&gt;=TIME(9,0,0), L4325&lt;TIME(16,0,0)),"Morning",
  AND(L4325&gt;=TIME(16,0,0), L4325&lt;TIME(23,59,0)),"Evening",
  L4325&gt;=TIME(23,59,0),"Night",
  L4325&lt;TIME(9,0,0),"Night"
))</f>
        <v/>
      </c>
      <c r="O4325" t="str">
        <f t="shared" si="404"/>
        <v/>
      </c>
    </row>
    <row r="4326" spans="7:15" x14ac:dyDescent="0.25">
      <c r="G4326" t="str">
        <f t="shared" si="402"/>
        <v/>
      </c>
      <c r="H4326" s="13" t="str">
        <f t="shared" si="405"/>
        <v/>
      </c>
      <c r="I4326" t="str">
        <f>IFERROR(INDEX(Analysis!$D$116:$N$137, MATCH(B4326, Analysis!$C$116:$C$137, 0), MATCH(C4326, Analysis!$D$115:$N$115, 0)), "")</f>
        <v/>
      </c>
      <c r="J4326" t="str">
        <f t="shared" si="406"/>
        <v/>
      </c>
      <c r="K4326" s="28" t="str">
        <f t="shared" si="403"/>
        <v/>
      </c>
      <c r="L4326" s="46" t="str">
        <f t="shared" si="407"/>
        <v/>
      </c>
      <c r="M4326" t="str" cm="1">
        <f t="array" ref="M4326">IF(L4326="","",_xlfn.IFS(
  AND(L4326&gt;=TIME(9,0,0), L4326&lt;TIME(16,0,0)),"Morning",
  AND(L4326&gt;=TIME(16,0,0), L4326&lt;TIME(23,59,0)),"Evening",
  L4326&gt;=TIME(23,59,0),"Night",
  L4326&lt;TIME(9,0,0),"Night"
))</f>
        <v/>
      </c>
      <c r="O4326" t="str">
        <f t="shared" si="404"/>
        <v/>
      </c>
    </row>
    <row r="4327" spans="7:15" x14ac:dyDescent="0.25">
      <c r="G4327" t="str">
        <f t="shared" si="402"/>
        <v/>
      </c>
      <c r="H4327" s="13" t="str">
        <f t="shared" si="405"/>
        <v/>
      </c>
      <c r="I4327" t="str">
        <f>IFERROR(INDEX(Analysis!$D$116:$N$137, MATCH(B4327, Analysis!$C$116:$C$137, 0), MATCH(C4327, Analysis!$D$115:$N$115, 0)), "")</f>
        <v/>
      </c>
      <c r="J4327" t="str">
        <f t="shared" si="406"/>
        <v/>
      </c>
      <c r="K4327" s="28" t="str">
        <f t="shared" si="403"/>
        <v/>
      </c>
      <c r="L4327" s="46" t="str">
        <f t="shared" si="407"/>
        <v/>
      </c>
      <c r="M4327" t="str" cm="1">
        <f t="array" ref="M4327">IF(L4327="","",_xlfn.IFS(
  AND(L4327&gt;=TIME(9,0,0), L4327&lt;TIME(16,0,0)),"Morning",
  AND(L4327&gt;=TIME(16,0,0), L4327&lt;TIME(23,59,0)),"Evening",
  L4327&gt;=TIME(23,59,0),"Night",
  L4327&lt;TIME(9,0,0),"Night"
))</f>
        <v/>
      </c>
      <c r="O4327" t="str">
        <f t="shared" si="404"/>
        <v/>
      </c>
    </row>
    <row r="4328" spans="7:15" x14ac:dyDescent="0.25">
      <c r="G4328" t="str">
        <f t="shared" si="402"/>
        <v/>
      </c>
      <c r="H4328" s="13" t="str">
        <f t="shared" si="405"/>
        <v/>
      </c>
      <c r="I4328" t="str">
        <f>IFERROR(INDEX(Analysis!$D$116:$N$137, MATCH(B4328, Analysis!$C$116:$C$137, 0), MATCH(C4328, Analysis!$D$115:$N$115, 0)), "")</f>
        <v/>
      </c>
      <c r="J4328" t="str">
        <f t="shared" si="406"/>
        <v/>
      </c>
      <c r="K4328" s="28" t="str">
        <f t="shared" si="403"/>
        <v/>
      </c>
      <c r="L4328" s="46" t="str">
        <f t="shared" si="407"/>
        <v/>
      </c>
      <c r="M4328" t="str" cm="1">
        <f t="array" ref="M4328">IF(L4328="","",_xlfn.IFS(
  AND(L4328&gt;=TIME(9,0,0), L4328&lt;TIME(16,0,0)),"Morning",
  AND(L4328&gt;=TIME(16,0,0), L4328&lt;TIME(23,59,0)),"Evening",
  L4328&gt;=TIME(23,59,0),"Night",
  L4328&lt;TIME(9,0,0),"Night"
))</f>
        <v/>
      </c>
      <c r="O4328" t="str">
        <f t="shared" si="404"/>
        <v/>
      </c>
    </row>
    <row r="4329" spans="7:15" x14ac:dyDescent="0.25">
      <c r="G4329" t="str">
        <f t="shared" si="402"/>
        <v/>
      </c>
      <c r="H4329" s="13" t="str">
        <f t="shared" si="405"/>
        <v/>
      </c>
      <c r="I4329" t="str">
        <f>IFERROR(INDEX(Analysis!$D$116:$N$137, MATCH(B4329, Analysis!$C$116:$C$137, 0), MATCH(C4329, Analysis!$D$115:$N$115, 0)), "")</f>
        <v/>
      </c>
      <c r="J4329" t="str">
        <f t="shared" si="406"/>
        <v/>
      </c>
      <c r="K4329" s="28" t="str">
        <f t="shared" si="403"/>
        <v/>
      </c>
      <c r="L4329" s="46" t="str">
        <f t="shared" si="407"/>
        <v/>
      </c>
      <c r="M4329" t="str" cm="1">
        <f t="array" ref="M4329">IF(L4329="","",_xlfn.IFS(
  AND(L4329&gt;=TIME(9,0,0), L4329&lt;TIME(16,0,0)),"Morning",
  AND(L4329&gt;=TIME(16,0,0), L4329&lt;TIME(23,59,0)),"Evening",
  L4329&gt;=TIME(23,59,0),"Night",
  L4329&lt;TIME(9,0,0),"Night"
))</f>
        <v/>
      </c>
      <c r="O4329" t="str">
        <f t="shared" si="404"/>
        <v/>
      </c>
    </row>
    <row r="4330" spans="7:15" x14ac:dyDescent="0.25">
      <c r="G4330" t="str">
        <f t="shared" si="402"/>
        <v/>
      </c>
      <c r="H4330" s="13" t="str">
        <f t="shared" si="405"/>
        <v/>
      </c>
      <c r="I4330" t="str">
        <f>IFERROR(INDEX(Analysis!$D$116:$N$137, MATCH(B4330, Analysis!$C$116:$C$137, 0), MATCH(C4330, Analysis!$D$115:$N$115, 0)), "")</f>
        <v/>
      </c>
      <c r="J4330" t="str">
        <f t="shared" si="406"/>
        <v/>
      </c>
      <c r="K4330" s="28" t="str">
        <f t="shared" si="403"/>
        <v/>
      </c>
      <c r="L4330" s="46" t="str">
        <f t="shared" si="407"/>
        <v/>
      </c>
      <c r="M4330" t="str" cm="1">
        <f t="array" ref="M4330">IF(L4330="","",_xlfn.IFS(
  AND(L4330&gt;=TIME(9,0,0), L4330&lt;TIME(16,0,0)),"Morning",
  AND(L4330&gt;=TIME(16,0,0), L4330&lt;TIME(23,59,0)),"Evening",
  L4330&gt;=TIME(23,59,0),"Night",
  L4330&lt;TIME(9,0,0),"Night"
))</f>
        <v/>
      </c>
      <c r="O4330" t="str">
        <f t="shared" si="404"/>
        <v/>
      </c>
    </row>
    <row r="4331" spans="7:15" x14ac:dyDescent="0.25">
      <c r="G4331" t="str">
        <f t="shared" si="402"/>
        <v/>
      </c>
      <c r="H4331" s="13" t="str">
        <f t="shared" si="405"/>
        <v/>
      </c>
      <c r="I4331" t="str">
        <f>IFERROR(INDEX(Analysis!$D$116:$N$137, MATCH(B4331, Analysis!$C$116:$C$137, 0), MATCH(C4331, Analysis!$D$115:$N$115, 0)), "")</f>
        <v/>
      </c>
      <c r="J4331" t="str">
        <f t="shared" si="406"/>
        <v/>
      </c>
      <c r="K4331" s="28" t="str">
        <f t="shared" si="403"/>
        <v/>
      </c>
      <c r="L4331" s="46" t="str">
        <f t="shared" si="407"/>
        <v/>
      </c>
      <c r="M4331" t="str" cm="1">
        <f t="array" ref="M4331">IF(L4331="","",_xlfn.IFS(
  AND(L4331&gt;=TIME(9,0,0), L4331&lt;TIME(16,0,0)),"Morning",
  AND(L4331&gt;=TIME(16,0,0), L4331&lt;TIME(23,59,0)),"Evening",
  L4331&gt;=TIME(23,59,0),"Night",
  L4331&lt;TIME(9,0,0),"Night"
))</f>
        <v/>
      </c>
      <c r="O4331" t="str">
        <f t="shared" si="404"/>
        <v/>
      </c>
    </row>
    <row r="4332" spans="7:15" x14ac:dyDescent="0.25">
      <c r="G4332" t="str">
        <f t="shared" si="402"/>
        <v/>
      </c>
      <c r="H4332" s="13" t="str">
        <f t="shared" si="405"/>
        <v/>
      </c>
      <c r="I4332" t="str">
        <f>IFERROR(INDEX(Analysis!$D$116:$N$137, MATCH(B4332, Analysis!$C$116:$C$137, 0), MATCH(C4332, Analysis!$D$115:$N$115, 0)), "")</f>
        <v/>
      </c>
      <c r="J4332" t="str">
        <f t="shared" si="406"/>
        <v/>
      </c>
      <c r="K4332" s="28" t="str">
        <f t="shared" si="403"/>
        <v/>
      </c>
      <c r="L4332" s="46" t="str">
        <f t="shared" si="407"/>
        <v/>
      </c>
      <c r="M4332" t="str" cm="1">
        <f t="array" ref="M4332">IF(L4332="","",_xlfn.IFS(
  AND(L4332&gt;=TIME(9,0,0), L4332&lt;TIME(16,0,0)),"Morning",
  AND(L4332&gt;=TIME(16,0,0), L4332&lt;TIME(23,59,0)),"Evening",
  L4332&gt;=TIME(23,59,0),"Night",
  L4332&lt;TIME(9,0,0),"Night"
))</f>
        <v/>
      </c>
      <c r="O4332" t="str">
        <f t="shared" si="404"/>
        <v/>
      </c>
    </row>
    <row r="4333" spans="7:15" x14ac:dyDescent="0.25">
      <c r="G4333" t="str">
        <f t="shared" si="402"/>
        <v/>
      </c>
      <c r="H4333" s="13" t="str">
        <f t="shared" si="405"/>
        <v/>
      </c>
      <c r="I4333" t="str">
        <f>IFERROR(INDEX(Analysis!$D$116:$N$137, MATCH(B4333, Analysis!$C$116:$C$137, 0), MATCH(C4333, Analysis!$D$115:$N$115, 0)), "")</f>
        <v/>
      </c>
      <c r="J4333" t="str">
        <f t="shared" si="406"/>
        <v/>
      </c>
      <c r="K4333" s="28" t="str">
        <f t="shared" si="403"/>
        <v/>
      </c>
      <c r="L4333" s="46" t="str">
        <f t="shared" si="407"/>
        <v/>
      </c>
      <c r="M4333" t="str" cm="1">
        <f t="array" ref="M4333">IF(L4333="","",_xlfn.IFS(
  AND(L4333&gt;=TIME(9,0,0), L4333&lt;TIME(16,0,0)),"Morning",
  AND(L4333&gt;=TIME(16,0,0), L4333&lt;TIME(23,59,0)),"Evening",
  L4333&gt;=TIME(23,59,0),"Night",
  L4333&lt;TIME(9,0,0),"Night"
))</f>
        <v/>
      </c>
      <c r="O4333" t="str">
        <f t="shared" si="404"/>
        <v/>
      </c>
    </row>
    <row r="4334" spans="7:15" x14ac:dyDescent="0.25">
      <c r="G4334" t="str">
        <f t="shared" si="402"/>
        <v/>
      </c>
      <c r="H4334" s="13" t="str">
        <f t="shared" si="405"/>
        <v/>
      </c>
      <c r="I4334" t="str">
        <f>IFERROR(INDEX(Analysis!$D$116:$N$137, MATCH(B4334, Analysis!$C$116:$C$137, 0), MATCH(C4334, Analysis!$D$115:$N$115, 0)), "")</f>
        <v/>
      </c>
      <c r="J4334" t="str">
        <f t="shared" si="406"/>
        <v/>
      </c>
      <c r="K4334" s="28" t="str">
        <f t="shared" si="403"/>
        <v/>
      </c>
      <c r="L4334" s="46" t="str">
        <f t="shared" si="407"/>
        <v/>
      </c>
      <c r="M4334" t="str" cm="1">
        <f t="array" ref="M4334">IF(L4334="","",_xlfn.IFS(
  AND(L4334&gt;=TIME(9,0,0), L4334&lt;TIME(16,0,0)),"Morning",
  AND(L4334&gt;=TIME(16,0,0), L4334&lt;TIME(23,59,0)),"Evening",
  L4334&gt;=TIME(23,59,0),"Night",
  L4334&lt;TIME(9,0,0),"Night"
))</f>
        <v/>
      </c>
      <c r="O4334" t="str">
        <f t="shared" si="404"/>
        <v/>
      </c>
    </row>
    <row r="4335" spans="7:15" x14ac:dyDescent="0.25">
      <c r="G4335" t="str">
        <f t="shared" si="402"/>
        <v/>
      </c>
      <c r="H4335" s="13" t="str">
        <f t="shared" si="405"/>
        <v/>
      </c>
      <c r="I4335" t="str">
        <f>IFERROR(INDEX(Analysis!$D$116:$N$137, MATCH(B4335, Analysis!$C$116:$C$137, 0), MATCH(C4335, Analysis!$D$115:$N$115, 0)), "")</f>
        <v/>
      </c>
      <c r="J4335" t="str">
        <f t="shared" si="406"/>
        <v/>
      </c>
      <c r="K4335" s="28" t="str">
        <f t="shared" si="403"/>
        <v/>
      </c>
      <c r="L4335" s="46" t="str">
        <f t="shared" si="407"/>
        <v/>
      </c>
      <c r="M4335" t="str" cm="1">
        <f t="array" ref="M4335">IF(L4335="","",_xlfn.IFS(
  AND(L4335&gt;=TIME(9,0,0), L4335&lt;TIME(16,0,0)),"Morning",
  AND(L4335&gt;=TIME(16,0,0), L4335&lt;TIME(23,59,0)),"Evening",
  L4335&gt;=TIME(23,59,0),"Night",
  L4335&lt;TIME(9,0,0),"Night"
))</f>
        <v/>
      </c>
      <c r="O4335" t="str">
        <f t="shared" si="404"/>
        <v/>
      </c>
    </row>
    <row r="4336" spans="7:15" x14ac:dyDescent="0.25">
      <c r="G4336" t="str">
        <f t="shared" si="402"/>
        <v/>
      </c>
      <c r="H4336" s="13" t="str">
        <f t="shared" si="405"/>
        <v/>
      </c>
      <c r="I4336" t="str">
        <f>IFERROR(INDEX(Analysis!$D$116:$N$137, MATCH(B4336, Analysis!$C$116:$C$137, 0), MATCH(C4336, Analysis!$D$115:$N$115, 0)), "")</f>
        <v/>
      </c>
      <c r="J4336" t="str">
        <f t="shared" si="406"/>
        <v/>
      </c>
      <c r="K4336" s="28" t="str">
        <f t="shared" si="403"/>
        <v/>
      </c>
      <c r="L4336" s="46" t="str">
        <f t="shared" si="407"/>
        <v/>
      </c>
      <c r="M4336" t="str" cm="1">
        <f t="array" ref="M4336">IF(L4336="","",_xlfn.IFS(
  AND(L4336&gt;=TIME(9,0,0), L4336&lt;TIME(16,0,0)),"Morning",
  AND(L4336&gt;=TIME(16,0,0), L4336&lt;TIME(23,59,0)),"Evening",
  L4336&gt;=TIME(23,59,0),"Night",
  L4336&lt;TIME(9,0,0),"Night"
))</f>
        <v/>
      </c>
      <c r="O4336" t="str">
        <f t="shared" si="404"/>
        <v/>
      </c>
    </row>
    <row r="4337" spans="7:15" x14ac:dyDescent="0.25">
      <c r="G4337" t="str">
        <f t="shared" si="402"/>
        <v/>
      </c>
      <c r="H4337" s="13" t="str">
        <f t="shared" si="405"/>
        <v/>
      </c>
      <c r="I4337" t="str">
        <f>IFERROR(INDEX(Analysis!$D$116:$N$137, MATCH(B4337, Analysis!$C$116:$C$137, 0), MATCH(C4337, Analysis!$D$115:$N$115, 0)), "")</f>
        <v/>
      </c>
      <c r="J4337" t="str">
        <f t="shared" si="406"/>
        <v/>
      </c>
      <c r="K4337" s="28" t="str">
        <f t="shared" si="403"/>
        <v/>
      </c>
      <c r="L4337" s="46" t="str">
        <f t="shared" si="407"/>
        <v/>
      </c>
      <c r="M4337" t="str" cm="1">
        <f t="array" ref="M4337">IF(L4337="","",_xlfn.IFS(
  AND(L4337&gt;=TIME(9,0,0), L4337&lt;TIME(16,0,0)),"Morning",
  AND(L4337&gt;=TIME(16,0,0), L4337&lt;TIME(23,59,0)),"Evening",
  L4337&gt;=TIME(23,59,0),"Night",
  L4337&lt;TIME(9,0,0),"Night"
))</f>
        <v/>
      </c>
      <c r="O4337" t="str">
        <f t="shared" si="404"/>
        <v/>
      </c>
    </row>
    <row r="4338" spans="7:15" x14ac:dyDescent="0.25">
      <c r="G4338" t="str">
        <f t="shared" si="402"/>
        <v/>
      </c>
      <c r="H4338" s="13" t="str">
        <f t="shared" si="405"/>
        <v/>
      </c>
      <c r="I4338" t="str">
        <f>IFERROR(INDEX(Analysis!$D$116:$N$137, MATCH(B4338, Analysis!$C$116:$C$137, 0), MATCH(C4338, Analysis!$D$115:$N$115, 0)), "")</f>
        <v/>
      </c>
      <c r="J4338" t="str">
        <f t="shared" si="406"/>
        <v/>
      </c>
      <c r="K4338" s="28" t="str">
        <f t="shared" si="403"/>
        <v/>
      </c>
      <c r="L4338" s="46" t="str">
        <f t="shared" si="407"/>
        <v/>
      </c>
      <c r="M4338" t="str" cm="1">
        <f t="array" ref="M4338">IF(L4338="","",_xlfn.IFS(
  AND(L4338&gt;=TIME(9,0,0), L4338&lt;TIME(16,0,0)),"Morning",
  AND(L4338&gt;=TIME(16,0,0), L4338&lt;TIME(23,59,0)),"Evening",
  L4338&gt;=TIME(23,59,0),"Night",
  L4338&lt;TIME(9,0,0),"Night"
))</f>
        <v/>
      </c>
      <c r="O4338" t="str">
        <f t="shared" si="404"/>
        <v/>
      </c>
    </row>
    <row r="4339" spans="7:15" x14ac:dyDescent="0.25">
      <c r="G4339" t="str">
        <f t="shared" si="402"/>
        <v/>
      </c>
      <c r="H4339" s="13" t="str">
        <f t="shared" si="405"/>
        <v/>
      </c>
      <c r="I4339" t="str">
        <f>IFERROR(INDEX(Analysis!$D$116:$N$137, MATCH(B4339, Analysis!$C$116:$C$137, 0), MATCH(C4339, Analysis!$D$115:$N$115, 0)), "")</f>
        <v/>
      </c>
      <c r="J4339" t="str">
        <f t="shared" si="406"/>
        <v/>
      </c>
      <c r="K4339" s="28" t="str">
        <f t="shared" si="403"/>
        <v/>
      </c>
      <c r="L4339" s="46" t="str">
        <f t="shared" si="407"/>
        <v/>
      </c>
      <c r="M4339" t="str" cm="1">
        <f t="array" ref="M4339">IF(L4339="","",_xlfn.IFS(
  AND(L4339&gt;=TIME(9,0,0), L4339&lt;TIME(16,0,0)),"Morning",
  AND(L4339&gt;=TIME(16,0,0), L4339&lt;TIME(23,59,0)),"Evening",
  L4339&gt;=TIME(23,59,0),"Night",
  L4339&lt;TIME(9,0,0),"Night"
))</f>
        <v/>
      </c>
      <c r="O4339" t="str">
        <f t="shared" si="404"/>
        <v/>
      </c>
    </row>
    <row r="4340" spans="7:15" x14ac:dyDescent="0.25">
      <c r="G4340" t="str">
        <f t="shared" si="402"/>
        <v/>
      </c>
      <c r="H4340" s="13" t="str">
        <f t="shared" si="405"/>
        <v/>
      </c>
      <c r="I4340" t="str">
        <f>IFERROR(INDEX(Analysis!$D$116:$N$137, MATCH(B4340, Analysis!$C$116:$C$137, 0), MATCH(C4340, Analysis!$D$115:$N$115, 0)), "")</f>
        <v/>
      </c>
      <c r="J4340" t="str">
        <f t="shared" si="406"/>
        <v/>
      </c>
      <c r="K4340" s="28" t="str">
        <f t="shared" si="403"/>
        <v/>
      </c>
      <c r="L4340" s="46" t="str">
        <f t="shared" si="407"/>
        <v/>
      </c>
      <c r="M4340" t="str" cm="1">
        <f t="array" ref="M4340">IF(L4340="","",_xlfn.IFS(
  AND(L4340&gt;=TIME(9,0,0), L4340&lt;TIME(16,0,0)),"Morning",
  AND(L4340&gt;=TIME(16,0,0), L4340&lt;TIME(23,59,0)),"Evening",
  L4340&gt;=TIME(23,59,0),"Night",
  L4340&lt;TIME(9,0,0),"Night"
))</f>
        <v/>
      </c>
      <c r="O4340" t="str">
        <f t="shared" si="404"/>
        <v/>
      </c>
    </row>
    <row r="4341" spans="7:15" x14ac:dyDescent="0.25">
      <c r="G4341" t="str">
        <f t="shared" si="402"/>
        <v/>
      </c>
      <c r="H4341" s="13" t="str">
        <f t="shared" si="405"/>
        <v/>
      </c>
      <c r="I4341" t="str">
        <f>IFERROR(INDEX(Analysis!$D$116:$N$137, MATCH(B4341, Analysis!$C$116:$C$137, 0), MATCH(C4341, Analysis!$D$115:$N$115, 0)), "")</f>
        <v/>
      </c>
      <c r="J4341" t="str">
        <f t="shared" si="406"/>
        <v/>
      </c>
      <c r="K4341" s="28" t="str">
        <f t="shared" si="403"/>
        <v/>
      </c>
      <c r="L4341" s="46" t="str">
        <f t="shared" si="407"/>
        <v/>
      </c>
      <c r="M4341" t="str" cm="1">
        <f t="array" ref="M4341">IF(L4341="","",_xlfn.IFS(
  AND(L4341&gt;=TIME(9,0,0), L4341&lt;TIME(16,0,0)),"Morning",
  AND(L4341&gt;=TIME(16,0,0), L4341&lt;TIME(23,59,0)),"Evening",
  L4341&gt;=TIME(23,59,0),"Night",
  L4341&lt;TIME(9,0,0),"Night"
))</f>
        <v/>
      </c>
      <c r="O4341" t="str">
        <f t="shared" si="404"/>
        <v/>
      </c>
    </row>
    <row r="4342" spans="7:15" x14ac:dyDescent="0.25">
      <c r="G4342" t="str">
        <f t="shared" si="402"/>
        <v/>
      </c>
      <c r="H4342" s="13" t="str">
        <f t="shared" si="405"/>
        <v/>
      </c>
      <c r="I4342" t="str">
        <f>IFERROR(INDEX(Analysis!$D$116:$N$137, MATCH(B4342, Analysis!$C$116:$C$137, 0), MATCH(C4342, Analysis!$D$115:$N$115, 0)), "")</f>
        <v/>
      </c>
      <c r="J4342" t="str">
        <f t="shared" si="406"/>
        <v/>
      </c>
      <c r="K4342" s="28" t="str">
        <f t="shared" si="403"/>
        <v/>
      </c>
      <c r="L4342" s="46" t="str">
        <f t="shared" si="407"/>
        <v/>
      </c>
      <c r="M4342" t="str" cm="1">
        <f t="array" ref="M4342">IF(L4342="","",_xlfn.IFS(
  AND(L4342&gt;=TIME(9,0,0), L4342&lt;TIME(16,0,0)),"Morning",
  AND(L4342&gt;=TIME(16,0,0), L4342&lt;TIME(23,59,0)),"Evening",
  L4342&gt;=TIME(23,59,0),"Night",
  L4342&lt;TIME(9,0,0),"Night"
))</f>
        <v/>
      </c>
      <c r="O4342" t="str">
        <f t="shared" si="404"/>
        <v/>
      </c>
    </row>
    <row r="4343" spans="7:15" x14ac:dyDescent="0.25">
      <c r="G4343" t="str">
        <f t="shared" si="402"/>
        <v/>
      </c>
      <c r="H4343" s="13" t="str">
        <f t="shared" si="405"/>
        <v/>
      </c>
      <c r="I4343" t="str">
        <f>IFERROR(INDEX(Analysis!$D$116:$N$137, MATCH(B4343, Analysis!$C$116:$C$137, 0), MATCH(C4343, Analysis!$D$115:$N$115, 0)), "")</f>
        <v/>
      </c>
      <c r="J4343" t="str">
        <f t="shared" si="406"/>
        <v/>
      </c>
      <c r="K4343" s="28" t="str">
        <f t="shared" si="403"/>
        <v/>
      </c>
      <c r="L4343" s="46" t="str">
        <f t="shared" si="407"/>
        <v/>
      </c>
      <c r="M4343" t="str" cm="1">
        <f t="array" ref="M4343">IF(L4343="","",_xlfn.IFS(
  AND(L4343&gt;=TIME(9,0,0), L4343&lt;TIME(16,0,0)),"Morning",
  AND(L4343&gt;=TIME(16,0,0), L4343&lt;TIME(23,59,0)),"Evening",
  L4343&gt;=TIME(23,59,0),"Night",
  L4343&lt;TIME(9,0,0),"Night"
))</f>
        <v/>
      </c>
      <c r="O4343" t="str">
        <f t="shared" si="404"/>
        <v/>
      </c>
    </row>
    <row r="4344" spans="7:15" x14ac:dyDescent="0.25">
      <c r="G4344" t="str">
        <f t="shared" si="402"/>
        <v/>
      </c>
      <c r="H4344" s="13" t="str">
        <f t="shared" si="405"/>
        <v/>
      </c>
      <c r="I4344" t="str">
        <f>IFERROR(INDEX(Analysis!$D$116:$N$137, MATCH(B4344, Analysis!$C$116:$C$137, 0), MATCH(C4344, Analysis!$D$115:$N$115, 0)), "")</f>
        <v/>
      </c>
      <c r="J4344" t="str">
        <f t="shared" si="406"/>
        <v/>
      </c>
      <c r="K4344" s="28" t="str">
        <f t="shared" si="403"/>
        <v/>
      </c>
      <c r="L4344" s="46" t="str">
        <f t="shared" si="407"/>
        <v/>
      </c>
      <c r="M4344" t="str" cm="1">
        <f t="array" ref="M4344">IF(L4344="","",_xlfn.IFS(
  AND(L4344&gt;=TIME(9,0,0), L4344&lt;TIME(16,0,0)),"Morning",
  AND(L4344&gt;=TIME(16,0,0), L4344&lt;TIME(23,59,0)),"Evening",
  L4344&gt;=TIME(23,59,0),"Night",
  L4344&lt;TIME(9,0,0),"Night"
))</f>
        <v/>
      </c>
      <c r="O4344" t="str">
        <f t="shared" si="404"/>
        <v/>
      </c>
    </row>
    <row r="4345" spans="7:15" x14ac:dyDescent="0.25">
      <c r="G4345" t="str">
        <f t="shared" si="402"/>
        <v/>
      </c>
      <c r="H4345" s="13" t="str">
        <f t="shared" si="405"/>
        <v/>
      </c>
      <c r="I4345" t="str">
        <f>IFERROR(INDEX(Analysis!$D$116:$N$137, MATCH(B4345, Analysis!$C$116:$C$137, 0), MATCH(C4345, Analysis!$D$115:$N$115, 0)), "")</f>
        <v/>
      </c>
      <c r="J4345" t="str">
        <f t="shared" si="406"/>
        <v/>
      </c>
      <c r="K4345" s="28" t="str">
        <f t="shared" si="403"/>
        <v/>
      </c>
      <c r="L4345" s="46" t="str">
        <f t="shared" si="407"/>
        <v/>
      </c>
      <c r="M4345" t="str" cm="1">
        <f t="array" ref="M4345">IF(L4345="","",_xlfn.IFS(
  AND(L4345&gt;=TIME(9,0,0), L4345&lt;TIME(16,0,0)),"Morning",
  AND(L4345&gt;=TIME(16,0,0), L4345&lt;TIME(23,59,0)),"Evening",
  L4345&gt;=TIME(23,59,0),"Night",
  L4345&lt;TIME(9,0,0),"Night"
))</f>
        <v/>
      </c>
      <c r="O4345" t="str">
        <f t="shared" si="404"/>
        <v/>
      </c>
    </row>
    <row r="4346" spans="7:15" x14ac:dyDescent="0.25">
      <c r="G4346" t="str">
        <f t="shared" si="402"/>
        <v/>
      </c>
      <c r="H4346" s="13" t="str">
        <f t="shared" si="405"/>
        <v/>
      </c>
      <c r="I4346" t="str">
        <f>IFERROR(INDEX(Analysis!$D$116:$N$137, MATCH(B4346, Analysis!$C$116:$C$137, 0), MATCH(C4346, Analysis!$D$115:$N$115, 0)), "")</f>
        <v/>
      </c>
      <c r="J4346" t="str">
        <f t="shared" si="406"/>
        <v/>
      </c>
      <c r="K4346" s="28" t="str">
        <f t="shared" si="403"/>
        <v/>
      </c>
      <c r="L4346" s="46" t="str">
        <f t="shared" si="407"/>
        <v/>
      </c>
      <c r="M4346" t="str" cm="1">
        <f t="array" ref="M4346">IF(L4346="","",_xlfn.IFS(
  AND(L4346&gt;=TIME(9,0,0), L4346&lt;TIME(16,0,0)),"Morning",
  AND(L4346&gt;=TIME(16,0,0), L4346&lt;TIME(23,59,0)),"Evening",
  L4346&gt;=TIME(23,59,0),"Night",
  L4346&lt;TIME(9,0,0),"Night"
))</f>
        <v/>
      </c>
      <c r="O4346" t="str">
        <f t="shared" si="404"/>
        <v/>
      </c>
    </row>
    <row r="4347" spans="7:15" x14ac:dyDescent="0.25">
      <c r="G4347" t="str">
        <f t="shared" si="402"/>
        <v/>
      </c>
      <c r="H4347" s="13" t="str">
        <f t="shared" si="405"/>
        <v/>
      </c>
      <c r="I4347" t="str">
        <f>IFERROR(INDEX(Analysis!$D$116:$N$137, MATCH(B4347, Analysis!$C$116:$C$137, 0), MATCH(C4347, Analysis!$D$115:$N$115, 0)), "")</f>
        <v/>
      </c>
      <c r="J4347" t="str">
        <f t="shared" si="406"/>
        <v/>
      </c>
      <c r="K4347" s="28" t="str">
        <f t="shared" si="403"/>
        <v/>
      </c>
      <c r="L4347" s="46" t="str">
        <f t="shared" si="407"/>
        <v/>
      </c>
      <c r="M4347" t="str" cm="1">
        <f t="array" ref="M4347">IF(L4347="","",_xlfn.IFS(
  AND(L4347&gt;=TIME(9,0,0), L4347&lt;TIME(16,0,0)),"Morning",
  AND(L4347&gt;=TIME(16,0,0), L4347&lt;TIME(23,59,0)),"Evening",
  L4347&gt;=TIME(23,59,0),"Night",
  L4347&lt;TIME(9,0,0),"Night"
))</f>
        <v/>
      </c>
      <c r="O4347" t="str">
        <f t="shared" si="404"/>
        <v/>
      </c>
    </row>
    <row r="4348" spans="7:15" x14ac:dyDescent="0.25">
      <c r="G4348" t="str">
        <f t="shared" si="402"/>
        <v/>
      </c>
      <c r="H4348" s="13" t="str">
        <f t="shared" si="405"/>
        <v/>
      </c>
      <c r="I4348" t="str">
        <f>IFERROR(INDEX(Analysis!$D$116:$N$137, MATCH(B4348, Analysis!$C$116:$C$137, 0), MATCH(C4348, Analysis!$D$115:$N$115, 0)), "")</f>
        <v/>
      </c>
      <c r="J4348" t="str">
        <f t="shared" si="406"/>
        <v/>
      </c>
      <c r="K4348" s="28" t="str">
        <f t="shared" si="403"/>
        <v/>
      </c>
      <c r="L4348" s="46" t="str">
        <f t="shared" si="407"/>
        <v/>
      </c>
      <c r="M4348" t="str" cm="1">
        <f t="array" ref="M4348">IF(L4348="","",_xlfn.IFS(
  AND(L4348&gt;=TIME(9,0,0), L4348&lt;TIME(16,0,0)),"Morning",
  AND(L4348&gt;=TIME(16,0,0), L4348&lt;TIME(23,59,0)),"Evening",
  L4348&gt;=TIME(23,59,0),"Night",
  L4348&lt;TIME(9,0,0),"Night"
))</f>
        <v/>
      </c>
      <c r="O4348" t="str">
        <f t="shared" si="404"/>
        <v/>
      </c>
    </row>
    <row r="4349" spans="7:15" x14ac:dyDescent="0.25">
      <c r="G4349" t="str">
        <f t="shared" si="402"/>
        <v/>
      </c>
      <c r="H4349" s="13" t="str">
        <f t="shared" si="405"/>
        <v/>
      </c>
      <c r="I4349" t="str">
        <f>IFERROR(INDEX(Analysis!$D$116:$N$137, MATCH(B4349, Analysis!$C$116:$C$137, 0), MATCH(C4349, Analysis!$D$115:$N$115, 0)), "")</f>
        <v/>
      </c>
      <c r="J4349" t="str">
        <f t="shared" si="406"/>
        <v/>
      </c>
      <c r="K4349" s="28" t="str">
        <f t="shared" si="403"/>
        <v/>
      </c>
      <c r="L4349" s="46" t="str">
        <f t="shared" si="407"/>
        <v/>
      </c>
      <c r="M4349" t="str" cm="1">
        <f t="array" ref="M4349">IF(L4349="","",_xlfn.IFS(
  AND(L4349&gt;=TIME(9,0,0), L4349&lt;TIME(16,0,0)),"Morning",
  AND(L4349&gt;=TIME(16,0,0), L4349&lt;TIME(23,59,0)),"Evening",
  L4349&gt;=TIME(23,59,0),"Night",
  L4349&lt;TIME(9,0,0),"Night"
))</f>
        <v/>
      </c>
      <c r="O4349" t="str">
        <f t="shared" si="404"/>
        <v/>
      </c>
    </row>
    <row r="4350" spans="7:15" x14ac:dyDescent="0.25">
      <c r="G4350" t="str">
        <f t="shared" si="402"/>
        <v/>
      </c>
      <c r="H4350" s="13" t="str">
        <f t="shared" si="405"/>
        <v/>
      </c>
      <c r="I4350" t="str">
        <f>IFERROR(INDEX(Analysis!$D$116:$N$137, MATCH(B4350, Analysis!$C$116:$C$137, 0), MATCH(C4350, Analysis!$D$115:$N$115, 0)), "")</f>
        <v/>
      </c>
      <c r="J4350" t="str">
        <f t="shared" si="406"/>
        <v/>
      </c>
      <c r="K4350" s="28" t="str">
        <f t="shared" si="403"/>
        <v/>
      </c>
      <c r="L4350" s="46" t="str">
        <f t="shared" si="407"/>
        <v/>
      </c>
      <c r="M4350" t="str" cm="1">
        <f t="array" ref="M4350">IF(L4350="","",_xlfn.IFS(
  AND(L4350&gt;=TIME(9,0,0), L4350&lt;TIME(16,0,0)),"Morning",
  AND(L4350&gt;=TIME(16,0,0), L4350&lt;TIME(23,59,0)),"Evening",
  L4350&gt;=TIME(23,59,0),"Night",
  L4350&lt;TIME(9,0,0),"Night"
))</f>
        <v/>
      </c>
      <c r="O4350" t="str">
        <f t="shared" si="404"/>
        <v/>
      </c>
    </row>
    <row r="4351" spans="7:15" x14ac:dyDescent="0.25">
      <c r="G4351" t="str">
        <f t="shared" si="402"/>
        <v/>
      </c>
      <c r="H4351" s="13" t="str">
        <f t="shared" si="405"/>
        <v/>
      </c>
      <c r="I4351" t="str">
        <f>IFERROR(INDEX(Analysis!$D$116:$N$137, MATCH(B4351, Analysis!$C$116:$C$137, 0), MATCH(C4351, Analysis!$D$115:$N$115, 0)), "")</f>
        <v/>
      </c>
      <c r="J4351" t="str">
        <f t="shared" si="406"/>
        <v/>
      </c>
      <c r="K4351" s="28" t="str">
        <f t="shared" si="403"/>
        <v/>
      </c>
      <c r="L4351" s="46" t="str">
        <f t="shared" si="407"/>
        <v/>
      </c>
      <c r="M4351" t="str" cm="1">
        <f t="array" ref="M4351">IF(L4351="","",_xlfn.IFS(
  AND(L4351&gt;=TIME(9,0,0), L4351&lt;TIME(16,0,0)),"Morning",
  AND(L4351&gt;=TIME(16,0,0), L4351&lt;TIME(23,59,0)),"Evening",
  L4351&gt;=TIME(23,59,0),"Night",
  L4351&lt;TIME(9,0,0),"Night"
))</f>
        <v/>
      </c>
      <c r="O4351" t="str">
        <f t="shared" si="404"/>
        <v/>
      </c>
    </row>
    <row r="4352" spans="7:15" x14ac:dyDescent="0.25">
      <c r="G4352" t="str">
        <f t="shared" si="402"/>
        <v/>
      </c>
      <c r="H4352" s="13" t="str">
        <f t="shared" si="405"/>
        <v/>
      </c>
      <c r="I4352" t="str">
        <f>IFERROR(INDEX(Analysis!$D$116:$N$137, MATCH(B4352, Analysis!$C$116:$C$137, 0), MATCH(C4352, Analysis!$D$115:$N$115, 0)), "")</f>
        <v/>
      </c>
      <c r="J4352" t="str">
        <f t="shared" si="406"/>
        <v/>
      </c>
      <c r="K4352" s="28" t="str">
        <f t="shared" si="403"/>
        <v/>
      </c>
      <c r="L4352" s="46" t="str">
        <f t="shared" si="407"/>
        <v/>
      </c>
      <c r="M4352" t="str" cm="1">
        <f t="array" ref="M4352">IF(L4352="","",_xlfn.IFS(
  AND(L4352&gt;=TIME(9,0,0), L4352&lt;TIME(16,0,0)),"Morning",
  AND(L4352&gt;=TIME(16,0,0), L4352&lt;TIME(23,59,0)),"Evening",
  L4352&gt;=TIME(23,59,0),"Night",
  L4352&lt;TIME(9,0,0),"Night"
))</f>
        <v/>
      </c>
      <c r="O4352" t="str">
        <f t="shared" si="404"/>
        <v/>
      </c>
    </row>
    <row r="4353" spans="7:15" x14ac:dyDescent="0.25">
      <c r="G4353" t="str">
        <f t="shared" si="402"/>
        <v/>
      </c>
      <c r="H4353" s="13" t="str">
        <f t="shared" si="405"/>
        <v/>
      </c>
      <c r="I4353" t="str">
        <f>IFERROR(INDEX(Analysis!$D$116:$N$137, MATCH(B4353, Analysis!$C$116:$C$137, 0), MATCH(C4353, Analysis!$D$115:$N$115, 0)), "")</f>
        <v/>
      </c>
      <c r="J4353" t="str">
        <f t="shared" si="406"/>
        <v/>
      </c>
      <c r="K4353" s="28" t="str">
        <f t="shared" si="403"/>
        <v/>
      </c>
      <c r="L4353" s="46" t="str">
        <f t="shared" si="407"/>
        <v/>
      </c>
      <c r="M4353" t="str" cm="1">
        <f t="array" ref="M4353">IF(L4353="","",_xlfn.IFS(
  AND(L4353&gt;=TIME(9,0,0), L4353&lt;TIME(16,0,0)),"Morning",
  AND(L4353&gt;=TIME(16,0,0), L4353&lt;TIME(23,59,0)),"Evening",
  L4353&gt;=TIME(23,59,0),"Night",
  L4353&lt;TIME(9,0,0),"Night"
))</f>
        <v/>
      </c>
      <c r="O4353" t="str">
        <f t="shared" si="404"/>
        <v/>
      </c>
    </row>
    <row r="4354" spans="7:15" x14ac:dyDescent="0.25">
      <c r="G4354" t="str">
        <f t="shared" ref="G4354:G4417" si="408">IF(ISBLANK(A4354), "", IF(ISBLANK(F4354), 0, F4354))</f>
        <v/>
      </c>
      <c r="H4354" s="13" t="str">
        <f t="shared" si="405"/>
        <v/>
      </c>
      <c r="I4354" t="str">
        <f>IFERROR(INDEX(Analysis!$D$116:$N$137, MATCH(B4354, Analysis!$C$116:$C$137, 0), MATCH(C4354, Analysis!$D$115:$N$115, 0)), "")</f>
        <v/>
      </c>
      <c r="J4354" t="str">
        <f t="shared" si="406"/>
        <v/>
      </c>
      <c r="K4354" s="28" t="str">
        <f t="shared" ref="K4354:K4417" si="409">IF(ISBLANK(A4354),"",DATE(YEAR(A4354),MONTH(A4354),DAY(A4354)))</f>
        <v/>
      </c>
      <c r="L4354" s="46" t="str">
        <f t="shared" si="407"/>
        <v/>
      </c>
      <c r="M4354" t="str" cm="1">
        <f t="array" ref="M4354">IF(L4354="","",_xlfn.IFS(
  AND(L4354&gt;=TIME(9,0,0), L4354&lt;TIME(16,0,0)),"Morning",
  AND(L4354&gt;=TIME(16,0,0), L4354&lt;TIME(23,59,0)),"Evening",
  L4354&gt;=TIME(23,59,0),"Night",
  L4354&lt;TIME(9,0,0),"Night"
))</f>
        <v/>
      </c>
      <c r="O4354" t="str">
        <f t="shared" ref="O4354:O4417" si="410">IF(N4354="ON", _xlfn.IMAGE(E4354, 1), "")</f>
        <v/>
      </c>
    </row>
    <row r="4355" spans="7:15" x14ac:dyDescent="0.25">
      <c r="G4355" t="str">
        <f t="shared" si="408"/>
        <v/>
      </c>
      <c r="H4355" s="13" t="str">
        <f t="shared" ref="H4355:H4418" si="411">IF(ISBLANK(E4355),"",HYPERLINK(E4355,"Click here"))</f>
        <v/>
      </c>
      <c r="I4355" t="str">
        <f>IFERROR(INDEX(Analysis!$D$116:$N$137, MATCH(B4355, Analysis!$C$116:$C$137, 0), MATCH(C4355, Analysis!$D$115:$N$115, 0)), "")</f>
        <v/>
      </c>
      <c r="J4355" t="str">
        <f t="shared" ref="J4355:J4418" si="412">IF(ISBLANK(A4355),"",WEEKNUM(A4355))</f>
        <v/>
      </c>
      <c r="K4355" s="28" t="str">
        <f t="shared" si="409"/>
        <v/>
      </c>
      <c r="L4355" s="46" t="str">
        <f t="shared" ref="L4355:L4418" si="413">IF(A4355="", "", A4355 - INT(A4355))</f>
        <v/>
      </c>
      <c r="M4355" t="str" cm="1">
        <f t="array" ref="M4355">IF(L4355="","",_xlfn.IFS(
  AND(L4355&gt;=TIME(9,0,0), L4355&lt;TIME(16,0,0)),"Morning",
  AND(L4355&gt;=TIME(16,0,0), L4355&lt;TIME(23,59,0)),"Evening",
  L4355&gt;=TIME(23,59,0),"Night",
  L4355&lt;TIME(9,0,0),"Night"
))</f>
        <v/>
      </c>
      <c r="O4355" t="str">
        <f t="shared" si="410"/>
        <v/>
      </c>
    </row>
    <row r="4356" spans="7:15" x14ac:dyDescent="0.25">
      <c r="G4356" t="str">
        <f t="shared" si="408"/>
        <v/>
      </c>
      <c r="H4356" s="13" t="str">
        <f t="shared" si="411"/>
        <v/>
      </c>
      <c r="I4356" t="str">
        <f>IFERROR(INDEX(Analysis!$D$116:$N$137, MATCH(B4356, Analysis!$C$116:$C$137, 0), MATCH(C4356, Analysis!$D$115:$N$115, 0)), "")</f>
        <v/>
      </c>
      <c r="J4356" t="str">
        <f t="shared" si="412"/>
        <v/>
      </c>
      <c r="K4356" s="28" t="str">
        <f t="shared" si="409"/>
        <v/>
      </c>
      <c r="L4356" s="46" t="str">
        <f t="shared" si="413"/>
        <v/>
      </c>
      <c r="M4356" t="str" cm="1">
        <f t="array" ref="M4356">IF(L4356="","",_xlfn.IFS(
  AND(L4356&gt;=TIME(9,0,0), L4356&lt;TIME(16,0,0)),"Morning",
  AND(L4356&gt;=TIME(16,0,0), L4356&lt;TIME(23,59,0)),"Evening",
  L4356&gt;=TIME(23,59,0),"Night",
  L4356&lt;TIME(9,0,0),"Night"
))</f>
        <v/>
      </c>
      <c r="O4356" t="str">
        <f t="shared" si="410"/>
        <v/>
      </c>
    </row>
    <row r="4357" spans="7:15" x14ac:dyDescent="0.25">
      <c r="G4357" t="str">
        <f t="shared" si="408"/>
        <v/>
      </c>
      <c r="H4357" s="13" t="str">
        <f t="shared" si="411"/>
        <v/>
      </c>
      <c r="I4357" t="str">
        <f>IFERROR(INDEX(Analysis!$D$116:$N$137, MATCH(B4357, Analysis!$C$116:$C$137, 0), MATCH(C4357, Analysis!$D$115:$N$115, 0)), "")</f>
        <v/>
      </c>
      <c r="J4357" t="str">
        <f t="shared" si="412"/>
        <v/>
      </c>
      <c r="K4357" s="28" t="str">
        <f t="shared" si="409"/>
        <v/>
      </c>
      <c r="L4357" s="46" t="str">
        <f t="shared" si="413"/>
        <v/>
      </c>
      <c r="M4357" t="str" cm="1">
        <f t="array" ref="M4357">IF(L4357="","",_xlfn.IFS(
  AND(L4357&gt;=TIME(9,0,0), L4357&lt;TIME(16,0,0)),"Morning",
  AND(L4357&gt;=TIME(16,0,0), L4357&lt;TIME(23,59,0)),"Evening",
  L4357&gt;=TIME(23,59,0),"Night",
  L4357&lt;TIME(9,0,0),"Night"
))</f>
        <v/>
      </c>
      <c r="O4357" t="str">
        <f t="shared" si="410"/>
        <v/>
      </c>
    </row>
    <row r="4358" spans="7:15" x14ac:dyDescent="0.25">
      <c r="G4358" t="str">
        <f t="shared" si="408"/>
        <v/>
      </c>
      <c r="H4358" s="13" t="str">
        <f t="shared" si="411"/>
        <v/>
      </c>
      <c r="I4358" t="str">
        <f>IFERROR(INDEX(Analysis!$D$116:$N$137, MATCH(B4358, Analysis!$C$116:$C$137, 0), MATCH(C4358, Analysis!$D$115:$N$115, 0)), "")</f>
        <v/>
      </c>
      <c r="J4358" t="str">
        <f t="shared" si="412"/>
        <v/>
      </c>
      <c r="K4358" s="28" t="str">
        <f t="shared" si="409"/>
        <v/>
      </c>
      <c r="L4358" s="46" t="str">
        <f t="shared" si="413"/>
        <v/>
      </c>
      <c r="M4358" t="str" cm="1">
        <f t="array" ref="M4358">IF(L4358="","",_xlfn.IFS(
  AND(L4358&gt;=TIME(9,0,0), L4358&lt;TIME(16,0,0)),"Morning",
  AND(L4358&gt;=TIME(16,0,0), L4358&lt;TIME(23,59,0)),"Evening",
  L4358&gt;=TIME(23,59,0),"Night",
  L4358&lt;TIME(9,0,0),"Night"
))</f>
        <v/>
      </c>
      <c r="O4358" t="str">
        <f t="shared" si="410"/>
        <v/>
      </c>
    </row>
    <row r="4359" spans="7:15" x14ac:dyDescent="0.25">
      <c r="G4359" t="str">
        <f t="shared" si="408"/>
        <v/>
      </c>
      <c r="H4359" s="13" t="str">
        <f t="shared" si="411"/>
        <v/>
      </c>
      <c r="I4359" t="str">
        <f>IFERROR(INDEX(Analysis!$D$116:$N$137, MATCH(B4359, Analysis!$C$116:$C$137, 0), MATCH(C4359, Analysis!$D$115:$N$115, 0)), "")</f>
        <v/>
      </c>
      <c r="J4359" t="str">
        <f t="shared" si="412"/>
        <v/>
      </c>
      <c r="K4359" s="28" t="str">
        <f t="shared" si="409"/>
        <v/>
      </c>
      <c r="L4359" s="46" t="str">
        <f t="shared" si="413"/>
        <v/>
      </c>
      <c r="M4359" t="str" cm="1">
        <f t="array" ref="M4359">IF(L4359="","",_xlfn.IFS(
  AND(L4359&gt;=TIME(9,0,0), L4359&lt;TIME(16,0,0)),"Morning",
  AND(L4359&gt;=TIME(16,0,0), L4359&lt;TIME(23,59,0)),"Evening",
  L4359&gt;=TIME(23,59,0),"Night",
  L4359&lt;TIME(9,0,0),"Night"
))</f>
        <v/>
      </c>
      <c r="O4359" t="str">
        <f t="shared" si="410"/>
        <v/>
      </c>
    </row>
    <row r="4360" spans="7:15" x14ac:dyDescent="0.25">
      <c r="G4360" t="str">
        <f t="shared" si="408"/>
        <v/>
      </c>
      <c r="H4360" s="13" t="str">
        <f t="shared" si="411"/>
        <v/>
      </c>
      <c r="I4360" t="str">
        <f>IFERROR(INDEX(Analysis!$D$116:$N$137, MATCH(B4360, Analysis!$C$116:$C$137, 0), MATCH(C4360, Analysis!$D$115:$N$115, 0)), "")</f>
        <v/>
      </c>
      <c r="J4360" t="str">
        <f t="shared" si="412"/>
        <v/>
      </c>
      <c r="K4360" s="28" t="str">
        <f t="shared" si="409"/>
        <v/>
      </c>
      <c r="L4360" s="46" t="str">
        <f t="shared" si="413"/>
        <v/>
      </c>
      <c r="M4360" t="str" cm="1">
        <f t="array" ref="M4360">IF(L4360="","",_xlfn.IFS(
  AND(L4360&gt;=TIME(9,0,0), L4360&lt;TIME(16,0,0)),"Morning",
  AND(L4360&gt;=TIME(16,0,0), L4360&lt;TIME(23,59,0)),"Evening",
  L4360&gt;=TIME(23,59,0),"Night",
  L4360&lt;TIME(9,0,0),"Night"
))</f>
        <v/>
      </c>
      <c r="O4360" t="str">
        <f t="shared" si="410"/>
        <v/>
      </c>
    </row>
    <row r="4361" spans="7:15" x14ac:dyDescent="0.25">
      <c r="G4361" t="str">
        <f t="shared" si="408"/>
        <v/>
      </c>
      <c r="H4361" s="13" t="str">
        <f t="shared" si="411"/>
        <v/>
      </c>
      <c r="I4361" t="str">
        <f>IFERROR(INDEX(Analysis!$D$116:$N$137, MATCH(B4361, Analysis!$C$116:$C$137, 0), MATCH(C4361, Analysis!$D$115:$N$115, 0)), "")</f>
        <v/>
      </c>
      <c r="J4361" t="str">
        <f t="shared" si="412"/>
        <v/>
      </c>
      <c r="K4361" s="28" t="str">
        <f t="shared" si="409"/>
        <v/>
      </c>
      <c r="L4361" s="46" t="str">
        <f t="shared" si="413"/>
        <v/>
      </c>
      <c r="M4361" t="str" cm="1">
        <f t="array" ref="M4361">IF(L4361="","",_xlfn.IFS(
  AND(L4361&gt;=TIME(9,0,0), L4361&lt;TIME(16,0,0)),"Morning",
  AND(L4361&gt;=TIME(16,0,0), L4361&lt;TIME(23,59,0)),"Evening",
  L4361&gt;=TIME(23,59,0),"Night",
  L4361&lt;TIME(9,0,0),"Night"
))</f>
        <v/>
      </c>
      <c r="O4361" t="str">
        <f t="shared" si="410"/>
        <v/>
      </c>
    </row>
    <row r="4362" spans="7:15" x14ac:dyDescent="0.25">
      <c r="G4362" t="str">
        <f t="shared" si="408"/>
        <v/>
      </c>
      <c r="H4362" s="13" t="str">
        <f t="shared" si="411"/>
        <v/>
      </c>
      <c r="I4362" t="str">
        <f>IFERROR(INDEX(Analysis!$D$116:$N$137, MATCH(B4362, Analysis!$C$116:$C$137, 0), MATCH(C4362, Analysis!$D$115:$N$115, 0)), "")</f>
        <v/>
      </c>
      <c r="J4362" t="str">
        <f t="shared" si="412"/>
        <v/>
      </c>
      <c r="K4362" s="28" t="str">
        <f t="shared" si="409"/>
        <v/>
      </c>
      <c r="L4362" s="46" t="str">
        <f t="shared" si="413"/>
        <v/>
      </c>
      <c r="M4362" t="str" cm="1">
        <f t="array" ref="M4362">IF(L4362="","",_xlfn.IFS(
  AND(L4362&gt;=TIME(9,0,0), L4362&lt;TIME(16,0,0)),"Morning",
  AND(L4362&gt;=TIME(16,0,0), L4362&lt;TIME(23,59,0)),"Evening",
  L4362&gt;=TIME(23,59,0),"Night",
  L4362&lt;TIME(9,0,0),"Night"
))</f>
        <v/>
      </c>
      <c r="O4362" t="str">
        <f t="shared" si="410"/>
        <v/>
      </c>
    </row>
    <row r="4363" spans="7:15" x14ac:dyDescent="0.25">
      <c r="G4363" t="str">
        <f t="shared" si="408"/>
        <v/>
      </c>
      <c r="H4363" s="13" t="str">
        <f t="shared" si="411"/>
        <v/>
      </c>
      <c r="I4363" t="str">
        <f>IFERROR(INDEX(Analysis!$D$116:$N$137, MATCH(B4363, Analysis!$C$116:$C$137, 0), MATCH(C4363, Analysis!$D$115:$N$115, 0)), "")</f>
        <v/>
      </c>
      <c r="J4363" t="str">
        <f t="shared" si="412"/>
        <v/>
      </c>
      <c r="K4363" s="28" t="str">
        <f t="shared" si="409"/>
        <v/>
      </c>
      <c r="L4363" s="46" t="str">
        <f t="shared" si="413"/>
        <v/>
      </c>
      <c r="M4363" t="str" cm="1">
        <f t="array" ref="M4363">IF(L4363="","",_xlfn.IFS(
  AND(L4363&gt;=TIME(9,0,0), L4363&lt;TIME(16,0,0)),"Morning",
  AND(L4363&gt;=TIME(16,0,0), L4363&lt;TIME(23,59,0)),"Evening",
  L4363&gt;=TIME(23,59,0),"Night",
  L4363&lt;TIME(9,0,0),"Night"
))</f>
        <v/>
      </c>
      <c r="O4363" t="str">
        <f t="shared" si="410"/>
        <v/>
      </c>
    </row>
    <row r="4364" spans="7:15" x14ac:dyDescent="0.25">
      <c r="G4364" t="str">
        <f t="shared" si="408"/>
        <v/>
      </c>
      <c r="H4364" s="13" t="str">
        <f t="shared" si="411"/>
        <v/>
      </c>
      <c r="I4364" t="str">
        <f>IFERROR(INDEX(Analysis!$D$116:$N$137, MATCH(B4364, Analysis!$C$116:$C$137, 0), MATCH(C4364, Analysis!$D$115:$N$115, 0)), "")</f>
        <v/>
      </c>
      <c r="J4364" t="str">
        <f t="shared" si="412"/>
        <v/>
      </c>
      <c r="K4364" s="28" t="str">
        <f t="shared" si="409"/>
        <v/>
      </c>
      <c r="L4364" s="46" t="str">
        <f t="shared" si="413"/>
        <v/>
      </c>
      <c r="M4364" t="str" cm="1">
        <f t="array" ref="M4364">IF(L4364="","",_xlfn.IFS(
  AND(L4364&gt;=TIME(9,0,0), L4364&lt;TIME(16,0,0)),"Morning",
  AND(L4364&gt;=TIME(16,0,0), L4364&lt;TIME(23,59,0)),"Evening",
  L4364&gt;=TIME(23,59,0),"Night",
  L4364&lt;TIME(9,0,0),"Night"
))</f>
        <v/>
      </c>
      <c r="O4364" t="str">
        <f t="shared" si="410"/>
        <v/>
      </c>
    </row>
    <row r="4365" spans="7:15" x14ac:dyDescent="0.25">
      <c r="G4365" t="str">
        <f t="shared" si="408"/>
        <v/>
      </c>
      <c r="H4365" s="13" t="str">
        <f t="shared" si="411"/>
        <v/>
      </c>
      <c r="I4365" t="str">
        <f>IFERROR(INDEX(Analysis!$D$116:$N$137, MATCH(B4365, Analysis!$C$116:$C$137, 0), MATCH(C4365, Analysis!$D$115:$N$115, 0)), "")</f>
        <v/>
      </c>
      <c r="J4365" t="str">
        <f t="shared" si="412"/>
        <v/>
      </c>
      <c r="K4365" s="28" t="str">
        <f t="shared" si="409"/>
        <v/>
      </c>
      <c r="L4365" s="46" t="str">
        <f t="shared" si="413"/>
        <v/>
      </c>
      <c r="M4365" t="str" cm="1">
        <f t="array" ref="M4365">IF(L4365="","",_xlfn.IFS(
  AND(L4365&gt;=TIME(9,0,0), L4365&lt;TIME(16,0,0)),"Morning",
  AND(L4365&gt;=TIME(16,0,0), L4365&lt;TIME(23,59,0)),"Evening",
  L4365&gt;=TIME(23,59,0),"Night",
  L4365&lt;TIME(9,0,0),"Night"
))</f>
        <v/>
      </c>
      <c r="O4365" t="str">
        <f t="shared" si="410"/>
        <v/>
      </c>
    </row>
    <row r="4366" spans="7:15" x14ac:dyDescent="0.25">
      <c r="G4366" t="str">
        <f t="shared" si="408"/>
        <v/>
      </c>
      <c r="H4366" s="13" t="str">
        <f t="shared" si="411"/>
        <v/>
      </c>
      <c r="I4366" t="str">
        <f>IFERROR(INDEX(Analysis!$D$116:$N$137, MATCH(B4366, Analysis!$C$116:$C$137, 0), MATCH(C4366, Analysis!$D$115:$N$115, 0)), "")</f>
        <v/>
      </c>
      <c r="J4366" t="str">
        <f t="shared" si="412"/>
        <v/>
      </c>
      <c r="K4366" s="28" t="str">
        <f t="shared" si="409"/>
        <v/>
      </c>
      <c r="L4366" s="46" t="str">
        <f t="shared" si="413"/>
        <v/>
      </c>
      <c r="M4366" t="str" cm="1">
        <f t="array" ref="M4366">IF(L4366="","",_xlfn.IFS(
  AND(L4366&gt;=TIME(9,0,0), L4366&lt;TIME(16,0,0)),"Morning",
  AND(L4366&gt;=TIME(16,0,0), L4366&lt;TIME(23,59,0)),"Evening",
  L4366&gt;=TIME(23,59,0),"Night",
  L4366&lt;TIME(9,0,0),"Night"
))</f>
        <v/>
      </c>
      <c r="O4366" t="str">
        <f t="shared" si="410"/>
        <v/>
      </c>
    </row>
    <row r="4367" spans="7:15" x14ac:dyDescent="0.25">
      <c r="G4367" t="str">
        <f t="shared" si="408"/>
        <v/>
      </c>
      <c r="H4367" s="13" t="str">
        <f t="shared" si="411"/>
        <v/>
      </c>
      <c r="I4367" t="str">
        <f>IFERROR(INDEX(Analysis!$D$116:$N$137, MATCH(B4367, Analysis!$C$116:$C$137, 0), MATCH(C4367, Analysis!$D$115:$N$115, 0)), "")</f>
        <v/>
      </c>
      <c r="J4367" t="str">
        <f t="shared" si="412"/>
        <v/>
      </c>
      <c r="K4367" s="28" t="str">
        <f t="shared" si="409"/>
        <v/>
      </c>
      <c r="L4367" s="46" t="str">
        <f t="shared" si="413"/>
        <v/>
      </c>
      <c r="M4367" t="str" cm="1">
        <f t="array" ref="M4367">IF(L4367="","",_xlfn.IFS(
  AND(L4367&gt;=TIME(9,0,0), L4367&lt;TIME(16,0,0)),"Morning",
  AND(L4367&gt;=TIME(16,0,0), L4367&lt;TIME(23,59,0)),"Evening",
  L4367&gt;=TIME(23,59,0),"Night",
  L4367&lt;TIME(9,0,0),"Night"
))</f>
        <v/>
      </c>
      <c r="O4367" t="str">
        <f t="shared" si="410"/>
        <v/>
      </c>
    </row>
    <row r="4368" spans="7:15" x14ac:dyDescent="0.25">
      <c r="G4368" t="str">
        <f t="shared" si="408"/>
        <v/>
      </c>
      <c r="H4368" s="13" t="str">
        <f t="shared" si="411"/>
        <v/>
      </c>
      <c r="I4368" t="str">
        <f>IFERROR(INDEX(Analysis!$D$116:$N$137, MATCH(B4368, Analysis!$C$116:$C$137, 0), MATCH(C4368, Analysis!$D$115:$N$115, 0)), "")</f>
        <v/>
      </c>
      <c r="J4368" t="str">
        <f t="shared" si="412"/>
        <v/>
      </c>
      <c r="K4368" s="28" t="str">
        <f t="shared" si="409"/>
        <v/>
      </c>
      <c r="L4368" s="46" t="str">
        <f t="shared" si="413"/>
        <v/>
      </c>
      <c r="M4368" t="str" cm="1">
        <f t="array" ref="M4368">IF(L4368="","",_xlfn.IFS(
  AND(L4368&gt;=TIME(9,0,0), L4368&lt;TIME(16,0,0)),"Morning",
  AND(L4368&gt;=TIME(16,0,0), L4368&lt;TIME(23,59,0)),"Evening",
  L4368&gt;=TIME(23,59,0),"Night",
  L4368&lt;TIME(9,0,0),"Night"
))</f>
        <v/>
      </c>
      <c r="O4368" t="str">
        <f t="shared" si="410"/>
        <v/>
      </c>
    </row>
    <row r="4369" spans="7:15" x14ac:dyDescent="0.25">
      <c r="G4369" t="str">
        <f t="shared" si="408"/>
        <v/>
      </c>
      <c r="H4369" s="13" t="str">
        <f t="shared" si="411"/>
        <v/>
      </c>
      <c r="I4369" t="str">
        <f>IFERROR(INDEX(Analysis!$D$116:$N$137, MATCH(B4369, Analysis!$C$116:$C$137, 0), MATCH(C4369, Analysis!$D$115:$N$115, 0)), "")</f>
        <v/>
      </c>
      <c r="J4369" t="str">
        <f t="shared" si="412"/>
        <v/>
      </c>
      <c r="K4369" s="28" t="str">
        <f t="shared" si="409"/>
        <v/>
      </c>
      <c r="L4369" s="46" t="str">
        <f t="shared" si="413"/>
        <v/>
      </c>
      <c r="M4369" t="str" cm="1">
        <f t="array" ref="M4369">IF(L4369="","",_xlfn.IFS(
  AND(L4369&gt;=TIME(9,0,0), L4369&lt;TIME(16,0,0)),"Morning",
  AND(L4369&gt;=TIME(16,0,0), L4369&lt;TIME(23,59,0)),"Evening",
  L4369&gt;=TIME(23,59,0),"Night",
  L4369&lt;TIME(9,0,0),"Night"
))</f>
        <v/>
      </c>
      <c r="O4369" t="str">
        <f t="shared" si="410"/>
        <v/>
      </c>
    </row>
    <row r="4370" spans="7:15" x14ac:dyDescent="0.25">
      <c r="G4370" t="str">
        <f t="shared" si="408"/>
        <v/>
      </c>
      <c r="H4370" s="13" t="str">
        <f t="shared" si="411"/>
        <v/>
      </c>
      <c r="I4370" t="str">
        <f>IFERROR(INDEX(Analysis!$D$116:$N$137, MATCH(B4370, Analysis!$C$116:$C$137, 0), MATCH(C4370, Analysis!$D$115:$N$115, 0)), "")</f>
        <v/>
      </c>
      <c r="J4370" t="str">
        <f t="shared" si="412"/>
        <v/>
      </c>
      <c r="K4370" s="28" t="str">
        <f t="shared" si="409"/>
        <v/>
      </c>
      <c r="L4370" s="46" t="str">
        <f t="shared" si="413"/>
        <v/>
      </c>
      <c r="M4370" t="str" cm="1">
        <f t="array" ref="M4370">IF(L4370="","",_xlfn.IFS(
  AND(L4370&gt;=TIME(9,0,0), L4370&lt;TIME(16,0,0)),"Morning",
  AND(L4370&gt;=TIME(16,0,0), L4370&lt;TIME(23,59,0)),"Evening",
  L4370&gt;=TIME(23,59,0),"Night",
  L4370&lt;TIME(9,0,0),"Night"
))</f>
        <v/>
      </c>
      <c r="O4370" t="str">
        <f t="shared" si="410"/>
        <v/>
      </c>
    </row>
    <row r="4371" spans="7:15" x14ac:dyDescent="0.25">
      <c r="G4371" t="str">
        <f t="shared" si="408"/>
        <v/>
      </c>
      <c r="H4371" s="13" t="str">
        <f t="shared" si="411"/>
        <v/>
      </c>
      <c r="I4371" t="str">
        <f>IFERROR(INDEX(Analysis!$D$116:$N$137, MATCH(B4371, Analysis!$C$116:$C$137, 0), MATCH(C4371, Analysis!$D$115:$N$115, 0)), "")</f>
        <v/>
      </c>
      <c r="J4371" t="str">
        <f t="shared" si="412"/>
        <v/>
      </c>
      <c r="K4371" s="28" t="str">
        <f t="shared" si="409"/>
        <v/>
      </c>
      <c r="L4371" s="46" t="str">
        <f t="shared" si="413"/>
        <v/>
      </c>
      <c r="M4371" t="str" cm="1">
        <f t="array" ref="M4371">IF(L4371="","",_xlfn.IFS(
  AND(L4371&gt;=TIME(9,0,0), L4371&lt;TIME(16,0,0)),"Morning",
  AND(L4371&gt;=TIME(16,0,0), L4371&lt;TIME(23,59,0)),"Evening",
  L4371&gt;=TIME(23,59,0),"Night",
  L4371&lt;TIME(9,0,0),"Night"
))</f>
        <v/>
      </c>
      <c r="O4371" t="str">
        <f t="shared" si="410"/>
        <v/>
      </c>
    </row>
    <row r="4372" spans="7:15" x14ac:dyDescent="0.25">
      <c r="G4372" t="str">
        <f t="shared" si="408"/>
        <v/>
      </c>
      <c r="H4372" s="13" t="str">
        <f t="shared" si="411"/>
        <v/>
      </c>
      <c r="I4372" t="str">
        <f>IFERROR(INDEX(Analysis!$D$116:$N$137, MATCH(B4372, Analysis!$C$116:$C$137, 0), MATCH(C4372, Analysis!$D$115:$N$115, 0)), "")</f>
        <v/>
      </c>
      <c r="J4372" t="str">
        <f t="shared" si="412"/>
        <v/>
      </c>
      <c r="K4372" s="28" t="str">
        <f t="shared" si="409"/>
        <v/>
      </c>
      <c r="L4372" s="46" t="str">
        <f t="shared" si="413"/>
        <v/>
      </c>
      <c r="M4372" t="str" cm="1">
        <f t="array" ref="M4372">IF(L4372="","",_xlfn.IFS(
  AND(L4372&gt;=TIME(9,0,0), L4372&lt;TIME(16,0,0)),"Morning",
  AND(L4372&gt;=TIME(16,0,0), L4372&lt;TIME(23,59,0)),"Evening",
  L4372&gt;=TIME(23,59,0),"Night",
  L4372&lt;TIME(9,0,0),"Night"
))</f>
        <v/>
      </c>
      <c r="O4372" t="str">
        <f t="shared" si="410"/>
        <v/>
      </c>
    </row>
    <row r="4373" spans="7:15" x14ac:dyDescent="0.25">
      <c r="G4373" t="str">
        <f t="shared" si="408"/>
        <v/>
      </c>
      <c r="H4373" s="13" t="str">
        <f t="shared" si="411"/>
        <v/>
      </c>
      <c r="I4373" t="str">
        <f>IFERROR(INDEX(Analysis!$D$116:$N$137, MATCH(B4373, Analysis!$C$116:$C$137, 0), MATCH(C4373, Analysis!$D$115:$N$115, 0)), "")</f>
        <v/>
      </c>
      <c r="J4373" t="str">
        <f t="shared" si="412"/>
        <v/>
      </c>
      <c r="K4373" s="28" t="str">
        <f t="shared" si="409"/>
        <v/>
      </c>
      <c r="L4373" s="46" t="str">
        <f t="shared" si="413"/>
        <v/>
      </c>
      <c r="M4373" t="str" cm="1">
        <f t="array" ref="M4373">IF(L4373="","",_xlfn.IFS(
  AND(L4373&gt;=TIME(9,0,0), L4373&lt;TIME(16,0,0)),"Morning",
  AND(L4373&gt;=TIME(16,0,0), L4373&lt;TIME(23,59,0)),"Evening",
  L4373&gt;=TIME(23,59,0),"Night",
  L4373&lt;TIME(9,0,0),"Night"
))</f>
        <v/>
      </c>
      <c r="O4373" t="str">
        <f t="shared" si="410"/>
        <v/>
      </c>
    </row>
    <row r="4374" spans="7:15" x14ac:dyDescent="0.25">
      <c r="G4374" t="str">
        <f t="shared" si="408"/>
        <v/>
      </c>
      <c r="H4374" s="13" t="str">
        <f t="shared" si="411"/>
        <v/>
      </c>
      <c r="I4374" t="str">
        <f>IFERROR(INDEX(Analysis!$D$116:$N$137, MATCH(B4374, Analysis!$C$116:$C$137, 0), MATCH(C4374, Analysis!$D$115:$N$115, 0)), "")</f>
        <v/>
      </c>
      <c r="J4374" t="str">
        <f t="shared" si="412"/>
        <v/>
      </c>
      <c r="K4374" s="28" t="str">
        <f t="shared" si="409"/>
        <v/>
      </c>
      <c r="L4374" s="46" t="str">
        <f t="shared" si="413"/>
        <v/>
      </c>
      <c r="M4374" t="str" cm="1">
        <f t="array" ref="M4374">IF(L4374="","",_xlfn.IFS(
  AND(L4374&gt;=TIME(9,0,0), L4374&lt;TIME(16,0,0)),"Morning",
  AND(L4374&gt;=TIME(16,0,0), L4374&lt;TIME(23,59,0)),"Evening",
  L4374&gt;=TIME(23,59,0),"Night",
  L4374&lt;TIME(9,0,0),"Night"
))</f>
        <v/>
      </c>
      <c r="O4374" t="str">
        <f t="shared" si="410"/>
        <v/>
      </c>
    </row>
    <row r="4375" spans="7:15" x14ac:dyDescent="0.25">
      <c r="G4375" t="str">
        <f t="shared" si="408"/>
        <v/>
      </c>
      <c r="H4375" s="13" t="str">
        <f t="shared" si="411"/>
        <v/>
      </c>
      <c r="I4375" t="str">
        <f>IFERROR(INDEX(Analysis!$D$116:$N$137, MATCH(B4375, Analysis!$C$116:$C$137, 0), MATCH(C4375, Analysis!$D$115:$N$115, 0)), "")</f>
        <v/>
      </c>
      <c r="J4375" t="str">
        <f t="shared" si="412"/>
        <v/>
      </c>
      <c r="K4375" s="28" t="str">
        <f t="shared" si="409"/>
        <v/>
      </c>
      <c r="L4375" s="46" t="str">
        <f t="shared" si="413"/>
        <v/>
      </c>
      <c r="M4375" t="str" cm="1">
        <f t="array" ref="M4375">IF(L4375="","",_xlfn.IFS(
  AND(L4375&gt;=TIME(9,0,0), L4375&lt;TIME(16,0,0)),"Morning",
  AND(L4375&gt;=TIME(16,0,0), L4375&lt;TIME(23,59,0)),"Evening",
  L4375&gt;=TIME(23,59,0),"Night",
  L4375&lt;TIME(9,0,0),"Night"
))</f>
        <v/>
      </c>
      <c r="O4375" t="str">
        <f t="shared" si="410"/>
        <v/>
      </c>
    </row>
    <row r="4376" spans="7:15" x14ac:dyDescent="0.25">
      <c r="G4376" t="str">
        <f t="shared" si="408"/>
        <v/>
      </c>
      <c r="H4376" s="13" t="str">
        <f t="shared" si="411"/>
        <v/>
      </c>
      <c r="I4376" t="str">
        <f>IFERROR(INDEX(Analysis!$D$116:$N$137, MATCH(B4376, Analysis!$C$116:$C$137, 0), MATCH(C4376, Analysis!$D$115:$N$115, 0)), "")</f>
        <v/>
      </c>
      <c r="J4376" t="str">
        <f t="shared" si="412"/>
        <v/>
      </c>
      <c r="K4376" s="28" t="str">
        <f t="shared" si="409"/>
        <v/>
      </c>
      <c r="L4376" s="46" t="str">
        <f t="shared" si="413"/>
        <v/>
      </c>
      <c r="M4376" t="str" cm="1">
        <f t="array" ref="M4376">IF(L4376="","",_xlfn.IFS(
  AND(L4376&gt;=TIME(9,0,0), L4376&lt;TIME(16,0,0)),"Morning",
  AND(L4376&gt;=TIME(16,0,0), L4376&lt;TIME(23,59,0)),"Evening",
  L4376&gt;=TIME(23,59,0),"Night",
  L4376&lt;TIME(9,0,0),"Night"
))</f>
        <v/>
      </c>
      <c r="O4376" t="str">
        <f t="shared" si="410"/>
        <v/>
      </c>
    </row>
    <row r="4377" spans="7:15" x14ac:dyDescent="0.25">
      <c r="G4377" t="str">
        <f t="shared" si="408"/>
        <v/>
      </c>
      <c r="H4377" s="13" t="str">
        <f t="shared" si="411"/>
        <v/>
      </c>
      <c r="I4377" t="str">
        <f>IFERROR(INDEX(Analysis!$D$116:$N$137, MATCH(B4377, Analysis!$C$116:$C$137, 0), MATCH(C4377, Analysis!$D$115:$N$115, 0)), "")</f>
        <v/>
      </c>
      <c r="J4377" t="str">
        <f t="shared" si="412"/>
        <v/>
      </c>
      <c r="K4377" s="28" t="str">
        <f t="shared" si="409"/>
        <v/>
      </c>
      <c r="L4377" s="46" t="str">
        <f t="shared" si="413"/>
        <v/>
      </c>
      <c r="M4377" t="str" cm="1">
        <f t="array" ref="M4377">IF(L4377="","",_xlfn.IFS(
  AND(L4377&gt;=TIME(9,0,0), L4377&lt;TIME(16,0,0)),"Morning",
  AND(L4377&gt;=TIME(16,0,0), L4377&lt;TIME(23,59,0)),"Evening",
  L4377&gt;=TIME(23,59,0),"Night",
  L4377&lt;TIME(9,0,0),"Night"
))</f>
        <v/>
      </c>
      <c r="O4377" t="str">
        <f t="shared" si="410"/>
        <v/>
      </c>
    </row>
    <row r="4378" spans="7:15" x14ac:dyDescent="0.25">
      <c r="G4378" t="str">
        <f t="shared" si="408"/>
        <v/>
      </c>
      <c r="H4378" s="13" t="str">
        <f t="shared" si="411"/>
        <v/>
      </c>
      <c r="I4378" t="str">
        <f>IFERROR(INDEX(Analysis!$D$116:$N$137, MATCH(B4378, Analysis!$C$116:$C$137, 0), MATCH(C4378, Analysis!$D$115:$N$115, 0)), "")</f>
        <v/>
      </c>
      <c r="J4378" t="str">
        <f t="shared" si="412"/>
        <v/>
      </c>
      <c r="K4378" s="28" t="str">
        <f t="shared" si="409"/>
        <v/>
      </c>
      <c r="L4378" s="46" t="str">
        <f t="shared" si="413"/>
        <v/>
      </c>
      <c r="M4378" t="str" cm="1">
        <f t="array" ref="M4378">IF(L4378="","",_xlfn.IFS(
  AND(L4378&gt;=TIME(9,0,0), L4378&lt;TIME(16,0,0)),"Morning",
  AND(L4378&gt;=TIME(16,0,0), L4378&lt;TIME(23,59,0)),"Evening",
  L4378&gt;=TIME(23,59,0),"Night",
  L4378&lt;TIME(9,0,0),"Night"
))</f>
        <v/>
      </c>
      <c r="O4378" t="str">
        <f t="shared" si="410"/>
        <v/>
      </c>
    </row>
    <row r="4379" spans="7:15" x14ac:dyDescent="0.25">
      <c r="G4379" t="str">
        <f t="shared" si="408"/>
        <v/>
      </c>
      <c r="H4379" s="13" t="str">
        <f t="shared" si="411"/>
        <v/>
      </c>
      <c r="I4379" t="str">
        <f>IFERROR(INDEX(Analysis!$D$116:$N$137, MATCH(B4379, Analysis!$C$116:$C$137, 0), MATCH(C4379, Analysis!$D$115:$N$115, 0)), "")</f>
        <v/>
      </c>
      <c r="J4379" t="str">
        <f t="shared" si="412"/>
        <v/>
      </c>
      <c r="K4379" s="28" t="str">
        <f t="shared" si="409"/>
        <v/>
      </c>
      <c r="L4379" s="46" t="str">
        <f t="shared" si="413"/>
        <v/>
      </c>
      <c r="M4379" t="str" cm="1">
        <f t="array" ref="M4379">IF(L4379="","",_xlfn.IFS(
  AND(L4379&gt;=TIME(9,0,0), L4379&lt;TIME(16,0,0)),"Morning",
  AND(L4379&gt;=TIME(16,0,0), L4379&lt;TIME(23,59,0)),"Evening",
  L4379&gt;=TIME(23,59,0),"Night",
  L4379&lt;TIME(9,0,0),"Night"
))</f>
        <v/>
      </c>
      <c r="O4379" t="str">
        <f t="shared" si="410"/>
        <v/>
      </c>
    </row>
    <row r="4380" spans="7:15" x14ac:dyDescent="0.25">
      <c r="G4380" t="str">
        <f t="shared" si="408"/>
        <v/>
      </c>
      <c r="H4380" s="13" t="str">
        <f t="shared" si="411"/>
        <v/>
      </c>
      <c r="I4380" t="str">
        <f>IFERROR(INDEX(Analysis!$D$116:$N$137, MATCH(B4380, Analysis!$C$116:$C$137, 0), MATCH(C4380, Analysis!$D$115:$N$115, 0)), "")</f>
        <v/>
      </c>
      <c r="J4380" t="str">
        <f t="shared" si="412"/>
        <v/>
      </c>
      <c r="K4380" s="28" t="str">
        <f t="shared" si="409"/>
        <v/>
      </c>
      <c r="L4380" s="46" t="str">
        <f t="shared" si="413"/>
        <v/>
      </c>
      <c r="M4380" t="str" cm="1">
        <f t="array" ref="M4380">IF(L4380="","",_xlfn.IFS(
  AND(L4380&gt;=TIME(9,0,0), L4380&lt;TIME(16,0,0)),"Morning",
  AND(L4380&gt;=TIME(16,0,0), L4380&lt;TIME(23,59,0)),"Evening",
  L4380&gt;=TIME(23,59,0),"Night",
  L4380&lt;TIME(9,0,0),"Night"
))</f>
        <v/>
      </c>
      <c r="O4380" t="str">
        <f t="shared" si="410"/>
        <v/>
      </c>
    </row>
    <row r="4381" spans="7:15" x14ac:dyDescent="0.25">
      <c r="G4381" t="str">
        <f t="shared" si="408"/>
        <v/>
      </c>
      <c r="H4381" s="13" t="str">
        <f t="shared" si="411"/>
        <v/>
      </c>
      <c r="I4381" t="str">
        <f>IFERROR(INDEX(Analysis!$D$116:$N$137, MATCH(B4381, Analysis!$C$116:$C$137, 0), MATCH(C4381, Analysis!$D$115:$N$115, 0)), "")</f>
        <v/>
      </c>
      <c r="J4381" t="str">
        <f t="shared" si="412"/>
        <v/>
      </c>
      <c r="K4381" s="28" t="str">
        <f t="shared" si="409"/>
        <v/>
      </c>
      <c r="L4381" s="46" t="str">
        <f t="shared" si="413"/>
        <v/>
      </c>
      <c r="M4381" t="str" cm="1">
        <f t="array" ref="M4381">IF(L4381="","",_xlfn.IFS(
  AND(L4381&gt;=TIME(9,0,0), L4381&lt;TIME(16,0,0)),"Morning",
  AND(L4381&gt;=TIME(16,0,0), L4381&lt;TIME(23,59,0)),"Evening",
  L4381&gt;=TIME(23,59,0),"Night",
  L4381&lt;TIME(9,0,0),"Night"
))</f>
        <v/>
      </c>
      <c r="O4381" t="str">
        <f t="shared" si="410"/>
        <v/>
      </c>
    </row>
    <row r="4382" spans="7:15" x14ac:dyDescent="0.25">
      <c r="G4382" t="str">
        <f t="shared" si="408"/>
        <v/>
      </c>
      <c r="H4382" s="13" t="str">
        <f t="shared" si="411"/>
        <v/>
      </c>
      <c r="I4382" t="str">
        <f>IFERROR(INDEX(Analysis!$D$116:$N$137, MATCH(B4382, Analysis!$C$116:$C$137, 0), MATCH(C4382, Analysis!$D$115:$N$115, 0)), "")</f>
        <v/>
      </c>
      <c r="J4382" t="str">
        <f t="shared" si="412"/>
        <v/>
      </c>
      <c r="K4382" s="28" t="str">
        <f t="shared" si="409"/>
        <v/>
      </c>
      <c r="L4382" s="46" t="str">
        <f t="shared" si="413"/>
        <v/>
      </c>
      <c r="M4382" t="str" cm="1">
        <f t="array" ref="M4382">IF(L4382="","",_xlfn.IFS(
  AND(L4382&gt;=TIME(9,0,0), L4382&lt;TIME(16,0,0)),"Morning",
  AND(L4382&gt;=TIME(16,0,0), L4382&lt;TIME(23,59,0)),"Evening",
  L4382&gt;=TIME(23,59,0),"Night",
  L4382&lt;TIME(9,0,0),"Night"
))</f>
        <v/>
      </c>
      <c r="O4382" t="str">
        <f t="shared" si="410"/>
        <v/>
      </c>
    </row>
    <row r="4383" spans="7:15" x14ac:dyDescent="0.25">
      <c r="G4383" t="str">
        <f t="shared" si="408"/>
        <v/>
      </c>
      <c r="H4383" s="13" t="str">
        <f t="shared" si="411"/>
        <v/>
      </c>
      <c r="I4383" t="str">
        <f>IFERROR(INDEX(Analysis!$D$116:$N$137, MATCH(B4383, Analysis!$C$116:$C$137, 0), MATCH(C4383, Analysis!$D$115:$N$115, 0)), "")</f>
        <v/>
      </c>
      <c r="J4383" t="str">
        <f t="shared" si="412"/>
        <v/>
      </c>
      <c r="K4383" s="28" t="str">
        <f t="shared" si="409"/>
        <v/>
      </c>
      <c r="L4383" s="46" t="str">
        <f t="shared" si="413"/>
        <v/>
      </c>
      <c r="M4383" t="str" cm="1">
        <f t="array" ref="M4383">IF(L4383="","",_xlfn.IFS(
  AND(L4383&gt;=TIME(9,0,0), L4383&lt;TIME(16,0,0)),"Morning",
  AND(L4383&gt;=TIME(16,0,0), L4383&lt;TIME(23,59,0)),"Evening",
  L4383&gt;=TIME(23,59,0),"Night",
  L4383&lt;TIME(9,0,0),"Night"
))</f>
        <v/>
      </c>
      <c r="O4383" t="str">
        <f t="shared" si="410"/>
        <v/>
      </c>
    </row>
    <row r="4384" spans="7:15" x14ac:dyDescent="0.25">
      <c r="G4384" t="str">
        <f t="shared" si="408"/>
        <v/>
      </c>
      <c r="H4384" s="13" t="str">
        <f t="shared" si="411"/>
        <v/>
      </c>
      <c r="I4384" t="str">
        <f>IFERROR(INDEX(Analysis!$D$116:$N$137, MATCH(B4384, Analysis!$C$116:$C$137, 0), MATCH(C4384, Analysis!$D$115:$N$115, 0)), "")</f>
        <v/>
      </c>
      <c r="J4384" t="str">
        <f t="shared" si="412"/>
        <v/>
      </c>
      <c r="K4384" s="28" t="str">
        <f t="shared" si="409"/>
        <v/>
      </c>
      <c r="L4384" s="46" t="str">
        <f t="shared" si="413"/>
        <v/>
      </c>
      <c r="M4384" t="str" cm="1">
        <f t="array" ref="M4384">IF(L4384="","",_xlfn.IFS(
  AND(L4384&gt;=TIME(9,0,0), L4384&lt;TIME(16,0,0)),"Morning",
  AND(L4384&gt;=TIME(16,0,0), L4384&lt;TIME(23,59,0)),"Evening",
  L4384&gt;=TIME(23,59,0),"Night",
  L4384&lt;TIME(9,0,0),"Night"
))</f>
        <v/>
      </c>
      <c r="O4384" t="str">
        <f t="shared" si="410"/>
        <v/>
      </c>
    </row>
    <row r="4385" spans="7:15" x14ac:dyDescent="0.25">
      <c r="G4385" t="str">
        <f t="shared" si="408"/>
        <v/>
      </c>
      <c r="H4385" s="13" t="str">
        <f t="shared" si="411"/>
        <v/>
      </c>
      <c r="I4385" t="str">
        <f>IFERROR(INDEX(Analysis!$D$116:$N$137, MATCH(B4385, Analysis!$C$116:$C$137, 0), MATCH(C4385, Analysis!$D$115:$N$115, 0)), "")</f>
        <v/>
      </c>
      <c r="J4385" t="str">
        <f t="shared" si="412"/>
        <v/>
      </c>
      <c r="K4385" s="28" t="str">
        <f t="shared" si="409"/>
        <v/>
      </c>
      <c r="L4385" s="46" t="str">
        <f t="shared" si="413"/>
        <v/>
      </c>
      <c r="M4385" t="str" cm="1">
        <f t="array" ref="M4385">IF(L4385="","",_xlfn.IFS(
  AND(L4385&gt;=TIME(9,0,0), L4385&lt;TIME(16,0,0)),"Morning",
  AND(L4385&gt;=TIME(16,0,0), L4385&lt;TIME(23,59,0)),"Evening",
  L4385&gt;=TIME(23,59,0),"Night",
  L4385&lt;TIME(9,0,0),"Night"
))</f>
        <v/>
      </c>
      <c r="O4385" t="str">
        <f t="shared" si="410"/>
        <v/>
      </c>
    </row>
    <row r="4386" spans="7:15" x14ac:dyDescent="0.25">
      <c r="G4386" t="str">
        <f t="shared" si="408"/>
        <v/>
      </c>
      <c r="H4386" s="13" t="str">
        <f t="shared" si="411"/>
        <v/>
      </c>
      <c r="I4386" t="str">
        <f>IFERROR(INDEX(Analysis!$D$116:$N$137, MATCH(B4386, Analysis!$C$116:$C$137, 0), MATCH(C4386, Analysis!$D$115:$N$115, 0)), "")</f>
        <v/>
      </c>
      <c r="J4386" t="str">
        <f t="shared" si="412"/>
        <v/>
      </c>
      <c r="K4386" s="28" t="str">
        <f t="shared" si="409"/>
        <v/>
      </c>
      <c r="L4386" s="46" t="str">
        <f t="shared" si="413"/>
        <v/>
      </c>
      <c r="M4386" t="str" cm="1">
        <f t="array" ref="M4386">IF(L4386="","",_xlfn.IFS(
  AND(L4386&gt;=TIME(9,0,0), L4386&lt;TIME(16,0,0)),"Morning",
  AND(L4386&gt;=TIME(16,0,0), L4386&lt;TIME(23,59,0)),"Evening",
  L4386&gt;=TIME(23,59,0),"Night",
  L4386&lt;TIME(9,0,0),"Night"
))</f>
        <v/>
      </c>
      <c r="O4386" t="str">
        <f t="shared" si="410"/>
        <v/>
      </c>
    </row>
    <row r="4387" spans="7:15" x14ac:dyDescent="0.25">
      <c r="G4387" t="str">
        <f t="shared" si="408"/>
        <v/>
      </c>
      <c r="H4387" s="13" t="str">
        <f t="shared" si="411"/>
        <v/>
      </c>
      <c r="I4387" t="str">
        <f>IFERROR(INDEX(Analysis!$D$116:$N$137, MATCH(B4387, Analysis!$C$116:$C$137, 0), MATCH(C4387, Analysis!$D$115:$N$115, 0)), "")</f>
        <v/>
      </c>
      <c r="J4387" t="str">
        <f t="shared" si="412"/>
        <v/>
      </c>
      <c r="K4387" s="28" t="str">
        <f t="shared" si="409"/>
        <v/>
      </c>
      <c r="L4387" s="46" t="str">
        <f t="shared" si="413"/>
        <v/>
      </c>
      <c r="M4387" t="str" cm="1">
        <f t="array" ref="M4387">IF(L4387="","",_xlfn.IFS(
  AND(L4387&gt;=TIME(9,0,0), L4387&lt;TIME(16,0,0)),"Morning",
  AND(L4387&gt;=TIME(16,0,0), L4387&lt;TIME(23,59,0)),"Evening",
  L4387&gt;=TIME(23,59,0),"Night",
  L4387&lt;TIME(9,0,0),"Night"
))</f>
        <v/>
      </c>
      <c r="O4387" t="str">
        <f t="shared" si="410"/>
        <v/>
      </c>
    </row>
    <row r="4388" spans="7:15" x14ac:dyDescent="0.25">
      <c r="G4388" t="str">
        <f t="shared" si="408"/>
        <v/>
      </c>
      <c r="H4388" s="13" t="str">
        <f t="shared" si="411"/>
        <v/>
      </c>
      <c r="I4388" t="str">
        <f>IFERROR(INDEX(Analysis!$D$116:$N$137, MATCH(B4388, Analysis!$C$116:$C$137, 0), MATCH(C4388, Analysis!$D$115:$N$115, 0)), "")</f>
        <v/>
      </c>
      <c r="J4388" t="str">
        <f t="shared" si="412"/>
        <v/>
      </c>
      <c r="K4388" s="28" t="str">
        <f t="shared" si="409"/>
        <v/>
      </c>
      <c r="L4388" s="46" t="str">
        <f t="shared" si="413"/>
        <v/>
      </c>
      <c r="M4388" t="str" cm="1">
        <f t="array" ref="M4388">IF(L4388="","",_xlfn.IFS(
  AND(L4388&gt;=TIME(9,0,0), L4388&lt;TIME(16,0,0)),"Morning",
  AND(L4388&gt;=TIME(16,0,0), L4388&lt;TIME(23,59,0)),"Evening",
  L4388&gt;=TIME(23,59,0),"Night",
  L4388&lt;TIME(9,0,0),"Night"
))</f>
        <v/>
      </c>
      <c r="O4388" t="str">
        <f t="shared" si="410"/>
        <v/>
      </c>
    </row>
    <row r="4389" spans="7:15" x14ac:dyDescent="0.25">
      <c r="G4389" t="str">
        <f t="shared" si="408"/>
        <v/>
      </c>
      <c r="H4389" s="13" t="str">
        <f t="shared" si="411"/>
        <v/>
      </c>
      <c r="I4389" t="str">
        <f>IFERROR(INDEX(Analysis!$D$116:$N$137, MATCH(B4389, Analysis!$C$116:$C$137, 0), MATCH(C4389, Analysis!$D$115:$N$115, 0)), "")</f>
        <v/>
      </c>
      <c r="J4389" t="str">
        <f t="shared" si="412"/>
        <v/>
      </c>
      <c r="K4389" s="28" t="str">
        <f t="shared" si="409"/>
        <v/>
      </c>
      <c r="L4389" s="46" t="str">
        <f t="shared" si="413"/>
        <v/>
      </c>
      <c r="M4389" t="str" cm="1">
        <f t="array" ref="M4389">IF(L4389="","",_xlfn.IFS(
  AND(L4389&gt;=TIME(9,0,0), L4389&lt;TIME(16,0,0)),"Morning",
  AND(L4389&gt;=TIME(16,0,0), L4389&lt;TIME(23,59,0)),"Evening",
  L4389&gt;=TIME(23,59,0),"Night",
  L4389&lt;TIME(9,0,0),"Night"
))</f>
        <v/>
      </c>
      <c r="O4389" t="str">
        <f t="shared" si="410"/>
        <v/>
      </c>
    </row>
    <row r="4390" spans="7:15" x14ac:dyDescent="0.25">
      <c r="G4390" t="str">
        <f t="shared" si="408"/>
        <v/>
      </c>
      <c r="H4390" s="13" t="str">
        <f t="shared" si="411"/>
        <v/>
      </c>
      <c r="I4390" t="str">
        <f>IFERROR(INDEX(Analysis!$D$116:$N$137, MATCH(B4390, Analysis!$C$116:$C$137, 0), MATCH(C4390, Analysis!$D$115:$N$115, 0)), "")</f>
        <v/>
      </c>
      <c r="J4390" t="str">
        <f t="shared" si="412"/>
        <v/>
      </c>
      <c r="K4390" s="28" t="str">
        <f t="shared" si="409"/>
        <v/>
      </c>
      <c r="L4390" s="46" t="str">
        <f t="shared" si="413"/>
        <v/>
      </c>
      <c r="M4390" t="str" cm="1">
        <f t="array" ref="M4390">IF(L4390="","",_xlfn.IFS(
  AND(L4390&gt;=TIME(9,0,0), L4390&lt;TIME(16,0,0)),"Morning",
  AND(L4390&gt;=TIME(16,0,0), L4390&lt;TIME(23,59,0)),"Evening",
  L4390&gt;=TIME(23,59,0),"Night",
  L4390&lt;TIME(9,0,0),"Night"
))</f>
        <v/>
      </c>
      <c r="O4390" t="str">
        <f t="shared" si="410"/>
        <v/>
      </c>
    </row>
    <row r="4391" spans="7:15" x14ac:dyDescent="0.25">
      <c r="G4391" t="str">
        <f t="shared" si="408"/>
        <v/>
      </c>
      <c r="H4391" s="13" t="str">
        <f t="shared" si="411"/>
        <v/>
      </c>
      <c r="I4391" t="str">
        <f>IFERROR(INDEX(Analysis!$D$116:$N$137, MATCH(B4391, Analysis!$C$116:$C$137, 0), MATCH(C4391, Analysis!$D$115:$N$115, 0)), "")</f>
        <v/>
      </c>
      <c r="J4391" t="str">
        <f t="shared" si="412"/>
        <v/>
      </c>
      <c r="K4391" s="28" t="str">
        <f t="shared" si="409"/>
        <v/>
      </c>
      <c r="L4391" s="46" t="str">
        <f t="shared" si="413"/>
        <v/>
      </c>
      <c r="M4391" t="str" cm="1">
        <f t="array" ref="M4391">IF(L4391="","",_xlfn.IFS(
  AND(L4391&gt;=TIME(9,0,0), L4391&lt;TIME(16,0,0)),"Morning",
  AND(L4391&gt;=TIME(16,0,0), L4391&lt;TIME(23,59,0)),"Evening",
  L4391&gt;=TIME(23,59,0),"Night",
  L4391&lt;TIME(9,0,0),"Night"
))</f>
        <v/>
      </c>
      <c r="O4391" t="str">
        <f t="shared" si="410"/>
        <v/>
      </c>
    </row>
    <row r="4392" spans="7:15" x14ac:dyDescent="0.25">
      <c r="G4392" t="str">
        <f t="shared" si="408"/>
        <v/>
      </c>
      <c r="H4392" s="13" t="str">
        <f t="shared" si="411"/>
        <v/>
      </c>
      <c r="I4392" t="str">
        <f>IFERROR(INDEX(Analysis!$D$116:$N$137, MATCH(B4392, Analysis!$C$116:$C$137, 0), MATCH(C4392, Analysis!$D$115:$N$115, 0)), "")</f>
        <v/>
      </c>
      <c r="J4392" t="str">
        <f t="shared" si="412"/>
        <v/>
      </c>
      <c r="K4392" s="28" t="str">
        <f t="shared" si="409"/>
        <v/>
      </c>
      <c r="L4392" s="46" t="str">
        <f t="shared" si="413"/>
        <v/>
      </c>
      <c r="M4392" t="str" cm="1">
        <f t="array" ref="M4392">IF(L4392="","",_xlfn.IFS(
  AND(L4392&gt;=TIME(9,0,0), L4392&lt;TIME(16,0,0)),"Morning",
  AND(L4392&gt;=TIME(16,0,0), L4392&lt;TIME(23,59,0)),"Evening",
  L4392&gt;=TIME(23,59,0),"Night",
  L4392&lt;TIME(9,0,0),"Night"
))</f>
        <v/>
      </c>
      <c r="O4392" t="str">
        <f t="shared" si="410"/>
        <v/>
      </c>
    </row>
    <row r="4393" spans="7:15" x14ac:dyDescent="0.25">
      <c r="G4393" t="str">
        <f t="shared" si="408"/>
        <v/>
      </c>
      <c r="H4393" s="13" t="str">
        <f t="shared" si="411"/>
        <v/>
      </c>
      <c r="I4393" t="str">
        <f>IFERROR(INDEX(Analysis!$D$116:$N$137, MATCH(B4393, Analysis!$C$116:$C$137, 0), MATCH(C4393, Analysis!$D$115:$N$115, 0)), "")</f>
        <v/>
      </c>
      <c r="J4393" t="str">
        <f t="shared" si="412"/>
        <v/>
      </c>
      <c r="K4393" s="28" t="str">
        <f t="shared" si="409"/>
        <v/>
      </c>
      <c r="L4393" s="46" t="str">
        <f t="shared" si="413"/>
        <v/>
      </c>
      <c r="M4393" t="str" cm="1">
        <f t="array" ref="M4393">IF(L4393="","",_xlfn.IFS(
  AND(L4393&gt;=TIME(9,0,0), L4393&lt;TIME(16,0,0)),"Morning",
  AND(L4393&gt;=TIME(16,0,0), L4393&lt;TIME(23,59,0)),"Evening",
  L4393&gt;=TIME(23,59,0),"Night",
  L4393&lt;TIME(9,0,0),"Night"
))</f>
        <v/>
      </c>
      <c r="O4393" t="str">
        <f t="shared" si="410"/>
        <v/>
      </c>
    </row>
    <row r="4394" spans="7:15" x14ac:dyDescent="0.25">
      <c r="G4394" t="str">
        <f t="shared" si="408"/>
        <v/>
      </c>
      <c r="H4394" s="13" t="str">
        <f t="shared" si="411"/>
        <v/>
      </c>
      <c r="I4394" t="str">
        <f>IFERROR(INDEX(Analysis!$D$116:$N$137, MATCH(B4394, Analysis!$C$116:$C$137, 0), MATCH(C4394, Analysis!$D$115:$N$115, 0)), "")</f>
        <v/>
      </c>
      <c r="J4394" t="str">
        <f t="shared" si="412"/>
        <v/>
      </c>
      <c r="K4394" s="28" t="str">
        <f t="shared" si="409"/>
        <v/>
      </c>
      <c r="L4394" s="46" t="str">
        <f t="shared" si="413"/>
        <v/>
      </c>
      <c r="M4394" t="str" cm="1">
        <f t="array" ref="M4394">IF(L4394="","",_xlfn.IFS(
  AND(L4394&gt;=TIME(9,0,0), L4394&lt;TIME(16,0,0)),"Morning",
  AND(L4394&gt;=TIME(16,0,0), L4394&lt;TIME(23,59,0)),"Evening",
  L4394&gt;=TIME(23,59,0),"Night",
  L4394&lt;TIME(9,0,0),"Night"
))</f>
        <v/>
      </c>
      <c r="O4394" t="str">
        <f t="shared" si="410"/>
        <v/>
      </c>
    </row>
    <row r="4395" spans="7:15" x14ac:dyDescent="0.25">
      <c r="G4395" t="str">
        <f t="shared" si="408"/>
        <v/>
      </c>
      <c r="H4395" s="13" t="str">
        <f t="shared" si="411"/>
        <v/>
      </c>
      <c r="I4395" t="str">
        <f>IFERROR(INDEX(Analysis!$D$116:$N$137, MATCH(B4395, Analysis!$C$116:$C$137, 0), MATCH(C4395, Analysis!$D$115:$N$115, 0)), "")</f>
        <v/>
      </c>
      <c r="J4395" t="str">
        <f t="shared" si="412"/>
        <v/>
      </c>
      <c r="K4395" s="28" t="str">
        <f t="shared" si="409"/>
        <v/>
      </c>
      <c r="L4395" s="46" t="str">
        <f t="shared" si="413"/>
        <v/>
      </c>
      <c r="M4395" t="str" cm="1">
        <f t="array" ref="M4395">IF(L4395="","",_xlfn.IFS(
  AND(L4395&gt;=TIME(9,0,0), L4395&lt;TIME(16,0,0)),"Morning",
  AND(L4395&gt;=TIME(16,0,0), L4395&lt;TIME(23,59,0)),"Evening",
  L4395&gt;=TIME(23,59,0),"Night",
  L4395&lt;TIME(9,0,0),"Night"
))</f>
        <v/>
      </c>
      <c r="O4395" t="str">
        <f t="shared" si="410"/>
        <v/>
      </c>
    </row>
    <row r="4396" spans="7:15" x14ac:dyDescent="0.25">
      <c r="G4396" t="str">
        <f t="shared" si="408"/>
        <v/>
      </c>
      <c r="H4396" s="13" t="str">
        <f t="shared" si="411"/>
        <v/>
      </c>
      <c r="I4396" t="str">
        <f>IFERROR(INDEX(Analysis!$D$116:$N$137, MATCH(B4396, Analysis!$C$116:$C$137, 0), MATCH(C4396, Analysis!$D$115:$N$115, 0)), "")</f>
        <v/>
      </c>
      <c r="J4396" t="str">
        <f t="shared" si="412"/>
        <v/>
      </c>
      <c r="K4396" s="28" t="str">
        <f t="shared" si="409"/>
        <v/>
      </c>
      <c r="L4396" s="46" t="str">
        <f t="shared" si="413"/>
        <v/>
      </c>
      <c r="M4396" t="str" cm="1">
        <f t="array" ref="M4396">IF(L4396="","",_xlfn.IFS(
  AND(L4396&gt;=TIME(9,0,0), L4396&lt;TIME(16,0,0)),"Morning",
  AND(L4396&gt;=TIME(16,0,0), L4396&lt;TIME(23,59,0)),"Evening",
  L4396&gt;=TIME(23,59,0),"Night",
  L4396&lt;TIME(9,0,0),"Night"
))</f>
        <v/>
      </c>
      <c r="O4396" t="str">
        <f t="shared" si="410"/>
        <v/>
      </c>
    </row>
    <row r="4397" spans="7:15" x14ac:dyDescent="0.25">
      <c r="G4397" t="str">
        <f t="shared" si="408"/>
        <v/>
      </c>
      <c r="H4397" s="13" t="str">
        <f t="shared" si="411"/>
        <v/>
      </c>
      <c r="I4397" t="str">
        <f>IFERROR(INDEX(Analysis!$D$116:$N$137, MATCH(B4397, Analysis!$C$116:$C$137, 0), MATCH(C4397, Analysis!$D$115:$N$115, 0)), "")</f>
        <v/>
      </c>
      <c r="J4397" t="str">
        <f t="shared" si="412"/>
        <v/>
      </c>
      <c r="K4397" s="28" t="str">
        <f t="shared" si="409"/>
        <v/>
      </c>
      <c r="L4397" s="46" t="str">
        <f t="shared" si="413"/>
        <v/>
      </c>
      <c r="M4397" t="str" cm="1">
        <f t="array" ref="M4397">IF(L4397="","",_xlfn.IFS(
  AND(L4397&gt;=TIME(9,0,0), L4397&lt;TIME(16,0,0)),"Morning",
  AND(L4397&gt;=TIME(16,0,0), L4397&lt;TIME(23,59,0)),"Evening",
  L4397&gt;=TIME(23,59,0),"Night",
  L4397&lt;TIME(9,0,0),"Night"
))</f>
        <v/>
      </c>
      <c r="O4397" t="str">
        <f t="shared" si="410"/>
        <v/>
      </c>
    </row>
    <row r="4398" spans="7:15" x14ac:dyDescent="0.25">
      <c r="G4398" t="str">
        <f t="shared" si="408"/>
        <v/>
      </c>
      <c r="H4398" s="13" t="str">
        <f t="shared" si="411"/>
        <v/>
      </c>
      <c r="I4398" t="str">
        <f>IFERROR(INDEX(Analysis!$D$116:$N$137, MATCH(B4398, Analysis!$C$116:$C$137, 0), MATCH(C4398, Analysis!$D$115:$N$115, 0)), "")</f>
        <v/>
      </c>
      <c r="J4398" t="str">
        <f t="shared" si="412"/>
        <v/>
      </c>
      <c r="K4398" s="28" t="str">
        <f t="shared" si="409"/>
        <v/>
      </c>
      <c r="L4398" s="46" t="str">
        <f t="shared" si="413"/>
        <v/>
      </c>
      <c r="M4398" t="str" cm="1">
        <f t="array" ref="M4398">IF(L4398="","",_xlfn.IFS(
  AND(L4398&gt;=TIME(9,0,0), L4398&lt;TIME(16,0,0)),"Morning",
  AND(L4398&gt;=TIME(16,0,0), L4398&lt;TIME(23,59,0)),"Evening",
  L4398&gt;=TIME(23,59,0),"Night",
  L4398&lt;TIME(9,0,0),"Night"
))</f>
        <v/>
      </c>
      <c r="O4398" t="str">
        <f t="shared" si="410"/>
        <v/>
      </c>
    </row>
    <row r="4399" spans="7:15" x14ac:dyDescent="0.25">
      <c r="G4399" t="str">
        <f t="shared" si="408"/>
        <v/>
      </c>
      <c r="H4399" s="13" t="str">
        <f t="shared" si="411"/>
        <v/>
      </c>
      <c r="I4399" t="str">
        <f>IFERROR(INDEX(Analysis!$D$116:$N$137, MATCH(B4399, Analysis!$C$116:$C$137, 0), MATCH(C4399, Analysis!$D$115:$N$115, 0)), "")</f>
        <v/>
      </c>
      <c r="J4399" t="str">
        <f t="shared" si="412"/>
        <v/>
      </c>
      <c r="K4399" s="28" t="str">
        <f t="shared" si="409"/>
        <v/>
      </c>
      <c r="L4399" s="46" t="str">
        <f t="shared" si="413"/>
        <v/>
      </c>
      <c r="M4399" t="str" cm="1">
        <f t="array" ref="M4399">IF(L4399="","",_xlfn.IFS(
  AND(L4399&gt;=TIME(9,0,0), L4399&lt;TIME(16,0,0)),"Morning",
  AND(L4399&gt;=TIME(16,0,0), L4399&lt;TIME(23,59,0)),"Evening",
  L4399&gt;=TIME(23,59,0),"Night",
  L4399&lt;TIME(9,0,0),"Night"
))</f>
        <v/>
      </c>
      <c r="O4399" t="str">
        <f t="shared" si="410"/>
        <v/>
      </c>
    </row>
    <row r="4400" spans="7:15" x14ac:dyDescent="0.25">
      <c r="G4400" t="str">
        <f t="shared" si="408"/>
        <v/>
      </c>
      <c r="H4400" s="13" t="str">
        <f t="shared" si="411"/>
        <v/>
      </c>
      <c r="I4400" t="str">
        <f>IFERROR(INDEX(Analysis!$D$116:$N$137, MATCH(B4400, Analysis!$C$116:$C$137, 0), MATCH(C4400, Analysis!$D$115:$N$115, 0)), "")</f>
        <v/>
      </c>
      <c r="J4400" t="str">
        <f t="shared" si="412"/>
        <v/>
      </c>
      <c r="K4400" s="28" t="str">
        <f t="shared" si="409"/>
        <v/>
      </c>
      <c r="L4400" s="46" t="str">
        <f t="shared" si="413"/>
        <v/>
      </c>
      <c r="M4400" t="str" cm="1">
        <f t="array" ref="M4400">IF(L4400="","",_xlfn.IFS(
  AND(L4400&gt;=TIME(9,0,0), L4400&lt;TIME(16,0,0)),"Morning",
  AND(L4400&gt;=TIME(16,0,0), L4400&lt;TIME(23,59,0)),"Evening",
  L4400&gt;=TIME(23,59,0),"Night",
  L4400&lt;TIME(9,0,0),"Night"
))</f>
        <v/>
      </c>
      <c r="O4400" t="str">
        <f t="shared" si="410"/>
        <v/>
      </c>
    </row>
    <row r="4401" spans="7:15" x14ac:dyDescent="0.25">
      <c r="G4401" t="str">
        <f t="shared" si="408"/>
        <v/>
      </c>
      <c r="H4401" s="13" t="str">
        <f t="shared" si="411"/>
        <v/>
      </c>
      <c r="I4401" t="str">
        <f>IFERROR(INDEX(Analysis!$D$116:$N$137, MATCH(B4401, Analysis!$C$116:$C$137, 0), MATCH(C4401, Analysis!$D$115:$N$115, 0)), "")</f>
        <v/>
      </c>
      <c r="J4401" t="str">
        <f t="shared" si="412"/>
        <v/>
      </c>
      <c r="K4401" s="28" t="str">
        <f t="shared" si="409"/>
        <v/>
      </c>
      <c r="L4401" s="46" t="str">
        <f t="shared" si="413"/>
        <v/>
      </c>
      <c r="M4401" t="str" cm="1">
        <f t="array" ref="M4401">IF(L4401="","",_xlfn.IFS(
  AND(L4401&gt;=TIME(9,0,0), L4401&lt;TIME(16,0,0)),"Morning",
  AND(L4401&gt;=TIME(16,0,0), L4401&lt;TIME(23,59,0)),"Evening",
  L4401&gt;=TIME(23,59,0),"Night",
  L4401&lt;TIME(9,0,0),"Night"
))</f>
        <v/>
      </c>
      <c r="O4401" t="str">
        <f t="shared" si="410"/>
        <v/>
      </c>
    </row>
    <row r="4402" spans="7:15" x14ac:dyDescent="0.25">
      <c r="G4402" t="str">
        <f t="shared" si="408"/>
        <v/>
      </c>
      <c r="H4402" s="13" t="str">
        <f t="shared" si="411"/>
        <v/>
      </c>
      <c r="I4402" t="str">
        <f>IFERROR(INDEX(Analysis!$D$116:$N$137, MATCH(B4402, Analysis!$C$116:$C$137, 0), MATCH(C4402, Analysis!$D$115:$N$115, 0)), "")</f>
        <v/>
      </c>
      <c r="J4402" t="str">
        <f t="shared" si="412"/>
        <v/>
      </c>
      <c r="K4402" s="28" t="str">
        <f t="shared" si="409"/>
        <v/>
      </c>
      <c r="L4402" s="46" t="str">
        <f t="shared" si="413"/>
        <v/>
      </c>
      <c r="M4402" t="str" cm="1">
        <f t="array" ref="M4402">IF(L4402="","",_xlfn.IFS(
  AND(L4402&gt;=TIME(9,0,0), L4402&lt;TIME(16,0,0)),"Morning",
  AND(L4402&gt;=TIME(16,0,0), L4402&lt;TIME(23,59,0)),"Evening",
  L4402&gt;=TIME(23,59,0),"Night",
  L4402&lt;TIME(9,0,0),"Night"
))</f>
        <v/>
      </c>
      <c r="O4402" t="str">
        <f t="shared" si="410"/>
        <v/>
      </c>
    </row>
    <row r="4403" spans="7:15" x14ac:dyDescent="0.25">
      <c r="G4403" t="str">
        <f t="shared" si="408"/>
        <v/>
      </c>
      <c r="H4403" s="13" t="str">
        <f t="shared" si="411"/>
        <v/>
      </c>
      <c r="I4403" t="str">
        <f>IFERROR(INDEX(Analysis!$D$116:$N$137, MATCH(B4403, Analysis!$C$116:$C$137, 0), MATCH(C4403, Analysis!$D$115:$N$115, 0)), "")</f>
        <v/>
      </c>
      <c r="J4403" t="str">
        <f t="shared" si="412"/>
        <v/>
      </c>
      <c r="K4403" s="28" t="str">
        <f t="shared" si="409"/>
        <v/>
      </c>
      <c r="L4403" s="46" t="str">
        <f t="shared" si="413"/>
        <v/>
      </c>
      <c r="M4403" t="str" cm="1">
        <f t="array" ref="M4403">IF(L4403="","",_xlfn.IFS(
  AND(L4403&gt;=TIME(9,0,0), L4403&lt;TIME(16,0,0)),"Morning",
  AND(L4403&gt;=TIME(16,0,0), L4403&lt;TIME(23,59,0)),"Evening",
  L4403&gt;=TIME(23,59,0),"Night",
  L4403&lt;TIME(9,0,0),"Night"
))</f>
        <v/>
      </c>
      <c r="O4403" t="str">
        <f t="shared" si="410"/>
        <v/>
      </c>
    </row>
    <row r="4404" spans="7:15" x14ac:dyDescent="0.25">
      <c r="G4404" t="str">
        <f t="shared" si="408"/>
        <v/>
      </c>
      <c r="H4404" s="13" t="str">
        <f t="shared" si="411"/>
        <v/>
      </c>
      <c r="I4404" t="str">
        <f>IFERROR(INDEX(Analysis!$D$116:$N$137, MATCH(B4404, Analysis!$C$116:$C$137, 0), MATCH(C4404, Analysis!$D$115:$N$115, 0)), "")</f>
        <v/>
      </c>
      <c r="J4404" t="str">
        <f t="shared" si="412"/>
        <v/>
      </c>
      <c r="K4404" s="28" t="str">
        <f t="shared" si="409"/>
        <v/>
      </c>
      <c r="L4404" s="46" t="str">
        <f t="shared" si="413"/>
        <v/>
      </c>
      <c r="M4404" t="str" cm="1">
        <f t="array" ref="M4404">IF(L4404="","",_xlfn.IFS(
  AND(L4404&gt;=TIME(9,0,0), L4404&lt;TIME(16,0,0)),"Morning",
  AND(L4404&gt;=TIME(16,0,0), L4404&lt;TIME(23,59,0)),"Evening",
  L4404&gt;=TIME(23,59,0),"Night",
  L4404&lt;TIME(9,0,0),"Night"
))</f>
        <v/>
      </c>
      <c r="O4404" t="str">
        <f t="shared" si="410"/>
        <v/>
      </c>
    </row>
    <row r="4405" spans="7:15" x14ac:dyDescent="0.25">
      <c r="G4405" t="str">
        <f t="shared" si="408"/>
        <v/>
      </c>
      <c r="H4405" s="13" t="str">
        <f t="shared" si="411"/>
        <v/>
      </c>
      <c r="I4405" t="str">
        <f>IFERROR(INDEX(Analysis!$D$116:$N$137, MATCH(B4405, Analysis!$C$116:$C$137, 0), MATCH(C4405, Analysis!$D$115:$N$115, 0)), "")</f>
        <v/>
      </c>
      <c r="J4405" t="str">
        <f t="shared" si="412"/>
        <v/>
      </c>
      <c r="K4405" s="28" t="str">
        <f t="shared" si="409"/>
        <v/>
      </c>
      <c r="L4405" s="46" t="str">
        <f t="shared" si="413"/>
        <v/>
      </c>
      <c r="M4405" t="str" cm="1">
        <f t="array" ref="M4405">IF(L4405="","",_xlfn.IFS(
  AND(L4405&gt;=TIME(9,0,0), L4405&lt;TIME(16,0,0)),"Morning",
  AND(L4405&gt;=TIME(16,0,0), L4405&lt;TIME(23,59,0)),"Evening",
  L4405&gt;=TIME(23,59,0),"Night",
  L4405&lt;TIME(9,0,0),"Night"
))</f>
        <v/>
      </c>
      <c r="O4405" t="str">
        <f t="shared" si="410"/>
        <v/>
      </c>
    </row>
    <row r="4406" spans="7:15" x14ac:dyDescent="0.25">
      <c r="G4406" t="str">
        <f t="shared" si="408"/>
        <v/>
      </c>
      <c r="H4406" s="13" t="str">
        <f t="shared" si="411"/>
        <v/>
      </c>
      <c r="I4406" t="str">
        <f>IFERROR(INDEX(Analysis!$D$116:$N$137, MATCH(B4406, Analysis!$C$116:$C$137, 0), MATCH(C4406, Analysis!$D$115:$N$115, 0)), "")</f>
        <v/>
      </c>
      <c r="J4406" t="str">
        <f t="shared" si="412"/>
        <v/>
      </c>
      <c r="K4406" s="28" t="str">
        <f t="shared" si="409"/>
        <v/>
      </c>
      <c r="L4406" s="46" t="str">
        <f t="shared" si="413"/>
        <v/>
      </c>
      <c r="M4406" t="str" cm="1">
        <f t="array" ref="M4406">IF(L4406="","",_xlfn.IFS(
  AND(L4406&gt;=TIME(9,0,0), L4406&lt;TIME(16,0,0)),"Morning",
  AND(L4406&gt;=TIME(16,0,0), L4406&lt;TIME(23,59,0)),"Evening",
  L4406&gt;=TIME(23,59,0),"Night",
  L4406&lt;TIME(9,0,0),"Night"
))</f>
        <v/>
      </c>
      <c r="O4406" t="str">
        <f t="shared" si="410"/>
        <v/>
      </c>
    </row>
    <row r="4407" spans="7:15" x14ac:dyDescent="0.25">
      <c r="G4407" t="str">
        <f t="shared" si="408"/>
        <v/>
      </c>
      <c r="H4407" s="13" t="str">
        <f t="shared" si="411"/>
        <v/>
      </c>
      <c r="I4407" t="str">
        <f>IFERROR(INDEX(Analysis!$D$116:$N$137, MATCH(B4407, Analysis!$C$116:$C$137, 0), MATCH(C4407, Analysis!$D$115:$N$115, 0)), "")</f>
        <v/>
      </c>
      <c r="J4407" t="str">
        <f t="shared" si="412"/>
        <v/>
      </c>
      <c r="K4407" s="28" t="str">
        <f t="shared" si="409"/>
        <v/>
      </c>
      <c r="L4407" s="46" t="str">
        <f t="shared" si="413"/>
        <v/>
      </c>
      <c r="M4407" t="str" cm="1">
        <f t="array" ref="M4407">IF(L4407="","",_xlfn.IFS(
  AND(L4407&gt;=TIME(9,0,0), L4407&lt;TIME(16,0,0)),"Morning",
  AND(L4407&gt;=TIME(16,0,0), L4407&lt;TIME(23,59,0)),"Evening",
  L4407&gt;=TIME(23,59,0),"Night",
  L4407&lt;TIME(9,0,0),"Night"
))</f>
        <v/>
      </c>
      <c r="O4407" t="str">
        <f t="shared" si="410"/>
        <v/>
      </c>
    </row>
    <row r="4408" spans="7:15" x14ac:dyDescent="0.25">
      <c r="G4408" t="str">
        <f t="shared" si="408"/>
        <v/>
      </c>
      <c r="H4408" s="13" t="str">
        <f t="shared" si="411"/>
        <v/>
      </c>
      <c r="I4408" t="str">
        <f>IFERROR(INDEX(Analysis!$D$116:$N$137, MATCH(B4408, Analysis!$C$116:$C$137, 0), MATCH(C4408, Analysis!$D$115:$N$115, 0)), "")</f>
        <v/>
      </c>
      <c r="J4408" t="str">
        <f t="shared" si="412"/>
        <v/>
      </c>
      <c r="K4408" s="28" t="str">
        <f t="shared" si="409"/>
        <v/>
      </c>
      <c r="L4408" s="46" t="str">
        <f t="shared" si="413"/>
        <v/>
      </c>
      <c r="M4408" t="str" cm="1">
        <f t="array" ref="M4408">IF(L4408="","",_xlfn.IFS(
  AND(L4408&gt;=TIME(9,0,0), L4408&lt;TIME(16,0,0)),"Morning",
  AND(L4408&gt;=TIME(16,0,0), L4408&lt;TIME(23,59,0)),"Evening",
  L4408&gt;=TIME(23,59,0),"Night",
  L4408&lt;TIME(9,0,0),"Night"
))</f>
        <v/>
      </c>
      <c r="O4408" t="str">
        <f t="shared" si="410"/>
        <v/>
      </c>
    </row>
    <row r="4409" spans="7:15" x14ac:dyDescent="0.25">
      <c r="G4409" t="str">
        <f t="shared" si="408"/>
        <v/>
      </c>
      <c r="H4409" s="13" t="str">
        <f t="shared" si="411"/>
        <v/>
      </c>
      <c r="I4409" t="str">
        <f>IFERROR(INDEX(Analysis!$D$116:$N$137, MATCH(B4409, Analysis!$C$116:$C$137, 0), MATCH(C4409, Analysis!$D$115:$N$115, 0)), "")</f>
        <v/>
      </c>
      <c r="J4409" t="str">
        <f t="shared" si="412"/>
        <v/>
      </c>
      <c r="K4409" s="28" t="str">
        <f t="shared" si="409"/>
        <v/>
      </c>
      <c r="L4409" s="46" t="str">
        <f t="shared" si="413"/>
        <v/>
      </c>
      <c r="M4409" t="str" cm="1">
        <f t="array" ref="M4409">IF(L4409="","",_xlfn.IFS(
  AND(L4409&gt;=TIME(9,0,0), L4409&lt;TIME(16,0,0)),"Morning",
  AND(L4409&gt;=TIME(16,0,0), L4409&lt;TIME(23,59,0)),"Evening",
  L4409&gt;=TIME(23,59,0),"Night",
  L4409&lt;TIME(9,0,0),"Night"
))</f>
        <v/>
      </c>
      <c r="O4409" t="str">
        <f t="shared" si="410"/>
        <v/>
      </c>
    </row>
    <row r="4410" spans="7:15" x14ac:dyDescent="0.25">
      <c r="G4410" t="str">
        <f t="shared" si="408"/>
        <v/>
      </c>
      <c r="H4410" s="13" t="str">
        <f t="shared" si="411"/>
        <v/>
      </c>
      <c r="I4410" t="str">
        <f>IFERROR(INDEX(Analysis!$D$116:$N$137, MATCH(B4410, Analysis!$C$116:$C$137, 0), MATCH(C4410, Analysis!$D$115:$N$115, 0)), "")</f>
        <v/>
      </c>
      <c r="J4410" t="str">
        <f t="shared" si="412"/>
        <v/>
      </c>
      <c r="K4410" s="28" t="str">
        <f t="shared" si="409"/>
        <v/>
      </c>
      <c r="L4410" s="46" t="str">
        <f t="shared" si="413"/>
        <v/>
      </c>
      <c r="M4410" t="str" cm="1">
        <f t="array" ref="M4410">IF(L4410="","",_xlfn.IFS(
  AND(L4410&gt;=TIME(9,0,0), L4410&lt;TIME(16,0,0)),"Morning",
  AND(L4410&gt;=TIME(16,0,0), L4410&lt;TIME(23,59,0)),"Evening",
  L4410&gt;=TIME(23,59,0),"Night",
  L4410&lt;TIME(9,0,0),"Night"
))</f>
        <v/>
      </c>
      <c r="O4410" t="str">
        <f t="shared" si="410"/>
        <v/>
      </c>
    </row>
    <row r="4411" spans="7:15" x14ac:dyDescent="0.25">
      <c r="G4411" t="str">
        <f t="shared" si="408"/>
        <v/>
      </c>
      <c r="H4411" s="13" t="str">
        <f t="shared" si="411"/>
        <v/>
      </c>
      <c r="I4411" t="str">
        <f>IFERROR(INDEX(Analysis!$D$116:$N$137, MATCH(B4411, Analysis!$C$116:$C$137, 0), MATCH(C4411, Analysis!$D$115:$N$115, 0)), "")</f>
        <v/>
      </c>
      <c r="J4411" t="str">
        <f t="shared" si="412"/>
        <v/>
      </c>
      <c r="K4411" s="28" t="str">
        <f t="shared" si="409"/>
        <v/>
      </c>
      <c r="L4411" s="46" t="str">
        <f t="shared" si="413"/>
        <v/>
      </c>
      <c r="M4411" t="str" cm="1">
        <f t="array" ref="M4411">IF(L4411="","",_xlfn.IFS(
  AND(L4411&gt;=TIME(9,0,0), L4411&lt;TIME(16,0,0)),"Morning",
  AND(L4411&gt;=TIME(16,0,0), L4411&lt;TIME(23,59,0)),"Evening",
  L4411&gt;=TIME(23,59,0),"Night",
  L4411&lt;TIME(9,0,0),"Night"
))</f>
        <v/>
      </c>
      <c r="O4411" t="str">
        <f t="shared" si="410"/>
        <v/>
      </c>
    </row>
    <row r="4412" spans="7:15" x14ac:dyDescent="0.25">
      <c r="G4412" t="str">
        <f t="shared" si="408"/>
        <v/>
      </c>
      <c r="H4412" s="13" t="str">
        <f t="shared" si="411"/>
        <v/>
      </c>
      <c r="I4412" t="str">
        <f>IFERROR(INDEX(Analysis!$D$116:$N$137, MATCH(B4412, Analysis!$C$116:$C$137, 0), MATCH(C4412, Analysis!$D$115:$N$115, 0)), "")</f>
        <v/>
      </c>
      <c r="J4412" t="str">
        <f t="shared" si="412"/>
        <v/>
      </c>
      <c r="K4412" s="28" t="str">
        <f t="shared" si="409"/>
        <v/>
      </c>
      <c r="L4412" s="46" t="str">
        <f t="shared" si="413"/>
        <v/>
      </c>
      <c r="M4412" t="str" cm="1">
        <f t="array" ref="M4412">IF(L4412="","",_xlfn.IFS(
  AND(L4412&gt;=TIME(9,0,0), L4412&lt;TIME(16,0,0)),"Morning",
  AND(L4412&gt;=TIME(16,0,0), L4412&lt;TIME(23,59,0)),"Evening",
  L4412&gt;=TIME(23,59,0),"Night",
  L4412&lt;TIME(9,0,0),"Night"
))</f>
        <v/>
      </c>
      <c r="O4412" t="str">
        <f t="shared" si="410"/>
        <v/>
      </c>
    </row>
    <row r="4413" spans="7:15" x14ac:dyDescent="0.25">
      <c r="G4413" t="str">
        <f t="shared" si="408"/>
        <v/>
      </c>
      <c r="H4413" s="13" t="str">
        <f t="shared" si="411"/>
        <v/>
      </c>
      <c r="I4413" t="str">
        <f>IFERROR(INDEX(Analysis!$D$116:$N$137, MATCH(B4413, Analysis!$C$116:$C$137, 0), MATCH(C4413, Analysis!$D$115:$N$115, 0)), "")</f>
        <v/>
      </c>
      <c r="J4413" t="str">
        <f t="shared" si="412"/>
        <v/>
      </c>
      <c r="K4413" s="28" t="str">
        <f t="shared" si="409"/>
        <v/>
      </c>
      <c r="L4413" s="46" t="str">
        <f t="shared" si="413"/>
        <v/>
      </c>
      <c r="M4413" t="str" cm="1">
        <f t="array" ref="M4413">IF(L4413="","",_xlfn.IFS(
  AND(L4413&gt;=TIME(9,0,0), L4413&lt;TIME(16,0,0)),"Morning",
  AND(L4413&gt;=TIME(16,0,0), L4413&lt;TIME(23,59,0)),"Evening",
  L4413&gt;=TIME(23,59,0),"Night",
  L4413&lt;TIME(9,0,0),"Night"
))</f>
        <v/>
      </c>
      <c r="O4413" t="str">
        <f t="shared" si="410"/>
        <v/>
      </c>
    </row>
    <row r="4414" spans="7:15" x14ac:dyDescent="0.25">
      <c r="G4414" t="str">
        <f t="shared" si="408"/>
        <v/>
      </c>
      <c r="H4414" s="13" t="str">
        <f t="shared" si="411"/>
        <v/>
      </c>
      <c r="I4414" t="str">
        <f>IFERROR(INDEX(Analysis!$D$116:$N$137, MATCH(B4414, Analysis!$C$116:$C$137, 0), MATCH(C4414, Analysis!$D$115:$N$115, 0)), "")</f>
        <v/>
      </c>
      <c r="J4414" t="str">
        <f t="shared" si="412"/>
        <v/>
      </c>
      <c r="K4414" s="28" t="str">
        <f t="shared" si="409"/>
        <v/>
      </c>
      <c r="L4414" s="46" t="str">
        <f t="shared" si="413"/>
        <v/>
      </c>
      <c r="M4414" t="str" cm="1">
        <f t="array" ref="M4414">IF(L4414="","",_xlfn.IFS(
  AND(L4414&gt;=TIME(9,0,0), L4414&lt;TIME(16,0,0)),"Morning",
  AND(L4414&gt;=TIME(16,0,0), L4414&lt;TIME(23,59,0)),"Evening",
  L4414&gt;=TIME(23,59,0),"Night",
  L4414&lt;TIME(9,0,0),"Night"
))</f>
        <v/>
      </c>
      <c r="O4414" t="str">
        <f t="shared" si="410"/>
        <v/>
      </c>
    </row>
    <row r="4415" spans="7:15" x14ac:dyDescent="0.25">
      <c r="G4415" t="str">
        <f t="shared" si="408"/>
        <v/>
      </c>
      <c r="H4415" s="13" t="str">
        <f t="shared" si="411"/>
        <v/>
      </c>
      <c r="I4415" t="str">
        <f>IFERROR(INDEX(Analysis!$D$116:$N$137, MATCH(B4415, Analysis!$C$116:$C$137, 0), MATCH(C4415, Analysis!$D$115:$N$115, 0)), "")</f>
        <v/>
      </c>
      <c r="J4415" t="str">
        <f t="shared" si="412"/>
        <v/>
      </c>
      <c r="K4415" s="28" t="str">
        <f t="shared" si="409"/>
        <v/>
      </c>
      <c r="L4415" s="46" t="str">
        <f t="shared" si="413"/>
        <v/>
      </c>
      <c r="M4415" t="str" cm="1">
        <f t="array" ref="M4415">IF(L4415="","",_xlfn.IFS(
  AND(L4415&gt;=TIME(9,0,0), L4415&lt;TIME(16,0,0)),"Morning",
  AND(L4415&gt;=TIME(16,0,0), L4415&lt;TIME(23,59,0)),"Evening",
  L4415&gt;=TIME(23,59,0),"Night",
  L4415&lt;TIME(9,0,0),"Night"
))</f>
        <v/>
      </c>
      <c r="O4415" t="str">
        <f t="shared" si="410"/>
        <v/>
      </c>
    </row>
    <row r="4416" spans="7:15" x14ac:dyDescent="0.25">
      <c r="G4416" t="str">
        <f t="shared" si="408"/>
        <v/>
      </c>
      <c r="H4416" s="13" t="str">
        <f t="shared" si="411"/>
        <v/>
      </c>
      <c r="I4416" t="str">
        <f>IFERROR(INDEX(Analysis!$D$116:$N$137, MATCH(B4416, Analysis!$C$116:$C$137, 0), MATCH(C4416, Analysis!$D$115:$N$115, 0)), "")</f>
        <v/>
      </c>
      <c r="J4416" t="str">
        <f t="shared" si="412"/>
        <v/>
      </c>
      <c r="K4416" s="28" t="str">
        <f t="shared" si="409"/>
        <v/>
      </c>
      <c r="L4416" s="46" t="str">
        <f t="shared" si="413"/>
        <v/>
      </c>
      <c r="M4416" t="str" cm="1">
        <f t="array" ref="M4416">IF(L4416="","",_xlfn.IFS(
  AND(L4416&gt;=TIME(9,0,0), L4416&lt;TIME(16,0,0)),"Morning",
  AND(L4416&gt;=TIME(16,0,0), L4416&lt;TIME(23,59,0)),"Evening",
  L4416&gt;=TIME(23,59,0),"Night",
  L4416&lt;TIME(9,0,0),"Night"
))</f>
        <v/>
      </c>
      <c r="O4416" t="str">
        <f t="shared" si="410"/>
        <v/>
      </c>
    </row>
    <row r="4417" spans="7:15" x14ac:dyDescent="0.25">
      <c r="G4417" t="str">
        <f t="shared" si="408"/>
        <v/>
      </c>
      <c r="H4417" s="13" t="str">
        <f t="shared" si="411"/>
        <v/>
      </c>
      <c r="I4417" t="str">
        <f>IFERROR(INDEX(Analysis!$D$116:$N$137, MATCH(B4417, Analysis!$C$116:$C$137, 0), MATCH(C4417, Analysis!$D$115:$N$115, 0)), "")</f>
        <v/>
      </c>
      <c r="J4417" t="str">
        <f t="shared" si="412"/>
        <v/>
      </c>
      <c r="K4417" s="28" t="str">
        <f t="shared" si="409"/>
        <v/>
      </c>
      <c r="L4417" s="46" t="str">
        <f t="shared" si="413"/>
        <v/>
      </c>
      <c r="M4417" t="str" cm="1">
        <f t="array" ref="M4417">IF(L4417="","",_xlfn.IFS(
  AND(L4417&gt;=TIME(9,0,0), L4417&lt;TIME(16,0,0)),"Morning",
  AND(L4417&gt;=TIME(16,0,0), L4417&lt;TIME(23,59,0)),"Evening",
  L4417&gt;=TIME(23,59,0),"Night",
  L4417&lt;TIME(9,0,0),"Night"
))</f>
        <v/>
      </c>
      <c r="O4417" t="str">
        <f t="shared" si="410"/>
        <v/>
      </c>
    </row>
    <row r="4418" spans="7:15" x14ac:dyDescent="0.25">
      <c r="G4418" t="str">
        <f t="shared" ref="G4418:G4481" si="414">IF(ISBLANK(A4418), "", IF(ISBLANK(F4418), 0, F4418))</f>
        <v/>
      </c>
      <c r="H4418" s="13" t="str">
        <f t="shared" si="411"/>
        <v/>
      </c>
      <c r="I4418" t="str">
        <f>IFERROR(INDEX(Analysis!$D$116:$N$137, MATCH(B4418, Analysis!$C$116:$C$137, 0), MATCH(C4418, Analysis!$D$115:$N$115, 0)), "")</f>
        <v/>
      </c>
      <c r="J4418" t="str">
        <f t="shared" si="412"/>
        <v/>
      </c>
      <c r="K4418" s="28" t="str">
        <f t="shared" ref="K4418:K4481" si="415">IF(ISBLANK(A4418),"",DATE(YEAR(A4418),MONTH(A4418),DAY(A4418)))</f>
        <v/>
      </c>
      <c r="L4418" s="46" t="str">
        <f t="shared" si="413"/>
        <v/>
      </c>
      <c r="M4418" t="str" cm="1">
        <f t="array" ref="M4418">IF(L4418="","",_xlfn.IFS(
  AND(L4418&gt;=TIME(9,0,0), L4418&lt;TIME(16,0,0)),"Morning",
  AND(L4418&gt;=TIME(16,0,0), L4418&lt;TIME(23,59,0)),"Evening",
  L4418&gt;=TIME(23,59,0),"Night",
  L4418&lt;TIME(9,0,0),"Night"
))</f>
        <v/>
      </c>
      <c r="O4418" t="str">
        <f t="shared" ref="O4418:O4481" si="416">IF(N4418="ON", _xlfn.IMAGE(E4418, 1), "")</f>
        <v/>
      </c>
    </row>
    <row r="4419" spans="7:15" x14ac:dyDescent="0.25">
      <c r="G4419" t="str">
        <f t="shared" si="414"/>
        <v/>
      </c>
      <c r="H4419" s="13" t="str">
        <f t="shared" ref="H4419:H4482" si="417">IF(ISBLANK(E4419),"",HYPERLINK(E4419,"Click here"))</f>
        <v/>
      </c>
      <c r="I4419" t="str">
        <f>IFERROR(INDEX(Analysis!$D$116:$N$137, MATCH(B4419, Analysis!$C$116:$C$137, 0), MATCH(C4419, Analysis!$D$115:$N$115, 0)), "")</f>
        <v/>
      </c>
      <c r="J4419" t="str">
        <f t="shared" ref="J4419:J4482" si="418">IF(ISBLANK(A4419),"",WEEKNUM(A4419))</f>
        <v/>
      </c>
      <c r="K4419" s="28" t="str">
        <f t="shared" si="415"/>
        <v/>
      </c>
      <c r="L4419" s="46" t="str">
        <f t="shared" ref="L4419:L4482" si="419">IF(A4419="", "", A4419 - INT(A4419))</f>
        <v/>
      </c>
      <c r="M4419" t="str" cm="1">
        <f t="array" ref="M4419">IF(L4419="","",_xlfn.IFS(
  AND(L4419&gt;=TIME(9,0,0), L4419&lt;TIME(16,0,0)),"Morning",
  AND(L4419&gt;=TIME(16,0,0), L4419&lt;TIME(23,59,0)),"Evening",
  L4419&gt;=TIME(23,59,0),"Night",
  L4419&lt;TIME(9,0,0),"Night"
))</f>
        <v/>
      </c>
      <c r="O4419" t="str">
        <f t="shared" si="416"/>
        <v/>
      </c>
    </row>
    <row r="4420" spans="7:15" x14ac:dyDescent="0.25">
      <c r="G4420" t="str">
        <f t="shared" si="414"/>
        <v/>
      </c>
      <c r="H4420" s="13" t="str">
        <f t="shared" si="417"/>
        <v/>
      </c>
      <c r="I4420" t="str">
        <f>IFERROR(INDEX(Analysis!$D$116:$N$137, MATCH(B4420, Analysis!$C$116:$C$137, 0), MATCH(C4420, Analysis!$D$115:$N$115, 0)), "")</f>
        <v/>
      </c>
      <c r="J4420" t="str">
        <f t="shared" si="418"/>
        <v/>
      </c>
      <c r="K4420" s="28" t="str">
        <f t="shared" si="415"/>
        <v/>
      </c>
      <c r="L4420" s="46" t="str">
        <f t="shared" si="419"/>
        <v/>
      </c>
      <c r="M4420" t="str" cm="1">
        <f t="array" ref="M4420">IF(L4420="","",_xlfn.IFS(
  AND(L4420&gt;=TIME(9,0,0), L4420&lt;TIME(16,0,0)),"Morning",
  AND(L4420&gt;=TIME(16,0,0), L4420&lt;TIME(23,59,0)),"Evening",
  L4420&gt;=TIME(23,59,0),"Night",
  L4420&lt;TIME(9,0,0),"Night"
))</f>
        <v/>
      </c>
      <c r="O4420" t="str">
        <f t="shared" si="416"/>
        <v/>
      </c>
    </row>
    <row r="4421" spans="7:15" x14ac:dyDescent="0.25">
      <c r="G4421" t="str">
        <f t="shared" si="414"/>
        <v/>
      </c>
      <c r="H4421" s="13" t="str">
        <f t="shared" si="417"/>
        <v/>
      </c>
      <c r="I4421" t="str">
        <f>IFERROR(INDEX(Analysis!$D$116:$N$137, MATCH(B4421, Analysis!$C$116:$C$137, 0), MATCH(C4421, Analysis!$D$115:$N$115, 0)), "")</f>
        <v/>
      </c>
      <c r="J4421" t="str">
        <f t="shared" si="418"/>
        <v/>
      </c>
      <c r="K4421" s="28" t="str">
        <f t="shared" si="415"/>
        <v/>
      </c>
      <c r="L4421" s="46" t="str">
        <f t="shared" si="419"/>
        <v/>
      </c>
      <c r="M4421" t="str" cm="1">
        <f t="array" ref="M4421">IF(L4421="","",_xlfn.IFS(
  AND(L4421&gt;=TIME(9,0,0), L4421&lt;TIME(16,0,0)),"Morning",
  AND(L4421&gt;=TIME(16,0,0), L4421&lt;TIME(23,59,0)),"Evening",
  L4421&gt;=TIME(23,59,0),"Night",
  L4421&lt;TIME(9,0,0),"Night"
))</f>
        <v/>
      </c>
      <c r="O4421" t="str">
        <f t="shared" si="416"/>
        <v/>
      </c>
    </row>
    <row r="4422" spans="7:15" x14ac:dyDescent="0.25">
      <c r="G4422" t="str">
        <f t="shared" si="414"/>
        <v/>
      </c>
      <c r="H4422" s="13" t="str">
        <f t="shared" si="417"/>
        <v/>
      </c>
      <c r="I4422" t="str">
        <f>IFERROR(INDEX(Analysis!$D$116:$N$137, MATCH(B4422, Analysis!$C$116:$C$137, 0), MATCH(C4422, Analysis!$D$115:$N$115, 0)), "")</f>
        <v/>
      </c>
      <c r="J4422" t="str">
        <f t="shared" si="418"/>
        <v/>
      </c>
      <c r="K4422" s="28" t="str">
        <f t="shared" si="415"/>
        <v/>
      </c>
      <c r="L4422" s="46" t="str">
        <f t="shared" si="419"/>
        <v/>
      </c>
      <c r="M4422" t="str" cm="1">
        <f t="array" ref="M4422">IF(L4422="","",_xlfn.IFS(
  AND(L4422&gt;=TIME(9,0,0), L4422&lt;TIME(16,0,0)),"Morning",
  AND(L4422&gt;=TIME(16,0,0), L4422&lt;TIME(23,59,0)),"Evening",
  L4422&gt;=TIME(23,59,0),"Night",
  L4422&lt;TIME(9,0,0),"Night"
))</f>
        <v/>
      </c>
      <c r="O4422" t="str">
        <f t="shared" si="416"/>
        <v/>
      </c>
    </row>
    <row r="4423" spans="7:15" x14ac:dyDescent="0.25">
      <c r="G4423" t="str">
        <f t="shared" si="414"/>
        <v/>
      </c>
      <c r="H4423" s="13" t="str">
        <f t="shared" si="417"/>
        <v/>
      </c>
      <c r="I4423" t="str">
        <f>IFERROR(INDEX(Analysis!$D$116:$N$137, MATCH(B4423, Analysis!$C$116:$C$137, 0), MATCH(C4423, Analysis!$D$115:$N$115, 0)), "")</f>
        <v/>
      </c>
      <c r="J4423" t="str">
        <f t="shared" si="418"/>
        <v/>
      </c>
      <c r="K4423" s="28" t="str">
        <f t="shared" si="415"/>
        <v/>
      </c>
      <c r="L4423" s="46" t="str">
        <f t="shared" si="419"/>
        <v/>
      </c>
      <c r="M4423" t="str" cm="1">
        <f t="array" ref="M4423">IF(L4423="","",_xlfn.IFS(
  AND(L4423&gt;=TIME(9,0,0), L4423&lt;TIME(16,0,0)),"Morning",
  AND(L4423&gt;=TIME(16,0,0), L4423&lt;TIME(23,59,0)),"Evening",
  L4423&gt;=TIME(23,59,0),"Night",
  L4423&lt;TIME(9,0,0),"Night"
))</f>
        <v/>
      </c>
      <c r="O4423" t="str">
        <f t="shared" si="416"/>
        <v/>
      </c>
    </row>
    <row r="4424" spans="7:15" x14ac:dyDescent="0.25">
      <c r="G4424" t="str">
        <f t="shared" si="414"/>
        <v/>
      </c>
      <c r="H4424" s="13" t="str">
        <f t="shared" si="417"/>
        <v/>
      </c>
      <c r="I4424" t="str">
        <f>IFERROR(INDEX(Analysis!$D$116:$N$137, MATCH(B4424, Analysis!$C$116:$C$137, 0), MATCH(C4424, Analysis!$D$115:$N$115, 0)), "")</f>
        <v/>
      </c>
      <c r="J4424" t="str">
        <f t="shared" si="418"/>
        <v/>
      </c>
      <c r="K4424" s="28" t="str">
        <f t="shared" si="415"/>
        <v/>
      </c>
      <c r="L4424" s="46" t="str">
        <f t="shared" si="419"/>
        <v/>
      </c>
      <c r="M4424" t="str" cm="1">
        <f t="array" ref="M4424">IF(L4424="","",_xlfn.IFS(
  AND(L4424&gt;=TIME(9,0,0), L4424&lt;TIME(16,0,0)),"Morning",
  AND(L4424&gt;=TIME(16,0,0), L4424&lt;TIME(23,59,0)),"Evening",
  L4424&gt;=TIME(23,59,0),"Night",
  L4424&lt;TIME(9,0,0),"Night"
))</f>
        <v/>
      </c>
      <c r="O4424" t="str">
        <f t="shared" si="416"/>
        <v/>
      </c>
    </row>
    <row r="4425" spans="7:15" x14ac:dyDescent="0.25">
      <c r="G4425" t="str">
        <f t="shared" si="414"/>
        <v/>
      </c>
      <c r="H4425" s="13" t="str">
        <f t="shared" si="417"/>
        <v/>
      </c>
      <c r="I4425" t="str">
        <f>IFERROR(INDEX(Analysis!$D$116:$N$137, MATCH(B4425, Analysis!$C$116:$C$137, 0), MATCH(C4425, Analysis!$D$115:$N$115, 0)), "")</f>
        <v/>
      </c>
      <c r="J4425" t="str">
        <f t="shared" si="418"/>
        <v/>
      </c>
      <c r="K4425" s="28" t="str">
        <f t="shared" si="415"/>
        <v/>
      </c>
      <c r="L4425" s="46" t="str">
        <f t="shared" si="419"/>
        <v/>
      </c>
      <c r="M4425" t="str" cm="1">
        <f t="array" ref="M4425">IF(L4425="","",_xlfn.IFS(
  AND(L4425&gt;=TIME(9,0,0), L4425&lt;TIME(16,0,0)),"Morning",
  AND(L4425&gt;=TIME(16,0,0), L4425&lt;TIME(23,59,0)),"Evening",
  L4425&gt;=TIME(23,59,0),"Night",
  L4425&lt;TIME(9,0,0),"Night"
))</f>
        <v/>
      </c>
      <c r="O4425" t="str">
        <f t="shared" si="416"/>
        <v/>
      </c>
    </row>
    <row r="4426" spans="7:15" x14ac:dyDescent="0.25">
      <c r="G4426" t="str">
        <f t="shared" si="414"/>
        <v/>
      </c>
      <c r="H4426" s="13" t="str">
        <f t="shared" si="417"/>
        <v/>
      </c>
      <c r="I4426" t="str">
        <f>IFERROR(INDEX(Analysis!$D$116:$N$137, MATCH(B4426, Analysis!$C$116:$C$137, 0), MATCH(C4426, Analysis!$D$115:$N$115, 0)), "")</f>
        <v/>
      </c>
      <c r="J4426" t="str">
        <f t="shared" si="418"/>
        <v/>
      </c>
      <c r="K4426" s="28" t="str">
        <f t="shared" si="415"/>
        <v/>
      </c>
      <c r="L4426" s="46" t="str">
        <f t="shared" si="419"/>
        <v/>
      </c>
      <c r="M4426" t="str" cm="1">
        <f t="array" ref="M4426">IF(L4426="","",_xlfn.IFS(
  AND(L4426&gt;=TIME(9,0,0), L4426&lt;TIME(16,0,0)),"Morning",
  AND(L4426&gt;=TIME(16,0,0), L4426&lt;TIME(23,59,0)),"Evening",
  L4426&gt;=TIME(23,59,0),"Night",
  L4426&lt;TIME(9,0,0),"Night"
))</f>
        <v/>
      </c>
      <c r="O4426" t="str">
        <f t="shared" si="416"/>
        <v/>
      </c>
    </row>
    <row r="4427" spans="7:15" x14ac:dyDescent="0.25">
      <c r="G4427" t="str">
        <f t="shared" si="414"/>
        <v/>
      </c>
      <c r="H4427" s="13" t="str">
        <f t="shared" si="417"/>
        <v/>
      </c>
      <c r="I4427" t="str">
        <f>IFERROR(INDEX(Analysis!$D$116:$N$137, MATCH(B4427, Analysis!$C$116:$C$137, 0), MATCH(C4427, Analysis!$D$115:$N$115, 0)), "")</f>
        <v/>
      </c>
      <c r="J4427" t="str">
        <f t="shared" si="418"/>
        <v/>
      </c>
      <c r="K4427" s="28" t="str">
        <f t="shared" si="415"/>
        <v/>
      </c>
      <c r="L4427" s="46" t="str">
        <f t="shared" si="419"/>
        <v/>
      </c>
      <c r="M4427" t="str" cm="1">
        <f t="array" ref="M4427">IF(L4427="","",_xlfn.IFS(
  AND(L4427&gt;=TIME(9,0,0), L4427&lt;TIME(16,0,0)),"Morning",
  AND(L4427&gt;=TIME(16,0,0), L4427&lt;TIME(23,59,0)),"Evening",
  L4427&gt;=TIME(23,59,0),"Night",
  L4427&lt;TIME(9,0,0),"Night"
))</f>
        <v/>
      </c>
      <c r="O4427" t="str">
        <f t="shared" si="416"/>
        <v/>
      </c>
    </row>
    <row r="4428" spans="7:15" x14ac:dyDescent="0.25">
      <c r="G4428" t="str">
        <f t="shared" si="414"/>
        <v/>
      </c>
      <c r="H4428" s="13" t="str">
        <f t="shared" si="417"/>
        <v/>
      </c>
      <c r="I4428" t="str">
        <f>IFERROR(INDEX(Analysis!$D$116:$N$137, MATCH(B4428, Analysis!$C$116:$C$137, 0), MATCH(C4428, Analysis!$D$115:$N$115, 0)), "")</f>
        <v/>
      </c>
      <c r="J4428" t="str">
        <f t="shared" si="418"/>
        <v/>
      </c>
      <c r="K4428" s="28" t="str">
        <f t="shared" si="415"/>
        <v/>
      </c>
      <c r="L4428" s="46" t="str">
        <f t="shared" si="419"/>
        <v/>
      </c>
      <c r="M4428" t="str" cm="1">
        <f t="array" ref="M4428">IF(L4428="","",_xlfn.IFS(
  AND(L4428&gt;=TIME(9,0,0), L4428&lt;TIME(16,0,0)),"Morning",
  AND(L4428&gt;=TIME(16,0,0), L4428&lt;TIME(23,59,0)),"Evening",
  L4428&gt;=TIME(23,59,0),"Night",
  L4428&lt;TIME(9,0,0),"Night"
))</f>
        <v/>
      </c>
      <c r="O4428" t="str">
        <f t="shared" si="416"/>
        <v/>
      </c>
    </row>
    <row r="4429" spans="7:15" x14ac:dyDescent="0.25">
      <c r="G4429" t="str">
        <f t="shared" si="414"/>
        <v/>
      </c>
      <c r="H4429" s="13" t="str">
        <f t="shared" si="417"/>
        <v/>
      </c>
      <c r="I4429" t="str">
        <f>IFERROR(INDEX(Analysis!$D$116:$N$137, MATCH(B4429, Analysis!$C$116:$C$137, 0), MATCH(C4429, Analysis!$D$115:$N$115, 0)), "")</f>
        <v/>
      </c>
      <c r="J4429" t="str">
        <f t="shared" si="418"/>
        <v/>
      </c>
      <c r="K4429" s="28" t="str">
        <f t="shared" si="415"/>
        <v/>
      </c>
      <c r="L4429" s="46" t="str">
        <f t="shared" si="419"/>
        <v/>
      </c>
      <c r="M4429" t="str" cm="1">
        <f t="array" ref="M4429">IF(L4429="","",_xlfn.IFS(
  AND(L4429&gt;=TIME(9,0,0), L4429&lt;TIME(16,0,0)),"Morning",
  AND(L4429&gt;=TIME(16,0,0), L4429&lt;TIME(23,59,0)),"Evening",
  L4429&gt;=TIME(23,59,0),"Night",
  L4429&lt;TIME(9,0,0),"Night"
))</f>
        <v/>
      </c>
      <c r="O4429" t="str">
        <f t="shared" si="416"/>
        <v/>
      </c>
    </row>
    <row r="4430" spans="7:15" x14ac:dyDescent="0.25">
      <c r="G4430" t="str">
        <f t="shared" si="414"/>
        <v/>
      </c>
      <c r="H4430" s="13" t="str">
        <f t="shared" si="417"/>
        <v/>
      </c>
      <c r="I4430" t="str">
        <f>IFERROR(INDEX(Analysis!$D$116:$N$137, MATCH(B4430, Analysis!$C$116:$C$137, 0), MATCH(C4430, Analysis!$D$115:$N$115, 0)), "")</f>
        <v/>
      </c>
      <c r="J4430" t="str">
        <f t="shared" si="418"/>
        <v/>
      </c>
      <c r="K4430" s="28" t="str">
        <f t="shared" si="415"/>
        <v/>
      </c>
      <c r="L4430" s="46" t="str">
        <f t="shared" si="419"/>
        <v/>
      </c>
      <c r="M4430" t="str" cm="1">
        <f t="array" ref="M4430">IF(L4430="","",_xlfn.IFS(
  AND(L4430&gt;=TIME(9,0,0), L4430&lt;TIME(16,0,0)),"Morning",
  AND(L4430&gt;=TIME(16,0,0), L4430&lt;TIME(23,59,0)),"Evening",
  L4430&gt;=TIME(23,59,0),"Night",
  L4430&lt;TIME(9,0,0),"Night"
))</f>
        <v/>
      </c>
      <c r="O4430" t="str">
        <f t="shared" si="416"/>
        <v/>
      </c>
    </row>
    <row r="4431" spans="7:15" x14ac:dyDescent="0.25">
      <c r="G4431" t="str">
        <f t="shared" si="414"/>
        <v/>
      </c>
      <c r="H4431" s="13" t="str">
        <f t="shared" si="417"/>
        <v/>
      </c>
      <c r="I4431" t="str">
        <f>IFERROR(INDEX(Analysis!$D$116:$N$137, MATCH(B4431, Analysis!$C$116:$C$137, 0), MATCH(C4431, Analysis!$D$115:$N$115, 0)), "")</f>
        <v/>
      </c>
      <c r="J4431" t="str">
        <f t="shared" si="418"/>
        <v/>
      </c>
      <c r="K4431" s="28" t="str">
        <f t="shared" si="415"/>
        <v/>
      </c>
      <c r="L4431" s="46" t="str">
        <f t="shared" si="419"/>
        <v/>
      </c>
      <c r="M4431" t="str" cm="1">
        <f t="array" ref="M4431">IF(L4431="","",_xlfn.IFS(
  AND(L4431&gt;=TIME(9,0,0), L4431&lt;TIME(16,0,0)),"Morning",
  AND(L4431&gt;=TIME(16,0,0), L4431&lt;TIME(23,59,0)),"Evening",
  L4431&gt;=TIME(23,59,0),"Night",
  L4431&lt;TIME(9,0,0),"Night"
))</f>
        <v/>
      </c>
      <c r="O4431" t="str">
        <f t="shared" si="416"/>
        <v/>
      </c>
    </row>
    <row r="4432" spans="7:15" x14ac:dyDescent="0.25">
      <c r="G4432" t="str">
        <f t="shared" si="414"/>
        <v/>
      </c>
      <c r="H4432" s="13" t="str">
        <f t="shared" si="417"/>
        <v/>
      </c>
      <c r="I4432" t="str">
        <f>IFERROR(INDEX(Analysis!$D$116:$N$137, MATCH(B4432, Analysis!$C$116:$C$137, 0), MATCH(C4432, Analysis!$D$115:$N$115, 0)), "")</f>
        <v/>
      </c>
      <c r="J4432" t="str">
        <f t="shared" si="418"/>
        <v/>
      </c>
      <c r="K4432" s="28" t="str">
        <f t="shared" si="415"/>
        <v/>
      </c>
      <c r="L4432" s="46" t="str">
        <f t="shared" si="419"/>
        <v/>
      </c>
      <c r="M4432" t="str" cm="1">
        <f t="array" ref="M4432">IF(L4432="","",_xlfn.IFS(
  AND(L4432&gt;=TIME(9,0,0), L4432&lt;TIME(16,0,0)),"Morning",
  AND(L4432&gt;=TIME(16,0,0), L4432&lt;TIME(23,59,0)),"Evening",
  L4432&gt;=TIME(23,59,0),"Night",
  L4432&lt;TIME(9,0,0),"Night"
))</f>
        <v/>
      </c>
      <c r="O4432" t="str">
        <f t="shared" si="416"/>
        <v/>
      </c>
    </row>
    <row r="4433" spans="7:15" x14ac:dyDescent="0.25">
      <c r="G4433" t="str">
        <f t="shared" si="414"/>
        <v/>
      </c>
      <c r="H4433" s="13" t="str">
        <f t="shared" si="417"/>
        <v/>
      </c>
      <c r="I4433" t="str">
        <f>IFERROR(INDEX(Analysis!$D$116:$N$137, MATCH(B4433, Analysis!$C$116:$C$137, 0), MATCH(C4433, Analysis!$D$115:$N$115, 0)), "")</f>
        <v/>
      </c>
      <c r="J4433" t="str">
        <f t="shared" si="418"/>
        <v/>
      </c>
      <c r="K4433" s="28" t="str">
        <f t="shared" si="415"/>
        <v/>
      </c>
      <c r="L4433" s="46" t="str">
        <f t="shared" si="419"/>
        <v/>
      </c>
      <c r="M4433" t="str" cm="1">
        <f t="array" ref="M4433">IF(L4433="","",_xlfn.IFS(
  AND(L4433&gt;=TIME(9,0,0), L4433&lt;TIME(16,0,0)),"Morning",
  AND(L4433&gt;=TIME(16,0,0), L4433&lt;TIME(23,59,0)),"Evening",
  L4433&gt;=TIME(23,59,0),"Night",
  L4433&lt;TIME(9,0,0),"Night"
))</f>
        <v/>
      </c>
      <c r="O4433" t="str">
        <f t="shared" si="416"/>
        <v/>
      </c>
    </row>
    <row r="4434" spans="7:15" x14ac:dyDescent="0.25">
      <c r="G4434" t="str">
        <f t="shared" si="414"/>
        <v/>
      </c>
      <c r="H4434" s="13" t="str">
        <f t="shared" si="417"/>
        <v/>
      </c>
      <c r="I4434" t="str">
        <f>IFERROR(INDEX(Analysis!$D$116:$N$137, MATCH(B4434, Analysis!$C$116:$C$137, 0), MATCH(C4434, Analysis!$D$115:$N$115, 0)), "")</f>
        <v/>
      </c>
      <c r="J4434" t="str">
        <f t="shared" si="418"/>
        <v/>
      </c>
      <c r="K4434" s="28" t="str">
        <f t="shared" si="415"/>
        <v/>
      </c>
      <c r="L4434" s="46" t="str">
        <f t="shared" si="419"/>
        <v/>
      </c>
      <c r="M4434" t="str" cm="1">
        <f t="array" ref="M4434">IF(L4434="","",_xlfn.IFS(
  AND(L4434&gt;=TIME(9,0,0), L4434&lt;TIME(16,0,0)),"Morning",
  AND(L4434&gt;=TIME(16,0,0), L4434&lt;TIME(23,59,0)),"Evening",
  L4434&gt;=TIME(23,59,0),"Night",
  L4434&lt;TIME(9,0,0),"Night"
))</f>
        <v/>
      </c>
      <c r="O4434" t="str">
        <f t="shared" si="416"/>
        <v/>
      </c>
    </row>
    <row r="4435" spans="7:15" x14ac:dyDescent="0.25">
      <c r="G4435" t="str">
        <f t="shared" si="414"/>
        <v/>
      </c>
      <c r="H4435" s="13" t="str">
        <f t="shared" si="417"/>
        <v/>
      </c>
      <c r="I4435" t="str">
        <f>IFERROR(INDEX(Analysis!$D$116:$N$137, MATCH(B4435, Analysis!$C$116:$C$137, 0), MATCH(C4435, Analysis!$D$115:$N$115, 0)), "")</f>
        <v/>
      </c>
      <c r="J4435" t="str">
        <f t="shared" si="418"/>
        <v/>
      </c>
      <c r="K4435" s="28" t="str">
        <f t="shared" si="415"/>
        <v/>
      </c>
      <c r="L4435" s="46" t="str">
        <f t="shared" si="419"/>
        <v/>
      </c>
      <c r="M4435" t="str" cm="1">
        <f t="array" ref="M4435">IF(L4435="","",_xlfn.IFS(
  AND(L4435&gt;=TIME(9,0,0), L4435&lt;TIME(16,0,0)),"Morning",
  AND(L4435&gt;=TIME(16,0,0), L4435&lt;TIME(23,59,0)),"Evening",
  L4435&gt;=TIME(23,59,0),"Night",
  L4435&lt;TIME(9,0,0),"Night"
))</f>
        <v/>
      </c>
      <c r="O4435" t="str">
        <f t="shared" si="416"/>
        <v/>
      </c>
    </row>
    <row r="4436" spans="7:15" x14ac:dyDescent="0.25">
      <c r="G4436" t="str">
        <f t="shared" si="414"/>
        <v/>
      </c>
      <c r="H4436" s="13" t="str">
        <f t="shared" si="417"/>
        <v/>
      </c>
      <c r="I4436" t="str">
        <f>IFERROR(INDEX(Analysis!$D$116:$N$137, MATCH(B4436, Analysis!$C$116:$C$137, 0), MATCH(C4436, Analysis!$D$115:$N$115, 0)), "")</f>
        <v/>
      </c>
      <c r="J4436" t="str">
        <f t="shared" si="418"/>
        <v/>
      </c>
      <c r="K4436" s="28" t="str">
        <f t="shared" si="415"/>
        <v/>
      </c>
      <c r="L4436" s="46" t="str">
        <f t="shared" si="419"/>
        <v/>
      </c>
      <c r="M4436" t="str" cm="1">
        <f t="array" ref="M4436">IF(L4436="","",_xlfn.IFS(
  AND(L4436&gt;=TIME(9,0,0), L4436&lt;TIME(16,0,0)),"Morning",
  AND(L4436&gt;=TIME(16,0,0), L4436&lt;TIME(23,59,0)),"Evening",
  L4436&gt;=TIME(23,59,0),"Night",
  L4436&lt;TIME(9,0,0),"Night"
))</f>
        <v/>
      </c>
      <c r="O4436" t="str">
        <f t="shared" si="416"/>
        <v/>
      </c>
    </row>
    <row r="4437" spans="7:15" x14ac:dyDescent="0.25">
      <c r="G4437" t="str">
        <f t="shared" si="414"/>
        <v/>
      </c>
      <c r="H4437" s="13" t="str">
        <f t="shared" si="417"/>
        <v/>
      </c>
      <c r="I4437" t="str">
        <f>IFERROR(INDEX(Analysis!$D$116:$N$137, MATCH(B4437, Analysis!$C$116:$C$137, 0), MATCH(C4437, Analysis!$D$115:$N$115, 0)), "")</f>
        <v/>
      </c>
      <c r="J4437" t="str">
        <f t="shared" si="418"/>
        <v/>
      </c>
      <c r="K4437" s="28" t="str">
        <f t="shared" si="415"/>
        <v/>
      </c>
      <c r="L4437" s="46" t="str">
        <f t="shared" si="419"/>
        <v/>
      </c>
      <c r="M4437" t="str" cm="1">
        <f t="array" ref="M4437">IF(L4437="","",_xlfn.IFS(
  AND(L4437&gt;=TIME(9,0,0), L4437&lt;TIME(16,0,0)),"Morning",
  AND(L4437&gt;=TIME(16,0,0), L4437&lt;TIME(23,59,0)),"Evening",
  L4437&gt;=TIME(23,59,0),"Night",
  L4437&lt;TIME(9,0,0),"Night"
))</f>
        <v/>
      </c>
      <c r="O4437" t="str">
        <f t="shared" si="416"/>
        <v/>
      </c>
    </row>
    <row r="4438" spans="7:15" x14ac:dyDescent="0.25">
      <c r="G4438" t="str">
        <f t="shared" si="414"/>
        <v/>
      </c>
      <c r="H4438" s="13" t="str">
        <f t="shared" si="417"/>
        <v/>
      </c>
      <c r="I4438" t="str">
        <f>IFERROR(INDEX(Analysis!$D$116:$N$137, MATCH(B4438, Analysis!$C$116:$C$137, 0), MATCH(C4438, Analysis!$D$115:$N$115, 0)), "")</f>
        <v/>
      </c>
      <c r="J4438" t="str">
        <f t="shared" si="418"/>
        <v/>
      </c>
      <c r="K4438" s="28" t="str">
        <f t="shared" si="415"/>
        <v/>
      </c>
      <c r="L4438" s="46" t="str">
        <f t="shared" si="419"/>
        <v/>
      </c>
      <c r="M4438" t="str" cm="1">
        <f t="array" ref="M4438">IF(L4438="","",_xlfn.IFS(
  AND(L4438&gt;=TIME(9,0,0), L4438&lt;TIME(16,0,0)),"Morning",
  AND(L4438&gt;=TIME(16,0,0), L4438&lt;TIME(23,59,0)),"Evening",
  L4438&gt;=TIME(23,59,0),"Night",
  L4438&lt;TIME(9,0,0),"Night"
))</f>
        <v/>
      </c>
      <c r="O4438" t="str">
        <f t="shared" si="416"/>
        <v/>
      </c>
    </row>
    <row r="4439" spans="7:15" x14ac:dyDescent="0.25">
      <c r="G4439" t="str">
        <f t="shared" si="414"/>
        <v/>
      </c>
      <c r="H4439" s="13" t="str">
        <f t="shared" si="417"/>
        <v/>
      </c>
      <c r="I4439" t="str">
        <f>IFERROR(INDEX(Analysis!$D$116:$N$137, MATCH(B4439, Analysis!$C$116:$C$137, 0), MATCH(C4439, Analysis!$D$115:$N$115, 0)), "")</f>
        <v/>
      </c>
      <c r="J4439" t="str">
        <f t="shared" si="418"/>
        <v/>
      </c>
      <c r="K4439" s="28" t="str">
        <f t="shared" si="415"/>
        <v/>
      </c>
      <c r="L4439" s="46" t="str">
        <f t="shared" si="419"/>
        <v/>
      </c>
      <c r="M4439" t="str" cm="1">
        <f t="array" ref="M4439">IF(L4439="","",_xlfn.IFS(
  AND(L4439&gt;=TIME(9,0,0), L4439&lt;TIME(16,0,0)),"Morning",
  AND(L4439&gt;=TIME(16,0,0), L4439&lt;TIME(23,59,0)),"Evening",
  L4439&gt;=TIME(23,59,0),"Night",
  L4439&lt;TIME(9,0,0),"Night"
))</f>
        <v/>
      </c>
      <c r="O4439" t="str">
        <f t="shared" si="416"/>
        <v/>
      </c>
    </row>
    <row r="4440" spans="7:15" x14ac:dyDescent="0.25">
      <c r="G4440" t="str">
        <f t="shared" si="414"/>
        <v/>
      </c>
      <c r="H4440" s="13" t="str">
        <f t="shared" si="417"/>
        <v/>
      </c>
      <c r="I4440" t="str">
        <f>IFERROR(INDEX(Analysis!$D$116:$N$137, MATCH(B4440, Analysis!$C$116:$C$137, 0), MATCH(C4440, Analysis!$D$115:$N$115, 0)), "")</f>
        <v/>
      </c>
      <c r="J4440" t="str">
        <f t="shared" si="418"/>
        <v/>
      </c>
      <c r="K4440" s="28" t="str">
        <f t="shared" si="415"/>
        <v/>
      </c>
      <c r="L4440" s="46" t="str">
        <f t="shared" si="419"/>
        <v/>
      </c>
      <c r="M4440" t="str" cm="1">
        <f t="array" ref="M4440">IF(L4440="","",_xlfn.IFS(
  AND(L4440&gt;=TIME(9,0,0), L4440&lt;TIME(16,0,0)),"Morning",
  AND(L4440&gt;=TIME(16,0,0), L4440&lt;TIME(23,59,0)),"Evening",
  L4440&gt;=TIME(23,59,0),"Night",
  L4440&lt;TIME(9,0,0),"Night"
))</f>
        <v/>
      </c>
      <c r="O4440" t="str">
        <f t="shared" si="416"/>
        <v/>
      </c>
    </row>
    <row r="4441" spans="7:15" x14ac:dyDescent="0.25">
      <c r="G4441" t="str">
        <f t="shared" si="414"/>
        <v/>
      </c>
      <c r="H4441" s="13" t="str">
        <f t="shared" si="417"/>
        <v/>
      </c>
      <c r="I4441" t="str">
        <f>IFERROR(INDEX(Analysis!$D$116:$N$137, MATCH(B4441, Analysis!$C$116:$C$137, 0), MATCH(C4441, Analysis!$D$115:$N$115, 0)), "")</f>
        <v/>
      </c>
      <c r="J4441" t="str">
        <f t="shared" si="418"/>
        <v/>
      </c>
      <c r="K4441" s="28" t="str">
        <f t="shared" si="415"/>
        <v/>
      </c>
      <c r="L4441" s="46" t="str">
        <f t="shared" si="419"/>
        <v/>
      </c>
      <c r="M4441" t="str" cm="1">
        <f t="array" ref="M4441">IF(L4441="","",_xlfn.IFS(
  AND(L4441&gt;=TIME(9,0,0), L4441&lt;TIME(16,0,0)),"Morning",
  AND(L4441&gt;=TIME(16,0,0), L4441&lt;TIME(23,59,0)),"Evening",
  L4441&gt;=TIME(23,59,0),"Night",
  L4441&lt;TIME(9,0,0),"Night"
))</f>
        <v/>
      </c>
      <c r="O4441" t="str">
        <f t="shared" si="416"/>
        <v/>
      </c>
    </row>
    <row r="4442" spans="7:15" x14ac:dyDescent="0.25">
      <c r="G4442" t="str">
        <f t="shared" si="414"/>
        <v/>
      </c>
      <c r="H4442" s="13" t="str">
        <f t="shared" si="417"/>
        <v/>
      </c>
      <c r="I4442" t="str">
        <f>IFERROR(INDEX(Analysis!$D$116:$N$137, MATCH(B4442, Analysis!$C$116:$C$137, 0), MATCH(C4442, Analysis!$D$115:$N$115, 0)), "")</f>
        <v/>
      </c>
      <c r="J4442" t="str">
        <f t="shared" si="418"/>
        <v/>
      </c>
      <c r="K4442" s="28" t="str">
        <f t="shared" si="415"/>
        <v/>
      </c>
      <c r="L4442" s="46" t="str">
        <f t="shared" si="419"/>
        <v/>
      </c>
      <c r="M4442" t="str" cm="1">
        <f t="array" ref="M4442">IF(L4442="","",_xlfn.IFS(
  AND(L4442&gt;=TIME(9,0,0), L4442&lt;TIME(16,0,0)),"Morning",
  AND(L4442&gt;=TIME(16,0,0), L4442&lt;TIME(23,59,0)),"Evening",
  L4442&gt;=TIME(23,59,0),"Night",
  L4442&lt;TIME(9,0,0),"Night"
))</f>
        <v/>
      </c>
      <c r="O4442" t="str">
        <f t="shared" si="416"/>
        <v/>
      </c>
    </row>
    <row r="4443" spans="7:15" x14ac:dyDescent="0.25">
      <c r="G4443" t="str">
        <f t="shared" si="414"/>
        <v/>
      </c>
      <c r="H4443" s="13" t="str">
        <f t="shared" si="417"/>
        <v/>
      </c>
      <c r="I4443" t="str">
        <f>IFERROR(INDEX(Analysis!$D$116:$N$137, MATCH(B4443, Analysis!$C$116:$C$137, 0), MATCH(C4443, Analysis!$D$115:$N$115, 0)), "")</f>
        <v/>
      </c>
      <c r="J4443" t="str">
        <f t="shared" si="418"/>
        <v/>
      </c>
      <c r="K4443" s="28" t="str">
        <f t="shared" si="415"/>
        <v/>
      </c>
      <c r="L4443" s="46" t="str">
        <f t="shared" si="419"/>
        <v/>
      </c>
      <c r="M4443" t="str" cm="1">
        <f t="array" ref="M4443">IF(L4443="","",_xlfn.IFS(
  AND(L4443&gt;=TIME(9,0,0), L4443&lt;TIME(16,0,0)),"Morning",
  AND(L4443&gt;=TIME(16,0,0), L4443&lt;TIME(23,59,0)),"Evening",
  L4443&gt;=TIME(23,59,0),"Night",
  L4443&lt;TIME(9,0,0),"Night"
))</f>
        <v/>
      </c>
      <c r="O4443" t="str">
        <f t="shared" si="416"/>
        <v/>
      </c>
    </row>
    <row r="4444" spans="7:15" x14ac:dyDescent="0.25">
      <c r="G4444" t="str">
        <f t="shared" si="414"/>
        <v/>
      </c>
      <c r="H4444" s="13" t="str">
        <f t="shared" si="417"/>
        <v/>
      </c>
      <c r="I4444" t="str">
        <f>IFERROR(INDEX(Analysis!$D$116:$N$137, MATCH(B4444, Analysis!$C$116:$C$137, 0), MATCH(C4444, Analysis!$D$115:$N$115, 0)), "")</f>
        <v/>
      </c>
      <c r="J4444" t="str">
        <f t="shared" si="418"/>
        <v/>
      </c>
      <c r="K4444" s="28" t="str">
        <f t="shared" si="415"/>
        <v/>
      </c>
      <c r="L4444" s="46" t="str">
        <f t="shared" si="419"/>
        <v/>
      </c>
      <c r="M4444" t="str" cm="1">
        <f t="array" ref="M4444">IF(L4444="","",_xlfn.IFS(
  AND(L4444&gt;=TIME(9,0,0), L4444&lt;TIME(16,0,0)),"Morning",
  AND(L4444&gt;=TIME(16,0,0), L4444&lt;TIME(23,59,0)),"Evening",
  L4444&gt;=TIME(23,59,0),"Night",
  L4444&lt;TIME(9,0,0),"Night"
))</f>
        <v/>
      </c>
      <c r="O4444" t="str">
        <f t="shared" si="416"/>
        <v/>
      </c>
    </row>
    <row r="4445" spans="7:15" x14ac:dyDescent="0.25">
      <c r="G4445" t="str">
        <f t="shared" si="414"/>
        <v/>
      </c>
      <c r="H4445" s="13" t="str">
        <f t="shared" si="417"/>
        <v/>
      </c>
      <c r="I4445" t="str">
        <f>IFERROR(INDEX(Analysis!$D$116:$N$137, MATCH(B4445, Analysis!$C$116:$C$137, 0), MATCH(C4445, Analysis!$D$115:$N$115, 0)), "")</f>
        <v/>
      </c>
      <c r="J4445" t="str">
        <f t="shared" si="418"/>
        <v/>
      </c>
      <c r="K4445" s="28" t="str">
        <f t="shared" si="415"/>
        <v/>
      </c>
      <c r="L4445" s="46" t="str">
        <f t="shared" si="419"/>
        <v/>
      </c>
      <c r="M4445" t="str" cm="1">
        <f t="array" ref="M4445">IF(L4445="","",_xlfn.IFS(
  AND(L4445&gt;=TIME(9,0,0), L4445&lt;TIME(16,0,0)),"Morning",
  AND(L4445&gt;=TIME(16,0,0), L4445&lt;TIME(23,59,0)),"Evening",
  L4445&gt;=TIME(23,59,0),"Night",
  L4445&lt;TIME(9,0,0),"Night"
))</f>
        <v/>
      </c>
      <c r="O4445" t="str">
        <f t="shared" si="416"/>
        <v/>
      </c>
    </row>
    <row r="4446" spans="7:15" x14ac:dyDescent="0.25">
      <c r="G4446" t="str">
        <f t="shared" si="414"/>
        <v/>
      </c>
      <c r="H4446" s="13" t="str">
        <f t="shared" si="417"/>
        <v/>
      </c>
      <c r="I4446" t="str">
        <f>IFERROR(INDEX(Analysis!$D$116:$N$137, MATCH(B4446, Analysis!$C$116:$C$137, 0), MATCH(C4446, Analysis!$D$115:$N$115, 0)), "")</f>
        <v/>
      </c>
      <c r="J4446" t="str">
        <f t="shared" si="418"/>
        <v/>
      </c>
      <c r="K4446" s="28" t="str">
        <f t="shared" si="415"/>
        <v/>
      </c>
      <c r="L4446" s="46" t="str">
        <f t="shared" si="419"/>
        <v/>
      </c>
      <c r="M4446" t="str" cm="1">
        <f t="array" ref="M4446">IF(L4446="","",_xlfn.IFS(
  AND(L4446&gt;=TIME(9,0,0), L4446&lt;TIME(16,0,0)),"Morning",
  AND(L4446&gt;=TIME(16,0,0), L4446&lt;TIME(23,59,0)),"Evening",
  L4446&gt;=TIME(23,59,0),"Night",
  L4446&lt;TIME(9,0,0),"Night"
))</f>
        <v/>
      </c>
      <c r="O4446" t="str">
        <f t="shared" si="416"/>
        <v/>
      </c>
    </row>
    <row r="4447" spans="7:15" x14ac:dyDescent="0.25">
      <c r="G4447" t="str">
        <f t="shared" si="414"/>
        <v/>
      </c>
      <c r="H4447" s="13" t="str">
        <f t="shared" si="417"/>
        <v/>
      </c>
      <c r="I4447" t="str">
        <f>IFERROR(INDEX(Analysis!$D$116:$N$137, MATCH(B4447, Analysis!$C$116:$C$137, 0), MATCH(C4447, Analysis!$D$115:$N$115, 0)), "")</f>
        <v/>
      </c>
      <c r="J4447" t="str">
        <f t="shared" si="418"/>
        <v/>
      </c>
      <c r="K4447" s="28" t="str">
        <f t="shared" si="415"/>
        <v/>
      </c>
      <c r="L4447" s="46" t="str">
        <f t="shared" si="419"/>
        <v/>
      </c>
      <c r="M4447" t="str" cm="1">
        <f t="array" ref="M4447">IF(L4447="","",_xlfn.IFS(
  AND(L4447&gt;=TIME(9,0,0), L4447&lt;TIME(16,0,0)),"Morning",
  AND(L4447&gt;=TIME(16,0,0), L4447&lt;TIME(23,59,0)),"Evening",
  L4447&gt;=TIME(23,59,0),"Night",
  L4447&lt;TIME(9,0,0),"Night"
))</f>
        <v/>
      </c>
      <c r="O4447" t="str">
        <f t="shared" si="416"/>
        <v/>
      </c>
    </row>
    <row r="4448" spans="7:15" x14ac:dyDescent="0.25">
      <c r="G4448" t="str">
        <f t="shared" si="414"/>
        <v/>
      </c>
      <c r="H4448" s="13" t="str">
        <f t="shared" si="417"/>
        <v/>
      </c>
      <c r="I4448" t="str">
        <f>IFERROR(INDEX(Analysis!$D$116:$N$137, MATCH(B4448, Analysis!$C$116:$C$137, 0), MATCH(C4448, Analysis!$D$115:$N$115, 0)), "")</f>
        <v/>
      </c>
      <c r="J4448" t="str">
        <f t="shared" si="418"/>
        <v/>
      </c>
      <c r="K4448" s="28" t="str">
        <f t="shared" si="415"/>
        <v/>
      </c>
      <c r="L4448" s="46" t="str">
        <f t="shared" si="419"/>
        <v/>
      </c>
      <c r="M4448" t="str" cm="1">
        <f t="array" ref="M4448">IF(L4448="","",_xlfn.IFS(
  AND(L4448&gt;=TIME(9,0,0), L4448&lt;TIME(16,0,0)),"Morning",
  AND(L4448&gt;=TIME(16,0,0), L4448&lt;TIME(23,59,0)),"Evening",
  L4448&gt;=TIME(23,59,0),"Night",
  L4448&lt;TIME(9,0,0),"Night"
))</f>
        <v/>
      </c>
      <c r="O4448" t="str">
        <f t="shared" si="416"/>
        <v/>
      </c>
    </row>
    <row r="4449" spans="7:15" x14ac:dyDescent="0.25">
      <c r="G4449" t="str">
        <f t="shared" si="414"/>
        <v/>
      </c>
      <c r="H4449" s="13" t="str">
        <f t="shared" si="417"/>
        <v/>
      </c>
      <c r="I4449" t="str">
        <f>IFERROR(INDEX(Analysis!$D$116:$N$137, MATCH(B4449, Analysis!$C$116:$C$137, 0), MATCH(C4449, Analysis!$D$115:$N$115, 0)), "")</f>
        <v/>
      </c>
      <c r="J4449" t="str">
        <f t="shared" si="418"/>
        <v/>
      </c>
      <c r="K4449" s="28" t="str">
        <f t="shared" si="415"/>
        <v/>
      </c>
      <c r="L4449" s="46" t="str">
        <f t="shared" si="419"/>
        <v/>
      </c>
      <c r="M4449" t="str" cm="1">
        <f t="array" ref="M4449">IF(L4449="","",_xlfn.IFS(
  AND(L4449&gt;=TIME(9,0,0), L4449&lt;TIME(16,0,0)),"Morning",
  AND(L4449&gt;=TIME(16,0,0), L4449&lt;TIME(23,59,0)),"Evening",
  L4449&gt;=TIME(23,59,0),"Night",
  L4449&lt;TIME(9,0,0),"Night"
))</f>
        <v/>
      </c>
      <c r="O4449" t="str">
        <f t="shared" si="416"/>
        <v/>
      </c>
    </row>
    <row r="4450" spans="7:15" x14ac:dyDescent="0.25">
      <c r="G4450" t="str">
        <f t="shared" si="414"/>
        <v/>
      </c>
      <c r="H4450" s="13" t="str">
        <f t="shared" si="417"/>
        <v/>
      </c>
      <c r="I4450" t="str">
        <f>IFERROR(INDEX(Analysis!$D$116:$N$137, MATCH(B4450, Analysis!$C$116:$C$137, 0), MATCH(C4450, Analysis!$D$115:$N$115, 0)), "")</f>
        <v/>
      </c>
      <c r="J4450" t="str">
        <f t="shared" si="418"/>
        <v/>
      </c>
      <c r="K4450" s="28" t="str">
        <f t="shared" si="415"/>
        <v/>
      </c>
      <c r="L4450" s="46" t="str">
        <f t="shared" si="419"/>
        <v/>
      </c>
      <c r="M4450" t="str" cm="1">
        <f t="array" ref="M4450">IF(L4450="","",_xlfn.IFS(
  AND(L4450&gt;=TIME(9,0,0), L4450&lt;TIME(16,0,0)),"Morning",
  AND(L4450&gt;=TIME(16,0,0), L4450&lt;TIME(23,59,0)),"Evening",
  L4450&gt;=TIME(23,59,0),"Night",
  L4450&lt;TIME(9,0,0),"Night"
))</f>
        <v/>
      </c>
      <c r="O4450" t="str">
        <f t="shared" si="416"/>
        <v/>
      </c>
    </row>
    <row r="4451" spans="7:15" x14ac:dyDescent="0.25">
      <c r="G4451" t="str">
        <f t="shared" si="414"/>
        <v/>
      </c>
      <c r="H4451" s="13" t="str">
        <f t="shared" si="417"/>
        <v/>
      </c>
      <c r="I4451" t="str">
        <f>IFERROR(INDEX(Analysis!$D$116:$N$137, MATCH(B4451, Analysis!$C$116:$C$137, 0), MATCH(C4451, Analysis!$D$115:$N$115, 0)), "")</f>
        <v/>
      </c>
      <c r="J4451" t="str">
        <f t="shared" si="418"/>
        <v/>
      </c>
      <c r="K4451" s="28" t="str">
        <f t="shared" si="415"/>
        <v/>
      </c>
      <c r="L4451" s="46" t="str">
        <f t="shared" si="419"/>
        <v/>
      </c>
      <c r="M4451" t="str" cm="1">
        <f t="array" ref="M4451">IF(L4451="","",_xlfn.IFS(
  AND(L4451&gt;=TIME(9,0,0), L4451&lt;TIME(16,0,0)),"Morning",
  AND(L4451&gt;=TIME(16,0,0), L4451&lt;TIME(23,59,0)),"Evening",
  L4451&gt;=TIME(23,59,0),"Night",
  L4451&lt;TIME(9,0,0),"Night"
))</f>
        <v/>
      </c>
      <c r="O4451" t="str">
        <f t="shared" si="416"/>
        <v/>
      </c>
    </row>
    <row r="4452" spans="7:15" x14ac:dyDescent="0.25">
      <c r="G4452" t="str">
        <f t="shared" si="414"/>
        <v/>
      </c>
      <c r="H4452" s="13" t="str">
        <f t="shared" si="417"/>
        <v/>
      </c>
      <c r="I4452" t="str">
        <f>IFERROR(INDEX(Analysis!$D$116:$N$137, MATCH(B4452, Analysis!$C$116:$C$137, 0), MATCH(C4452, Analysis!$D$115:$N$115, 0)), "")</f>
        <v/>
      </c>
      <c r="J4452" t="str">
        <f t="shared" si="418"/>
        <v/>
      </c>
      <c r="K4452" s="28" t="str">
        <f t="shared" si="415"/>
        <v/>
      </c>
      <c r="L4452" s="46" t="str">
        <f t="shared" si="419"/>
        <v/>
      </c>
      <c r="M4452" t="str" cm="1">
        <f t="array" ref="M4452">IF(L4452="","",_xlfn.IFS(
  AND(L4452&gt;=TIME(9,0,0), L4452&lt;TIME(16,0,0)),"Morning",
  AND(L4452&gt;=TIME(16,0,0), L4452&lt;TIME(23,59,0)),"Evening",
  L4452&gt;=TIME(23,59,0),"Night",
  L4452&lt;TIME(9,0,0),"Night"
))</f>
        <v/>
      </c>
      <c r="O4452" t="str">
        <f t="shared" si="416"/>
        <v/>
      </c>
    </row>
    <row r="4453" spans="7:15" x14ac:dyDescent="0.25">
      <c r="G4453" t="str">
        <f t="shared" si="414"/>
        <v/>
      </c>
      <c r="H4453" s="13" t="str">
        <f t="shared" si="417"/>
        <v/>
      </c>
      <c r="I4453" t="str">
        <f>IFERROR(INDEX(Analysis!$D$116:$N$137, MATCH(B4453, Analysis!$C$116:$C$137, 0), MATCH(C4453, Analysis!$D$115:$N$115, 0)), "")</f>
        <v/>
      </c>
      <c r="J4453" t="str">
        <f t="shared" si="418"/>
        <v/>
      </c>
      <c r="K4453" s="28" t="str">
        <f t="shared" si="415"/>
        <v/>
      </c>
      <c r="L4453" s="46" t="str">
        <f t="shared" si="419"/>
        <v/>
      </c>
      <c r="M4453" t="str" cm="1">
        <f t="array" ref="M4453">IF(L4453="","",_xlfn.IFS(
  AND(L4453&gt;=TIME(9,0,0), L4453&lt;TIME(16,0,0)),"Morning",
  AND(L4453&gt;=TIME(16,0,0), L4453&lt;TIME(23,59,0)),"Evening",
  L4453&gt;=TIME(23,59,0),"Night",
  L4453&lt;TIME(9,0,0),"Night"
))</f>
        <v/>
      </c>
      <c r="O4453" t="str">
        <f t="shared" si="416"/>
        <v/>
      </c>
    </row>
    <row r="4454" spans="7:15" x14ac:dyDescent="0.25">
      <c r="G4454" t="str">
        <f t="shared" si="414"/>
        <v/>
      </c>
      <c r="H4454" s="13" t="str">
        <f t="shared" si="417"/>
        <v/>
      </c>
      <c r="I4454" t="str">
        <f>IFERROR(INDEX(Analysis!$D$116:$N$137, MATCH(B4454, Analysis!$C$116:$C$137, 0), MATCH(C4454, Analysis!$D$115:$N$115, 0)), "")</f>
        <v/>
      </c>
      <c r="J4454" t="str">
        <f t="shared" si="418"/>
        <v/>
      </c>
      <c r="K4454" s="28" t="str">
        <f t="shared" si="415"/>
        <v/>
      </c>
      <c r="L4454" s="46" t="str">
        <f t="shared" si="419"/>
        <v/>
      </c>
      <c r="M4454" t="str" cm="1">
        <f t="array" ref="M4454">IF(L4454="","",_xlfn.IFS(
  AND(L4454&gt;=TIME(9,0,0), L4454&lt;TIME(16,0,0)),"Morning",
  AND(L4454&gt;=TIME(16,0,0), L4454&lt;TIME(23,59,0)),"Evening",
  L4454&gt;=TIME(23,59,0),"Night",
  L4454&lt;TIME(9,0,0),"Night"
))</f>
        <v/>
      </c>
      <c r="O4454" t="str">
        <f t="shared" si="416"/>
        <v/>
      </c>
    </row>
    <row r="4455" spans="7:15" x14ac:dyDescent="0.25">
      <c r="G4455" t="str">
        <f t="shared" si="414"/>
        <v/>
      </c>
      <c r="H4455" s="13" t="str">
        <f t="shared" si="417"/>
        <v/>
      </c>
      <c r="I4455" t="str">
        <f>IFERROR(INDEX(Analysis!$D$116:$N$137, MATCH(B4455, Analysis!$C$116:$C$137, 0), MATCH(C4455, Analysis!$D$115:$N$115, 0)), "")</f>
        <v/>
      </c>
      <c r="J4455" t="str">
        <f t="shared" si="418"/>
        <v/>
      </c>
      <c r="K4455" s="28" t="str">
        <f t="shared" si="415"/>
        <v/>
      </c>
      <c r="L4455" s="46" t="str">
        <f t="shared" si="419"/>
        <v/>
      </c>
      <c r="M4455" t="str" cm="1">
        <f t="array" ref="M4455">IF(L4455="","",_xlfn.IFS(
  AND(L4455&gt;=TIME(9,0,0), L4455&lt;TIME(16,0,0)),"Morning",
  AND(L4455&gt;=TIME(16,0,0), L4455&lt;TIME(23,59,0)),"Evening",
  L4455&gt;=TIME(23,59,0),"Night",
  L4455&lt;TIME(9,0,0),"Night"
))</f>
        <v/>
      </c>
      <c r="O4455" t="str">
        <f t="shared" si="416"/>
        <v/>
      </c>
    </row>
    <row r="4456" spans="7:15" x14ac:dyDescent="0.25">
      <c r="G4456" t="str">
        <f t="shared" si="414"/>
        <v/>
      </c>
      <c r="H4456" s="13" t="str">
        <f t="shared" si="417"/>
        <v/>
      </c>
      <c r="I4456" t="str">
        <f>IFERROR(INDEX(Analysis!$D$116:$N$137, MATCH(B4456, Analysis!$C$116:$C$137, 0), MATCH(C4456, Analysis!$D$115:$N$115, 0)), "")</f>
        <v/>
      </c>
      <c r="J4456" t="str">
        <f t="shared" si="418"/>
        <v/>
      </c>
      <c r="K4456" s="28" t="str">
        <f t="shared" si="415"/>
        <v/>
      </c>
      <c r="L4456" s="46" t="str">
        <f t="shared" si="419"/>
        <v/>
      </c>
      <c r="M4456" t="str" cm="1">
        <f t="array" ref="M4456">IF(L4456="","",_xlfn.IFS(
  AND(L4456&gt;=TIME(9,0,0), L4456&lt;TIME(16,0,0)),"Morning",
  AND(L4456&gt;=TIME(16,0,0), L4456&lt;TIME(23,59,0)),"Evening",
  L4456&gt;=TIME(23,59,0),"Night",
  L4456&lt;TIME(9,0,0),"Night"
))</f>
        <v/>
      </c>
      <c r="O4456" t="str">
        <f t="shared" si="416"/>
        <v/>
      </c>
    </row>
    <row r="4457" spans="7:15" x14ac:dyDescent="0.25">
      <c r="G4457" t="str">
        <f t="shared" si="414"/>
        <v/>
      </c>
      <c r="H4457" s="13" t="str">
        <f t="shared" si="417"/>
        <v/>
      </c>
      <c r="I4457" t="str">
        <f>IFERROR(INDEX(Analysis!$D$116:$N$137, MATCH(B4457, Analysis!$C$116:$C$137, 0), MATCH(C4457, Analysis!$D$115:$N$115, 0)), "")</f>
        <v/>
      </c>
      <c r="J4457" t="str">
        <f t="shared" si="418"/>
        <v/>
      </c>
      <c r="K4457" s="28" t="str">
        <f t="shared" si="415"/>
        <v/>
      </c>
      <c r="L4457" s="46" t="str">
        <f t="shared" si="419"/>
        <v/>
      </c>
      <c r="M4457" t="str" cm="1">
        <f t="array" ref="M4457">IF(L4457="","",_xlfn.IFS(
  AND(L4457&gt;=TIME(9,0,0), L4457&lt;TIME(16,0,0)),"Morning",
  AND(L4457&gt;=TIME(16,0,0), L4457&lt;TIME(23,59,0)),"Evening",
  L4457&gt;=TIME(23,59,0),"Night",
  L4457&lt;TIME(9,0,0),"Night"
))</f>
        <v/>
      </c>
      <c r="O4457" t="str">
        <f t="shared" si="416"/>
        <v/>
      </c>
    </row>
    <row r="4458" spans="7:15" x14ac:dyDescent="0.25">
      <c r="G4458" t="str">
        <f t="shared" si="414"/>
        <v/>
      </c>
      <c r="H4458" s="13" t="str">
        <f t="shared" si="417"/>
        <v/>
      </c>
      <c r="I4458" t="str">
        <f>IFERROR(INDEX(Analysis!$D$116:$N$137, MATCH(B4458, Analysis!$C$116:$C$137, 0), MATCH(C4458, Analysis!$D$115:$N$115, 0)), "")</f>
        <v/>
      </c>
      <c r="J4458" t="str">
        <f t="shared" si="418"/>
        <v/>
      </c>
      <c r="K4458" s="28" t="str">
        <f t="shared" si="415"/>
        <v/>
      </c>
      <c r="L4458" s="46" t="str">
        <f t="shared" si="419"/>
        <v/>
      </c>
      <c r="M4458" t="str" cm="1">
        <f t="array" ref="M4458">IF(L4458="","",_xlfn.IFS(
  AND(L4458&gt;=TIME(9,0,0), L4458&lt;TIME(16,0,0)),"Morning",
  AND(L4458&gt;=TIME(16,0,0), L4458&lt;TIME(23,59,0)),"Evening",
  L4458&gt;=TIME(23,59,0),"Night",
  L4458&lt;TIME(9,0,0),"Night"
))</f>
        <v/>
      </c>
      <c r="O4458" t="str">
        <f t="shared" si="416"/>
        <v/>
      </c>
    </row>
    <row r="4459" spans="7:15" x14ac:dyDescent="0.25">
      <c r="G4459" t="str">
        <f t="shared" si="414"/>
        <v/>
      </c>
      <c r="H4459" s="13" t="str">
        <f t="shared" si="417"/>
        <v/>
      </c>
      <c r="I4459" t="str">
        <f>IFERROR(INDEX(Analysis!$D$116:$N$137, MATCH(B4459, Analysis!$C$116:$C$137, 0), MATCH(C4459, Analysis!$D$115:$N$115, 0)), "")</f>
        <v/>
      </c>
      <c r="J4459" t="str">
        <f t="shared" si="418"/>
        <v/>
      </c>
      <c r="K4459" s="28" t="str">
        <f t="shared" si="415"/>
        <v/>
      </c>
      <c r="L4459" s="46" t="str">
        <f t="shared" si="419"/>
        <v/>
      </c>
      <c r="M4459" t="str" cm="1">
        <f t="array" ref="M4459">IF(L4459="","",_xlfn.IFS(
  AND(L4459&gt;=TIME(9,0,0), L4459&lt;TIME(16,0,0)),"Morning",
  AND(L4459&gt;=TIME(16,0,0), L4459&lt;TIME(23,59,0)),"Evening",
  L4459&gt;=TIME(23,59,0),"Night",
  L4459&lt;TIME(9,0,0),"Night"
))</f>
        <v/>
      </c>
      <c r="O4459" t="str">
        <f t="shared" si="416"/>
        <v/>
      </c>
    </row>
    <row r="4460" spans="7:15" x14ac:dyDescent="0.25">
      <c r="G4460" t="str">
        <f t="shared" si="414"/>
        <v/>
      </c>
      <c r="H4460" s="13" t="str">
        <f t="shared" si="417"/>
        <v/>
      </c>
      <c r="I4460" t="str">
        <f>IFERROR(INDEX(Analysis!$D$116:$N$137, MATCH(B4460, Analysis!$C$116:$C$137, 0), MATCH(C4460, Analysis!$D$115:$N$115, 0)), "")</f>
        <v/>
      </c>
      <c r="J4460" t="str">
        <f t="shared" si="418"/>
        <v/>
      </c>
      <c r="K4460" s="28" t="str">
        <f t="shared" si="415"/>
        <v/>
      </c>
      <c r="L4460" s="46" t="str">
        <f t="shared" si="419"/>
        <v/>
      </c>
      <c r="M4460" t="str" cm="1">
        <f t="array" ref="M4460">IF(L4460="","",_xlfn.IFS(
  AND(L4460&gt;=TIME(9,0,0), L4460&lt;TIME(16,0,0)),"Morning",
  AND(L4460&gt;=TIME(16,0,0), L4460&lt;TIME(23,59,0)),"Evening",
  L4460&gt;=TIME(23,59,0),"Night",
  L4460&lt;TIME(9,0,0),"Night"
))</f>
        <v/>
      </c>
      <c r="O4460" t="str">
        <f t="shared" si="416"/>
        <v/>
      </c>
    </row>
    <row r="4461" spans="7:15" x14ac:dyDescent="0.25">
      <c r="G4461" t="str">
        <f t="shared" si="414"/>
        <v/>
      </c>
      <c r="H4461" s="13" t="str">
        <f t="shared" si="417"/>
        <v/>
      </c>
      <c r="I4461" t="str">
        <f>IFERROR(INDEX(Analysis!$D$116:$N$137, MATCH(B4461, Analysis!$C$116:$C$137, 0), MATCH(C4461, Analysis!$D$115:$N$115, 0)), "")</f>
        <v/>
      </c>
      <c r="J4461" t="str">
        <f t="shared" si="418"/>
        <v/>
      </c>
      <c r="K4461" s="28" t="str">
        <f t="shared" si="415"/>
        <v/>
      </c>
      <c r="L4461" s="46" t="str">
        <f t="shared" si="419"/>
        <v/>
      </c>
      <c r="M4461" t="str" cm="1">
        <f t="array" ref="M4461">IF(L4461="","",_xlfn.IFS(
  AND(L4461&gt;=TIME(9,0,0), L4461&lt;TIME(16,0,0)),"Morning",
  AND(L4461&gt;=TIME(16,0,0), L4461&lt;TIME(23,59,0)),"Evening",
  L4461&gt;=TIME(23,59,0),"Night",
  L4461&lt;TIME(9,0,0),"Night"
))</f>
        <v/>
      </c>
      <c r="O4461" t="str">
        <f t="shared" si="416"/>
        <v/>
      </c>
    </row>
    <row r="4462" spans="7:15" x14ac:dyDescent="0.25">
      <c r="G4462" t="str">
        <f t="shared" si="414"/>
        <v/>
      </c>
      <c r="H4462" s="13" t="str">
        <f t="shared" si="417"/>
        <v/>
      </c>
      <c r="I4462" t="str">
        <f>IFERROR(INDEX(Analysis!$D$116:$N$137, MATCH(B4462, Analysis!$C$116:$C$137, 0), MATCH(C4462, Analysis!$D$115:$N$115, 0)), "")</f>
        <v/>
      </c>
      <c r="J4462" t="str">
        <f t="shared" si="418"/>
        <v/>
      </c>
      <c r="K4462" s="28" t="str">
        <f t="shared" si="415"/>
        <v/>
      </c>
      <c r="L4462" s="46" t="str">
        <f t="shared" si="419"/>
        <v/>
      </c>
      <c r="M4462" t="str" cm="1">
        <f t="array" ref="M4462">IF(L4462="","",_xlfn.IFS(
  AND(L4462&gt;=TIME(9,0,0), L4462&lt;TIME(16,0,0)),"Morning",
  AND(L4462&gt;=TIME(16,0,0), L4462&lt;TIME(23,59,0)),"Evening",
  L4462&gt;=TIME(23,59,0),"Night",
  L4462&lt;TIME(9,0,0),"Night"
))</f>
        <v/>
      </c>
      <c r="O4462" t="str">
        <f t="shared" si="416"/>
        <v/>
      </c>
    </row>
    <row r="4463" spans="7:15" x14ac:dyDescent="0.25">
      <c r="G4463" t="str">
        <f t="shared" si="414"/>
        <v/>
      </c>
      <c r="H4463" s="13" t="str">
        <f t="shared" si="417"/>
        <v/>
      </c>
      <c r="I4463" t="str">
        <f>IFERROR(INDEX(Analysis!$D$116:$N$137, MATCH(B4463, Analysis!$C$116:$C$137, 0), MATCH(C4463, Analysis!$D$115:$N$115, 0)), "")</f>
        <v/>
      </c>
      <c r="J4463" t="str">
        <f t="shared" si="418"/>
        <v/>
      </c>
      <c r="K4463" s="28" t="str">
        <f t="shared" si="415"/>
        <v/>
      </c>
      <c r="L4463" s="46" t="str">
        <f t="shared" si="419"/>
        <v/>
      </c>
      <c r="M4463" t="str" cm="1">
        <f t="array" ref="M4463">IF(L4463="","",_xlfn.IFS(
  AND(L4463&gt;=TIME(9,0,0), L4463&lt;TIME(16,0,0)),"Morning",
  AND(L4463&gt;=TIME(16,0,0), L4463&lt;TIME(23,59,0)),"Evening",
  L4463&gt;=TIME(23,59,0),"Night",
  L4463&lt;TIME(9,0,0),"Night"
))</f>
        <v/>
      </c>
      <c r="O4463" t="str">
        <f t="shared" si="416"/>
        <v/>
      </c>
    </row>
    <row r="4464" spans="7:15" x14ac:dyDescent="0.25">
      <c r="G4464" t="str">
        <f t="shared" si="414"/>
        <v/>
      </c>
      <c r="H4464" s="13" t="str">
        <f t="shared" si="417"/>
        <v/>
      </c>
      <c r="I4464" t="str">
        <f>IFERROR(INDEX(Analysis!$D$116:$N$137, MATCH(B4464, Analysis!$C$116:$C$137, 0), MATCH(C4464, Analysis!$D$115:$N$115, 0)), "")</f>
        <v/>
      </c>
      <c r="J4464" t="str">
        <f t="shared" si="418"/>
        <v/>
      </c>
      <c r="K4464" s="28" t="str">
        <f t="shared" si="415"/>
        <v/>
      </c>
      <c r="L4464" s="46" t="str">
        <f t="shared" si="419"/>
        <v/>
      </c>
      <c r="M4464" t="str" cm="1">
        <f t="array" ref="M4464">IF(L4464="","",_xlfn.IFS(
  AND(L4464&gt;=TIME(9,0,0), L4464&lt;TIME(16,0,0)),"Morning",
  AND(L4464&gt;=TIME(16,0,0), L4464&lt;TIME(23,59,0)),"Evening",
  L4464&gt;=TIME(23,59,0),"Night",
  L4464&lt;TIME(9,0,0),"Night"
))</f>
        <v/>
      </c>
      <c r="O4464" t="str">
        <f t="shared" si="416"/>
        <v/>
      </c>
    </row>
    <row r="4465" spans="7:15" x14ac:dyDescent="0.25">
      <c r="G4465" t="str">
        <f t="shared" si="414"/>
        <v/>
      </c>
      <c r="H4465" s="13" t="str">
        <f t="shared" si="417"/>
        <v/>
      </c>
      <c r="I4465" t="str">
        <f>IFERROR(INDEX(Analysis!$D$116:$N$137, MATCH(B4465, Analysis!$C$116:$C$137, 0), MATCH(C4465, Analysis!$D$115:$N$115, 0)), "")</f>
        <v/>
      </c>
      <c r="J4465" t="str">
        <f t="shared" si="418"/>
        <v/>
      </c>
      <c r="K4465" s="28" t="str">
        <f t="shared" si="415"/>
        <v/>
      </c>
      <c r="L4465" s="46" t="str">
        <f t="shared" si="419"/>
        <v/>
      </c>
      <c r="M4465" t="str" cm="1">
        <f t="array" ref="M4465">IF(L4465="","",_xlfn.IFS(
  AND(L4465&gt;=TIME(9,0,0), L4465&lt;TIME(16,0,0)),"Morning",
  AND(L4465&gt;=TIME(16,0,0), L4465&lt;TIME(23,59,0)),"Evening",
  L4465&gt;=TIME(23,59,0),"Night",
  L4465&lt;TIME(9,0,0),"Night"
))</f>
        <v/>
      </c>
      <c r="O4465" t="str">
        <f t="shared" si="416"/>
        <v/>
      </c>
    </row>
    <row r="4466" spans="7:15" x14ac:dyDescent="0.25">
      <c r="G4466" t="str">
        <f t="shared" si="414"/>
        <v/>
      </c>
      <c r="H4466" s="13" t="str">
        <f t="shared" si="417"/>
        <v/>
      </c>
      <c r="I4466" t="str">
        <f>IFERROR(INDEX(Analysis!$D$116:$N$137, MATCH(B4466, Analysis!$C$116:$C$137, 0), MATCH(C4466, Analysis!$D$115:$N$115, 0)), "")</f>
        <v/>
      </c>
      <c r="J4466" t="str">
        <f t="shared" si="418"/>
        <v/>
      </c>
      <c r="K4466" s="28" t="str">
        <f t="shared" si="415"/>
        <v/>
      </c>
      <c r="L4466" s="46" t="str">
        <f t="shared" si="419"/>
        <v/>
      </c>
      <c r="M4466" t="str" cm="1">
        <f t="array" ref="M4466">IF(L4466="","",_xlfn.IFS(
  AND(L4466&gt;=TIME(9,0,0), L4466&lt;TIME(16,0,0)),"Morning",
  AND(L4466&gt;=TIME(16,0,0), L4466&lt;TIME(23,59,0)),"Evening",
  L4466&gt;=TIME(23,59,0),"Night",
  L4466&lt;TIME(9,0,0),"Night"
))</f>
        <v/>
      </c>
      <c r="O4466" t="str">
        <f t="shared" si="416"/>
        <v/>
      </c>
    </row>
    <row r="4467" spans="7:15" x14ac:dyDescent="0.25">
      <c r="G4467" t="str">
        <f t="shared" si="414"/>
        <v/>
      </c>
      <c r="H4467" s="13" t="str">
        <f t="shared" si="417"/>
        <v/>
      </c>
      <c r="I4467" t="str">
        <f>IFERROR(INDEX(Analysis!$D$116:$N$137, MATCH(B4467, Analysis!$C$116:$C$137, 0), MATCH(C4467, Analysis!$D$115:$N$115, 0)), "")</f>
        <v/>
      </c>
      <c r="J4467" t="str">
        <f t="shared" si="418"/>
        <v/>
      </c>
      <c r="K4467" s="28" t="str">
        <f t="shared" si="415"/>
        <v/>
      </c>
      <c r="L4467" s="46" t="str">
        <f t="shared" si="419"/>
        <v/>
      </c>
      <c r="M4467" t="str" cm="1">
        <f t="array" ref="M4467">IF(L4467="","",_xlfn.IFS(
  AND(L4467&gt;=TIME(9,0,0), L4467&lt;TIME(16,0,0)),"Morning",
  AND(L4467&gt;=TIME(16,0,0), L4467&lt;TIME(23,59,0)),"Evening",
  L4467&gt;=TIME(23,59,0),"Night",
  L4467&lt;TIME(9,0,0),"Night"
))</f>
        <v/>
      </c>
      <c r="O4467" t="str">
        <f t="shared" si="416"/>
        <v/>
      </c>
    </row>
    <row r="4468" spans="7:15" x14ac:dyDescent="0.25">
      <c r="G4468" t="str">
        <f t="shared" si="414"/>
        <v/>
      </c>
      <c r="H4468" s="13" t="str">
        <f t="shared" si="417"/>
        <v/>
      </c>
      <c r="I4468" t="str">
        <f>IFERROR(INDEX(Analysis!$D$116:$N$137, MATCH(B4468, Analysis!$C$116:$C$137, 0), MATCH(C4468, Analysis!$D$115:$N$115, 0)), "")</f>
        <v/>
      </c>
      <c r="J4468" t="str">
        <f t="shared" si="418"/>
        <v/>
      </c>
      <c r="K4468" s="28" t="str">
        <f t="shared" si="415"/>
        <v/>
      </c>
      <c r="L4468" s="46" t="str">
        <f t="shared" si="419"/>
        <v/>
      </c>
      <c r="M4468" t="str" cm="1">
        <f t="array" ref="M4468">IF(L4468="","",_xlfn.IFS(
  AND(L4468&gt;=TIME(9,0,0), L4468&lt;TIME(16,0,0)),"Morning",
  AND(L4468&gt;=TIME(16,0,0), L4468&lt;TIME(23,59,0)),"Evening",
  L4468&gt;=TIME(23,59,0),"Night",
  L4468&lt;TIME(9,0,0),"Night"
))</f>
        <v/>
      </c>
      <c r="O4468" t="str">
        <f t="shared" si="416"/>
        <v/>
      </c>
    </row>
    <row r="4469" spans="7:15" x14ac:dyDescent="0.25">
      <c r="G4469" t="str">
        <f t="shared" si="414"/>
        <v/>
      </c>
      <c r="H4469" s="13" t="str">
        <f t="shared" si="417"/>
        <v/>
      </c>
      <c r="I4469" t="str">
        <f>IFERROR(INDEX(Analysis!$D$116:$N$137, MATCH(B4469, Analysis!$C$116:$C$137, 0), MATCH(C4469, Analysis!$D$115:$N$115, 0)), "")</f>
        <v/>
      </c>
      <c r="J4469" t="str">
        <f t="shared" si="418"/>
        <v/>
      </c>
      <c r="K4469" s="28" t="str">
        <f t="shared" si="415"/>
        <v/>
      </c>
      <c r="L4469" s="46" t="str">
        <f t="shared" si="419"/>
        <v/>
      </c>
      <c r="M4469" t="str" cm="1">
        <f t="array" ref="M4469">IF(L4469="","",_xlfn.IFS(
  AND(L4469&gt;=TIME(9,0,0), L4469&lt;TIME(16,0,0)),"Morning",
  AND(L4469&gt;=TIME(16,0,0), L4469&lt;TIME(23,59,0)),"Evening",
  L4469&gt;=TIME(23,59,0),"Night",
  L4469&lt;TIME(9,0,0),"Night"
))</f>
        <v/>
      </c>
      <c r="O4469" t="str">
        <f t="shared" si="416"/>
        <v/>
      </c>
    </row>
    <row r="4470" spans="7:15" x14ac:dyDescent="0.25">
      <c r="G4470" t="str">
        <f t="shared" si="414"/>
        <v/>
      </c>
      <c r="H4470" s="13" t="str">
        <f t="shared" si="417"/>
        <v/>
      </c>
      <c r="I4470" t="str">
        <f>IFERROR(INDEX(Analysis!$D$116:$N$137, MATCH(B4470, Analysis!$C$116:$C$137, 0), MATCH(C4470, Analysis!$D$115:$N$115, 0)), "")</f>
        <v/>
      </c>
      <c r="J4470" t="str">
        <f t="shared" si="418"/>
        <v/>
      </c>
      <c r="K4470" s="28" t="str">
        <f t="shared" si="415"/>
        <v/>
      </c>
      <c r="L4470" s="46" t="str">
        <f t="shared" si="419"/>
        <v/>
      </c>
      <c r="M4470" t="str" cm="1">
        <f t="array" ref="M4470">IF(L4470="","",_xlfn.IFS(
  AND(L4470&gt;=TIME(9,0,0), L4470&lt;TIME(16,0,0)),"Morning",
  AND(L4470&gt;=TIME(16,0,0), L4470&lt;TIME(23,59,0)),"Evening",
  L4470&gt;=TIME(23,59,0),"Night",
  L4470&lt;TIME(9,0,0),"Night"
))</f>
        <v/>
      </c>
      <c r="O4470" t="str">
        <f t="shared" si="416"/>
        <v/>
      </c>
    </row>
    <row r="4471" spans="7:15" x14ac:dyDescent="0.25">
      <c r="G4471" t="str">
        <f t="shared" si="414"/>
        <v/>
      </c>
      <c r="H4471" s="13" t="str">
        <f t="shared" si="417"/>
        <v/>
      </c>
      <c r="I4471" t="str">
        <f>IFERROR(INDEX(Analysis!$D$116:$N$137, MATCH(B4471, Analysis!$C$116:$C$137, 0), MATCH(C4471, Analysis!$D$115:$N$115, 0)), "")</f>
        <v/>
      </c>
      <c r="J4471" t="str">
        <f t="shared" si="418"/>
        <v/>
      </c>
      <c r="K4471" s="28" t="str">
        <f t="shared" si="415"/>
        <v/>
      </c>
      <c r="L4471" s="46" t="str">
        <f t="shared" si="419"/>
        <v/>
      </c>
      <c r="M4471" t="str" cm="1">
        <f t="array" ref="M4471">IF(L4471="","",_xlfn.IFS(
  AND(L4471&gt;=TIME(9,0,0), L4471&lt;TIME(16,0,0)),"Morning",
  AND(L4471&gt;=TIME(16,0,0), L4471&lt;TIME(23,59,0)),"Evening",
  L4471&gt;=TIME(23,59,0),"Night",
  L4471&lt;TIME(9,0,0),"Night"
))</f>
        <v/>
      </c>
      <c r="O4471" t="str">
        <f t="shared" si="416"/>
        <v/>
      </c>
    </row>
    <row r="4472" spans="7:15" x14ac:dyDescent="0.25">
      <c r="G4472" t="str">
        <f t="shared" si="414"/>
        <v/>
      </c>
      <c r="H4472" s="13" t="str">
        <f t="shared" si="417"/>
        <v/>
      </c>
      <c r="I4472" t="str">
        <f>IFERROR(INDEX(Analysis!$D$116:$N$137, MATCH(B4472, Analysis!$C$116:$C$137, 0), MATCH(C4472, Analysis!$D$115:$N$115, 0)), "")</f>
        <v/>
      </c>
      <c r="J4472" t="str">
        <f t="shared" si="418"/>
        <v/>
      </c>
      <c r="K4472" s="28" t="str">
        <f t="shared" si="415"/>
        <v/>
      </c>
      <c r="L4472" s="46" t="str">
        <f t="shared" si="419"/>
        <v/>
      </c>
      <c r="M4472" t="str" cm="1">
        <f t="array" ref="M4472">IF(L4472="","",_xlfn.IFS(
  AND(L4472&gt;=TIME(9,0,0), L4472&lt;TIME(16,0,0)),"Morning",
  AND(L4472&gt;=TIME(16,0,0), L4472&lt;TIME(23,59,0)),"Evening",
  L4472&gt;=TIME(23,59,0),"Night",
  L4472&lt;TIME(9,0,0),"Night"
))</f>
        <v/>
      </c>
      <c r="O4472" t="str">
        <f t="shared" si="416"/>
        <v/>
      </c>
    </row>
    <row r="4473" spans="7:15" x14ac:dyDescent="0.25">
      <c r="G4473" t="str">
        <f t="shared" si="414"/>
        <v/>
      </c>
      <c r="H4473" s="13" t="str">
        <f t="shared" si="417"/>
        <v/>
      </c>
      <c r="I4473" t="str">
        <f>IFERROR(INDEX(Analysis!$D$116:$N$137, MATCH(B4473, Analysis!$C$116:$C$137, 0), MATCH(C4473, Analysis!$D$115:$N$115, 0)), "")</f>
        <v/>
      </c>
      <c r="J4473" t="str">
        <f t="shared" si="418"/>
        <v/>
      </c>
      <c r="K4473" s="28" t="str">
        <f t="shared" si="415"/>
        <v/>
      </c>
      <c r="L4473" s="46" t="str">
        <f t="shared" si="419"/>
        <v/>
      </c>
      <c r="M4473" t="str" cm="1">
        <f t="array" ref="M4473">IF(L4473="","",_xlfn.IFS(
  AND(L4473&gt;=TIME(9,0,0), L4473&lt;TIME(16,0,0)),"Morning",
  AND(L4473&gt;=TIME(16,0,0), L4473&lt;TIME(23,59,0)),"Evening",
  L4473&gt;=TIME(23,59,0),"Night",
  L4473&lt;TIME(9,0,0),"Night"
))</f>
        <v/>
      </c>
      <c r="O4473" t="str">
        <f t="shared" si="416"/>
        <v/>
      </c>
    </row>
    <row r="4474" spans="7:15" x14ac:dyDescent="0.25">
      <c r="G4474" t="str">
        <f t="shared" si="414"/>
        <v/>
      </c>
      <c r="H4474" s="13" t="str">
        <f t="shared" si="417"/>
        <v/>
      </c>
      <c r="I4474" t="str">
        <f>IFERROR(INDEX(Analysis!$D$116:$N$137, MATCH(B4474, Analysis!$C$116:$C$137, 0), MATCH(C4474, Analysis!$D$115:$N$115, 0)), "")</f>
        <v/>
      </c>
      <c r="J4474" t="str">
        <f t="shared" si="418"/>
        <v/>
      </c>
      <c r="K4474" s="28" t="str">
        <f t="shared" si="415"/>
        <v/>
      </c>
      <c r="L4474" s="46" t="str">
        <f t="shared" si="419"/>
        <v/>
      </c>
      <c r="M4474" t="str" cm="1">
        <f t="array" ref="M4474">IF(L4474="","",_xlfn.IFS(
  AND(L4474&gt;=TIME(9,0,0), L4474&lt;TIME(16,0,0)),"Morning",
  AND(L4474&gt;=TIME(16,0,0), L4474&lt;TIME(23,59,0)),"Evening",
  L4474&gt;=TIME(23,59,0),"Night",
  L4474&lt;TIME(9,0,0),"Night"
))</f>
        <v/>
      </c>
      <c r="O4474" t="str">
        <f t="shared" si="416"/>
        <v/>
      </c>
    </row>
    <row r="4475" spans="7:15" x14ac:dyDescent="0.25">
      <c r="G4475" t="str">
        <f t="shared" si="414"/>
        <v/>
      </c>
      <c r="H4475" s="13" t="str">
        <f t="shared" si="417"/>
        <v/>
      </c>
      <c r="I4475" t="str">
        <f>IFERROR(INDEX(Analysis!$D$116:$N$137, MATCH(B4475, Analysis!$C$116:$C$137, 0), MATCH(C4475, Analysis!$D$115:$N$115, 0)), "")</f>
        <v/>
      </c>
      <c r="J4475" t="str">
        <f t="shared" si="418"/>
        <v/>
      </c>
      <c r="K4475" s="28" t="str">
        <f t="shared" si="415"/>
        <v/>
      </c>
      <c r="L4475" s="46" t="str">
        <f t="shared" si="419"/>
        <v/>
      </c>
      <c r="M4475" t="str" cm="1">
        <f t="array" ref="M4475">IF(L4475="","",_xlfn.IFS(
  AND(L4475&gt;=TIME(9,0,0), L4475&lt;TIME(16,0,0)),"Morning",
  AND(L4475&gt;=TIME(16,0,0), L4475&lt;TIME(23,59,0)),"Evening",
  L4475&gt;=TIME(23,59,0),"Night",
  L4475&lt;TIME(9,0,0),"Night"
))</f>
        <v/>
      </c>
      <c r="O4475" t="str">
        <f t="shared" si="416"/>
        <v/>
      </c>
    </row>
    <row r="4476" spans="7:15" x14ac:dyDescent="0.25">
      <c r="G4476" t="str">
        <f t="shared" si="414"/>
        <v/>
      </c>
      <c r="H4476" s="13" t="str">
        <f t="shared" si="417"/>
        <v/>
      </c>
      <c r="I4476" t="str">
        <f>IFERROR(INDEX(Analysis!$D$116:$N$137, MATCH(B4476, Analysis!$C$116:$C$137, 0), MATCH(C4476, Analysis!$D$115:$N$115, 0)), "")</f>
        <v/>
      </c>
      <c r="J4476" t="str">
        <f t="shared" si="418"/>
        <v/>
      </c>
      <c r="K4476" s="28" t="str">
        <f t="shared" si="415"/>
        <v/>
      </c>
      <c r="L4476" s="46" t="str">
        <f t="shared" si="419"/>
        <v/>
      </c>
      <c r="M4476" t="str" cm="1">
        <f t="array" ref="M4476">IF(L4476="","",_xlfn.IFS(
  AND(L4476&gt;=TIME(9,0,0), L4476&lt;TIME(16,0,0)),"Morning",
  AND(L4476&gt;=TIME(16,0,0), L4476&lt;TIME(23,59,0)),"Evening",
  L4476&gt;=TIME(23,59,0),"Night",
  L4476&lt;TIME(9,0,0),"Night"
))</f>
        <v/>
      </c>
      <c r="O4476" t="str">
        <f t="shared" si="416"/>
        <v/>
      </c>
    </row>
    <row r="4477" spans="7:15" x14ac:dyDescent="0.25">
      <c r="G4477" t="str">
        <f t="shared" si="414"/>
        <v/>
      </c>
      <c r="H4477" s="13" t="str">
        <f t="shared" si="417"/>
        <v/>
      </c>
      <c r="I4477" t="str">
        <f>IFERROR(INDEX(Analysis!$D$116:$N$137, MATCH(B4477, Analysis!$C$116:$C$137, 0), MATCH(C4477, Analysis!$D$115:$N$115, 0)), "")</f>
        <v/>
      </c>
      <c r="J4477" t="str">
        <f t="shared" si="418"/>
        <v/>
      </c>
      <c r="K4477" s="28" t="str">
        <f t="shared" si="415"/>
        <v/>
      </c>
      <c r="L4477" s="46" t="str">
        <f t="shared" si="419"/>
        <v/>
      </c>
      <c r="M4477" t="str" cm="1">
        <f t="array" ref="M4477">IF(L4477="","",_xlfn.IFS(
  AND(L4477&gt;=TIME(9,0,0), L4477&lt;TIME(16,0,0)),"Morning",
  AND(L4477&gt;=TIME(16,0,0), L4477&lt;TIME(23,59,0)),"Evening",
  L4477&gt;=TIME(23,59,0),"Night",
  L4477&lt;TIME(9,0,0),"Night"
))</f>
        <v/>
      </c>
      <c r="O4477" t="str">
        <f t="shared" si="416"/>
        <v/>
      </c>
    </row>
    <row r="4478" spans="7:15" x14ac:dyDescent="0.25">
      <c r="G4478" t="str">
        <f t="shared" si="414"/>
        <v/>
      </c>
      <c r="H4478" s="13" t="str">
        <f t="shared" si="417"/>
        <v/>
      </c>
      <c r="I4478" t="str">
        <f>IFERROR(INDEX(Analysis!$D$116:$N$137, MATCH(B4478, Analysis!$C$116:$C$137, 0), MATCH(C4478, Analysis!$D$115:$N$115, 0)), "")</f>
        <v/>
      </c>
      <c r="J4478" t="str">
        <f t="shared" si="418"/>
        <v/>
      </c>
      <c r="K4478" s="28" t="str">
        <f t="shared" si="415"/>
        <v/>
      </c>
      <c r="L4478" s="46" t="str">
        <f t="shared" si="419"/>
        <v/>
      </c>
      <c r="M4478" t="str" cm="1">
        <f t="array" ref="M4478">IF(L4478="","",_xlfn.IFS(
  AND(L4478&gt;=TIME(9,0,0), L4478&lt;TIME(16,0,0)),"Morning",
  AND(L4478&gt;=TIME(16,0,0), L4478&lt;TIME(23,59,0)),"Evening",
  L4478&gt;=TIME(23,59,0),"Night",
  L4478&lt;TIME(9,0,0),"Night"
))</f>
        <v/>
      </c>
      <c r="O4478" t="str">
        <f t="shared" si="416"/>
        <v/>
      </c>
    </row>
    <row r="4479" spans="7:15" x14ac:dyDescent="0.25">
      <c r="G4479" t="str">
        <f t="shared" si="414"/>
        <v/>
      </c>
      <c r="H4479" s="13" t="str">
        <f t="shared" si="417"/>
        <v/>
      </c>
      <c r="I4479" t="str">
        <f>IFERROR(INDEX(Analysis!$D$116:$N$137, MATCH(B4479, Analysis!$C$116:$C$137, 0), MATCH(C4479, Analysis!$D$115:$N$115, 0)), "")</f>
        <v/>
      </c>
      <c r="J4479" t="str">
        <f t="shared" si="418"/>
        <v/>
      </c>
      <c r="K4479" s="28" t="str">
        <f t="shared" si="415"/>
        <v/>
      </c>
      <c r="L4479" s="46" t="str">
        <f t="shared" si="419"/>
        <v/>
      </c>
      <c r="M4479" t="str" cm="1">
        <f t="array" ref="M4479">IF(L4479="","",_xlfn.IFS(
  AND(L4479&gt;=TIME(9,0,0), L4479&lt;TIME(16,0,0)),"Morning",
  AND(L4479&gt;=TIME(16,0,0), L4479&lt;TIME(23,59,0)),"Evening",
  L4479&gt;=TIME(23,59,0),"Night",
  L4479&lt;TIME(9,0,0),"Night"
))</f>
        <v/>
      </c>
      <c r="O4479" t="str">
        <f t="shared" si="416"/>
        <v/>
      </c>
    </row>
    <row r="4480" spans="7:15" x14ac:dyDescent="0.25">
      <c r="G4480" t="str">
        <f t="shared" si="414"/>
        <v/>
      </c>
      <c r="H4480" s="13" t="str">
        <f t="shared" si="417"/>
        <v/>
      </c>
      <c r="I4480" t="str">
        <f>IFERROR(INDEX(Analysis!$D$116:$N$137, MATCH(B4480, Analysis!$C$116:$C$137, 0), MATCH(C4480, Analysis!$D$115:$N$115, 0)), "")</f>
        <v/>
      </c>
      <c r="J4480" t="str">
        <f t="shared" si="418"/>
        <v/>
      </c>
      <c r="K4480" s="28" t="str">
        <f t="shared" si="415"/>
        <v/>
      </c>
      <c r="L4480" s="46" t="str">
        <f t="shared" si="419"/>
        <v/>
      </c>
      <c r="M4480" t="str" cm="1">
        <f t="array" ref="M4480">IF(L4480="","",_xlfn.IFS(
  AND(L4480&gt;=TIME(9,0,0), L4480&lt;TIME(16,0,0)),"Morning",
  AND(L4480&gt;=TIME(16,0,0), L4480&lt;TIME(23,59,0)),"Evening",
  L4480&gt;=TIME(23,59,0),"Night",
  L4480&lt;TIME(9,0,0),"Night"
))</f>
        <v/>
      </c>
      <c r="O4480" t="str">
        <f t="shared" si="416"/>
        <v/>
      </c>
    </row>
    <row r="4481" spans="7:15" x14ac:dyDescent="0.25">
      <c r="G4481" t="str">
        <f t="shared" si="414"/>
        <v/>
      </c>
      <c r="H4481" s="13" t="str">
        <f t="shared" si="417"/>
        <v/>
      </c>
      <c r="I4481" t="str">
        <f>IFERROR(INDEX(Analysis!$D$116:$N$137, MATCH(B4481, Analysis!$C$116:$C$137, 0), MATCH(C4481, Analysis!$D$115:$N$115, 0)), "")</f>
        <v/>
      </c>
      <c r="J4481" t="str">
        <f t="shared" si="418"/>
        <v/>
      </c>
      <c r="K4481" s="28" t="str">
        <f t="shared" si="415"/>
        <v/>
      </c>
      <c r="L4481" s="46" t="str">
        <f t="shared" si="419"/>
        <v/>
      </c>
      <c r="M4481" t="str" cm="1">
        <f t="array" ref="M4481">IF(L4481="","",_xlfn.IFS(
  AND(L4481&gt;=TIME(9,0,0), L4481&lt;TIME(16,0,0)),"Morning",
  AND(L4481&gt;=TIME(16,0,0), L4481&lt;TIME(23,59,0)),"Evening",
  L4481&gt;=TIME(23,59,0),"Night",
  L4481&lt;TIME(9,0,0),"Night"
))</f>
        <v/>
      </c>
      <c r="O4481" t="str">
        <f t="shared" si="416"/>
        <v/>
      </c>
    </row>
    <row r="4482" spans="7:15" x14ac:dyDescent="0.25">
      <c r="G4482" t="str">
        <f t="shared" ref="G4482:G4545" si="420">IF(ISBLANK(A4482), "", IF(ISBLANK(F4482), 0, F4482))</f>
        <v/>
      </c>
      <c r="H4482" s="13" t="str">
        <f t="shared" si="417"/>
        <v/>
      </c>
      <c r="I4482" t="str">
        <f>IFERROR(INDEX(Analysis!$D$116:$N$137, MATCH(B4482, Analysis!$C$116:$C$137, 0), MATCH(C4482, Analysis!$D$115:$N$115, 0)), "")</f>
        <v/>
      </c>
      <c r="J4482" t="str">
        <f t="shared" si="418"/>
        <v/>
      </c>
      <c r="K4482" s="28" t="str">
        <f t="shared" ref="K4482:K4545" si="421">IF(ISBLANK(A4482),"",DATE(YEAR(A4482),MONTH(A4482),DAY(A4482)))</f>
        <v/>
      </c>
      <c r="L4482" s="46" t="str">
        <f t="shared" si="419"/>
        <v/>
      </c>
      <c r="M4482" t="str" cm="1">
        <f t="array" ref="M4482">IF(L4482="","",_xlfn.IFS(
  AND(L4482&gt;=TIME(9,0,0), L4482&lt;TIME(16,0,0)),"Morning",
  AND(L4482&gt;=TIME(16,0,0), L4482&lt;TIME(23,59,0)),"Evening",
  L4482&gt;=TIME(23,59,0),"Night",
  L4482&lt;TIME(9,0,0),"Night"
))</f>
        <v/>
      </c>
      <c r="O4482" t="str">
        <f t="shared" ref="O4482:O4545" si="422">IF(N4482="ON", _xlfn.IMAGE(E4482, 1), "")</f>
        <v/>
      </c>
    </row>
    <row r="4483" spans="7:15" x14ac:dyDescent="0.25">
      <c r="G4483" t="str">
        <f t="shared" si="420"/>
        <v/>
      </c>
      <c r="H4483" s="13" t="str">
        <f t="shared" ref="H4483:H4546" si="423">IF(ISBLANK(E4483),"",HYPERLINK(E4483,"Click here"))</f>
        <v/>
      </c>
      <c r="I4483" t="str">
        <f>IFERROR(INDEX(Analysis!$D$116:$N$137, MATCH(B4483, Analysis!$C$116:$C$137, 0), MATCH(C4483, Analysis!$D$115:$N$115, 0)), "")</f>
        <v/>
      </c>
      <c r="J4483" t="str">
        <f t="shared" ref="J4483:J4546" si="424">IF(ISBLANK(A4483),"",WEEKNUM(A4483))</f>
        <v/>
      </c>
      <c r="K4483" s="28" t="str">
        <f t="shared" si="421"/>
        <v/>
      </c>
      <c r="L4483" s="46" t="str">
        <f t="shared" ref="L4483:L4546" si="425">IF(A4483="", "", A4483 - INT(A4483))</f>
        <v/>
      </c>
      <c r="M4483" t="str" cm="1">
        <f t="array" ref="M4483">IF(L4483="","",_xlfn.IFS(
  AND(L4483&gt;=TIME(9,0,0), L4483&lt;TIME(16,0,0)),"Morning",
  AND(L4483&gt;=TIME(16,0,0), L4483&lt;TIME(23,59,0)),"Evening",
  L4483&gt;=TIME(23,59,0),"Night",
  L4483&lt;TIME(9,0,0),"Night"
))</f>
        <v/>
      </c>
      <c r="O4483" t="str">
        <f t="shared" si="422"/>
        <v/>
      </c>
    </row>
    <row r="4484" spans="7:15" x14ac:dyDescent="0.25">
      <c r="G4484" t="str">
        <f t="shared" si="420"/>
        <v/>
      </c>
      <c r="H4484" s="13" t="str">
        <f t="shared" si="423"/>
        <v/>
      </c>
      <c r="I4484" t="str">
        <f>IFERROR(INDEX(Analysis!$D$116:$N$137, MATCH(B4484, Analysis!$C$116:$C$137, 0), MATCH(C4484, Analysis!$D$115:$N$115, 0)), "")</f>
        <v/>
      </c>
      <c r="J4484" t="str">
        <f t="shared" si="424"/>
        <v/>
      </c>
      <c r="K4484" s="28" t="str">
        <f t="shared" si="421"/>
        <v/>
      </c>
      <c r="L4484" s="46" t="str">
        <f t="shared" si="425"/>
        <v/>
      </c>
      <c r="M4484" t="str" cm="1">
        <f t="array" ref="M4484">IF(L4484="","",_xlfn.IFS(
  AND(L4484&gt;=TIME(9,0,0), L4484&lt;TIME(16,0,0)),"Morning",
  AND(L4484&gt;=TIME(16,0,0), L4484&lt;TIME(23,59,0)),"Evening",
  L4484&gt;=TIME(23,59,0),"Night",
  L4484&lt;TIME(9,0,0),"Night"
))</f>
        <v/>
      </c>
      <c r="O4484" t="str">
        <f t="shared" si="422"/>
        <v/>
      </c>
    </row>
    <row r="4485" spans="7:15" x14ac:dyDescent="0.25">
      <c r="G4485" t="str">
        <f t="shared" si="420"/>
        <v/>
      </c>
      <c r="H4485" s="13" t="str">
        <f t="shared" si="423"/>
        <v/>
      </c>
      <c r="I4485" t="str">
        <f>IFERROR(INDEX(Analysis!$D$116:$N$137, MATCH(B4485, Analysis!$C$116:$C$137, 0), MATCH(C4485, Analysis!$D$115:$N$115, 0)), "")</f>
        <v/>
      </c>
      <c r="J4485" t="str">
        <f t="shared" si="424"/>
        <v/>
      </c>
      <c r="K4485" s="28" t="str">
        <f t="shared" si="421"/>
        <v/>
      </c>
      <c r="L4485" s="46" t="str">
        <f t="shared" si="425"/>
        <v/>
      </c>
      <c r="M4485" t="str" cm="1">
        <f t="array" ref="M4485">IF(L4485="","",_xlfn.IFS(
  AND(L4485&gt;=TIME(9,0,0), L4485&lt;TIME(16,0,0)),"Morning",
  AND(L4485&gt;=TIME(16,0,0), L4485&lt;TIME(23,59,0)),"Evening",
  L4485&gt;=TIME(23,59,0),"Night",
  L4485&lt;TIME(9,0,0),"Night"
))</f>
        <v/>
      </c>
      <c r="O4485" t="str">
        <f t="shared" si="422"/>
        <v/>
      </c>
    </row>
    <row r="4486" spans="7:15" x14ac:dyDescent="0.25">
      <c r="G4486" t="str">
        <f t="shared" si="420"/>
        <v/>
      </c>
      <c r="H4486" s="13" t="str">
        <f t="shared" si="423"/>
        <v/>
      </c>
      <c r="I4486" t="str">
        <f>IFERROR(INDEX(Analysis!$D$116:$N$137, MATCH(B4486, Analysis!$C$116:$C$137, 0), MATCH(C4486, Analysis!$D$115:$N$115, 0)), "")</f>
        <v/>
      </c>
      <c r="J4486" t="str">
        <f t="shared" si="424"/>
        <v/>
      </c>
      <c r="K4486" s="28" t="str">
        <f t="shared" si="421"/>
        <v/>
      </c>
      <c r="L4486" s="46" t="str">
        <f t="shared" si="425"/>
        <v/>
      </c>
      <c r="M4486" t="str" cm="1">
        <f t="array" ref="M4486">IF(L4486="","",_xlfn.IFS(
  AND(L4486&gt;=TIME(9,0,0), L4486&lt;TIME(16,0,0)),"Morning",
  AND(L4486&gt;=TIME(16,0,0), L4486&lt;TIME(23,59,0)),"Evening",
  L4486&gt;=TIME(23,59,0),"Night",
  L4486&lt;TIME(9,0,0),"Night"
))</f>
        <v/>
      </c>
      <c r="O4486" t="str">
        <f t="shared" si="422"/>
        <v/>
      </c>
    </row>
    <row r="4487" spans="7:15" x14ac:dyDescent="0.25">
      <c r="G4487" t="str">
        <f t="shared" si="420"/>
        <v/>
      </c>
      <c r="H4487" s="13" t="str">
        <f t="shared" si="423"/>
        <v/>
      </c>
      <c r="I4487" t="str">
        <f>IFERROR(INDEX(Analysis!$D$116:$N$137, MATCH(B4487, Analysis!$C$116:$C$137, 0), MATCH(C4487, Analysis!$D$115:$N$115, 0)), "")</f>
        <v/>
      </c>
      <c r="J4487" t="str">
        <f t="shared" si="424"/>
        <v/>
      </c>
      <c r="K4487" s="28" t="str">
        <f t="shared" si="421"/>
        <v/>
      </c>
      <c r="L4487" s="46" t="str">
        <f t="shared" si="425"/>
        <v/>
      </c>
      <c r="M4487" t="str" cm="1">
        <f t="array" ref="M4487">IF(L4487="","",_xlfn.IFS(
  AND(L4487&gt;=TIME(9,0,0), L4487&lt;TIME(16,0,0)),"Morning",
  AND(L4487&gt;=TIME(16,0,0), L4487&lt;TIME(23,59,0)),"Evening",
  L4487&gt;=TIME(23,59,0),"Night",
  L4487&lt;TIME(9,0,0),"Night"
))</f>
        <v/>
      </c>
      <c r="O4487" t="str">
        <f t="shared" si="422"/>
        <v/>
      </c>
    </row>
    <row r="4488" spans="7:15" x14ac:dyDescent="0.25">
      <c r="G4488" t="str">
        <f t="shared" si="420"/>
        <v/>
      </c>
      <c r="H4488" s="13" t="str">
        <f t="shared" si="423"/>
        <v/>
      </c>
      <c r="I4488" t="str">
        <f>IFERROR(INDEX(Analysis!$D$116:$N$137, MATCH(B4488, Analysis!$C$116:$C$137, 0), MATCH(C4488, Analysis!$D$115:$N$115, 0)), "")</f>
        <v/>
      </c>
      <c r="J4488" t="str">
        <f t="shared" si="424"/>
        <v/>
      </c>
      <c r="K4488" s="28" t="str">
        <f t="shared" si="421"/>
        <v/>
      </c>
      <c r="L4488" s="46" t="str">
        <f t="shared" si="425"/>
        <v/>
      </c>
      <c r="M4488" t="str" cm="1">
        <f t="array" ref="M4488">IF(L4488="","",_xlfn.IFS(
  AND(L4488&gt;=TIME(9,0,0), L4488&lt;TIME(16,0,0)),"Morning",
  AND(L4488&gt;=TIME(16,0,0), L4488&lt;TIME(23,59,0)),"Evening",
  L4488&gt;=TIME(23,59,0),"Night",
  L4488&lt;TIME(9,0,0),"Night"
))</f>
        <v/>
      </c>
      <c r="O4488" t="str">
        <f t="shared" si="422"/>
        <v/>
      </c>
    </row>
    <row r="4489" spans="7:15" x14ac:dyDescent="0.25">
      <c r="G4489" t="str">
        <f t="shared" si="420"/>
        <v/>
      </c>
      <c r="H4489" s="13" t="str">
        <f t="shared" si="423"/>
        <v/>
      </c>
      <c r="I4489" t="str">
        <f>IFERROR(INDEX(Analysis!$D$116:$N$137, MATCH(B4489, Analysis!$C$116:$C$137, 0), MATCH(C4489, Analysis!$D$115:$N$115, 0)), "")</f>
        <v/>
      </c>
      <c r="J4489" t="str">
        <f t="shared" si="424"/>
        <v/>
      </c>
      <c r="K4489" s="28" t="str">
        <f t="shared" si="421"/>
        <v/>
      </c>
      <c r="L4489" s="46" t="str">
        <f t="shared" si="425"/>
        <v/>
      </c>
      <c r="M4489" t="str" cm="1">
        <f t="array" ref="M4489">IF(L4489="","",_xlfn.IFS(
  AND(L4489&gt;=TIME(9,0,0), L4489&lt;TIME(16,0,0)),"Morning",
  AND(L4489&gt;=TIME(16,0,0), L4489&lt;TIME(23,59,0)),"Evening",
  L4489&gt;=TIME(23,59,0),"Night",
  L4489&lt;TIME(9,0,0),"Night"
))</f>
        <v/>
      </c>
      <c r="O4489" t="str">
        <f t="shared" si="422"/>
        <v/>
      </c>
    </row>
    <row r="4490" spans="7:15" x14ac:dyDescent="0.25">
      <c r="G4490" t="str">
        <f t="shared" si="420"/>
        <v/>
      </c>
      <c r="H4490" s="13" t="str">
        <f t="shared" si="423"/>
        <v/>
      </c>
      <c r="I4490" t="str">
        <f>IFERROR(INDEX(Analysis!$D$116:$N$137, MATCH(B4490, Analysis!$C$116:$C$137, 0), MATCH(C4490, Analysis!$D$115:$N$115, 0)), "")</f>
        <v/>
      </c>
      <c r="J4490" t="str">
        <f t="shared" si="424"/>
        <v/>
      </c>
      <c r="K4490" s="28" t="str">
        <f t="shared" si="421"/>
        <v/>
      </c>
      <c r="L4490" s="46" t="str">
        <f t="shared" si="425"/>
        <v/>
      </c>
      <c r="M4490" t="str" cm="1">
        <f t="array" ref="M4490">IF(L4490="","",_xlfn.IFS(
  AND(L4490&gt;=TIME(9,0,0), L4490&lt;TIME(16,0,0)),"Morning",
  AND(L4490&gt;=TIME(16,0,0), L4490&lt;TIME(23,59,0)),"Evening",
  L4490&gt;=TIME(23,59,0),"Night",
  L4490&lt;TIME(9,0,0),"Night"
))</f>
        <v/>
      </c>
      <c r="O4490" t="str">
        <f t="shared" si="422"/>
        <v/>
      </c>
    </row>
    <row r="4491" spans="7:15" x14ac:dyDescent="0.25">
      <c r="G4491" t="str">
        <f t="shared" si="420"/>
        <v/>
      </c>
      <c r="H4491" s="13" t="str">
        <f t="shared" si="423"/>
        <v/>
      </c>
      <c r="I4491" t="str">
        <f>IFERROR(INDEX(Analysis!$D$116:$N$137, MATCH(B4491, Analysis!$C$116:$C$137, 0), MATCH(C4491, Analysis!$D$115:$N$115, 0)), "")</f>
        <v/>
      </c>
      <c r="J4491" t="str">
        <f t="shared" si="424"/>
        <v/>
      </c>
      <c r="K4491" s="28" t="str">
        <f t="shared" si="421"/>
        <v/>
      </c>
      <c r="L4491" s="46" t="str">
        <f t="shared" si="425"/>
        <v/>
      </c>
      <c r="M4491" t="str" cm="1">
        <f t="array" ref="M4491">IF(L4491="","",_xlfn.IFS(
  AND(L4491&gt;=TIME(9,0,0), L4491&lt;TIME(16,0,0)),"Morning",
  AND(L4491&gt;=TIME(16,0,0), L4491&lt;TIME(23,59,0)),"Evening",
  L4491&gt;=TIME(23,59,0),"Night",
  L4491&lt;TIME(9,0,0),"Night"
))</f>
        <v/>
      </c>
      <c r="O4491" t="str">
        <f t="shared" si="422"/>
        <v/>
      </c>
    </row>
    <row r="4492" spans="7:15" x14ac:dyDescent="0.25">
      <c r="G4492" t="str">
        <f t="shared" si="420"/>
        <v/>
      </c>
      <c r="H4492" s="13" t="str">
        <f t="shared" si="423"/>
        <v/>
      </c>
      <c r="I4492" t="str">
        <f>IFERROR(INDEX(Analysis!$D$116:$N$137, MATCH(B4492, Analysis!$C$116:$C$137, 0), MATCH(C4492, Analysis!$D$115:$N$115, 0)), "")</f>
        <v/>
      </c>
      <c r="J4492" t="str">
        <f t="shared" si="424"/>
        <v/>
      </c>
      <c r="K4492" s="28" t="str">
        <f t="shared" si="421"/>
        <v/>
      </c>
      <c r="L4492" s="46" t="str">
        <f t="shared" si="425"/>
        <v/>
      </c>
      <c r="M4492" t="str" cm="1">
        <f t="array" ref="M4492">IF(L4492="","",_xlfn.IFS(
  AND(L4492&gt;=TIME(9,0,0), L4492&lt;TIME(16,0,0)),"Morning",
  AND(L4492&gt;=TIME(16,0,0), L4492&lt;TIME(23,59,0)),"Evening",
  L4492&gt;=TIME(23,59,0),"Night",
  L4492&lt;TIME(9,0,0),"Night"
))</f>
        <v/>
      </c>
      <c r="O4492" t="str">
        <f t="shared" si="422"/>
        <v/>
      </c>
    </row>
    <row r="4493" spans="7:15" x14ac:dyDescent="0.25">
      <c r="G4493" t="str">
        <f t="shared" si="420"/>
        <v/>
      </c>
      <c r="H4493" s="13" t="str">
        <f t="shared" si="423"/>
        <v/>
      </c>
      <c r="I4493" t="str">
        <f>IFERROR(INDEX(Analysis!$D$116:$N$137, MATCH(B4493, Analysis!$C$116:$C$137, 0), MATCH(C4493, Analysis!$D$115:$N$115, 0)), "")</f>
        <v/>
      </c>
      <c r="J4493" t="str">
        <f t="shared" si="424"/>
        <v/>
      </c>
      <c r="K4493" s="28" t="str">
        <f t="shared" si="421"/>
        <v/>
      </c>
      <c r="L4493" s="46" t="str">
        <f t="shared" si="425"/>
        <v/>
      </c>
      <c r="M4493" t="str" cm="1">
        <f t="array" ref="M4493">IF(L4493="","",_xlfn.IFS(
  AND(L4493&gt;=TIME(9,0,0), L4493&lt;TIME(16,0,0)),"Morning",
  AND(L4493&gt;=TIME(16,0,0), L4493&lt;TIME(23,59,0)),"Evening",
  L4493&gt;=TIME(23,59,0),"Night",
  L4493&lt;TIME(9,0,0),"Night"
))</f>
        <v/>
      </c>
      <c r="O4493" t="str">
        <f t="shared" si="422"/>
        <v/>
      </c>
    </row>
    <row r="4494" spans="7:15" x14ac:dyDescent="0.25">
      <c r="G4494" t="str">
        <f t="shared" si="420"/>
        <v/>
      </c>
      <c r="H4494" s="13" t="str">
        <f t="shared" si="423"/>
        <v/>
      </c>
      <c r="I4494" t="str">
        <f>IFERROR(INDEX(Analysis!$D$116:$N$137, MATCH(B4494, Analysis!$C$116:$C$137, 0), MATCH(C4494, Analysis!$D$115:$N$115, 0)), "")</f>
        <v/>
      </c>
      <c r="J4494" t="str">
        <f t="shared" si="424"/>
        <v/>
      </c>
      <c r="K4494" s="28" t="str">
        <f t="shared" si="421"/>
        <v/>
      </c>
      <c r="L4494" s="46" t="str">
        <f t="shared" si="425"/>
        <v/>
      </c>
      <c r="M4494" t="str" cm="1">
        <f t="array" ref="M4494">IF(L4494="","",_xlfn.IFS(
  AND(L4494&gt;=TIME(9,0,0), L4494&lt;TIME(16,0,0)),"Morning",
  AND(L4494&gt;=TIME(16,0,0), L4494&lt;TIME(23,59,0)),"Evening",
  L4494&gt;=TIME(23,59,0),"Night",
  L4494&lt;TIME(9,0,0),"Night"
))</f>
        <v/>
      </c>
      <c r="O4494" t="str">
        <f t="shared" si="422"/>
        <v/>
      </c>
    </row>
    <row r="4495" spans="7:15" x14ac:dyDescent="0.25">
      <c r="G4495" t="str">
        <f t="shared" si="420"/>
        <v/>
      </c>
      <c r="H4495" s="13" t="str">
        <f t="shared" si="423"/>
        <v/>
      </c>
      <c r="I4495" t="str">
        <f>IFERROR(INDEX(Analysis!$D$116:$N$137, MATCH(B4495, Analysis!$C$116:$C$137, 0), MATCH(C4495, Analysis!$D$115:$N$115, 0)), "")</f>
        <v/>
      </c>
      <c r="J4495" t="str">
        <f t="shared" si="424"/>
        <v/>
      </c>
      <c r="K4495" s="28" t="str">
        <f t="shared" si="421"/>
        <v/>
      </c>
      <c r="L4495" s="46" t="str">
        <f t="shared" si="425"/>
        <v/>
      </c>
      <c r="M4495" t="str" cm="1">
        <f t="array" ref="M4495">IF(L4495="","",_xlfn.IFS(
  AND(L4495&gt;=TIME(9,0,0), L4495&lt;TIME(16,0,0)),"Morning",
  AND(L4495&gt;=TIME(16,0,0), L4495&lt;TIME(23,59,0)),"Evening",
  L4495&gt;=TIME(23,59,0),"Night",
  L4495&lt;TIME(9,0,0),"Night"
))</f>
        <v/>
      </c>
      <c r="O4495" t="str">
        <f t="shared" si="422"/>
        <v/>
      </c>
    </row>
    <row r="4496" spans="7:15" x14ac:dyDescent="0.25">
      <c r="G4496" t="str">
        <f t="shared" si="420"/>
        <v/>
      </c>
      <c r="H4496" s="13" t="str">
        <f t="shared" si="423"/>
        <v/>
      </c>
      <c r="I4496" t="str">
        <f>IFERROR(INDEX(Analysis!$D$116:$N$137, MATCH(B4496, Analysis!$C$116:$C$137, 0), MATCH(C4496, Analysis!$D$115:$N$115, 0)), "")</f>
        <v/>
      </c>
      <c r="J4496" t="str">
        <f t="shared" si="424"/>
        <v/>
      </c>
      <c r="K4496" s="28" t="str">
        <f t="shared" si="421"/>
        <v/>
      </c>
      <c r="L4496" s="46" t="str">
        <f t="shared" si="425"/>
        <v/>
      </c>
      <c r="M4496" t="str" cm="1">
        <f t="array" ref="M4496">IF(L4496="","",_xlfn.IFS(
  AND(L4496&gt;=TIME(9,0,0), L4496&lt;TIME(16,0,0)),"Morning",
  AND(L4496&gt;=TIME(16,0,0), L4496&lt;TIME(23,59,0)),"Evening",
  L4496&gt;=TIME(23,59,0),"Night",
  L4496&lt;TIME(9,0,0),"Night"
))</f>
        <v/>
      </c>
      <c r="O4496" t="str">
        <f t="shared" si="422"/>
        <v/>
      </c>
    </row>
    <row r="4497" spans="7:15" x14ac:dyDescent="0.25">
      <c r="G4497" t="str">
        <f t="shared" si="420"/>
        <v/>
      </c>
      <c r="H4497" s="13" t="str">
        <f t="shared" si="423"/>
        <v/>
      </c>
      <c r="I4497" t="str">
        <f>IFERROR(INDEX(Analysis!$D$116:$N$137, MATCH(B4497, Analysis!$C$116:$C$137, 0), MATCH(C4497, Analysis!$D$115:$N$115, 0)), "")</f>
        <v/>
      </c>
      <c r="J4497" t="str">
        <f t="shared" si="424"/>
        <v/>
      </c>
      <c r="K4497" s="28" t="str">
        <f t="shared" si="421"/>
        <v/>
      </c>
      <c r="L4497" s="46" t="str">
        <f t="shared" si="425"/>
        <v/>
      </c>
      <c r="M4497" t="str" cm="1">
        <f t="array" ref="M4497">IF(L4497="","",_xlfn.IFS(
  AND(L4497&gt;=TIME(9,0,0), L4497&lt;TIME(16,0,0)),"Morning",
  AND(L4497&gt;=TIME(16,0,0), L4497&lt;TIME(23,59,0)),"Evening",
  L4497&gt;=TIME(23,59,0),"Night",
  L4497&lt;TIME(9,0,0),"Night"
))</f>
        <v/>
      </c>
      <c r="O4497" t="str">
        <f t="shared" si="422"/>
        <v/>
      </c>
    </row>
    <row r="4498" spans="7:15" x14ac:dyDescent="0.25">
      <c r="G4498" t="str">
        <f t="shared" si="420"/>
        <v/>
      </c>
      <c r="H4498" s="13" t="str">
        <f t="shared" si="423"/>
        <v/>
      </c>
      <c r="I4498" t="str">
        <f>IFERROR(INDEX(Analysis!$D$116:$N$137, MATCH(B4498, Analysis!$C$116:$C$137, 0), MATCH(C4498, Analysis!$D$115:$N$115, 0)), "")</f>
        <v/>
      </c>
      <c r="J4498" t="str">
        <f t="shared" si="424"/>
        <v/>
      </c>
      <c r="K4498" s="28" t="str">
        <f t="shared" si="421"/>
        <v/>
      </c>
      <c r="L4498" s="46" t="str">
        <f t="shared" si="425"/>
        <v/>
      </c>
      <c r="M4498" t="str" cm="1">
        <f t="array" ref="M4498">IF(L4498="","",_xlfn.IFS(
  AND(L4498&gt;=TIME(9,0,0), L4498&lt;TIME(16,0,0)),"Morning",
  AND(L4498&gt;=TIME(16,0,0), L4498&lt;TIME(23,59,0)),"Evening",
  L4498&gt;=TIME(23,59,0),"Night",
  L4498&lt;TIME(9,0,0),"Night"
))</f>
        <v/>
      </c>
      <c r="O4498" t="str">
        <f t="shared" si="422"/>
        <v/>
      </c>
    </row>
    <row r="4499" spans="7:15" x14ac:dyDescent="0.25">
      <c r="G4499" t="str">
        <f t="shared" si="420"/>
        <v/>
      </c>
      <c r="H4499" s="13" t="str">
        <f t="shared" si="423"/>
        <v/>
      </c>
      <c r="I4499" t="str">
        <f>IFERROR(INDEX(Analysis!$D$116:$N$137, MATCH(B4499, Analysis!$C$116:$C$137, 0), MATCH(C4499, Analysis!$D$115:$N$115, 0)), "")</f>
        <v/>
      </c>
      <c r="J4499" t="str">
        <f t="shared" si="424"/>
        <v/>
      </c>
      <c r="K4499" s="28" t="str">
        <f t="shared" si="421"/>
        <v/>
      </c>
      <c r="L4499" s="46" t="str">
        <f t="shared" si="425"/>
        <v/>
      </c>
      <c r="M4499" t="str" cm="1">
        <f t="array" ref="M4499">IF(L4499="","",_xlfn.IFS(
  AND(L4499&gt;=TIME(9,0,0), L4499&lt;TIME(16,0,0)),"Morning",
  AND(L4499&gt;=TIME(16,0,0), L4499&lt;TIME(23,59,0)),"Evening",
  L4499&gt;=TIME(23,59,0),"Night",
  L4499&lt;TIME(9,0,0),"Night"
))</f>
        <v/>
      </c>
      <c r="O4499" t="str">
        <f t="shared" si="422"/>
        <v/>
      </c>
    </row>
    <row r="4500" spans="7:15" x14ac:dyDescent="0.25">
      <c r="G4500" t="str">
        <f t="shared" si="420"/>
        <v/>
      </c>
      <c r="H4500" s="13" t="str">
        <f t="shared" si="423"/>
        <v/>
      </c>
      <c r="I4500" t="str">
        <f>IFERROR(INDEX(Analysis!$D$116:$N$137, MATCH(B4500, Analysis!$C$116:$C$137, 0), MATCH(C4500, Analysis!$D$115:$N$115, 0)), "")</f>
        <v/>
      </c>
      <c r="J4500" t="str">
        <f t="shared" si="424"/>
        <v/>
      </c>
      <c r="K4500" s="28" t="str">
        <f t="shared" si="421"/>
        <v/>
      </c>
      <c r="L4500" s="46" t="str">
        <f t="shared" si="425"/>
        <v/>
      </c>
      <c r="M4500" t="str" cm="1">
        <f t="array" ref="M4500">IF(L4500="","",_xlfn.IFS(
  AND(L4500&gt;=TIME(9,0,0), L4500&lt;TIME(16,0,0)),"Morning",
  AND(L4500&gt;=TIME(16,0,0), L4500&lt;TIME(23,59,0)),"Evening",
  L4500&gt;=TIME(23,59,0),"Night",
  L4500&lt;TIME(9,0,0),"Night"
))</f>
        <v/>
      </c>
      <c r="O4500" t="str">
        <f t="shared" si="422"/>
        <v/>
      </c>
    </row>
    <row r="4501" spans="7:15" x14ac:dyDescent="0.25">
      <c r="G4501" t="str">
        <f t="shared" si="420"/>
        <v/>
      </c>
      <c r="H4501" s="13" t="str">
        <f t="shared" si="423"/>
        <v/>
      </c>
      <c r="I4501" t="str">
        <f>IFERROR(INDEX(Analysis!$D$116:$N$137, MATCH(B4501, Analysis!$C$116:$C$137, 0), MATCH(C4501, Analysis!$D$115:$N$115, 0)), "")</f>
        <v/>
      </c>
      <c r="J4501" t="str">
        <f t="shared" si="424"/>
        <v/>
      </c>
      <c r="K4501" s="28" t="str">
        <f t="shared" si="421"/>
        <v/>
      </c>
      <c r="L4501" s="46" t="str">
        <f t="shared" si="425"/>
        <v/>
      </c>
      <c r="M4501" t="str" cm="1">
        <f t="array" ref="M4501">IF(L4501="","",_xlfn.IFS(
  AND(L4501&gt;=TIME(9,0,0), L4501&lt;TIME(16,0,0)),"Morning",
  AND(L4501&gt;=TIME(16,0,0), L4501&lt;TIME(23,59,0)),"Evening",
  L4501&gt;=TIME(23,59,0),"Night",
  L4501&lt;TIME(9,0,0),"Night"
))</f>
        <v/>
      </c>
      <c r="O4501" t="str">
        <f t="shared" si="422"/>
        <v/>
      </c>
    </row>
    <row r="4502" spans="7:15" x14ac:dyDescent="0.25">
      <c r="G4502" t="str">
        <f t="shared" si="420"/>
        <v/>
      </c>
      <c r="H4502" s="13" t="str">
        <f t="shared" si="423"/>
        <v/>
      </c>
      <c r="I4502" t="str">
        <f>IFERROR(INDEX(Analysis!$D$116:$N$137, MATCH(B4502, Analysis!$C$116:$C$137, 0), MATCH(C4502, Analysis!$D$115:$N$115, 0)), "")</f>
        <v/>
      </c>
      <c r="J4502" t="str">
        <f t="shared" si="424"/>
        <v/>
      </c>
      <c r="K4502" s="28" t="str">
        <f t="shared" si="421"/>
        <v/>
      </c>
      <c r="L4502" s="46" t="str">
        <f t="shared" si="425"/>
        <v/>
      </c>
      <c r="M4502" t="str" cm="1">
        <f t="array" ref="M4502">IF(L4502="","",_xlfn.IFS(
  AND(L4502&gt;=TIME(9,0,0), L4502&lt;TIME(16,0,0)),"Morning",
  AND(L4502&gt;=TIME(16,0,0), L4502&lt;TIME(23,59,0)),"Evening",
  L4502&gt;=TIME(23,59,0),"Night",
  L4502&lt;TIME(9,0,0),"Night"
))</f>
        <v/>
      </c>
      <c r="O4502" t="str">
        <f t="shared" si="422"/>
        <v/>
      </c>
    </row>
    <row r="4503" spans="7:15" x14ac:dyDescent="0.25">
      <c r="G4503" t="str">
        <f t="shared" si="420"/>
        <v/>
      </c>
      <c r="H4503" s="13" t="str">
        <f t="shared" si="423"/>
        <v/>
      </c>
      <c r="I4503" t="str">
        <f>IFERROR(INDEX(Analysis!$D$116:$N$137, MATCH(B4503, Analysis!$C$116:$C$137, 0), MATCH(C4503, Analysis!$D$115:$N$115, 0)), "")</f>
        <v/>
      </c>
      <c r="J4503" t="str">
        <f t="shared" si="424"/>
        <v/>
      </c>
      <c r="K4503" s="28" t="str">
        <f t="shared" si="421"/>
        <v/>
      </c>
      <c r="L4503" s="46" t="str">
        <f t="shared" si="425"/>
        <v/>
      </c>
      <c r="M4503" t="str" cm="1">
        <f t="array" ref="M4503">IF(L4503="","",_xlfn.IFS(
  AND(L4503&gt;=TIME(9,0,0), L4503&lt;TIME(16,0,0)),"Morning",
  AND(L4503&gt;=TIME(16,0,0), L4503&lt;TIME(23,59,0)),"Evening",
  L4503&gt;=TIME(23,59,0),"Night",
  L4503&lt;TIME(9,0,0),"Night"
))</f>
        <v/>
      </c>
      <c r="O4503" t="str">
        <f t="shared" si="422"/>
        <v/>
      </c>
    </row>
    <row r="4504" spans="7:15" x14ac:dyDescent="0.25">
      <c r="G4504" t="str">
        <f t="shared" si="420"/>
        <v/>
      </c>
      <c r="H4504" s="13" t="str">
        <f t="shared" si="423"/>
        <v/>
      </c>
      <c r="I4504" t="str">
        <f>IFERROR(INDEX(Analysis!$D$116:$N$137, MATCH(B4504, Analysis!$C$116:$C$137, 0), MATCH(C4504, Analysis!$D$115:$N$115, 0)), "")</f>
        <v/>
      </c>
      <c r="J4504" t="str">
        <f t="shared" si="424"/>
        <v/>
      </c>
      <c r="K4504" s="28" t="str">
        <f t="shared" si="421"/>
        <v/>
      </c>
      <c r="L4504" s="46" t="str">
        <f t="shared" si="425"/>
        <v/>
      </c>
      <c r="M4504" t="str" cm="1">
        <f t="array" ref="M4504">IF(L4504="","",_xlfn.IFS(
  AND(L4504&gt;=TIME(9,0,0), L4504&lt;TIME(16,0,0)),"Morning",
  AND(L4504&gt;=TIME(16,0,0), L4504&lt;TIME(23,59,0)),"Evening",
  L4504&gt;=TIME(23,59,0),"Night",
  L4504&lt;TIME(9,0,0),"Night"
))</f>
        <v/>
      </c>
      <c r="O4504" t="str">
        <f t="shared" si="422"/>
        <v/>
      </c>
    </row>
    <row r="4505" spans="7:15" x14ac:dyDescent="0.25">
      <c r="G4505" t="str">
        <f t="shared" si="420"/>
        <v/>
      </c>
      <c r="H4505" s="13" t="str">
        <f t="shared" si="423"/>
        <v/>
      </c>
      <c r="I4505" t="str">
        <f>IFERROR(INDEX(Analysis!$D$116:$N$137, MATCH(B4505, Analysis!$C$116:$C$137, 0), MATCH(C4505, Analysis!$D$115:$N$115, 0)), "")</f>
        <v/>
      </c>
      <c r="J4505" t="str">
        <f t="shared" si="424"/>
        <v/>
      </c>
      <c r="K4505" s="28" t="str">
        <f t="shared" si="421"/>
        <v/>
      </c>
      <c r="L4505" s="46" t="str">
        <f t="shared" si="425"/>
        <v/>
      </c>
      <c r="M4505" t="str" cm="1">
        <f t="array" ref="M4505">IF(L4505="","",_xlfn.IFS(
  AND(L4505&gt;=TIME(9,0,0), L4505&lt;TIME(16,0,0)),"Morning",
  AND(L4505&gt;=TIME(16,0,0), L4505&lt;TIME(23,59,0)),"Evening",
  L4505&gt;=TIME(23,59,0),"Night",
  L4505&lt;TIME(9,0,0),"Night"
))</f>
        <v/>
      </c>
      <c r="O4505" t="str">
        <f t="shared" si="422"/>
        <v/>
      </c>
    </row>
    <row r="4506" spans="7:15" x14ac:dyDescent="0.25">
      <c r="G4506" t="str">
        <f t="shared" si="420"/>
        <v/>
      </c>
      <c r="H4506" s="13" t="str">
        <f t="shared" si="423"/>
        <v/>
      </c>
      <c r="I4506" t="str">
        <f>IFERROR(INDEX(Analysis!$D$116:$N$137, MATCH(B4506, Analysis!$C$116:$C$137, 0), MATCH(C4506, Analysis!$D$115:$N$115, 0)), "")</f>
        <v/>
      </c>
      <c r="J4506" t="str">
        <f t="shared" si="424"/>
        <v/>
      </c>
      <c r="K4506" s="28" t="str">
        <f t="shared" si="421"/>
        <v/>
      </c>
      <c r="L4506" s="46" t="str">
        <f t="shared" si="425"/>
        <v/>
      </c>
      <c r="M4506" t="str" cm="1">
        <f t="array" ref="M4506">IF(L4506="","",_xlfn.IFS(
  AND(L4506&gt;=TIME(9,0,0), L4506&lt;TIME(16,0,0)),"Morning",
  AND(L4506&gt;=TIME(16,0,0), L4506&lt;TIME(23,59,0)),"Evening",
  L4506&gt;=TIME(23,59,0),"Night",
  L4506&lt;TIME(9,0,0),"Night"
))</f>
        <v/>
      </c>
      <c r="O4506" t="str">
        <f t="shared" si="422"/>
        <v/>
      </c>
    </row>
    <row r="4507" spans="7:15" x14ac:dyDescent="0.25">
      <c r="G4507" t="str">
        <f t="shared" si="420"/>
        <v/>
      </c>
      <c r="H4507" s="13" t="str">
        <f t="shared" si="423"/>
        <v/>
      </c>
      <c r="I4507" t="str">
        <f>IFERROR(INDEX(Analysis!$D$116:$N$137, MATCH(B4507, Analysis!$C$116:$C$137, 0), MATCH(C4507, Analysis!$D$115:$N$115, 0)), "")</f>
        <v/>
      </c>
      <c r="J4507" t="str">
        <f t="shared" si="424"/>
        <v/>
      </c>
      <c r="K4507" s="28" t="str">
        <f t="shared" si="421"/>
        <v/>
      </c>
      <c r="L4507" s="46" t="str">
        <f t="shared" si="425"/>
        <v/>
      </c>
      <c r="M4507" t="str" cm="1">
        <f t="array" ref="M4507">IF(L4507="","",_xlfn.IFS(
  AND(L4507&gt;=TIME(9,0,0), L4507&lt;TIME(16,0,0)),"Morning",
  AND(L4507&gt;=TIME(16,0,0), L4507&lt;TIME(23,59,0)),"Evening",
  L4507&gt;=TIME(23,59,0),"Night",
  L4507&lt;TIME(9,0,0),"Night"
))</f>
        <v/>
      </c>
      <c r="O4507" t="str">
        <f t="shared" si="422"/>
        <v/>
      </c>
    </row>
    <row r="4508" spans="7:15" x14ac:dyDescent="0.25">
      <c r="G4508" t="str">
        <f t="shared" si="420"/>
        <v/>
      </c>
      <c r="H4508" s="13" t="str">
        <f t="shared" si="423"/>
        <v/>
      </c>
      <c r="I4508" t="str">
        <f>IFERROR(INDEX(Analysis!$D$116:$N$137, MATCH(B4508, Analysis!$C$116:$C$137, 0), MATCH(C4508, Analysis!$D$115:$N$115, 0)), "")</f>
        <v/>
      </c>
      <c r="J4508" t="str">
        <f t="shared" si="424"/>
        <v/>
      </c>
      <c r="K4508" s="28" t="str">
        <f t="shared" si="421"/>
        <v/>
      </c>
      <c r="L4508" s="46" t="str">
        <f t="shared" si="425"/>
        <v/>
      </c>
      <c r="M4508" t="str" cm="1">
        <f t="array" ref="M4508">IF(L4508="","",_xlfn.IFS(
  AND(L4508&gt;=TIME(9,0,0), L4508&lt;TIME(16,0,0)),"Morning",
  AND(L4508&gt;=TIME(16,0,0), L4508&lt;TIME(23,59,0)),"Evening",
  L4508&gt;=TIME(23,59,0),"Night",
  L4508&lt;TIME(9,0,0),"Night"
))</f>
        <v/>
      </c>
      <c r="O4508" t="str">
        <f t="shared" si="422"/>
        <v/>
      </c>
    </row>
    <row r="4509" spans="7:15" x14ac:dyDescent="0.25">
      <c r="G4509" t="str">
        <f t="shared" si="420"/>
        <v/>
      </c>
      <c r="H4509" s="13" t="str">
        <f t="shared" si="423"/>
        <v/>
      </c>
      <c r="I4509" t="str">
        <f>IFERROR(INDEX(Analysis!$D$116:$N$137, MATCH(B4509, Analysis!$C$116:$C$137, 0), MATCH(C4509, Analysis!$D$115:$N$115, 0)), "")</f>
        <v/>
      </c>
      <c r="J4509" t="str">
        <f t="shared" si="424"/>
        <v/>
      </c>
      <c r="K4509" s="28" t="str">
        <f t="shared" si="421"/>
        <v/>
      </c>
      <c r="L4509" s="46" t="str">
        <f t="shared" si="425"/>
        <v/>
      </c>
      <c r="M4509" t="str" cm="1">
        <f t="array" ref="M4509">IF(L4509="","",_xlfn.IFS(
  AND(L4509&gt;=TIME(9,0,0), L4509&lt;TIME(16,0,0)),"Morning",
  AND(L4509&gt;=TIME(16,0,0), L4509&lt;TIME(23,59,0)),"Evening",
  L4509&gt;=TIME(23,59,0),"Night",
  L4509&lt;TIME(9,0,0),"Night"
))</f>
        <v/>
      </c>
      <c r="O4509" t="str">
        <f t="shared" si="422"/>
        <v/>
      </c>
    </row>
    <row r="4510" spans="7:15" x14ac:dyDescent="0.25">
      <c r="G4510" t="str">
        <f t="shared" si="420"/>
        <v/>
      </c>
      <c r="H4510" s="13" t="str">
        <f t="shared" si="423"/>
        <v/>
      </c>
      <c r="I4510" t="str">
        <f>IFERROR(INDEX(Analysis!$D$116:$N$137, MATCH(B4510, Analysis!$C$116:$C$137, 0), MATCH(C4510, Analysis!$D$115:$N$115, 0)), "")</f>
        <v/>
      </c>
      <c r="J4510" t="str">
        <f t="shared" si="424"/>
        <v/>
      </c>
      <c r="K4510" s="28" t="str">
        <f t="shared" si="421"/>
        <v/>
      </c>
      <c r="L4510" s="46" t="str">
        <f t="shared" si="425"/>
        <v/>
      </c>
      <c r="M4510" t="str" cm="1">
        <f t="array" ref="M4510">IF(L4510="","",_xlfn.IFS(
  AND(L4510&gt;=TIME(9,0,0), L4510&lt;TIME(16,0,0)),"Morning",
  AND(L4510&gt;=TIME(16,0,0), L4510&lt;TIME(23,59,0)),"Evening",
  L4510&gt;=TIME(23,59,0),"Night",
  L4510&lt;TIME(9,0,0),"Night"
))</f>
        <v/>
      </c>
      <c r="O4510" t="str">
        <f t="shared" si="422"/>
        <v/>
      </c>
    </row>
    <row r="4511" spans="7:15" x14ac:dyDescent="0.25">
      <c r="G4511" t="str">
        <f t="shared" si="420"/>
        <v/>
      </c>
      <c r="H4511" s="13" t="str">
        <f t="shared" si="423"/>
        <v/>
      </c>
      <c r="I4511" t="str">
        <f>IFERROR(INDEX(Analysis!$D$116:$N$137, MATCH(B4511, Analysis!$C$116:$C$137, 0), MATCH(C4511, Analysis!$D$115:$N$115, 0)), "")</f>
        <v/>
      </c>
      <c r="J4511" t="str">
        <f t="shared" si="424"/>
        <v/>
      </c>
      <c r="K4511" s="28" t="str">
        <f t="shared" si="421"/>
        <v/>
      </c>
      <c r="L4511" s="46" t="str">
        <f t="shared" si="425"/>
        <v/>
      </c>
      <c r="M4511" t="str" cm="1">
        <f t="array" ref="M4511">IF(L4511="","",_xlfn.IFS(
  AND(L4511&gt;=TIME(9,0,0), L4511&lt;TIME(16,0,0)),"Morning",
  AND(L4511&gt;=TIME(16,0,0), L4511&lt;TIME(23,59,0)),"Evening",
  L4511&gt;=TIME(23,59,0),"Night",
  L4511&lt;TIME(9,0,0),"Night"
))</f>
        <v/>
      </c>
      <c r="O4511" t="str">
        <f t="shared" si="422"/>
        <v/>
      </c>
    </row>
    <row r="4512" spans="7:15" x14ac:dyDescent="0.25">
      <c r="G4512" t="str">
        <f t="shared" si="420"/>
        <v/>
      </c>
      <c r="H4512" s="13" t="str">
        <f t="shared" si="423"/>
        <v/>
      </c>
      <c r="I4512" t="str">
        <f>IFERROR(INDEX(Analysis!$D$116:$N$137, MATCH(B4512, Analysis!$C$116:$C$137, 0), MATCH(C4512, Analysis!$D$115:$N$115, 0)), "")</f>
        <v/>
      </c>
      <c r="J4512" t="str">
        <f t="shared" si="424"/>
        <v/>
      </c>
      <c r="K4512" s="28" t="str">
        <f t="shared" si="421"/>
        <v/>
      </c>
      <c r="L4512" s="46" t="str">
        <f t="shared" si="425"/>
        <v/>
      </c>
      <c r="M4512" t="str" cm="1">
        <f t="array" ref="M4512">IF(L4512="","",_xlfn.IFS(
  AND(L4512&gt;=TIME(9,0,0), L4512&lt;TIME(16,0,0)),"Morning",
  AND(L4512&gt;=TIME(16,0,0), L4512&lt;TIME(23,59,0)),"Evening",
  L4512&gt;=TIME(23,59,0),"Night",
  L4512&lt;TIME(9,0,0),"Night"
))</f>
        <v/>
      </c>
      <c r="O4512" t="str">
        <f t="shared" si="422"/>
        <v/>
      </c>
    </row>
    <row r="4513" spans="7:15" x14ac:dyDescent="0.25">
      <c r="G4513" t="str">
        <f t="shared" si="420"/>
        <v/>
      </c>
      <c r="H4513" s="13" t="str">
        <f t="shared" si="423"/>
        <v/>
      </c>
      <c r="I4513" t="str">
        <f>IFERROR(INDEX(Analysis!$D$116:$N$137, MATCH(B4513, Analysis!$C$116:$C$137, 0), MATCH(C4513, Analysis!$D$115:$N$115, 0)), "")</f>
        <v/>
      </c>
      <c r="J4513" t="str">
        <f t="shared" si="424"/>
        <v/>
      </c>
      <c r="K4513" s="28" t="str">
        <f t="shared" si="421"/>
        <v/>
      </c>
      <c r="L4513" s="46" t="str">
        <f t="shared" si="425"/>
        <v/>
      </c>
      <c r="M4513" t="str" cm="1">
        <f t="array" ref="M4513">IF(L4513="","",_xlfn.IFS(
  AND(L4513&gt;=TIME(9,0,0), L4513&lt;TIME(16,0,0)),"Morning",
  AND(L4513&gt;=TIME(16,0,0), L4513&lt;TIME(23,59,0)),"Evening",
  L4513&gt;=TIME(23,59,0),"Night",
  L4513&lt;TIME(9,0,0),"Night"
))</f>
        <v/>
      </c>
      <c r="O4513" t="str">
        <f t="shared" si="422"/>
        <v/>
      </c>
    </row>
    <row r="4514" spans="7:15" x14ac:dyDescent="0.25">
      <c r="G4514" t="str">
        <f t="shared" si="420"/>
        <v/>
      </c>
      <c r="H4514" s="13" t="str">
        <f t="shared" si="423"/>
        <v/>
      </c>
      <c r="I4514" t="str">
        <f>IFERROR(INDEX(Analysis!$D$116:$N$137, MATCH(B4514, Analysis!$C$116:$C$137, 0), MATCH(C4514, Analysis!$D$115:$N$115, 0)), "")</f>
        <v/>
      </c>
      <c r="J4514" t="str">
        <f t="shared" si="424"/>
        <v/>
      </c>
      <c r="K4514" s="28" t="str">
        <f t="shared" si="421"/>
        <v/>
      </c>
      <c r="L4514" s="46" t="str">
        <f t="shared" si="425"/>
        <v/>
      </c>
      <c r="M4514" t="str" cm="1">
        <f t="array" ref="M4514">IF(L4514="","",_xlfn.IFS(
  AND(L4514&gt;=TIME(9,0,0), L4514&lt;TIME(16,0,0)),"Morning",
  AND(L4514&gt;=TIME(16,0,0), L4514&lt;TIME(23,59,0)),"Evening",
  L4514&gt;=TIME(23,59,0),"Night",
  L4514&lt;TIME(9,0,0),"Night"
))</f>
        <v/>
      </c>
      <c r="O4514" t="str">
        <f t="shared" si="422"/>
        <v/>
      </c>
    </row>
    <row r="4515" spans="7:15" x14ac:dyDescent="0.25">
      <c r="G4515" t="str">
        <f t="shared" si="420"/>
        <v/>
      </c>
      <c r="H4515" s="13" t="str">
        <f t="shared" si="423"/>
        <v/>
      </c>
      <c r="I4515" t="str">
        <f>IFERROR(INDEX(Analysis!$D$116:$N$137, MATCH(B4515, Analysis!$C$116:$C$137, 0), MATCH(C4515, Analysis!$D$115:$N$115, 0)), "")</f>
        <v/>
      </c>
      <c r="J4515" t="str">
        <f t="shared" si="424"/>
        <v/>
      </c>
      <c r="K4515" s="28" t="str">
        <f t="shared" si="421"/>
        <v/>
      </c>
      <c r="L4515" s="46" t="str">
        <f t="shared" si="425"/>
        <v/>
      </c>
      <c r="M4515" t="str" cm="1">
        <f t="array" ref="M4515">IF(L4515="","",_xlfn.IFS(
  AND(L4515&gt;=TIME(9,0,0), L4515&lt;TIME(16,0,0)),"Morning",
  AND(L4515&gt;=TIME(16,0,0), L4515&lt;TIME(23,59,0)),"Evening",
  L4515&gt;=TIME(23,59,0),"Night",
  L4515&lt;TIME(9,0,0),"Night"
))</f>
        <v/>
      </c>
      <c r="O4515" t="str">
        <f t="shared" si="422"/>
        <v/>
      </c>
    </row>
    <row r="4516" spans="7:15" x14ac:dyDescent="0.25">
      <c r="G4516" t="str">
        <f t="shared" si="420"/>
        <v/>
      </c>
      <c r="H4516" s="13" t="str">
        <f t="shared" si="423"/>
        <v/>
      </c>
      <c r="I4516" t="str">
        <f>IFERROR(INDEX(Analysis!$D$116:$N$137, MATCH(B4516, Analysis!$C$116:$C$137, 0), MATCH(C4516, Analysis!$D$115:$N$115, 0)), "")</f>
        <v/>
      </c>
      <c r="J4516" t="str">
        <f t="shared" si="424"/>
        <v/>
      </c>
      <c r="K4516" s="28" t="str">
        <f t="shared" si="421"/>
        <v/>
      </c>
      <c r="L4516" s="46" t="str">
        <f t="shared" si="425"/>
        <v/>
      </c>
      <c r="M4516" t="str" cm="1">
        <f t="array" ref="M4516">IF(L4516="","",_xlfn.IFS(
  AND(L4516&gt;=TIME(9,0,0), L4516&lt;TIME(16,0,0)),"Morning",
  AND(L4516&gt;=TIME(16,0,0), L4516&lt;TIME(23,59,0)),"Evening",
  L4516&gt;=TIME(23,59,0),"Night",
  L4516&lt;TIME(9,0,0),"Night"
))</f>
        <v/>
      </c>
      <c r="O4516" t="str">
        <f t="shared" si="422"/>
        <v/>
      </c>
    </row>
    <row r="4517" spans="7:15" x14ac:dyDescent="0.25">
      <c r="G4517" t="str">
        <f t="shared" si="420"/>
        <v/>
      </c>
      <c r="H4517" s="13" t="str">
        <f t="shared" si="423"/>
        <v/>
      </c>
      <c r="I4517" t="str">
        <f>IFERROR(INDEX(Analysis!$D$116:$N$137, MATCH(B4517, Analysis!$C$116:$C$137, 0), MATCH(C4517, Analysis!$D$115:$N$115, 0)), "")</f>
        <v/>
      </c>
      <c r="J4517" t="str">
        <f t="shared" si="424"/>
        <v/>
      </c>
      <c r="K4517" s="28" t="str">
        <f t="shared" si="421"/>
        <v/>
      </c>
      <c r="L4517" s="46" t="str">
        <f t="shared" si="425"/>
        <v/>
      </c>
      <c r="M4517" t="str" cm="1">
        <f t="array" ref="M4517">IF(L4517="","",_xlfn.IFS(
  AND(L4517&gt;=TIME(9,0,0), L4517&lt;TIME(16,0,0)),"Morning",
  AND(L4517&gt;=TIME(16,0,0), L4517&lt;TIME(23,59,0)),"Evening",
  L4517&gt;=TIME(23,59,0),"Night",
  L4517&lt;TIME(9,0,0),"Night"
))</f>
        <v/>
      </c>
      <c r="O4517" t="str">
        <f t="shared" si="422"/>
        <v/>
      </c>
    </row>
    <row r="4518" spans="7:15" x14ac:dyDescent="0.25">
      <c r="G4518" t="str">
        <f t="shared" si="420"/>
        <v/>
      </c>
      <c r="H4518" s="13" t="str">
        <f t="shared" si="423"/>
        <v/>
      </c>
      <c r="I4518" t="str">
        <f>IFERROR(INDEX(Analysis!$D$116:$N$137, MATCH(B4518, Analysis!$C$116:$C$137, 0), MATCH(C4518, Analysis!$D$115:$N$115, 0)), "")</f>
        <v/>
      </c>
      <c r="J4518" t="str">
        <f t="shared" si="424"/>
        <v/>
      </c>
      <c r="K4518" s="28" t="str">
        <f t="shared" si="421"/>
        <v/>
      </c>
      <c r="L4518" s="46" t="str">
        <f t="shared" si="425"/>
        <v/>
      </c>
      <c r="M4518" t="str" cm="1">
        <f t="array" ref="M4518">IF(L4518="","",_xlfn.IFS(
  AND(L4518&gt;=TIME(9,0,0), L4518&lt;TIME(16,0,0)),"Morning",
  AND(L4518&gt;=TIME(16,0,0), L4518&lt;TIME(23,59,0)),"Evening",
  L4518&gt;=TIME(23,59,0),"Night",
  L4518&lt;TIME(9,0,0),"Night"
))</f>
        <v/>
      </c>
      <c r="O4518" t="str">
        <f t="shared" si="422"/>
        <v/>
      </c>
    </row>
    <row r="4519" spans="7:15" x14ac:dyDescent="0.25">
      <c r="G4519" t="str">
        <f t="shared" si="420"/>
        <v/>
      </c>
      <c r="H4519" s="13" t="str">
        <f t="shared" si="423"/>
        <v/>
      </c>
      <c r="I4519" t="str">
        <f>IFERROR(INDEX(Analysis!$D$116:$N$137, MATCH(B4519, Analysis!$C$116:$C$137, 0), MATCH(C4519, Analysis!$D$115:$N$115, 0)), "")</f>
        <v/>
      </c>
      <c r="J4519" t="str">
        <f t="shared" si="424"/>
        <v/>
      </c>
      <c r="K4519" s="28" t="str">
        <f t="shared" si="421"/>
        <v/>
      </c>
      <c r="L4519" s="46" t="str">
        <f t="shared" si="425"/>
        <v/>
      </c>
      <c r="M4519" t="str" cm="1">
        <f t="array" ref="M4519">IF(L4519="","",_xlfn.IFS(
  AND(L4519&gt;=TIME(9,0,0), L4519&lt;TIME(16,0,0)),"Morning",
  AND(L4519&gt;=TIME(16,0,0), L4519&lt;TIME(23,59,0)),"Evening",
  L4519&gt;=TIME(23,59,0),"Night",
  L4519&lt;TIME(9,0,0),"Night"
))</f>
        <v/>
      </c>
      <c r="O4519" t="str">
        <f t="shared" si="422"/>
        <v/>
      </c>
    </row>
    <row r="4520" spans="7:15" x14ac:dyDescent="0.25">
      <c r="G4520" t="str">
        <f t="shared" si="420"/>
        <v/>
      </c>
      <c r="H4520" s="13" t="str">
        <f t="shared" si="423"/>
        <v/>
      </c>
      <c r="I4520" t="str">
        <f>IFERROR(INDEX(Analysis!$D$116:$N$137, MATCH(B4520, Analysis!$C$116:$C$137, 0), MATCH(C4520, Analysis!$D$115:$N$115, 0)), "")</f>
        <v/>
      </c>
      <c r="J4520" t="str">
        <f t="shared" si="424"/>
        <v/>
      </c>
      <c r="K4520" s="28" t="str">
        <f t="shared" si="421"/>
        <v/>
      </c>
      <c r="L4520" s="46" t="str">
        <f t="shared" si="425"/>
        <v/>
      </c>
      <c r="M4520" t="str" cm="1">
        <f t="array" ref="M4520">IF(L4520="","",_xlfn.IFS(
  AND(L4520&gt;=TIME(9,0,0), L4520&lt;TIME(16,0,0)),"Morning",
  AND(L4520&gt;=TIME(16,0,0), L4520&lt;TIME(23,59,0)),"Evening",
  L4520&gt;=TIME(23,59,0),"Night",
  L4520&lt;TIME(9,0,0),"Night"
))</f>
        <v/>
      </c>
      <c r="O4520" t="str">
        <f t="shared" si="422"/>
        <v/>
      </c>
    </row>
    <row r="4521" spans="7:15" x14ac:dyDescent="0.25">
      <c r="G4521" t="str">
        <f t="shared" si="420"/>
        <v/>
      </c>
      <c r="H4521" s="13" t="str">
        <f t="shared" si="423"/>
        <v/>
      </c>
      <c r="I4521" t="str">
        <f>IFERROR(INDEX(Analysis!$D$116:$N$137, MATCH(B4521, Analysis!$C$116:$C$137, 0), MATCH(C4521, Analysis!$D$115:$N$115, 0)), "")</f>
        <v/>
      </c>
      <c r="J4521" t="str">
        <f t="shared" si="424"/>
        <v/>
      </c>
      <c r="K4521" s="28" t="str">
        <f t="shared" si="421"/>
        <v/>
      </c>
      <c r="L4521" s="46" t="str">
        <f t="shared" si="425"/>
        <v/>
      </c>
      <c r="M4521" t="str" cm="1">
        <f t="array" ref="M4521">IF(L4521="","",_xlfn.IFS(
  AND(L4521&gt;=TIME(9,0,0), L4521&lt;TIME(16,0,0)),"Morning",
  AND(L4521&gt;=TIME(16,0,0), L4521&lt;TIME(23,59,0)),"Evening",
  L4521&gt;=TIME(23,59,0),"Night",
  L4521&lt;TIME(9,0,0),"Night"
))</f>
        <v/>
      </c>
      <c r="O4521" t="str">
        <f t="shared" si="422"/>
        <v/>
      </c>
    </row>
    <row r="4522" spans="7:15" x14ac:dyDescent="0.25">
      <c r="G4522" t="str">
        <f t="shared" si="420"/>
        <v/>
      </c>
      <c r="H4522" s="13" t="str">
        <f t="shared" si="423"/>
        <v/>
      </c>
      <c r="I4522" t="str">
        <f>IFERROR(INDEX(Analysis!$D$116:$N$137, MATCH(B4522, Analysis!$C$116:$C$137, 0), MATCH(C4522, Analysis!$D$115:$N$115, 0)), "")</f>
        <v/>
      </c>
      <c r="J4522" t="str">
        <f t="shared" si="424"/>
        <v/>
      </c>
      <c r="K4522" s="28" t="str">
        <f t="shared" si="421"/>
        <v/>
      </c>
      <c r="L4522" s="46" t="str">
        <f t="shared" si="425"/>
        <v/>
      </c>
      <c r="M4522" t="str" cm="1">
        <f t="array" ref="M4522">IF(L4522="","",_xlfn.IFS(
  AND(L4522&gt;=TIME(9,0,0), L4522&lt;TIME(16,0,0)),"Morning",
  AND(L4522&gt;=TIME(16,0,0), L4522&lt;TIME(23,59,0)),"Evening",
  L4522&gt;=TIME(23,59,0),"Night",
  L4522&lt;TIME(9,0,0),"Night"
))</f>
        <v/>
      </c>
      <c r="O4522" t="str">
        <f t="shared" si="422"/>
        <v/>
      </c>
    </row>
    <row r="4523" spans="7:15" x14ac:dyDescent="0.25">
      <c r="G4523" t="str">
        <f t="shared" si="420"/>
        <v/>
      </c>
      <c r="H4523" s="13" t="str">
        <f t="shared" si="423"/>
        <v/>
      </c>
      <c r="I4523" t="str">
        <f>IFERROR(INDEX(Analysis!$D$116:$N$137, MATCH(B4523, Analysis!$C$116:$C$137, 0), MATCH(C4523, Analysis!$D$115:$N$115, 0)), "")</f>
        <v/>
      </c>
      <c r="J4523" t="str">
        <f t="shared" si="424"/>
        <v/>
      </c>
      <c r="K4523" s="28" t="str">
        <f t="shared" si="421"/>
        <v/>
      </c>
      <c r="L4523" s="46" t="str">
        <f t="shared" si="425"/>
        <v/>
      </c>
      <c r="M4523" t="str" cm="1">
        <f t="array" ref="M4523">IF(L4523="","",_xlfn.IFS(
  AND(L4523&gt;=TIME(9,0,0), L4523&lt;TIME(16,0,0)),"Morning",
  AND(L4523&gt;=TIME(16,0,0), L4523&lt;TIME(23,59,0)),"Evening",
  L4523&gt;=TIME(23,59,0),"Night",
  L4523&lt;TIME(9,0,0),"Night"
))</f>
        <v/>
      </c>
      <c r="O4523" t="str">
        <f t="shared" si="422"/>
        <v/>
      </c>
    </row>
    <row r="4524" spans="7:15" x14ac:dyDescent="0.25">
      <c r="G4524" t="str">
        <f t="shared" si="420"/>
        <v/>
      </c>
      <c r="H4524" s="13" t="str">
        <f t="shared" si="423"/>
        <v/>
      </c>
      <c r="I4524" t="str">
        <f>IFERROR(INDEX(Analysis!$D$116:$N$137, MATCH(B4524, Analysis!$C$116:$C$137, 0), MATCH(C4524, Analysis!$D$115:$N$115, 0)), "")</f>
        <v/>
      </c>
      <c r="J4524" t="str">
        <f t="shared" si="424"/>
        <v/>
      </c>
      <c r="K4524" s="28" t="str">
        <f t="shared" si="421"/>
        <v/>
      </c>
      <c r="L4524" s="46" t="str">
        <f t="shared" si="425"/>
        <v/>
      </c>
      <c r="M4524" t="str" cm="1">
        <f t="array" ref="M4524">IF(L4524="","",_xlfn.IFS(
  AND(L4524&gt;=TIME(9,0,0), L4524&lt;TIME(16,0,0)),"Morning",
  AND(L4524&gt;=TIME(16,0,0), L4524&lt;TIME(23,59,0)),"Evening",
  L4524&gt;=TIME(23,59,0),"Night",
  L4524&lt;TIME(9,0,0),"Night"
))</f>
        <v/>
      </c>
      <c r="O4524" t="str">
        <f t="shared" si="422"/>
        <v/>
      </c>
    </row>
    <row r="4525" spans="7:15" x14ac:dyDescent="0.25">
      <c r="G4525" t="str">
        <f t="shared" si="420"/>
        <v/>
      </c>
      <c r="H4525" s="13" t="str">
        <f t="shared" si="423"/>
        <v/>
      </c>
      <c r="I4525" t="str">
        <f>IFERROR(INDEX(Analysis!$D$116:$N$137, MATCH(B4525, Analysis!$C$116:$C$137, 0), MATCH(C4525, Analysis!$D$115:$N$115, 0)), "")</f>
        <v/>
      </c>
      <c r="J4525" t="str">
        <f t="shared" si="424"/>
        <v/>
      </c>
      <c r="K4525" s="28" t="str">
        <f t="shared" si="421"/>
        <v/>
      </c>
      <c r="L4525" s="46" t="str">
        <f t="shared" si="425"/>
        <v/>
      </c>
      <c r="M4525" t="str" cm="1">
        <f t="array" ref="M4525">IF(L4525="","",_xlfn.IFS(
  AND(L4525&gt;=TIME(9,0,0), L4525&lt;TIME(16,0,0)),"Morning",
  AND(L4525&gt;=TIME(16,0,0), L4525&lt;TIME(23,59,0)),"Evening",
  L4525&gt;=TIME(23,59,0),"Night",
  L4525&lt;TIME(9,0,0),"Night"
))</f>
        <v/>
      </c>
      <c r="O4525" t="str">
        <f t="shared" si="422"/>
        <v/>
      </c>
    </row>
    <row r="4526" spans="7:15" x14ac:dyDescent="0.25">
      <c r="G4526" t="str">
        <f t="shared" si="420"/>
        <v/>
      </c>
      <c r="H4526" s="13" t="str">
        <f t="shared" si="423"/>
        <v/>
      </c>
      <c r="I4526" t="str">
        <f>IFERROR(INDEX(Analysis!$D$116:$N$137, MATCH(B4526, Analysis!$C$116:$C$137, 0), MATCH(C4526, Analysis!$D$115:$N$115, 0)), "")</f>
        <v/>
      </c>
      <c r="J4526" t="str">
        <f t="shared" si="424"/>
        <v/>
      </c>
      <c r="K4526" s="28" t="str">
        <f t="shared" si="421"/>
        <v/>
      </c>
      <c r="L4526" s="46" t="str">
        <f t="shared" si="425"/>
        <v/>
      </c>
      <c r="M4526" t="str" cm="1">
        <f t="array" ref="M4526">IF(L4526="","",_xlfn.IFS(
  AND(L4526&gt;=TIME(9,0,0), L4526&lt;TIME(16,0,0)),"Morning",
  AND(L4526&gt;=TIME(16,0,0), L4526&lt;TIME(23,59,0)),"Evening",
  L4526&gt;=TIME(23,59,0),"Night",
  L4526&lt;TIME(9,0,0),"Night"
))</f>
        <v/>
      </c>
      <c r="O4526" t="str">
        <f t="shared" si="422"/>
        <v/>
      </c>
    </row>
    <row r="4527" spans="7:15" x14ac:dyDescent="0.25">
      <c r="G4527" t="str">
        <f t="shared" si="420"/>
        <v/>
      </c>
      <c r="H4527" s="13" t="str">
        <f t="shared" si="423"/>
        <v/>
      </c>
      <c r="I4527" t="str">
        <f>IFERROR(INDEX(Analysis!$D$116:$N$137, MATCH(B4527, Analysis!$C$116:$C$137, 0), MATCH(C4527, Analysis!$D$115:$N$115, 0)), "")</f>
        <v/>
      </c>
      <c r="J4527" t="str">
        <f t="shared" si="424"/>
        <v/>
      </c>
      <c r="K4527" s="28" t="str">
        <f t="shared" si="421"/>
        <v/>
      </c>
      <c r="L4527" s="46" t="str">
        <f t="shared" si="425"/>
        <v/>
      </c>
      <c r="M4527" t="str" cm="1">
        <f t="array" ref="M4527">IF(L4527="","",_xlfn.IFS(
  AND(L4527&gt;=TIME(9,0,0), L4527&lt;TIME(16,0,0)),"Morning",
  AND(L4527&gt;=TIME(16,0,0), L4527&lt;TIME(23,59,0)),"Evening",
  L4527&gt;=TIME(23,59,0),"Night",
  L4527&lt;TIME(9,0,0),"Night"
))</f>
        <v/>
      </c>
      <c r="O4527" t="str">
        <f t="shared" si="422"/>
        <v/>
      </c>
    </row>
    <row r="4528" spans="7:15" x14ac:dyDescent="0.25">
      <c r="G4528" t="str">
        <f t="shared" si="420"/>
        <v/>
      </c>
      <c r="H4528" s="13" t="str">
        <f t="shared" si="423"/>
        <v/>
      </c>
      <c r="I4528" t="str">
        <f>IFERROR(INDEX(Analysis!$D$116:$N$137, MATCH(B4528, Analysis!$C$116:$C$137, 0), MATCH(C4528, Analysis!$D$115:$N$115, 0)), "")</f>
        <v/>
      </c>
      <c r="J4528" t="str">
        <f t="shared" si="424"/>
        <v/>
      </c>
      <c r="K4528" s="28" t="str">
        <f t="shared" si="421"/>
        <v/>
      </c>
      <c r="L4528" s="46" t="str">
        <f t="shared" si="425"/>
        <v/>
      </c>
      <c r="M4528" t="str" cm="1">
        <f t="array" ref="M4528">IF(L4528="","",_xlfn.IFS(
  AND(L4528&gt;=TIME(9,0,0), L4528&lt;TIME(16,0,0)),"Morning",
  AND(L4528&gt;=TIME(16,0,0), L4528&lt;TIME(23,59,0)),"Evening",
  L4528&gt;=TIME(23,59,0),"Night",
  L4528&lt;TIME(9,0,0),"Night"
))</f>
        <v/>
      </c>
      <c r="O4528" t="str">
        <f t="shared" si="422"/>
        <v/>
      </c>
    </row>
    <row r="4529" spans="7:15" x14ac:dyDescent="0.25">
      <c r="G4529" t="str">
        <f t="shared" si="420"/>
        <v/>
      </c>
      <c r="H4529" s="13" t="str">
        <f t="shared" si="423"/>
        <v/>
      </c>
      <c r="I4529" t="str">
        <f>IFERROR(INDEX(Analysis!$D$116:$N$137, MATCH(B4529, Analysis!$C$116:$C$137, 0), MATCH(C4529, Analysis!$D$115:$N$115, 0)), "")</f>
        <v/>
      </c>
      <c r="J4529" t="str">
        <f t="shared" si="424"/>
        <v/>
      </c>
      <c r="K4529" s="28" t="str">
        <f t="shared" si="421"/>
        <v/>
      </c>
      <c r="L4529" s="46" t="str">
        <f t="shared" si="425"/>
        <v/>
      </c>
      <c r="M4529" t="str" cm="1">
        <f t="array" ref="M4529">IF(L4529="","",_xlfn.IFS(
  AND(L4529&gt;=TIME(9,0,0), L4529&lt;TIME(16,0,0)),"Morning",
  AND(L4529&gt;=TIME(16,0,0), L4529&lt;TIME(23,59,0)),"Evening",
  L4529&gt;=TIME(23,59,0),"Night",
  L4529&lt;TIME(9,0,0),"Night"
))</f>
        <v/>
      </c>
      <c r="O4529" t="str">
        <f t="shared" si="422"/>
        <v/>
      </c>
    </row>
    <row r="4530" spans="7:15" x14ac:dyDescent="0.25">
      <c r="G4530" t="str">
        <f t="shared" si="420"/>
        <v/>
      </c>
      <c r="H4530" s="13" t="str">
        <f t="shared" si="423"/>
        <v/>
      </c>
      <c r="I4530" t="str">
        <f>IFERROR(INDEX(Analysis!$D$116:$N$137, MATCH(B4530, Analysis!$C$116:$C$137, 0), MATCH(C4530, Analysis!$D$115:$N$115, 0)), "")</f>
        <v/>
      </c>
      <c r="J4530" t="str">
        <f t="shared" si="424"/>
        <v/>
      </c>
      <c r="K4530" s="28" t="str">
        <f t="shared" si="421"/>
        <v/>
      </c>
      <c r="L4530" s="46" t="str">
        <f t="shared" si="425"/>
        <v/>
      </c>
      <c r="M4530" t="str" cm="1">
        <f t="array" ref="M4530">IF(L4530="","",_xlfn.IFS(
  AND(L4530&gt;=TIME(9,0,0), L4530&lt;TIME(16,0,0)),"Morning",
  AND(L4530&gt;=TIME(16,0,0), L4530&lt;TIME(23,59,0)),"Evening",
  L4530&gt;=TIME(23,59,0),"Night",
  L4530&lt;TIME(9,0,0),"Night"
))</f>
        <v/>
      </c>
      <c r="O4530" t="str">
        <f t="shared" si="422"/>
        <v/>
      </c>
    </row>
    <row r="4531" spans="7:15" x14ac:dyDescent="0.25">
      <c r="G4531" t="str">
        <f t="shared" si="420"/>
        <v/>
      </c>
      <c r="H4531" s="13" t="str">
        <f t="shared" si="423"/>
        <v/>
      </c>
      <c r="I4531" t="str">
        <f>IFERROR(INDEX(Analysis!$D$116:$N$137, MATCH(B4531, Analysis!$C$116:$C$137, 0), MATCH(C4531, Analysis!$D$115:$N$115, 0)), "")</f>
        <v/>
      </c>
      <c r="J4531" t="str">
        <f t="shared" si="424"/>
        <v/>
      </c>
      <c r="K4531" s="28" t="str">
        <f t="shared" si="421"/>
        <v/>
      </c>
      <c r="L4531" s="46" t="str">
        <f t="shared" si="425"/>
        <v/>
      </c>
      <c r="M4531" t="str" cm="1">
        <f t="array" ref="M4531">IF(L4531="","",_xlfn.IFS(
  AND(L4531&gt;=TIME(9,0,0), L4531&lt;TIME(16,0,0)),"Morning",
  AND(L4531&gt;=TIME(16,0,0), L4531&lt;TIME(23,59,0)),"Evening",
  L4531&gt;=TIME(23,59,0),"Night",
  L4531&lt;TIME(9,0,0),"Night"
))</f>
        <v/>
      </c>
      <c r="O4531" t="str">
        <f t="shared" si="422"/>
        <v/>
      </c>
    </row>
    <row r="4532" spans="7:15" x14ac:dyDescent="0.25">
      <c r="G4532" t="str">
        <f t="shared" si="420"/>
        <v/>
      </c>
      <c r="H4532" s="13" t="str">
        <f t="shared" si="423"/>
        <v/>
      </c>
      <c r="I4532" t="str">
        <f>IFERROR(INDEX(Analysis!$D$116:$N$137, MATCH(B4532, Analysis!$C$116:$C$137, 0), MATCH(C4532, Analysis!$D$115:$N$115, 0)), "")</f>
        <v/>
      </c>
      <c r="J4532" t="str">
        <f t="shared" si="424"/>
        <v/>
      </c>
      <c r="K4532" s="28" t="str">
        <f t="shared" si="421"/>
        <v/>
      </c>
      <c r="L4532" s="46" t="str">
        <f t="shared" si="425"/>
        <v/>
      </c>
      <c r="M4532" t="str" cm="1">
        <f t="array" ref="M4532">IF(L4532="","",_xlfn.IFS(
  AND(L4532&gt;=TIME(9,0,0), L4532&lt;TIME(16,0,0)),"Morning",
  AND(L4532&gt;=TIME(16,0,0), L4532&lt;TIME(23,59,0)),"Evening",
  L4532&gt;=TIME(23,59,0),"Night",
  L4532&lt;TIME(9,0,0),"Night"
))</f>
        <v/>
      </c>
      <c r="O4532" t="str">
        <f t="shared" si="422"/>
        <v/>
      </c>
    </row>
    <row r="4533" spans="7:15" x14ac:dyDescent="0.25">
      <c r="G4533" t="str">
        <f t="shared" si="420"/>
        <v/>
      </c>
      <c r="H4533" s="13" t="str">
        <f t="shared" si="423"/>
        <v/>
      </c>
      <c r="I4533" t="str">
        <f>IFERROR(INDEX(Analysis!$D$116:$N$137, MATCH(B4533, Analysis!$C$116:$C$137, 0), MATCH(C4533, Analysis!$D$115:$N$115, 0)), "")</f>
        <v/>
      </c>
      <c r="J4533" t="str">
        <f t="shared" si="424"/>
        <v/>
      </c>
      <c r="K4533" s="28" t="str">
        <f t="shared" si="421"/>
        <v/>
      </c>
      <c r="L4533" s="46" t="str">
        <f t="shared" si="425"/>
        <v/>
      </c>
      <c r="M4533" t="str" cm="1">
        <f t="array" ref="M4533">IF(L4533="","",_xlfn.IFS(
  AND(L4533&gt;=TIME(9,0,0), L4533&lt;TIME(16,0,0)),"Morning",
  AND(L4533&gt;=TIME(16,0,0), L4533&lt;TIME(23,59,0)),"Evening",
  L4533&gt;=TIME(23,59,0),"Night",
  L4533&lt;TIME(9,0,0),"Night"
))</f>
        <v/>
      </c>
      <c r="O4533" t="str">
        <f t="shared" si="422"/>
        <v/>
      </c>
    </row>
    <row r="4534" spans="7:15" x14ac:dyDescent="0.25">
      <c r="G4534" t="str">
        <f t="shared" si="420"/>
        <v/>
      </c>
      <c r="H4534" s="13" t="str">
        <f t="shared" si="423"/>
        <v/>
      </c>
      <c r="I4534" t="str">
        <f>IFERROR(INDEX(Analysis!$D$116:$N$137, MATCH(B4534, Analysis!$C$116:$C$137, 0), MATCH(C4534, Analysis!$D$115:$N$115, 0)), "")</f>
        <v/>
      </c>
      <c r="J4534" t="str">
        <f t="shared" si="424"/>
        <v/>
      </c>
      <c r="K4534" s="28" t="str">
        <f t="shared" si="421"/>
        <v/>
      </c>
      <c r="L4534" s="46" t="str">
        <f t="shared" si="425"/>
        <v/>
      </c>
      <c r="M4534" t="str" cm="1">
        <f t="array" ref="M4534">IF(L4534="","",_xlfn.IFS(
  AND(L4534&gt;=TIME(9,0,0), L4534&lt;TIME(16,0,0)),"Morning",
  AND(L4534&gt;=TIME(16,0,0), L4534&lt;TIME(23,59,0)),"Evening",
  L4534&gt;=TIME(23,59,0),"Night",
  L4534&lt;TIME(9,0,0),"Night"
))</f>
        <v/>
      </c>
      <c r="O4534" t="str">
        <f t="shared" si="422"/>
        <v/>
      </c>
    </row>
    <row r="4535" spans="7:15" x14ac:dyDescent="0.25">
      <c r="G4535" t="str">
        <f t="shared" si="420"/>
        <v/>
      </c>
      <c r="H4535" s="13" t="str">
        <f t="shared" si="423"/>
        <v/>
      </c>
      <c r="I4535" t="str">
        <f>IFERROR(INDEX(Analysis!$D$116:$N$137, MATCH(B4535, Analysis!$C$116:$C$137, 0), MATCH(C4535, Analysis!$D$115:$N$115, 0)), "")</f>
        <v/>
      </c>
      <c r="J4535" t="str">
        <f t="shared" si="424"/>
        <v/>
      </c>
      <c r="K4535" s="28" t="str">
        <f t="shared" si="421"/>
        <v/>
      </c>
      <c r="L4535" s="46" t="str">
        <f t="shared" si="425"/>
        <v/>
      </c>
      <c r="M4535" t="str" cm="1">
        <f t="array" ref="M4535">IF(L4535="","",_xlfn.IFS(
  AND(L4535&gt;=TIME(9,0,0), L4535&lt;TIME(16,0,0)),"Morning",
  AND(L4535&gt;=TIME(16,0,0), L4535&lt;TIME(23,59,0)),"Evening",
  L4535&gt;=TIME(23,59,0),"Night",
  L4535&lt;TIME(9,0,0),"Night"
))</f>
        <v/>
      </c>
      <c r="O4535" t="str">
        <f t="shared" si="422"/>
        <v/>
      </c>
    </row>
    <row r="4536" spans="7:15" x14ac:dyDescent="0.25">
      <c r="G4536" t="str">
        <f t="shared" si="420"/>
        <v/>
      </c>
      <c r="H4536" s="13" t="str">
        <f t="shared" si="423"/>
        <v/>
      </c>
      <c r="I4536" t="str">
        <f>IFERROR(INDEX(Analysis!$D$116:$N$137, MATCH(B4536, Analysis!$C$116:$C$137, 0), MATCH(C4536, Analysis!$D$115:$N$115, 0)), "")</f>
        <v/>
      </c>
      <c r="J4536" t="str">
        <f t="shared" si="424"/>
        <v/>
      </c>
      <c r="K4536" s="28" t="str">
        <f t="shared" si="421"/>
        <v/>
      </c>
      <c r="L4536" s="46" t="str">
        <f t="shared" si="425"/>
        <v/>
      </c>
      <c r="M4536" t="str" cm="1">
        <f t="array" ref="M4536">IF(L4536="","",_xlfn.IFS(
  AND(L4536&gt;=TIME(9,0,0), L4536&lt;TIME(16,0,0)),"Morning",
  AND(L4536&gt;=TIME(16,0,0), L4536&lt;TIME(23,59,0)),"Evening",
  L4536&gt;=TIME(23,59,0),"Night",
  L4536&lt;TIME(9,0,0),"Night"
))</f>
        <v/>
      </c>
      <c r="O4536" t="str">
        <f t="shared" si="422"/>
        <v/>
      </c>
    </row>
    <row r="4537" spans="7:15" x14ac:dyDescent="0.25">
      <c r="G4537" t="str">
        <f t="shared" si="420"/>
        <v/>
      </c>
      <c r="H4537" s="13" t="str">
        <f t="shared" si="423"/>
        <v/>
      </c>
      <c r="I4537" t="str">
        <f>IFERROR(INDEX(Analysis!$D$116:$N$137, MATCH(B4537, Analysis!$C$116:$C$137, 0), MATCH(C4537, Analysis!$D$115:$N$115, 0)), "")</f>
        <v/>
      </c>
      <c r="J4537" t="str">
        <f t="shared" si="424"/>
        <v/>
      </c>
      <c r="K4537" s="28" t="str">
        <f t="shared" si="421"/>
        <v/>
      </c>
      <c r="L4537" s="46" t="str">
        <f t="shared" si="425"/>
        <v/>
      </c>
      <c r="M4537" t="str" cm="1">
        <f t="array" ref="M4537">IF(L4537="","",_xlfn.IFS(
  AND(L4537&gt;=TIME(9,0,0), L4537&lt;TIME(16,0,0)),"Morning",
  AND(L4537&gt;=TIME(16,0,0), L4537&lt;TIME(23,59,0)),"Evening",
  L4537&gt;=TIME(23,59,0),"Night",
  L4537&lt;TIME(9,0,0),"Night"
))</f>
        <v/>
      </c>
      <c r="O4537" t="str">
        <f t="shared" si="422"/>
        <v/>
      </c>
    </row>
    <row r="4538" spans="7:15" x14ac:dyDescent="0.25">
      <c r="G4538" t="str">
        <f t="shared" si="420"/>
        <v/>
      </c>
      <c r="H4538" s="13" t="str">
        <f t="shared" si="423"/>
        <v/>
      </c>
      <c r="I4538" t="str">
        <f>IFERROR(INDEX(Analysis!$D$116:$N$137, MATCH(B4538, Analysis!$C$116:$C$137, 0), MATCH(C4538, Analysis!$D$115:$N$115, 0)), "")</f>
        <v/>
      </c>
      <c r="J4538" t="str">
        <f t="shared" si="424"/>
        <v/>
      </c>
      <c r="K4538" s="28" t="str">
        <f t="shared" si="421"/>
        <v/>
      </c>
      <c r="L4538" s="46" t="str">
        <f t="shared" si="425"/>
        <v/>
      </c>
      <c r="M4538" t="str" cm="1">
        <f t="array" ref="M4538">IF(L4538="","",_xlfn.IFS(
  AND(L4538&gt;=TIME(9,0,0), L4538&lt;TIME(16,0,0)),"Morning",
  AND(L4538&gt;=TIME(16,0,0), L4538&lt;TIME(23,59,0)),"Evening",
  L4538&gt;=TIME(23,59,0),"Night",
  L4538&lt;TIME(9,0,0),"Night"
))</f>
        <v/>
      </c>
      <c r="O4538" t="str">
        <f t="shared" si="422"/>
        <v/>
      </c>
    </row>
    <row r="4539" spans="7:15" x14ac:dyDescent="0.25">
      <c r="G4539" t="str">
        <f t="shared" si="420"/>
        <v/>
      </c>
      <c r="H4539" s="13" t="str">
        <f t="shared" si="423"/>
        <v/>
      </c>
      <c r="I4539" t="str">
        <f>IFERROR(INDEX(Analysis!$D$116:$N$137, MATCH(B4539, Analysis!$C$116:$C$137, 0), MATCH(C4539, Analysis!$D$115:$N$115, 0)), "")</f>
        <v/>
      </c>
      <c r="J4539" t="str">
        <f t="shared" si="424"/>
        <v/>
      </c>
      <c r="K4539" s="28" t="str">
        <f t="shared" si="421"/>
        <v/>
      </c>
      <c r="L4539" s="46" t="str">
        <f t="shared" si="425"/>
        <v/>
      </c>
      <c r="M4539" t="str" cm="1">
        <f t="array" ref="M4539">IF(L4539="","",_xlfn.IFS(
  AND(L4539&gt;=TIME(9,0,0), L4539&lt;TIME(16,0,0)),"Morning",
  AND(L4539&gt;=TIME(16,0,0), L4539&lt;TIME(23,59,0)),"Evening",
  L4539&gt;=TIME(23,59,0),"Night",
  L4539&lt;TIME(9,0,0),"Night"
))</f>
        <v/>
      </c>
      <c r="O4539" t="str">
        <f t="shared" si="422"/>
        <v/>
      </c>
    </row>
    <row r="4540" spans="7:15" x14ac:dyDescent="0.25">
      <c r="G4540" t="str">
        <f t="shared" si="420"/>
        <v/>
      </c>
      <c r="H4540" s="13" t="str">
        <f t="shared" si="423"/>
        <v/>
      </c>
      <c r="I4540" t="str">
        <f>IFERROR(INDEX(Analysis!$D$116:$N$137, MATCH(B4540, Analysis!$C$116:$C$137, 0), MATCH(C4540, Analysis!$D$115:$N$115, 0)), "")</f>
        <v/>
      </c>
      <c r="J4540" t="str">
        <f t="shared" si="424"/>
        <v/>
      </c>
      <c r="K4540" s="28" t="str">
        <f t="shared" si="421"/>
        <v/>
      </c>
      <c r="L4540" s="46" t="str">
        <f t="shared" si="425"/>
        <v/>
      </c>
      <c r="M4540" t="str" cm="1">
        <f t="array" ref="M4540">IF(L4540="","",_xlfn.IFS(
  AND(L4540&gt;=TIME(9,0,0), L4540&lt;TIME(16,0,0)),"Morning",
  AND(L4540&gt;=TIME(16,0,0), L4540&lt;TIME(23,59,0)),"Evening",
  L4540&gt;=TIME(23,59,0),"Night",
  L4540&lt;TIME(9,0,0),"Night"
))</f>
        <v/>
      </c>
      <c r="O4540" t="str">
        <f t="shared" si="422"/>
        <v/>
      </c>
    </row>
    <row r="4541" spans="7:15" x14ac:dyDescent="0.25">
      <c r="G4541" t="str">
        <f t="shared" si="420"/>
        <v/>
      </c>
      <c r="H4541" s="13" t="str">
        <f t="shared" si="423"/>
        <v/>
      </c>
      <c r="I4541" t="str">
        <f>IFERROR(INDEX(Analysis!$D$116:$N$137, MATCH(B4541, Analysis!$C$116:$C$137, 0), MATCH(C4541, Analysis!$D$115:$N$115, 0)), "")</f>
        <v/>
      </c>
      <c r="J4541" t="str">
        <f t="shared" si="424"/>
        <v/>
      </c>
      <c r="K4541" s="28" t="str">
        <f t="shared" si="421"/>
        <v/>
      </c>
      <c r="L4541" s="46" t="str">
        <f t="shared" si="425"/>
        <v/>
      </c>
      <c r="M4541" t="str" cm="1">
        <f t="array" ref="M4541">IF(L4541="","",_xlfn.IFS(
  AND(L4541&gt;=TIME(9,0,0), L4541&lt;TIME(16,0,0)),"Morning",
  AND(L4541&gt;=TIME(16,0,0), L4541&lt;TIME(23,59,0)),"Evening",
  L4541&gt;=TIME(23,59,0),"Night",
  L4541&lt;TIME(9,0,0),"Night"
))</f>
        <v/>
      </c>
      <c r="O4541" t="str">
        <f t="shared" si="422"/>
        <v/>
      </c>
    </row>
    <row r="4542" spans="7:15" x14ac:dyDescent="0.25">
      <c r="G4542" t="str">
        <f t="shared" si="420"/>
        <v/>
      </c>
      <c r="H4542" s="13" t="str">
        <f t="shared" si="423"/>
        <v/>
      </c>
      <c r="I4542" t="str">
        <f>IFERROR(INDEX(Analysis!$D$116:$N$137, MATCH(B4542, Analysis!$C$116:$C$137, 0), MATCH(C4542, Analysis!$D$115:$N$115, 0)), "")</f>
        <v/>
      </c>
      <c r="J4542" t="str">
        <f t="shared" si="424"/>
        <v/>
      </c>
      <c r="K4542" s="28" t="str">
        <f t="shared" si="421"/>
        <v/>
      </c>
      <c r="L4542" s="46" t="str">
        <f t="shared" si="425"/>
        <v/>
      </c>
      <c r="M4542" t="str" cm="1">
        <f t="array" ref="M4542">IF(L4542="","",_xlfn.IFS(
  AND(L4542&gt;=TIME(9,0,0), L4542&lt;TIME(16,0,0)),"Morning",
  AND(L4542&gt;=TIME(16,0,0), L4542&lt;TIME(23,59,0)),"Evening",
  L4542&gt;=TIME(23,59,0),"Night",
  L4542&lt;TIME(9,0,0),"Night"
))</f>
        <v/>
      </c>
      <c r="O4542" t="str">
        <f t="shared" si="422"/>
        <v/>
      </c>
    </row>
    <row r="4543" spans="7:15" x14ac:dyDescent="0.25">
      <c r="G4543" t="str">
        <f t="shared" si="420"/>
        <v/>
      </c>
      <c r="H4543" s="13" t="str">
        <f t="shared" si="423"/>
        <v/>
      </c>
      <c r="I4543" t="str">
        <f>IFERROR(INDEX(Analysis!$D$116:$N$137, MATCH(B4543, Analysis!$C$116:$C$137, 0), MATCH(C4543, Analysis!$D$115:$N$115, 0)), "")</f>
        <v/>
      </c>
      <c r="J4543" t="str">
        <f t="shared" si="424"/>
        <v/>
      </c>
      <c r="K4543" s="28" t="str">
        <f t="shared" si="421"/>
        <v/>
      </c>
      <c r="L4543" s="46" t="str">
        <f t="shared" si="425"/>
        <v/>
      </c>
      <c r="M4543" t="str" cm="1">
        <f t="array" ref="M4543">IF(L4543="","",_xlfn.IFS(
  AND(L4543&gt;=TIME(9,0,0), L4543&lt;TIME(16,0,0)),"Morning",
  AND(L4543&gt;=TIME(16,0,0), L4543&lt;TIME(23,59,0)),"Evening",
  L4543&gt;=TIME(23,59,0),"Night",
  L4543&lt;TIME(9,0,0),"Night"
))</f>
        <v/>
      </c>
      <c r="O4543" t="str">
        <f t="shared" si="422"/>
        <v/>
      </c>
    </row>
    <row r="4544" spans="7:15" x14ac:dyDescent="0.25">
      <c r="G4544" t="str">
        <f t="shared" si="420"/>
        <v/>
      </c>
      <c r="H4544" s="13" t="str">
        <f t="shared" si="423"/>
        <v/>
      </c>
      <c r="I4544" t="str">
        <f>IFERROR(INDEX(Analysis!$D$116:$N$137, MATCH(B4544, Analysis!$C$116:$C$137, 0), MATCH(C4544, Analysis!$D$115:$N$115, 0)), "")</f>
        <v/>
      </c>
      <c r="J4544" t="str">
        <f t="shared" si="424"/>
        <v/>
      </c>
      <c r="K4544" s="28" t="str">
        <f t="shared" si="421"/>
        <v/>
      </c>
      <c r="L4544" s="46" t="str">
        <f t="shared" si="425"/>
        <v/>
      </c>
      <c r="M4544" t="str" cm="1">
        <f t="array" ref="M4544">IF(L4544="","",_xlfn.IFS(
  AND(L4544&gt;=TIME(9,0,0), L4544&lt;TIME(16,0,0)),"Morning",
  AND(L4544&gt;=TIME(16,0,0), L4544&lt;TIME(23,59,0)),"Evening",
  L4544&gt;=TIME(23,59,0),"Night",
  L4544&lt;TIME(9,0,0),"Night"
))</f>
        <v/>
      </c>
      <c r="O4544" t="str">
        <f t="shared" si="422"/>
        <v/>
      </c>
    </row>
    <row r="4545" spans="7:15" x14ac:dyDescent="0.25">
      <c r="G4545" t="str">
        <f t="shared" si="420"/>
        <v/>
      </c>
      <c r="H4545" s="13" t="str">
        <f t="shared" si="423"/>
        <v/>
      </c>
      <c r="I4545" t="str">
        <f>IFERROR(INDEX(Analysis!$D$116:$N$137, MATCH(B4545, Analysis!$C$116:$C$137, 0), MATCH(C4545, Analysis!$D$115:$N$115, 0)), "")</f>
        <v/>
      </c>
      <c r="J4545" t="str">
        <f t="shared" si="424"/>
        <v/>
      </c>
      <c r="K4545" s="28" t="str">
        <f t="shared" si="421"/>
        <v/>
      </c>
      <c r="L4545" s="46" t="str">
        <f t="shared" si="425"/>
        <v/>
      </c>
      <c r="M4545" t="str" cm="1">
        <f t="array" ref="M4545">IF(L4545="","",_xlfn.IFS(
  AND(L4545&gt;=TIME(9,0,0), L4545&lt;TIME(16,0,0)),"Morning",
  AND(L4545&gt;=TIME(16,0,0), L4545&lt;TIME(23,59,0)),"Evening",
  L4545&gt;=TIME(23,59,0),"Night",
  L4545&lt;TIME(9,0,0),"Night"
))</f>
        <v/>
      </c>
      <c r="O4545" t="str">
        <f t="shared" si="422"/>
        <v/>
      </c>
    </row>
    <row r="4546" spans="7:15" x14ac:dyDescent="0.25">
      <c r="G4546" t="str">
        <f t="shared" ref="G4546:G4609" si="426">IF(ISBLANK(A4546), "", IF(ISBLANK(F4546), 0, F4546))</f>
        <v/>
      </c>
      <c r="H4546" s="13" t="str">
        <f t="shared" si="423"/>
        <v/>
      </c>
      <c r="I4546" t="str">
        <f>IFERROR(INDEX(Analysis!$D$116:$N$137, MATCH(B4546, Analysis!$C$116:$C$137, 0), MATCH(C4546, Analysis!$D$115:$N$115, 0)), "")</f>
        <v/>
      </c>
      <c r="J4546" t="str">
        <f t="shared" si="424"/>
        <v/>
      </c>
      <c r="K4546" s="28" t="str">
        <f t="shared" ref="K4546:K4609" si="427">IF(ISBLANK(A4546),"",DATE(YEAR(A4546),MONTH(A4546),DAY(A4546)))</f>
        <v/>
      </c>
      <c r="L4546" s="46" t="str">
        <f t="shared" si="425"/>
        <v/>
      </c>
      <c r="M4546" t="str" cm="1">
        <f t="array" ref="M4546">IF(L4546="","",_xlfn.IFS(
  AND(L4546&gt;=TIME(9,0,0), L4546&lt;TIME(16,0,0)),"Morning",
  AND(L4546&gt;=TIME(16,0,0), L4546&lt;TIME(23,59,0)),"Evening",
  L4546&gt;=TIME(23,59,0),"Night",
  L4546&lt;TIME(9,0,0),"Night"
))</f>
        <v/>
      </c>
      <c r="O4546" t="str">
        <f t="shared" ref="O4546:O4609" si="428">IF(N4546="ON", _xlfn.IMAGE(E4546, 1), "")</f>
        <v/>
      </c>
    </row>
    <row r="4547" spans="7:15" x14ac:dyDescent="0.25">
      <c r="G4547" t="str">
        <f t="shared" si="426"/>
        <v/>
      </c>
      <c r="H4547" s="13" t="str">
        <f t="shared" ref="H4547:H4610" si="429">IF(ISBLANK(E4547),"",HYPERLINK(E4547,"Click here"))</f>
        <v/>
      </c>
      <c r="I4547" t="str">
        <f>IFERROR(INDEX(Analysis!$D$116:$N$137, MATCH(B4547, Analysis!$C$116:$C$137, 0), MATCH(C4547, Analysis!$D$115:$N$115, 0)), "")</f>
        <v/>
      </c>
      <c r="J4547" t="str">
        <f t="shared" ref="J4547:J4610" si="430">IF(ISBLANK(A4547),"",WEEKNUM(A4547))</f>
        <v/>
      </c>
      <c r="K4547" s="28" t="str">
        <f t="shared" si="427"/>
        <v/>
      </c>
      <c r="L4547" s="46" t="str">
        <f t="shared" ref="L4547:L4610" si="431">IF(A4547="", "", A4547 - INT(A4547))</f>
        <v/>
      </c>
      <c r="M4547" t="str" cm="1">
        <f t="array" ref="M4547">IF(L4547="","",_xlfn.IFS(
  AND(L4547&gt;=TIME(9,0,0), L4547&lt;TIME(16,0,0)),"Morning",
  AND(L4547&gt;=TIME(16,0,0), L4547&lt;TIME(23,59,0)),"Evening",
  L4547&gt;=TIME(23,59,0),"Night",
  L4547&lt;TIME(9,0,0),"Night"
))</f>
        <v/>
      </c>
      <c r="O4547" t="str">
        <f t="shared" si="428"/>
        <v/>
      </c>
    </row>
    <row r="4548" spans="7:15" x14ac:dyDescent="0.25">
      <c r="G4548" t="str">
        <f t="shared" si="426"/>
        <v/>
      </c>
      <c r="H4548" s="13" t="str">
        <f t="shared" si="429"/>
        <v/>
      </c>
      <c r="I4548" t="str">
        <f>IFERROR(INDEX(Analysis!$D$116:$N$137, MATCH(B4548, Analysis!$C$116:$C$137, 0), MATCH(C4548, Analysis!$D$115:$N$115, 0)), "")</f>
        <v/>
      </c>
      <c r="J4548" t="str">
        <f t="shared" si="430"/>
        <v/>
      </c>
      <c r="K4548" s="28" t="str">
        <f t="shared" si="427"/>
        <v/>
      </c>
      <c r="L4548" s="46" t="str">
        <f t="shared" si="431"/>
        <v/>
      </c>
      <c r="M4548" t="str" cm="1">
        <f t="array" ref="M4548">IF(L4548="","",_xlfn.IFS(
  AND(L4548&gt;=TIME(9,0,0), L4548&lt;TIME(16,0,0)),"Morning",
  AND(L4548&gt;=TIME(16,0,0), L4548&lt;TIME(23,59,0)),"Evening",
  L4548&gt;=TIME(23,59,0),"Night",
  L4548&lt;TIME(9,0,0),"Night"
))</f>
        <v/>
      </c>
      <c r="O4548" t="str">
        <f t="shared" si="428"/>
        <v/>
      </c>
    </row>
    <row r="4549" spans="7:15" x14ac:dyDescent="0.25">
      <c r="G4549" t="str">
        <f t="shared" si="426"/>
        <v/>
      </c>
      <c r="H4549" s="13" t="str">
        <f t="shared" si="429"/>
        <v/>
      </c>
      <c r="I4549" t="str">
        <f>IFERROR(INDEX(Analysis!$D$116:$N$137, MATCH(B4549, Analysis!$C$116:$C$137, 0), MATCH(C4549, Analysis!$D$115:$N$115, 0)), "")</f>
        <v/>
      </c>
      <c r="J4549" t="str">
        <f t="shared" si="430"/>
        <v/>
      </c>
      <c r="K4549" s="28" t="str">
        <f t="shared" si="427"/>
        <v/>
      </c>
      <c r="L4549" s="46" t="str">
        <f t="shared" si="431"/>
        <v/>
      </c>
      <c r="M4549" t="str" cm="1">
        <f t="array" ref="M4549">IF(L4549="","",_xlfn.IFS(
  AND(L4549&gt;=TIME(9,0,0), L4549&lt;TIME(16,0,0)),"Morning",
  AND(L4549&gt;=TIME(16,0,0), L4549&lt;TIME(23,59,0)),"Evening",
  L4549&gt;=TIME(23,59,0),"Night",
  L4549&lt;TIME(9,0,0),"Night"
))</f>
        <v/>
      </c>
      <c r="O4549" t="str">
        <f t="shared" si="428"/>
        <v/>
      </c>
    </row>
    <row r="4550" spans="7:15" x14ac:dyDescent="0.25">
      <c r="G4550" t="str">
        <f t="shared" si="426"/>
        <v/>
      </c>
      <c r="H4550" s="13" t="str">
        <f t="shared" si="429"/>
        <v/>
      </c>
      <c r="I4550" t="str">
        <f>IFERROR(INDEX(Analysis!$D$116:$N$137, MATCH(B4550, Analysis!$C$116:$C$137, 0), MATCH(C4550, Analysis!$D$115:$N$115, 0)), "")</f>
        <v/>
      </c>
      <c r="J4550" t="str">
        <f t="shared" si="430"/>
        <v/>
      </c>
      <c r="K4550" s="28" t="str">
        <f t="shared" si="427"/>
        <v/>
      </c>
      <c r="L4550" s="46" t="str">
        <f t="shared" si="431"/>
        <v/>
      </c>
      <c r="M4550" t="str" cm="1">
        <f t="array" ref="M4550">IF(L4550="","",_xlfn.IFS(
  AND(L4550&gt;=TIME(9,0,0), L4550&lt;TIME(16,0,0)),"Morning",
  AND(L4550&gt;=TIME(16,0,0), L4550&lt;TIME(23,59,0)),"Evening",
  L4550&gt;=TIME(23,59,0),"Night",
  L4550&lt;TIME(9,0,0),"Night"
))</f>
        <v/>
      </c>
      <c r="O4550" t="str">
        <f t="shared" si="428"/>
        <v/>
      </c>
    </row>
    <row r="4551" spans="7:15" x14ac:dyDescent="0.25">
      <c r="G4551" t="str">
        <f t="shared" si="426"/>
        <v/>
      </c>
      <c r="H4551" s="13" t="str">
        <f t="shared" si="429"/>
        <v/>
      </c>
      <c r="I4551" t="str">
        <f>IFERROR(INDEX(Analysis!$D$116:$N$137, MATCH(B4551, Analysis!$C$116:$C$137, 0), MATCH(C4551, Analysis!$D$115:$N$115, 0)), "")</f>
        <v/>
      </c>
      <c r="J4551" t="str">
        <f t="shared" si="430"/>
        <v/>
      </c>
      <c r="K4551" s="28" t="str">
        <f t="shared" si="427"/>
        <v/>
      </c>
      <c r="L4551" s="46" t="str">
        <f t="shared" si="431"/>
        <v/>
      </c>
      <c r="M4551" t="str" cm="1">
        <f t="array" ref="M4551">IF(L4551="","",_xlfn.IFS(
  AND(L4551&gt;=TIME(9,0,0), L4551&lt;TIME(16,0,0)),"Morning",
  AND(L4551&gt;=TIME(16,0,0), L4551&lt;TIME(23,59,0)),"Evening",
  L4551&gt;=TIME(23,59,0),"Night",
  L4551&lt;TIME(9,0,0),"Night"
))</f>
        <v/>
      </c>
      <c r="O4551" t="str">
        <f t="shared" si="428"/>
        <v/>
      </c>
    </row>
    <row r="4552" spans="7:15" x14ac:dyDescent="0.25">
      <c r="G4552" t="str">
        <f t="shared" si="426"/>
        <v/>
      </c>
      <c r="H4552" s="13" t="str">
        <f t="shared" si="429"/>
        <v/>
      </c>
      <c r="I4552" t="str">
        <f>IFERROR(INDEX(Analysis!$D$116:$N$137, MATCH(B4552, Analysis!$C$116:$C$137, 0), MATCH(C4552, Analysis!$D$115:$N$115, 0)), "")</f>
        <v/>
      </c>
      <c r="J4552" t="str">
        <f t="shared" si="430"/>
        <v/>
      </c>
      <c r="K4552" s="28" t="str">
        <f t="shared" si="427"/>
        <v/>
      </c>
      <c r="L4552" s="46" t="str">
        <f t="shared" si="431"/>
        <v/>
      </c>
      <c r="M4552" t="str" cm="1">
        <f t="array" ref="M4552">IF(L4552="","",_xlfn.IFS(
  AND(L4552&gt;=TIME(9,0,0), L4552&lt;TIME(16,0,0)),"Morning",
  AND(L4552&gt;=TIME(16,0,0), L4552&lt;TIME(23,59,0)),"Evening",
  L4552&gt;=TIME(23,59,0),"Night",
  L4552&lt;TIME(9,0,0),"Night"
))</f>
        <v/>
      </c>
      <c r="O4552" t="str">
        <f t="shared" si="428"/>
        <v/>
      </c>
    </row>
    <row r="4553" spans="7:15" x14ac:dyDescent="0.25">
      <c r="G4553" t="str">
        <f t="shared" si="426"/>
        <v/>
      </c>
      <c r="H4553" s="13" t="str">
        <f t="shared" si="429"/>
        <v/>
      </c>
      <c r="I4553" t="str">
        <f>IFERROR(INDEX(Analysis!$D$116:$N$137, MATCH(B4553, Analysis!$C$116:$C$137, 0), MATCH(C4553, Analysis!$D$115:$N$115, 0)), "")</f>
        <v/>
      </c>
      <c r="J4553" t="str">
        <f t="shared" si="430"/>
        <v/>
      </c>
      <c r="K4553" s="28" t="str">
        <f t="shared" si="427"/>
        <v/>
      </c>
      <c r="L4553" s="46" t="str">
        <f t="shared" si="431"/>
        <v/>
      </c>
      <c r="M4553" t="str" cm="1">
        <f t="array" ref="M4553">IF(L4553="","",_xlfn.IFS(
  AND(L4553&gt;=TIME(9,0,0), L4553&lt;TIME(16,0,0)),"Morning",
  AND(L4553&gt;=TIME(16,0,0), L4553&lt;TIME(23,59,0)),"Evening",
  L4553&gt;=TIME(23,59,0),"Night",
  L4553&lt;TIME(9,0,0),"Night"
))</f>
        <v/>
      </c>
      <c r="O4553" t="str">
        <f t="shared" si="428"/>
        <v/>
      </c>
    </row>
    <row r="4554" spans="7:15" x14ac:dyDescent="0.25">
      <c r="G4554" t="str">
        <f t="shared" si="426"/>
        <v/>
      </c>
      <c r="H4554" s="13" t="str">
        <f t="shared" si="429"/>
        <v/>
      </c>
      <c r="I4554" t="str">
        <f>IFERROR(INDEX(Analysis!$D$116:$N$137, MATCH(B4554, Analysis!$C$116:$C$137, 0), MATCH(C4554, Analysis!$D$115:$N$115, 0)), "")</f>
        <v/>
      </c>
      <c r="J4554" t="str">
        <f t="shared" si="430"/>
        <v/>
      </c>
      <c r="K4554" s="28" t="str">
        <f t="shared" si="427"/>
        <v/>
      </c>
      <c r="L4554" s="46" t="str">
        <f t="shared" si="431"/>
        <v/>
      </c>
      <c r="M4554" t="str" cm="1">
        <f t="array" ref="M4554">IF(L4554="","",_xlfn.IFS(
  AND(L4554&gt;=TIME(9,0,0), L4554&lt;TIME(16,0,0)),"Morning",
  AND(L4554&gt;=TIME(16,0,0), L4554&lt;TIME(23,59,0)),"Evening",
  L4554&gt;=TIME(23,59,0),"Night",
  L4554&lt;TIME(9,0,0),"Night"
))</f>
        <v/>
      </c>
      <c r="O4554" t="str">
        <f t="shared" si="428"/>
        <v/>
      </c>
    </row>
    <row r="4555" spans="7:15" x14ac:dyDescent="0.25">
      <c r="G4555" t="str">
        <f t="shared" si="426"/>
        <v/>
      </c>
      <c r="H4555" s="13" t="str">
        <f t="shared" si="429"/>
        <v/>
      </c>
      <c r="I4555" t="str">
        <f>IFERROR(INDEX(Analysis!$D$116:$N$137, MATCH(B4555, Analysis!$C$116:$C$137, 0), MATCH(C4555, Analysis!$D$115:$N$115, 0)), "")</f>
        <v/>
      </c>
      <c r="J4555" t="str">
        <f t="shared" si="430"/>
        <v/>
      </c>
      <c r="K4555" s="28" t="str">
        <f t="shared" si="427"/>
        <v/>
      </c>
      <c r="L4555" s="46" t="str">
        <f t="shared" si="431"/>
        <v/>
      </c>
      <c r="M4555" t="str" cm="1">
        <f t="array" ref="M4555">IF(L4555="","",_xlfn.IFS(
  AND(L4555&gt;=TIME(9,0,0), L4555&lt;TIME(16,0,0)),"Morning",
  AND(L4555&gt;=TIME(16,0,0), L4555&lt;TIME(23,59,0)),"Evening",
  L4555&gt;=TIME(23,59,0),"Night",
  L4555&lt;TIME(9,0,0),"Night"
))</f>
        <v/>
      </c>
      <c r="O4555" t="str">
        <f t="shared" si="428"/>
        <v/>
      </c>
    </row>
    <row r="4556" spans="7:15" x14ac:dyDescent="0.25">
      <c r="G4556" t="str">
        <f t="shared" si="426"/>
        <v/>
      </c>
      <c r="H4556" s="13" t="str">
        <f t="shared" si="429"/>
        <v/>
      </c>
      <c r="I4556" t="str">
        <f>IFERROR(INDEX(Analysis!$D$116:$N$137, MATCH(B4556, Analysis!$C$116:$C$137, 0), MATCH(C4556, Analysis!$D$115:$N$115, 0)), "")</f>
        <v/>
      </c>
      <c r="J4556" t="str">
        <f t="shared" si="430"/>
        <v/>
      </c>
      <c r="K4556" s="28" t="str">
        <f t="shared" si="427"/>
        <v/>
      </c>
      <c r="L4556" s="46" t="str">
        <f t="shared" si="431"/>
        <v/>
      </c>
      <c r="M4556" t="str" cm="1">
        <f t="array" ref="M4556">IF(L4556="","",_xlfn.IFS(
  AND(L4556&gt;=TIME(9,0,0), L4556&lt;TIME(16,0,0)),"Morning",
  AND(L4556&gt;=TIME(16,0,0), L4556&lt;TIME(23,59,0)),"Evening",
  L4556&gt;=TIME(23,59,0),"Night",
  L4556&lt;TIME(9,0,0),"Night"
))</f>
        <v/>
      </c>
      <c r="O4556" t="str">
        <f t="shared" si="428"/>
        <v/>
      </c>
    </row>
    <row r="4557" spans="7:15" x14ac:dyDescent="0.25">
      <c r="G4557" t="str">
        <f t="shared" si="426"/>
        <v/>
      </c>
      <c r="H4557" s="13" t="str">
        <f t="shared" si="429"/>
        <v/>
      </c>
      <c r="I4557" t="str">
        <f>IFERROR(INDEX(Analysis!$D$116:$N$137, MATCH(B4557, Analysis!$C$116:$C$137, 0), MATCH(C4557, Analysis!$D$115:$N$115, 0)), "")</f>
        <v/>
      </c>
      <c r="J4557" t="str">
        <f t="shared" si="430"/>
        <v/>
      </c>
      <c r="K4557" s="28" t="str">
        <f t="shared" si="427"/>
        <v/>
      </c>
      <c r="L4557" s="46" t="str">
        <f t="shared" si="431"/>
        <v/>
      </c>
      <c r="M4557" t="str" cm="1">
        <f t="array" ref="M4557">IF(L4557="","",_xlfn.IFS(
  AND(L4557&gt;=TIME(9,0,0), L4557&lt;TIME(16,0,0)),"Morning",
  AND(L4557&gt;=TIME(16,0,0), L4557&lt;TIME(23,59,0)),"Evening",
  L4557&gt;=TIME(23,59,0),"Night",
  L4557&lt;TIME(9,0,0),"Night"
))</f>
        <v/>
      </c>
      <c r="O4557" t="str">
        <f t="shared" si="428"/>
        <v/>
      </c>
    </row>
    <row r="4558" spans="7:15" x14ac:dyDescent="0.25">
      <c r="G4558" t="str">
        <f t="shared" si="426"/>
        <v/>
      </c>
      <c r="H4558" s="13" t="str">
        <f t="shared" si="429"/>
        <v/>
      </c>
      <c r="I4558" t="str">
        <f>IFERROR(INDEX(Analysis!$D$116:$N$137, MATCH(B4558, Analysis!$C$116:$C$137, 0), MATCH(C4558, Analysis!$D$115:$N$115, 0)), "")</f>
        <v/>
      </c>
      <c r="J4558" t="str">
        <f t="shared" si="430"/>
        <v/>
      </c>
      <c r="K4558" s="28" t="str">
        <f t="shared" si="427"/>
        <v/>
      </c>
      <c r="L4558" s="46" t="str">
        <f t="shared" si="431"/>
        <v/>
      </c>
      <c r="M4558" t="str" cm="1">
        <f t="array" ref="M4558">IF(L4558="","",_xlfn.IFS(
  AND(L4558&gt;=TIME(9,0,0), L4558&lt;TIME(16,0,0)),"Morning",
  AND(L4558&gt;=TIME(16,0,0), L4558&lt;TIME(23,59,0)),"Evening",
  L4558&gt;=TIME(23,59,0),"Night",
  L4558&lt;TIME(9,0,0),"Night"
))</f>
        <v/>
      </c>
      <c r="O4558" t="str">
        <f t="shared" si="428"/>
        <v/>
      </c>
    </row>
    <row r="4559" spans="7:15" x14ac:dyDescent="0.25">
      <c r="G4559" t="str">
        <f t="shared" si="426"/>
        <v/>
      </c>
      <c r="H4559" s="13" t="str">
        <f t="shared" si="429"/>
        <v/>
      </c>
      <c r="I4559" t="str">
        <f>IFERROR(INDEX(Analysis!$D$116:$N$137, MATCH(B4559, Analysis!$C$116:$C$137, 0), MATCH(C4559, Analysis!$D$115:$N$115, 0)), "")</f>
        <v/>
      </c>
      <c r="J4559" t="str">
        <f t="shared" si="430"/>
        <v/>
      </c>
      <c r="K4559" s="28" t="str">
        <f t="shared" si="427"/>
        <v/>
      </c>
      <c r="L4559" s="46" t="str">
        <f t="shared" si="431"/>
        <v/>
      </c>
      <c r="M4559" t="str" cm="1">
        <f t="array" ref="M4559">IF(L4559="","",_xlfn.IFS(
  AND(L4559&gt;=TIME(9,0,0), L4559&lt;TIME(16,0,0)),"Morning",
  AND(L4559&gt;=TIME(16,0,0), L4559&lt;TIME(23,59,0)),"Evening",
  L4559&gt;=TIME(23,59,0),"Night",
  L4559&lt;TIME(9,0,0),"Night"
))</f>
        <v/>
      </c>
      <c r="O4559" t="str">
        <f t="shared" si="428"/>
        <v/>
      </c>
    </row>
    <row r="4560" spans="7:15" x14ac:dyDescent="0.25">
      <c r="G4560" t="str">
        <f t="shared" si="426"/>
        <v/>
      </c>
      <c r="H4560" s="13" t="str">
        <f t="shared" si="429"/>
        <v/>
      </c>
      <c r="I4560" t="str">
        <f>IFERROR(INDEX(Analysis!$D$116:$N$137, MATCH(B4560, Analysis!$C$116:$C$137, 0), MATCH(C4560, Analysis!$D$115:$N$115, 0)), "")</f>
        <v/>
      </c>
      <c r="J4560" t="str">
        <f t="shared" si="430"/>
        <v/>
      </c>
      <c r="K4560" s="28" t="str">
        <f t="shared" si="427"/>
        <v/>
      </c>
      <c r="L4560" s="46" t="str">
        <f t="shared" si="431"/>
        <v/>
      </c>
      <c r="M4560" t="str" cm="1">
        <f t="array" ref="M4560">IF(L4560="","",_xlfn.IFS(
  AND(L4560&gt;=TIME(9,0,0), L4560&lt;TIME(16,0,0)),"Morning",
  AND(L4560&gt;=TIME(16,0,0), L4560&lt;TIME(23,59,0)),"Evening",
  L4560&gt;=TIME(23,59,0),"Night",
  L4560&lt;TIME(9,0,0),"Night"
))</f>
        <v/>
      </c>
      <c r="O4560" t="str">
        <f t="shared" si="428"/>
        <v/>
      </c>
    </row>
    <row r="4561" spans="7:15" x14ac:dyDescent="0.25">
      <c r="G4561" t="str">
        <f t="shared" si="426"/>
        <v/>
      </c>
      <c r="H4561" s="13" t="str">
        <f t="shared" si="429"/>
        <v/>
      </c>
      <c r="I4561" t="str">
        <f>IFERROR(INDEX(Analysis!$D$116:$N$137, MATCH(B4561, Analysis!$C$116:$C$137, 0), MATCH(C4561, Analysis!$D$115:$N$115, 0)), "")</f>
        <v/>
      </c>
      <c r="J4561" t="str">
        <f t="shared" si="430"/>
        <v/>
      </c>
      <c r="K4561" s="28" t="str">
        <f t="shared" si="427"/>
        <v/>
      </c>
      <c r="L4561" s="46" t="str">
        <f t="shared" si="431"/>
        <v/>
      </c>
      <c r="M4561" t="str" cm="1">
        <f t="array" ref="M4561">IF(L4561="","",_xlfn.IFS(
  AND(L4561&gt;=TIME(9,0,0), L4561&lt;TIME(16,0,0)),"Morning",
  AND(L4561&gt;=TIME(16,0,0), L4561&lt;TIME(23,59,0)),"Evening",
  L4561&gt;=TIME(23,59,0),"Night",
  L4561&lt;TIME(9,0,0),"Night"
))</f>
        <v/>
      </c>
      <c r="O4561" t="str">
        <f t="shared" si="428"/>
        <v/>
      </c>
    </row>
    <row r="4562" spans="7:15" x14ac:dyDescent="0.25">
      <c r="G4562" t="str">
        <f t="shared" si="426"/>
        <v/>
      </c>
      <c r="H4562" s="13" t="str">
        <f t="shared" si="429"/>
        <v/>
      </c>
      <c r="I4562" t="str">
        <f>IFERROR(INDEX(Analysis!$D$116:$N$137, MATCH(B4562, Analysis!$C$116:$C$137, 0), MATCH(C4562, Analysis!$D$115:$N$115, 0)), "")</f>
        <v/>
      </c>
      <c r="J4562" t="str">
        <f t="shared" si="430"/>
        <v/>
      </c>
      <c r="K4562" s="28" t="str">
        <f t="shared" si="427"/>
        <v/>
      </c>
      <c r="L4562" s="46" t="str">
        <f t="shared" si="431"/>
        <v/>
      </c>
      <c r="M4562" t="str" cm="1">
        <f t="array" ref="M4562">IF(L4562="","",_xlfn.IFS(
  AND(L4562&gt;=TIME(9,0,0), L4562&lt;TIME(16,0,0)),"Morning",
  AND(L4562&gt;=TIME(16,0,0), L4562&lt;TIME(23,59,0)),"Evening",
  L4562&gt;=TIME(23,59,0),"Night",
  L4562&lt;TIME(9,0,0),"Night"
))</f>
        <v/>
      </c>
      <c r="O4562" t="str">
        <f t="shared" si="428"/>
        <v/>
      </c>
    </row>
    <row r="4563" spans="7:15" x14ac:dyDescent="0.25">
      <c r="G4563" t="str">
        <f t="shared" si="426"/>
        <v/>
      </c>
      <c r="H4563" s="13" t="str">
        <f t="shared" si="429"/>
        <v/>
      </c>
      <c r="I4563" t="str">
        <f>IFERROR(INDEX(Analysis!$D$116:$N$137, MATCH(B4563, Analysis!$C$116:$C$137, 0), MATCH(C4563, Analysis!$D$115:$N$115, 0)), "")</f>
        <v/>
      </c>
      <c r="J4563" t="str">
        <f t="shared" si="430"/>
        <v/>
      </c>
      <c r="K4563" s="28" t="str">
        <f t="shared" si="427"/>
        <v/>
      </c>
      <c r="L4563" s="46" t="str">
        <f t="shared" si="431"/>
        <v/>
      </c>
      <c r="M4563" t="str" cm="1">
        <f t="array" ref="M4563">IF(L4563="","",_xlfn.IFS(
  AND(L4563&gt;=TIME(9,0,0), L4563&lt;TIME(16,0,0)),"Morning",
  AND(L4563&gt;=TIME(16,0,0), L4563&lt;TIME(23,59,0)),"Evening",
  L4563&gt;=TIME(23,59,0),"Night",
  L4563&lt;TIME(9,0,0),"Night"
))</f>
        <v/>
      </c>
      <c r="O4563" t="str">
        <f t="shared" si="428"/>
        <v/>
      </c>
    </row>
    <row r="4564" spans="7:15" x14ac:dyDescent="0.25">
      <c r="G4564" t="str">
        <f t="shared" si="426"/>
        <v/>
      </c>
      <c r="H4564" s="13" t="str">
        <f t="shared" si="429"/>
        <v/>
      </c>
      <c r="I4564" t="str">
        <f>IFERROR(INDEX(Analysis!$D$116:$N$137, MATCH(B4564, Analysis!$C$116:$C$137, 0), MATCH(C4564, Analysis!$D$115:$N$115, 0)), "")</f>
        <v/>
      </c>
      <c r="J4564" t="str">
        <f t="shared" si="430"/>
        <v/>
      </c>
      <c r="K4564" s="28" t="str">
        <f t="shared" si="427"/>
        <v/>
      </c>
      <c r="L4564" s="46" t="str">
        <f t="shared" si="431"/>
        <v/>
      </c>
      <c r="M4564" t="str" cm="1">
        <f t="array" ref="M4564">IF(L4564="","",_xlfn.IFS(
  AND(L4564&gt;=TIME(9,0,0), L4564&lt;TIME(16,0,0)),"Morning",
  AND(L4564&gt;=TIME(16,0,0), L4564&lt;TIME(23,59,0)),"Evening",
  L4564&gt;=TIME(23,59,0),"Night",
  L4564&lt;TIME(9,0,0),"Night"
))</f>
        <v/>
      </c>
      <c r="O4564" t="str">
        <f t="shared" si="428"/>
        <v/>
      </c>
    </row>
    <row r="4565" spans="7:15" x14ac:dyDescent="0.25">
      <c r="G4565" t="str">
        <f t="shared" si="426"/>
        <v/>
      </c>
      <c r="H4565" s="13" t="str">
        <f t="shared" si="429"/>
        <v/>
      </c>
      <c r="I4565" t="str">
        <f>IFERROR(INDEX(Analysis!$D$116:$N$137, MATCH(B4565, Analysis!$C$116:$C$137, 0), MATCH(C4565, Analysis!$D$115:$N$115, 0)), "")</f>
        <v/>
      </c>
      <c r="J4565" t="str">
        <f t="shared" si="430"/>
        <v/>
      </c>
      <c r="K4565" s="28" t="str">
        <f t="shared" si="427"/>
        <v/>
      </c>
      <c r="L4565" s="46" t="str">
        <f t="shared" si="431"/>
        <v/>
      </c>
      <c r="M4565" t="str" cm="1">
        <f t="array" ref="M4565">IF(L4565="","",_xlfn.IFS(
  AND(L4565&gt;=TIME(9,0,0), L4565&lt;TIME(16,0,0)),"Morning",
  AND(L4565&gt;=TIME(16,0,0), L4565&lt;TIME(23,59,0)),"Evening",
  L4565&gt;=TIME(23,59,0),"Night",
  L4565&lt;TIME(9,0,0),"Night"
))</f>
        <v/>
      </c>
      <c r="O4565" t="str">
        <f t="shared" si="428"/>
        <v/>
      </c>
    </row>
    <row r="4566" spans="7:15" x14ac:dyDescent="0.25">
      <c r="G4566" t="str">
        <f t="shared" si="426"/>
        <v/>
      </c>
      <c r="H4566" s="13" t="str">
        <f t="shared" si="429"/>
        <v/>
      </c>
      <c r="I4566" t="str">
        <f>IFERROR(INDEX(Analysis!$D$116:$N$137, MATCH(B4566, Analysis!$C$116:$C$137, 0), MATCH(C4566, Analysis!$D$115:$N$115, 0)), "")</f>
        <v/>
      </c>
      <c r="J4566" t="str">
        <f t="shared" si="430"/>
        <v/>
      </c>
      <c r="K4566" s="28" t="str">
        <f t="shared" si="427"/>
        <v/>
      </c>
      <c r="L4566" s="46" t="str">
        <f t="shared" si="431"/>
        <v/>
      </c>
      <c r="M4566" t="str" cm="1">
        <f t="array" ref="M4566">IF(L4566="","",_xlfn.IFS(
  AND(L4566&gt;=TIME(9,0,0), L4566&lt;TIME(16,0,0)),"Morning",
  AND(L4566&gt;=TIME(16,0,0), L4566&lt;TIME(23,59,0)),"Evening",
  L4566&gt;=TIME(23,59,0),"Night",
  L4566&lt;TIME(9,0,0),"Night"
))</f>
        <v/>
      </c>
      <c r="O4566" t="str">
        <f t="shared" si="428"/>
        <v/>
      </c>
    </row>
    <row r="4567" spans="7:15" x14ac:dyDescent="0.25">
      <c r="G4567" t="str">
        <f t="shared" si="426"/>
        <v/>
      </c>
      <c r="H4567" s="13" t="str">
        <f t="shared" si="429"/>
        <v/>
      </c>
      <c r="I4567" t="str">
        <f>IFERROR(INDEX(Analysis!$D$116:$N$137, MATCH(B4567, Analysis!$C$116:$C$137, 0), MATCH(C4567, Analysis!$D$115:$N$115, 0)), "")</f>
        <v/>
      </c>
      <c r="J4567" t="str">
        <f t="shared" si="430"/>
        <v/>
      </c>
      <c r="K4567" s="28" t="str">
        <f t="shared" si="427"/>
        <v/>
      </c>
      <c r="L4567" s="46" t="str">
        <f t="shared" si="431"/>
        <v/>
      </c>
      <c r="M4567" t="str" cm="1">
        <f t="array" ref="M4567">IF(L4567="","",_xlfn.IFS(
  AND(L4567&gt;=TIME(9,0,0), L4567&lt;TIME(16,0,0)),"Morning",
  AND(L4567&gt;=TIME(16,0,0), L4567&lt;TIME(23,59,0)),"Evening",
  L4567&gt;=TIME(23,59,0),"Night",
  L4567&lt;TIME(9,0,0),"Night"
))</f>
        <v/>
      </c>
      <c r="O4567" t="str">
        <f t="shared" si="428"/>
        <v/>
      </c>
    </row>
    <row r="4568" spans="7:15" x14ac:dyDescent="0.25">
      <c r="G4568" t="str">
        <f t="shared" si="426"/>
        <v/>
      </c>
      <c r="H4568" s="13" t="str">
        <f t="shared" si="429"/>
        <v/>
      </c>
      <c r="I4568" t="str">
        <f>IFERROR(INDEX(Analysis!$D$116:$N$137, MATCH(B4568, Analysis!$C$116:$C$137, 0), MATCH(C4568, Analysis!$D$115:$N$115, 0)), "")</f>
        <v/>
      </c>
      <c r="J4568" t="str">
        <f t="shared" si="430"/>
        <v/>
      </c>
      <c r="K4568" s="28" t="str">
        <f t="shared" si="427"/>
        <v/>
      </c>
      <c r="L4568" s="46" t="str">
        <f t="shared" si="431"/>
        <v/>
      </c>
      <c r="M4568" t="str" cm="1">
        <f t="array" ref="M4568">IF(L4568="","",_xlfn.IFS(
  AND(L4568&gt;=TIME(9,0,0), L4568&lt;TIME(16,0,0)),"Morning",
  AND(L4568&gt;=TIME(16,0,0), L4568&lt;TIME(23,59,0)),"Evening",
  L4568&gt;=TIME(23,59,0),"Night",
  L4568&lt;TIME(9,0,0),"Night"
))</f>
        <v/>
      </c>
      <c r="O4568" t="str">
        <f t="shared" si="428"/>
        <v/>
      </c>
    </row>
    <row r="4569" spans="7:15" x14ac:dyDescent="0.25">
      <c r="G4569" t="str">
        <f t="shared" si="426"/>
        <v/>
      </c>
      <c r="H4569" s="13" t="str">
        <f t="shared" si="429"/>
        <v/>
      </c>
      <c r="I4569" t="str">
        <f>IFERROR(INDEX(Analysis!$D$116:$N$137, MATCH(B4569, Analysis!$C$116:$C$137, 0), MATCH(C4569, Analysis!$D$115:$N$115, 0)), "")</f>
        <v/>
      </c>
      <c r="J4569" t="str">
        <f t="shared" si="430"/>
        <v/>
      </c>
      <c r="K4569" s="28" t="str">
        <f t="shared" si="427"/>
        <v/>
      </c>
      <c r="L4569" s="46" t="str">
        <f t="shared" si="431"/>
        <v/>
      </c>
      <c r="M4569" t="str" cm="1">
        <f t="array" ref="M4569">IF(L4569="","",_xlfn.IFS(
  AND(L4569&gt;=TIME(9,0,0), L4569&lt;TIME(16,0,0)),"Morning",
  AND(L4569&gt;=TIME(16,0,0), L4569&lt;TIME(23,59,0)),"Evening",
  L4569&gt;=TIME(23,59,0),"Night",
  L4569&lt;TIME(9,0,0),"Night"
))</f>
        <v/>
      </c>
      <c r="O4569" t="str">
        <f t="shared" si="428"/>
        <v/>
      </c>
    </row>
    <row r="4570" spans="7:15" x14ac:dyDescent="0.25">
      <c r="G4570" t="str">
        <f t="shared" si="426"/>
        <v/>
      </c>
      <c r="H4570" s="13" t="str">
        <f t="shared" si="429"/>
        <v/>
      </c>
      <c r="I4570" t="str">
        <f>IFERROR(INDEX(Analysis!$D$116:$N$137, MATCH(B4570, Analysis!$C$116:$C$137, 0), MATCH(C4570, Analysis!$D$115:$N$115, 0)), "")</f>
        <v/>
      </c>
      <c r="J4570" t="str">
        <f t="shared" si="430"/>
        <v/>
      </c>
      <c r="K4570" s="28" t="str">
        <f t="shared" si="427"/>
        <v/>
      </c>
      <c r="L4570" s="46" t="str">
        <f t="shared" si="431"/>
        <v/>
      </c>
      <c r="M4570" t="str" cm="1">
        <f t="array" ref="M4570">IF(L4570="","",_xlfn.IFS(
  AND(L4570&gt;=TIME(9,0,0), L4570&lt;TIME(16,0,0)),"Morning",
  AND(L4570&gt;=TIME(16,0,0), L4570&lt;TIME(23,59,0)),"Evening",
  L4570&gt;=TIME(23,59,0),"Night",
  L4570&lt;TIME(9,0,0),"Night"
))</f>
        <v/>
      </c>
      <c r="O4570" t="str">
        <f t="shared" si="428"/>
        <v/>
      </c>
    </row>
    <row r="4571" spans="7:15" x14ac:dyDescent="0.25">
      <c r="G4571" t="str">
        <f t="shared" si="426"/>
        <v/>
      </c>
      <c r="H4571" s="13" t="str">
        <f t="shared" si="429"/>
        <v/>
      </c>
      <c r="I4571" t="str">
        <f>IFERROR(INDEX(Analysis!$D$116:$N$137, MATCH(B4571, Analysis!$C$116:$C$137, 0), MATCH(C4571, Analysis!$D$115:$N$115, 0)), "")</f>
        <v/>
      </c>
      <c r="J4571" t="str">
        <f t="shared" si="430"/>
        <v/>
      </c>
      <c r="K4571" s="28" t="str">
        <f t="shared" si="427"/>
        <v/>
      </c>
      <c r="L4571" s="46" t="str">
        <f t="shared" si="431"/>
        <v/>
      </c>
      <c r="M4571" t="str" cm="1">
        <f t="array" ref="M4571">IF(L4571="","",_xlfn.IFS(
  AND(L4571&gt;=TIME(9,0,0), L4571&lt;TIME(16,0,0)),"Morning",
  AND(L4571&gt;=TIME(16,0,0), L4571&lt;TIME(23,59,0)),"Evening",
  L4571&gt;=TIME(23,59,0),"Night",
  L4571&lt;TIME(9,0,0),"Night"
))</f>
        <v/>
      </c>
      <c r="O4571" t="str">
        <f t="shared" si="428"/>
        <v/>
      </c>
    </row>
    <row r="4572" spans="7:15" x14ac:dyDescent="0.25">
      <c r="G4572" t="str">
        <f t="shared" si="426"/>
        <v/>
      </c>
      <c r="H4572" s="13" t="str">
        <f t="shared" si="429"/>
        <v/>
      </c>
      <c r="I4572" t="str">
        <f>IFERROR(INDEX(Analysis!$D$116:$N$137, MATCH(B4572, Analysis!$C$116:$C$137, 0), MATCH(C4572, Analysis!$D$115:$N$115, 0)), "")</f>
        <v/>
      </c>
      <c r="J4572" t="str">
        <f t="shared" si="430"/>
        <v/>
      </c>
      <c r="K4572" s="28" t="str">
        <f t="shared" si="427"/>
        <v/>
      </c>
      <c r="L4572" s="46" t="str">
        <f t="shared" si="431"/>
        <v/>
      </c>
      <c r="M4572" t="str" cm="1">
        <f t="array" ref="M4572">IF(L4572="","",_xlfn.IFS(
  AND(L4572&gt;=TIME(9,0,0), L4572&lt;TIME(16,0,0)),"Morning",
  AND(L4572&gt;=TIME(16,0,0), L4572&lt;TIME(23,59,0)),"Evening",
  L4572&gt;=TIME(23,59,0),"Night",
  L4572&lt;TIME(9,0,0),"Night"
))</f>
        <v/>
      </c>
      <c r="O4572" t="str">
        <f t="shared" si="428"/>
        <v/>
      </c>
    </row>
    <row r="4573" spans="7:15" x14ac:dyDescent="0.25">
      <c r="G4573" t="str">
        <f t="shared" si="426"/>
        <v/>
      </c>
      <c r="H4573" s="13" t="str">
        <f t="shared" si="429"/>
        <v/>
      </c>
      <c r="I4573" t="str">
        <f>IFERROR(INDEX(Analysis!$D$116:$N$137, MATCH(B4573, Analysis!$C$116:$C$137, 0), MATCH(C4573, Analysis!$D$115:$N$115, 0)), "")</f>
        <v/>
      </c>
      <c r="J4573" t="str">
        <f t="shared" si="430"/>
        <v/>
      </c>
      <c r="K4573" s="28" t="str">
        <f t="shared" si="427"/>
        <v/>
      </c>
      <c r="L4573" s="46" t="str">
        <f t="shared" si="431"/>
        <v/>
      </c>
      <c r="M4573" t="str" cm="1">
        <f t="array" ref="M4573">IF(L4573="","",_xlfn.IFS(
  AND(L4573&gt;=TIME(9,0,0), L4573&lt;TIME(16,0,0)),"Morning",
  AND(L4573&gt;=TIME(16,0,0), L4573&lt;TIME(23,59,0)),"Evening",
  L4573&gt;=TIME(23,59,0),"Night",
  L4573&lt;TIME(9,0,0),"Night"
))</f>
        <v/>
      </c>
      <c r="O4573" t="str">
        <f t="shared" si="428"/>
        <v/>
      </c>
    </row>
    <row r="4574" spans="7:15" x14ac:dyDescent="0.25">
      <c r="G4574" t="str">
        <f t="shared" si="426"/>
        <v/>
      </c>
      <c r="H4574" s="13" t="str">
        <f t="shared" si="429"/>
        <v/>
      </c>
      <c r="I4574" t="str">
        <f>IFERROR(INDEX(Analysis!$D$116:$N$137, MATCH(B4574, Analysis!$C$116:$C$137, 0), MATCH(C4574, Analysis!$D$115:$N$115, 0)), "")</f>
        <v/>
      </c>
      <c r="J4574" t="str">
        <f t="shared" si="430"/>
        <v/>
      </c>
      <c r="K4574" s="28" t="str">
        <f t="shared" si="427"/>
        <v/>
      </c>
      <c r="L4574" s="46" t="str">
        <f t="shared" si="431"/>
        <v/>
      </c>
      <c r="M4574" t="str" cm="1">
        <f t="array" ref="M4574">IF(L4574="","",_xlfn.IFS(
  AND(L4574&gt;=TIME(9,0,0), L4574&lt;TIME(16,0,0)),"Morning",
  AND(L4574&gt;=TIME(16,0,0), L4574&lt;TIME(23,59,0)),"Evening",
  L4574&gt;=TIME(23,59,0),"Night",
  L4574&lt;TIME(9,0,0),"Night"
))</f>
        <v/>
      </c>
      <c r="O4574" t="str">
        <f t="shared" si="428"/>
        <v/>
      </c>
    </row>
    <row r="4575" spans="7:15" x14ac:dyDescent="0.25">
      <c r="G4575" t="str">
        <f t="shared" si="426"/>
        <v/>
      </c>
      <c r="H4575" s="13" t="str">
        <f t="shared" si="429"/>
        <v/>
      </c>
      <c r="I4575" t="str">
        <f>IFERROR(INDEX(Analysis!$D$116:$N$137, MATCH(B4575, Analysis!$C$116:$C$137, 0), MATCH(C4575, Analysis!$D$115:$N$115, 0)), "")</f>
        <v/>
      </c>
      <c r="J4575" t="str">
        <f t="shared" si="430"/>
        <v/>
      </c>
      <c r="K4575" s="28" t="str">
        <f t="shared" si="427"/>
        <v/>
      </c>
      <c r="L4575" s="46" t="str">
        <f t="shared" si="431"/>
        <v/>
      </c>
      <c r="M4575" t="str" cm="1">
        <f t="array" ref="M4575">IF(L4575="","",_xlfn.IFS(
  AND(L4575&gt;=TIME(9,0,0), L4575&lt;TIME(16,0,0)),"Morning",
  AND(L4575&gt;=TIME(16,0,0), L4575&lt;TIME(23,59,0)),"Evening",
  L4575&gt;=TIME(23,59,0),"Night",
  L4575&lt;TIME(9,0,0),"Night"
))</f>
        <v/>
      </c>
      <c r="O4575" t="str">
        <f t="shared" si="428"/>
        <v/>
      </c>
    </row>
    <row r="4576" spans="7:15" x14ac:dyDescent="0.25">
      <c r="G4576" t="str">
        <f t="shared" si="426"/>
        <v/>
      </c>
      <c r="H4576" s="13" t="str">
        <f t="shared" si="429"/>
        <v/>
      </c>
      <c r="I4576" t="str">
        <f>IFERROR(INDEX(Analysis!$D$116:$N$137, MATCH(B4576, Analysis!$C$116:$C$137, 0), MATCH(C4576, Analysis!$D$115:$N$115, 0)), "")</f>
        <v/>
      </c>
      <c r="J4576" t="str">
        <f t="shared" si="430"/>
        <v/>
      </c>
      <c r="K4576" s="28" t="str">
        <f t="shared" si="427"/>
        <v/>
      </c>
      <c r="L4576" s="46" t="str">
        <f t="shared" si="431"/>
        <v/>
      </c>
      <c r="M4576" t="str" cm="1">
        <f t="array" ref="M4576">IF(L4576="","",_xlfn.IFS(
  AND(L4576&gt;=TIME(9,0,0), L4576&lt;TIME(16,0,0)),"Morning",
  AND(L4576&gt;=TIME(16,0,0), L4576&lt;TIME(23,59,0)),"Evening",
  L4576&gt;=TIME(23,59,0),"Night",
  L4576&lt;TIME(9,0,0),"Night"
))</f>
        <v/>
      </c>
      <c r="O4576" t="str">
        <f t="shared" si="428"/>
        <v/>
      </c>
    </row>
    <row r="4577" spans="7:15" x14ac:dyDescent="0.25">
      <c r="G4577" t="str">
        <f t="shared" si="426"/>
        <v/>
      </c>
      <c r="H4577" s="13" t="str">
        <f t="shared" si="429"/>
        <v/>
      </c>
      <c r="I4577" t="str">
        <f>IFERROR(INDEX(Analysis!$D$116:$N$137, MATCH(B4577, Analysis!$C$116:$C$137, 0), MATCH(C4577, Analysis!$D$115:$N$115, 0)), "")</f>
        <v/>
      </c>
      <c r="J4577" t="str">
        <f t="shared" si="430"/>
        <v/>
      </c>
      <c r="K4577" s="28" t="str">
        <f t="shared" si="427"/>
        <v/>
      </c>
      <c r="L4577" s="46" t="str">
        <f t="shared" si="431"/>
        <v/>
      </c>
      <c r="M4577" t="str" cm="1">
        <f t="array" ref="M4577">IF(L4577="","",_xlfn.IFS(
  AND(L4577&gt;=TIME(9,0,0), L4577&lt;TIME(16,0,0)),"Morning",
  AND(L4577&gt;=TIME(16,0,0), L4577&lt;TIME(23,59,0)),"Evening",
  L4577&gt;=TIME(23,59,0),"Night",
  L4577&lt;TIME(9,0,0),"Night"
))</f>
        <v/>
      </c>
      <c r="O4577" t="str">
        <f t="shared" si="428"/>
        <v/>
      </c>
    </row>
    <row r="4578" spans="7:15" x14ac:dyDescent="0.25">
      <c r="G4578" t="str">
        <f t="shared" si="426"/>
        <v/>
      </c>
      <c r="H4578" s="13" t="str">
        <f t="shared" si="429"/>
        <v/>
      </c>
      <c r="I4578" t="str">
        <f>IFERROR(INDEX(Analysis!$D$116:$N$137, MATCH(B4578, Analysis!$C$116:$C$137, 0), MATCH(C4578, Analysis!$D$115:$N$115, 0)), "")</f>
        <v/>
      </c>
      <c r="J4578" t="str">
        <f t="shared" si="430"/>
        <v/>
      </c>
      <c r="K4578" s="28" t="str">
        <f t="shared" si="427"/>
        <v/>
      </c>
      <c r="L4578" s="46" t="str">
        <f t="shared" si="431"/>
        <v/>
      </c>
      <c r="M4578" t="str" cm="1">
        <f t="array" ref="M4578">IF(L4578="","",_xlfn.IFS(
  AND(L4578&gt;=TIME(9,0,0), L4578&lt;TIME(16,0,0)),"Morning",
  AND(L4578&gt;=TIME(16,0,0), L4578&lt;TIME(23,59,0)),"Evening",
  L4578&gt;=TIME(23,59,0),"Night",
  L4578&lt;TIME(9,0,0),"Night"
))</f>
        <v/>
      </c>
      <c r="O4578" t="str">
        <f t="shared" si="428"/>
        <v/>
      </c>
    </row>
    <row r="4579" spans="7:15" x14ac:dyDescent="0.25">
      <c r="G4579" t="str">
        <f t="shared" si="426"/>
        <v/>
      </c>
      <c r="H4579" s="13" t="str">
        <f t="shared" si="429"/>
        <v/>
      </c>
      <c r="I4579" t="str">
        <f>IFERROR(INDEX(Analysis!$D$116:$N$137, MATCH(B4579, Analysis!$C$116:$C$137, 0), MATCH(C4579, Analysis!$D$115:$N$115, 0)), "")</f>
        <v/>
      </c>
      <c r="J4579" t="str">
        <f t="shared" si="430"/>
        <v/>
      </c>
      <c r="K4579" s="28" t="str">
        <f t="shared" si="427"/>
        <v/>
      </c>
      <c r="L4579" s="46" t="str">
        <f t="shared" si="431"/>
        <v/>
      </c>
      <c r="M4579" t="str" cm="1">
        <f t="array" ref="M4579">IF(L4579="","",_xlfn.IFS(
  AND(L4579&gt;=TIME(9,0,0), L4579&lt;TIME(16,0,0)),"Morning",
  AND(L4579&gt;=TIME(16,0,0), L4579&lt;TIME(23,59,0)),"Evening",
  L4579&gt;=TIME(23,59,0),"Night",
  L4579&lt;TIME(9,0,0),"Night"
))</f>
        <v/>
      </c>
      <c r="O4579" t="str">
        <f t="shared" si="428"/>
        <v/>
      </c>
    </row>
    <row r="4580" spans="7:15" x14ac:dyDescent="0.25">
      <c r="G4580" t="str">
        <f t="shared" si="426"/>
        <v/>
      </c>
      <c r="H4580" s="13" t="str">
        <f t="shared" si="429"/>
        <v/>
      </c>
      <c r="I4580" t="str">
        <f>IFERROR(INDEX(Analysis!$D$116:$N$137, MATCH(B4580, Analysis!$C$116:$C$137, 0), MATCH(C4580, Analysis!$D$115:$N$115, 0)), "")</f>
        <v/>
      </c>
      <c r="J4580" t="str">
        <f t="shared" si="430"/>
        <v/>
      </c>
      <c r="K4580" s="28" t="str">
        <f t="shared" si="427"/>
        <v/>
      </c>
      <c r="L4580" s="46" t="str">
        <f t="shared" si="431"/>
        <v/>
      </c>
      <c r="M4580" t="str" cm="1">
        <f t="array" ref="M4580">IF(L4580="","",_xlfn.IFS(
  AND(L4580&gt;=TIME(9,0,0), L4580&lt;TIME(16,0,0)),"Morning",
  AND(L4580&gt;=TIME(16,0,0), L4580&lt;TIME(23,59,0)),"Evening",
  L4580&gt;=TIME(23,59,0),"Night",
  L4580&lt;TIME(9,0,0),"Night"
))</f>
        <v/>
      </c>
      <c r="O4580" t="str">
        <f t="shared" si="428"/>
        <v/>
      </c>
    </row>
    <row r="4581" spans="7:15" x14ac:dyDescent="0.25">
      <c r="G4581" t="str">
        <f t="shared" si="426"/>
        <v/>
      </c>
      <c r="H4581" s="13" t="str">
        <f t="shared" si="429"/>
        <v/>
      </c>
      <c r="I4581" t="str">
        <f>IFERROR(INDEX(Analysis!$D$116:$N$137, MATCH(B4581, Analysis!$C$116:$C$137, 0), MATCH(C4581, Analysis!$D$115:$N$115, 0)), "")</f>
        <v/>
      </c>
      <c r="J4581" t="str">
        <f t="shared" si="430"/>
        <v/>
      </c>
      <c r="K4581" s="28" t="str">
        <f t="shared" si="427"/>
        <v/>
      </c>
      <c r="L4581" s="46" t="str">
        <f t="shared" si="431"/>
        <v/>
      </c>
      <c r="M4581" t="str" cm="1">
        <f t="array" ref="M4581">IF(L4581="","",_xlfn.IFS(
  AND(L4581&gt;=TIME(9,0,0), L4581&lt;TIME(16,0,0)),"Morning",
  AND(L4581&gt;=TIME(16,0,0), L4581&lt;TIME(23,59,0)),"Evening",
  L4581&gt;=TIME(23,59,0),"Night",
  L4581&lt;TIME(9,0,0),"Night"
))</f>
        <v/>
      </c>
      <c r="O4581" t="str">
        <f t="shared" si="428"/>
        <v/>
      </c>
    </row>
    <row r="4582" spans="7:15" x14ac:dyDescent="0.25">
      <c r="G4582" t="str">
        <f t="shared" si="426"/>
        <v/>
      </c>
      <c r="H4582" s="13" t="str">
        <f t="shared" si="429"/>
        <v/>
      </c>
      <c r="I4582" t="str">
        <f>IFERROR(INDEX(Analysis!$D$116:$N$137, MATCH(B4582, Analysis!$C$116:$C$137, 0), MATCH(C4582, Analysis!$D$115:$N$115, 0)), "")</f>
        <v/>
      </c>
      <c r="J4582" t="str">
        <f t="shared" si="430"/>
        <v/>
      </c>
      <c r="K4582" s="28" t="str">
        <f t="shared" si="427"/>
        <v/>
      </c>
      <c r="L4582" s="46" t="str">
        <f t="shared" si="431"/>
        <v/>
      </c>
      <c r="M4582" t="str" cm="1">
        <f t="array" ref="M4582">IF(L4582="","",_xlfn.IFS(
  AND(L4582&gt;=TIME(9,0,0), L4582&lt;TIME(16,0,0)),"Morning",
  AND(L4582&gt;=TIME(16,0,0), L4582&lt;TIME(23,59,0)),"Evening",
  L4582&gt;=TIME(23,59,0),"Night",
  L4582&lt;TIME(9,0,0),"Night"
))</f>
        <v/>
      </c>
      <c r="O4582" t="str">
        <f t="shared" si="428"/>
        <v/>
      </c>
    </row>
    <row r="4583" spans="7:15" x14ac:dyDescent="0.25">
      <c r="G4583" t="str">
        <f t="shared" si="426"/>
        <v/>
      </c>
      <c r="H4583" s="13" t="str">
        <f t="shared" si="429"/>
        <v/>
      </c>
      <c r="I4583" t="str">
        <f>IFERROR(INDEX(Analysis!$D$116:$N$137, MATCH(B4583, Analysis!$C$116:$C$137, 0), MATCH(C4583, Analysis!$D$115:$N$115, 0)), "")</f>
        <v/>
      </c>
      <c r="J4583" t="str">
        <f t="shared" si="430"/>
        <v/>
      </c>
      <c r="K4583" s="28" t="str">
        <f t="shared" si="427"/>
        <v/>
      </c>
      <c r="L4583" s="46" t="str">
        <f t="shared" si="431"/>
        <v/>
      </c>
      <c r="M4583" t="str" cm="1">
        <f t="array" ref="M4583">IF(L4583="","",_xlfn.IFS(
  AND(L4583&gt;=TIME(9,0,0), L4583&lt;TIME(16,0,0)),"Morning",
  AND(L4583&gt;=TIME(16,0,0), L4583&lt;TIME(23,59,0)),"Evening",
  L4583&gt;=TIME(23,59,0),"Night",
  L4583&lt;TIME(9,0,0),"Night"
))</f>
        <v/>
      </c>
      <c r="O4583" t="str">
        <f t="shared" si="428"/>
        <v/>
      </c>
    </row>
    <row r="4584" spans="7:15" x14ac:dyDescent="0.25">
      <c r="G4584" t="str">
        <f t="shared" si="426"/>
        <v/>
      </c>
      <c r="H4584" s="13" t="str">
        <f t="shared" si="429"/>
        <v/>
      </c>
      <c r="I4584" t="str">
        <f>IFERROR(INDEX(Analysis!$D$116:$N$137, MATCH(B4584, Analysis!$C$116:$C$137, 0), MATCH(C4584, Analysis!$D$115:$N$115, 0)), "")</f>
        <v/>
      </c>
      <c r="J4584" t="str">
        <f t="shared" si="430"/>
        <v/>
      </c>
      <c r="K4584" s="28" t="str">
        <f t="shared" si="427"/>
        <v/>
      </c>
      <c r="L4584" s="46" t="str">
        <f t="shared" si="431"/>
        <v/>
      </c>
      <c r="M4584" t="str" cm="1">
        <f t="array" ref="M4584">IF(L4584="","",_xlfn.IFS(
  AND(L4584&gt;=TIME(9,0,0), L4584&lt;TIME(16,0,0)),"Morning",
  AND(L4584&gt;=TIME(16,0,0), L4584&lt;TIME(23,59,0)),"Evening",
  L4584&gt;=TIME(23,59,0),"Night",
  L4584&lt;TIME(9,0,0),"Night"
))</f>
        <v/>
      </c>
      <c r="O4584" t="str">
        <f t="shared" si="428"/>
        <v/>
      </c>
    </row>
    <row r="4585" spans="7:15" x14ac:dyDescent="0.25">
      <c r="G4585" t="str">
        <f t="shared" si="426"/>
        <v/>
      </c>
      <c r="H4585" s="13" t="str">
        <f t="shared" si="429"/>
        <v/>
      </c>
      <c r="I4585" t="str">
        <f>IFERROR(INDEX(Analysis!$D$116:$N$137, MATCH(B4585, Analysis!$C$116:$C$137, 0), MATCH(C4585, Analysis!$D$115:$N$115, 0)), "")</f>
        <v/>
      </c>
      <c r="J4585" t="str">
        <f t="shared" si="430"/>
        <v/>
      </c>
      <c r="K4585" s="28" t="str">
        <f t="shared" si="427"/>
        <v/>
      </c>
      <c r="L4585" s="46" t="str">
        <f t="shared" si="431"/>
        <v/>
      </c>
      <c r="M4585" t="str" cm="1">
        <f t="array" ref="M4585">IF(L4585="","",_xlfn.IFS(
  AND(L4585&gt;=TIME(9,0,0), L4585&lt;TIME(16,0,0)),"Morning",
  AND(L4585&gt;=TIME(16,0,0), L4585&lt;TIME(23,59,0)),"Evening",
  L4585&gt;=TIME(23,59,0),"Night",
  L4585&lt;TIME(9,0,0),"Night"
))</f>
        <v/>
      </c>
      <c r="O4585" t="str">
        <f t="shared" si="428"/>
        <v/>
      </c>
    </row>
    <row r="4586" spans="7:15" x14ac:dyDescent="0.25">
      <c r="G4586" t="str">
        <f t="shared" si="426"/>
        <v/>
      </c>
      <c r="H4586" s="13" t="str">
        <f t="shared" si="429"/>
        <v/>
      </c>
      <c r="I4586" t="str">
        <f>IFERROR(INDEX(Analysis!$D$116:$N$137, MATCH(B4586, Analysis!$C$116:$C$137, 0), MATCH(C4586, Analysis!$D$115:$N$115, 0)), "")</f>
        <v/>
      </c>
      <c r="J4586" t="str">
        <f t="shared" si="430"/>
        <v/>
      </c>
      <c r="K4586" s="28" t="str">
        <f t="shared" si="427"/>
        <v/>
      </c>
      <c r="L4586" s="46" t="str">
        <f t="shared" si="431"/>
        <v/>
      </c>
      <c r="M4586" t="str" cm="1">
        <f t="array" ref="M4586">IF(L4586="","",_xlfn.IFS(
  AND(L4586&gt;=TIME(9,0,0), L4586&lt;TIME(16,0,0)),"Morning",
  AND(L4586&gt;=TIME(16,0,0), L4586&lt;TIME(23,59,0)),"Evening",
  L4586&gt;=TIME(23,59,0),"Night",
  L4586&lt;TIME(9,0,0),"Night"
))</f>
        <v/>
      </c>
      <c r="O4586" t="str">
        <f t="shared" si="428"/>
        <v/>
      </c>
    </row>
    <row r="4587" spans="7:15" x14ac:dyDescent="0.25">
      <c r="G4587" t="str">
        <f t="shared" si="426"/>
        <v/>
      </c>
      <c r="H4587" s="13" t="str">
        <f t="shared" si="429"/>
        <v/>
      </c>
      <c r="I4587" t="str">
        <f>IFERROR(INDEX(Analysis!$D$116:$N$137, MATCH(B4587, Analysis!$C$116:$C$137, 0), MATCH(C4587, Analysis!$D$115:$N$115, 0)), "")</f>
        <v/>
      </c>
      <c r="J4587" t="str">
        <f t="shared" si="430"/>
        <v/>
      </c>
      <c r="K4587" s="28" t="str">
        <f t="shared" si="427"/>
        <v/>
      </c>
      <c r="L4587" s="46" t="str">
        <f t="shared" si="431"/>
        <v/>
      </c>
      <c r="M4587" t="str" cm="1">
        <f t="array" ref="M4587">IF(L4587="","",_xlfn.IFS(
  AND(L4587&gt;=TIME(9,0,0), L4587&lt;TIME(16,0,0)),"Morning",
  AND(L4587&gt;=TIME(16,0,0), L4587&lt;TIME(23,59,0)),"Evening",
  L4587&gt;=TIME(23,59,0),"Night",
  L4587&lt;TIME(9,0,0),"Night"
))</f>
        <v/>
      </c>
      <c r="O4587" t="str">
        <f t="shared" si="428"/>
        <v/>
      </c>
    </row>
    <row r="4588" spans="7:15" x14ac:dyDescent="0.25">
      <c r="G4588" t="str">
        <f t="shared" si="426"/>
        <v/>
      </c>
      <c r="H4588" s="13" t="str">
        <f t="shared" si="429"/>
        <v/>
      </c>
      <c r="I4588" t="str">
        <f>IFERROR(INDEX(Analysis!$D$116:$N$137, MATCH(B4588, Analysis!$C$116:$C$137, 0), MATCH(C4588, Analysis!$D$115:$N$115, 0)), "")</f>
        <v/>
      </c>
      <c r="J4588" t="str">
        <f t="shared" si="430"/>
        <v/>
      </c>
      <c r="K4588" s="28" t="str">
        <f t="shared" si="427"/>
        <v/>
      </c>
      <c r="L4588" s="46" t="str">
        <f t="shared" si="431"/>
        <v/>
      </c>
      <c r="M4588" t="str" cm="1">
        <f t="array" ref="M4588">IF(L4588="","",_xlfn.IFS(
  AND(L4588&gt;=TIME(9,0,0), L4588&lt;TIME(16,0,0)),"Morning",
  AND(L4588&gt;=TIME(16,0,0), L4588&lt;TIME(23,59,0)),"Evening",
  L4588&gt;=TIME(23,59,0),"Night",
  L4588&lt;TIME(9,0,0),"Night"
))</f>
        <v/>
      </c>
      <c r="O4588" t="str">
        <f t="shared" si="428"/>
        <v/>
      </c>
    </row>
    <row r="4589" spans="7:15" x14ac:dyDescent="0.25">
      <c r="G4589" t="str">
        <f t="shared" si="426"/>
        <v/>
      </c>
      <c r="H4589" s="13" t="str">
        <f t="shared" si="429"/>
        <v/>
      </c>
      <c r="I4589" t="str">
        <f>IFERROR(INDEX(Analysis!$D$116:$N$137, MATCH(B4589, Analysis!$C$116:$C$137, 0), MATCH(C4589, Analysis!$D$115:$N$115, 0)), "")</f>
        <v/>
      </c>
      <c r="J4589" t="str">
        <f t="shared" si="430"/>
        <v/>
      </c>
      <c r="K4589" s="28" t="str">
        <f t="shared" si="427"/>
        <v/>
      </c>
      <c r="L4589" s="46" t="str">
        <f t="shared" si="431"/>
        <v/>
      </c>
      <c r="M4589" t="str" cm="1">
        <f t="array" ref="M4589">IF(L4589="","",_xlfn.IFS(
  AND(L4589&gt;=TIME(9,0,0), L4589&lt;TIME(16,0,0)),"Morning",
  AND(L4589&gt;=TIME(16,0,0), L4589&lt;TIME(23,59,0)),"Evening",
  L4589&gt;=TIME(23,59,0),"Night",
  L4589&lt;TIME(9,0,0),"Night"
))</f>
        <v/>
      </c>
      <c r="O4589" t="str">
        <f t="shared" si="428"/>
        <v/>
      </c>
    </row>
    <row r="4590" spans="7:15" x14ac:dyDescent="0.25">
      <c r="G4590" t="str">
        <f t="shared" si="426"/>
        <v/>
      </c>
      <c r="H4590" s="13" t="str">
        <f t="shared" si="429"/>
        <v/>
      </c>
      <c r="I4590" t="str">
        <f>IFERROR(INDEX(Analysis!$D$116:$N$137, MATCH(B4590, Analysis!$C$116:$C$137, 0), MATCH(C4590, Analysis!$D$115:$N$115, 0)), "")</f>
        <v/>
      </c>
      <c r="J4590" t="str">
        <f t="shared" si="430"/>
        <v/>
      </c>
      <c r="K4590" s="28" t="str">
        <f t="shared" si="427"/>
        <v/>
      </c>
      <c r="L4590" s="46" t="str">
        <f t="shared" si="431"/>
        <v/>
      </c>
      <c r="M4590" t="str" cm="1">
        <f t="array" ref="M4590">IF(L4590="","",_xlfn.IFS(
  AND(L4590&gt;=TIME(9,0,0), L4590&lt;TIME(16,0,0)),"Morning",
  AND(L4590&gt;=TIME(16,0,0), L4590&lt;TIME(23,59,0)),"Evening",
  L4590&gt;=TIME(23,59,0),"Night",
  L4590&lt;TIME(9,0,0),"Night"
))</f>
        <v/>
      </c>
      <c r="O4590" t="str">
        <f t="shared" si="428"/>
        <v/>
      </c>
    </row>
    <row r="4591" spans="7:15" x14ac:dyDescent="0.25">
      <c r="G4591" t="str">
        <f t="shared" si="426"/>
        <v/>
      </c>
      <c r="H4591" s="13" t="str">
        <f t="shared" si="429"/>
        <v/>
      </c>
      <c r="I4591" t="str">
        <f>IFERROR(INDEX(Analysis!$D$116:$N$137, MATCH(B4591, Analysis!$C$116:$C$137, 0), MATCH(C4591, Analysis!$D$115:$N$115, 0)), "")</f>
        <v/>
      </c>
      <c r="J4591" t="str">
        <f t="shared" si="430"/>
        <v/>
      </c>
      <c r="K4591" s="28" t="str">
        <f t="shared" si="427"/>
        <v/>
      </c>
      <c r="L4591" s="46" t="str">
        <f t="shared" si="431"/>
        <v/>
      </c>
      <c r="M4591" t="str" cm="1">
        <f t="array" ref="M4591">IF(L4591="","",_xlfn.IFS(
  AND(L4591&gt;=TIME(9,0,0), L4591&lt;TIME(16,0,0)),"Morning",
  AND(L4591&gt;=TIME(16,0,0), L4591&lt;TIME(23,59,0)),"Evening",
  L4591&gt;=TIME(23,59,0),"Night",
  L4591&lt;TIME(9,0,0),"Night"
))</f>
        <v/>
      </c>
      <c r="O4591" t="str">
        <f t="shared" si="428"/>
        <v/>
      </c>
    </row>
    <row r="4592" spans="7:15" x14ac:dyDescent="0.25">
      <c r="G4592" t="str">
        <f t="shared" si="426"/>
        <v/>
      </c>
      <c r="H4592" s="13" t="str">
        <f t="shared" si="429"/>
        <v/>
      </c>
      <c r="I4592" t="str">
        <f>IFERROR(INDEX(Analysis!$D$116:$N$137, MATCH(B4592, Analysis!$C$116:$C$137, 0), MATCH(C4592, Analysis!$D$115:$N$115, 0)), "")</f>
        <v/>
      </c>
      <c r="J4592" t="str">
        <f t="shared" si="430"/>
        <v/>
      </c>
      <c r="K4592" s="28" t="str">
        <f t="shared" si="427"/>
        <v/>
      </c>
      <c r="L4592" s="46" t="str">
        <f t="shared" si="431"/>
        <v/>
      </c>
      <c r="M4592" t="str" cm="1">
        <f t="array" ref="M4592">IF(L4592="","",_xlfn.IFS(
  AND(L4592&gt;=TIME(9,0,0), L4592&lt;TIME(16,0,0)),"Morning",
  AND(L4592&gt;=TIME(16,0,0), L4592&lt;TIME(23,59,0)),"Evening",
  L4592&gt;=TIME(23,59,0),"Night",
  L4592&lt;TIME(9,0,0),"Night"
))</f>
        <v/>
      </c>
      <c r="O4592" t="str">
        <f t="shared" si="428"/>
        <v/>
      </c>
    </row>
    <row r="4593" spans="7:15" x14ac:dyDescent="0.25">
      <c r="G4593" t="str">
        <f t="shared" si="426"/>
        <v/>
      </c>
      <c r="H4593" s="13" t="str">
        <f t="shared" si="429"/>
        <v/>
      </c>
      <c r="I4593" t="str">
        <f>IFERROR(INDEX(Analysis!$D$116:$N$137, MATCH(B4593, Analysis!$C$116:$C$137, 0), MATCH(C4593, Analysis!$D$115:$N$115, 0)), "")</f>
        <v/>
      </c>
      <c r="J4593" t="str">
        <f t="shared" si="430"/>
        <v/>
      </c>
      <c r="K4593" s="28" t="str">
        <f t="shared" si="427"/>
        <v/>
      </c>
      <c r="L4593" s="46" t="str">
        <f t="shared" si="431"/>
        <v/>
      </c>
      <c r="M4593" t="str" cm="1">
        <f t="array" ref="M4593">IF(L4593="","",_xlfn.IFS(
  AND(L4593&gt;=TIME(9,0,0), L4593&lt;TIME(16,0,0)),"Morning",
  AND(L4593&gt;=TIME(16,0,0), L4593&lt;TIME(23,59,0)),"Evening",
  L4593&gt;=TIME(23,59,0),"Night",
  L4593&lt;TIME(9,0,0),"Night"
))</f>
        <v/>
      </c>
      <c r="O4593" t="str">
        <f t="shared" si="428"/>
        <v/>
      </c>
    </row>
    <row r="4594" spans="7:15" x14ac:dyDescent="0.25">
      <c r="G4594" t="str">
        <f t="shared" si="426"/>
        <v/>
      </c>
      <c r="H4594" s="13" t="str">
        <f t="shared" si="429"/>
        <v/>
      </c>
      <c r="I4594" t="str">
        <f>IFERROR(INDEX(Analysis!$D$116:$N$137, MATCH(B4594, Analysis!$C$116:$C$137, 0), MATCH(C4594, Analysis!$D$115:$N$115, 0)), "")</f>
        <v/>
      </c>
      <c r="J4594" t="str">
        <f t="shared" si="430"/>
        <v/>
      </c>
      <c r="K4594" s="28" t="str">
        <f t="shared" si="427"/>
        <v/>
      </c>
      <c r="L4594" s="46" t="str">
        <f t="shared" si="431"/>
        <v/>
      </c>
      <c r="M4594" t="str" cm="1">
        <f t="array" ref="M4594">IF(L4594="","",_xlfn.IFS(
  AND(L4594&gt;=TIME(9,0,0), L4594&lt;TIME(16,0,0)),"Morning",
  AND(L4594&gt;=TIME(16,0,0), L4594&lt;TIME(23,59,0)),"Evening",
  L4594&gt;=TIME(23,59,0),"Night",
  L4594&lt;TIME(9,0,0),"Night"
))</f>
        <v/>
      </c>
      <c r="O4594" t="str">
        <f t="shared" si="428"/>
        <v/>
      </c>
    </row>
    <row r="4595" spans="7:15" x14ac:dyDescent="0.25">
      <c r="G4595" t="str">
        <f t="shared" si="426"/>
        <v/>
      </c>
      <c r="H4595" s="13" t="str">
        <f t="shared" si="429"/>
        <v/>
      </c>
      <c r="I4595" t="str">
        <f>IFERROR(INDEX(Analysis!$D$116:$N$137, MATCH(B4595, Analysis!$C$116:$C$137, 0), MATCH(C4595, Analysis!$D$115:$N$115, 0)), "")</f>
        <v/>
      </c>
      <c r="J4595" t="str">
        <f t="shared" si="430"/>
        <v/>
      </c>
      <c r="K4595" s="28" t="str">
        <f t="shared" si="427"/>
        <v/>
      </c>
      <c r="L4595" s="46" t="str">
        <f t="shared" si="431"/>
        <v/>
      </c>
      <c r="M4595" t="str" cm="1">
        <f t="array" ref="M4595">IF(L4595="","",_xlfn.IFS(
  AND(L4595&gt;=TIME(9,0,0), L4595&lt;TIME(16,0,0)),"Morning",
  AND(L4595&gt;=TIME(16,0,0), L4595&lt;TIME(23,59,0)),"Evening",
  L4595&gt;=TIME(23,59,0),"Night",
  L4595&lt;TIME(9,0,0),"Night"
))</f>
        <v/>
      </c>
      <c r="O4595" t="str">
        <f t="shared" si="428"/>
        <v/>
      </c>
    </row>
    <row r="4596" spans="7:15" x14ac:dyDescent="0.25">
      <c r="G4596" t="str">
        <f t="shared" si="426"/>
        <v/>
      </c>
      <c r="H4596" s="13" t="str">
        <f t="shared" si="429"/>
        <v/>
      </c>
      <c r="I4596" t="str">
        <f>IFERROR(INDEX(Analysis!$D$116:$N$137, MATCH(B4596, Analysis!$C$116:$C$137, 0), MATCH(C4596, Analysis!$D$115:$N$115, 0)), "")</f>
        <v/>
      </c>
      <c r="J4596" t="str">
        <f t="shared" si="430"/>
        <v/>
      </c>
      <c r="K4596" s="28" t="str">
        <f t="shared" si="427"/>
        <v/>
      </c>
      <c r="L4596" s="46" t="str">
        <f t="shared" si="431"/>
        <v/>
      </c>
      <c r="M4596" t="str" cm="1">
        <f t="array" ref="M4596">IF(L4596="","",_xlfn.IFS(
  AND(L4596&gt;=TIME(9,0,0), L4596&lt;TIME(16,0,0)),"Morning",
  AND(L4596&gt;=TIME(16,0,0), L4596&lt;TIME(23,59,0)),"Evening",
  L4596&gt;=TIME(23,59,0),"Night",
  L4596&lt;TIME(9,0,0),"Night"
))</f>
        <v/>
      </c>
      <c r="O4596" t="str">
        <f t="shared" si="428"/>
        <v/>
      </c>
    </row>
    <row r="4597" spans="7:15" x14ac:dyDescent="0.25">
      <c r="G4597" t="str">
        <f t="shared" si="426"/>
        <v/>
      </c>
      <c r="H4597" s="13" t="str">
        <f t="shared" si="429"/>
        <v/>
      </c>
      <c r="I4597" t="str">
        <f>IFERROR(INDEX(Analysis!$D$116:$N$137, MATCH(B4597, Analysis!$C$116:$C$137, 0), MATCH(C4597, Analysis!$D$115:$N$115, 0)), "")</f>
        <v/>
      </c>
      <c r="J4597" t="str">
        <f t="shared" si="430"/>
        <v/>
      </c>
      <c r="K4597" s="28" t="str">
        <f t="shared" si="427"/>
        <v/>
      </c>
      <c r="L4597" s="46" t="str">
        <f t="shared" si="431"/>
        <v/>
      </c>
      <c r="M4597" t="str" cm="1">
        <f t="array" ref="M4597">IF(L4597="","",_xlfn.IFS(
  AND(L4597&gt;=TIME(9,0,0), L4597&lt;TIME(16,0,0)),"Morning",
  AND(L4597&gt;=TIME(16,0,0), L4597&lt;TIME(23,59,0)),"Evening",
  L4597&gt;=TIME(23,59,0),"Night",
  L4597&lt;TIME(9,0,0),"Night"
))</f>
        <v/>
      </c>
      <c r="O4597" t="str">
        <f t="shared" si="428"/>
        <v/>
      </c>
    </row>
    <row r="4598" spans="7:15" x14ac:dyDescent="0.25">
      <c r="G4598" t="str">
        <f t="shared" si="426"/>
        <v/>
      </c>
      <c r="H4598" s="13" t="str">
        <f t="shared" si="429"/>
        <v/>
      </c>
      <c r="I4598" t="str">
        <f>IFERROR(INDEX(Analysis!$D$116:$N$137, MATCH(B4598, Analysis!$C$116:$C$137, 0), MATCH(C4598, Analysis!$D$115:$N$115, 0)), "")</f>
        <v/>
      </c>
      <c r="J4598" t="str">
        <f t="shared" si="430"/>
        <v/>
      </c>
      <c r="K4598" s="28" t="str">
        <f t="shared" si="427"/>
        <v/>
      </c>
      <c r="L4598" s="46" t="str">
        <f t="shared" si="431"/>
        <v/>
      </c>
      <c r="M4598" t="str" cm="1">
        <f t="array" ref="M4598">IF(L4598="","",_xlfn.IFS(
  AND(L4598&gt;=TIME(9,0,0), L4598&lt;TIME(16,0,0)),"Morning",
  AND(L4598&gt;=TIME(16,0,0), L4598&lt;TIME(23,59,0)),"Evening",
  L4598&gt;=TIME(23,59,0),"Night",
  L4598&lt;TIME(9,0,0),"Night"
))</f>
        <v/>
      </c>
      <c r="O4598" t="str">
        <f t="shared" si="428"/>
        <v/>
      </c>
    </row>
    <row r="4599" spans="7:15" x14ac:dyDescent="0.25">
      <c r="G4599" t="str">
        <f t="shared" si="426"/>
        <v/>
      </c>
      <c r="H4599" s="13" t="str">
        <f t="shared" si="429"/>
        <v/>
      </c>
      <c r="I4599" t="str">
        <f>IFERROR(INDEX(Analysis!$D$116:$N$137, MATCH(B4599, Analysis!$C$116:$C$137, 0), MATCH(C4599, Analysis!$D$115:$N$115, 0)), "")</f>
        <v/>
      </c>
      <c r="J4599" t="str">
        <f t="shared" si="430"/>
        <v/>
      </c>
      <c r="K4599" s="28" t="str">
        <f t="shared" si="427"/>
        <v/>
      </c>
      <c r="L4599" s="46" t="str">
        <f t="shared" si="431"/>
        <v/>
      </c>
      <c r="M4599" t="str" cm="1">
        <f t="array" ref="M4599">IF(L4599="","",_xlfn.IFS(
  AND(L4599&gt;=TIME(9,0,0), L4599&lt;TIME(16,0,0)),"Morning",
  AND(L4599&gt;=TIME(16,0,0), L4599&lt;TIME(23,59,0)),"Evening",
  L4599&gt;=TIME(23,59,0),"Night",
  L4599&lt;TIME(9,0,0),"Night"
))</f>
        <v/>
      </c>
      <c r="O4599" t="str">
        <f t="shared" si="428"/>
        <v/>
      </c>
    </row>
    <row r="4600" spans="7:15" x14ac:dyDescent="0.25">
      <c r="G4600" t="str">
        <f t="shared" si="426"/>
        <v/>
      </c>
      <c r="H4600" s="13" t="str">
        <f t="shared" si="429"/>
        <v/>
      </c>
      <c r="I4600" t="str">
        <f>IFERROR(INDEX(Analysis!$D$116:$N$137, MATCH(B4600, Analysis!$C$116:$C$137, 0), MATCH(C4600, Analysis!$D$115:$N$115, 0)), "")</f>
        <v/>
      </c>
      <c r="J4600" t="str">
        <f t="shared" si="430"/>
        <v/>
      </c>
      <c r="K4600" s="28" t="str">
        <f t="shared" si="427"/>
        <v/>
      </c>
      <c r="L4600" s="46" t="str">
        <f t="shared" si="431"/>
        <v/>
      </c>
      <c r="M4600" t="str" cm="1">
        <f t="array" ref="M4600">IF(L4600="","",_xlfn.IFS(
  AND(L4600&gt;=TIME(9,0,0), L4600&lt;TIME(16,0,0)),"Morning",
  AND(L4600&gt;=TIME(16,0,0), L4600&lt;TIME(23,59,0)),"Evening",
  L4600&gt;=TIME(23,59,0),"Night",
  L4600&lt;TIME(9,0,0),"Night"
))</f>
        <v/>
      </c>
      <c r="O4600" t="str">
        <f t="shared" si="428"/>
        <v/>
      </c>
    </row>
    <row r="4601" spans="7:15" x14ac:dyDescent="0.25">
      <c r="G4601" t="str">
        <f t="shared" si="426"/>
        <v/>
      </c>
      <c r="H4601" s="13" t="str">
        <f t="shared" si="429"/>
        <v/>
      </c>
      <c r="I4601" t="str">
        <f>IFERROR(INDEX(Analysis!$D$116:$N$137, MATCH(B4601, Analysis!$C$116:$C$137, 0), MATCH(C4601, Analysis!$D$115:$N$115, 0)), "")</f>
        <v/>
      </c>
      <c r="J4601" t="str">
        <f t="shared" si="430"/>
        <v/>
      </c>
      <c r="K4601" s="28" t="str">
        <f t="shared" si="427"/>
        <v/>
      </c>
      <c r="L4601" s="46" t="str">
        <f t="shared" si="431"/>
        <v/>
      </c>
      <c r="M4601" t="str" cm="1">
        <f t="array" ref="M4601">IF(L4601="","",_xlfn.IFS(
  AND(L4601&gt;=TIME(9,0,0), L4601&lt;TIME(16,0,0)),"Morning",
  AND(L4601&gt;=TIME(16,0,0), L4601&lt;TIME(23,59,0)),"Evening",
  L4601&gt;=TIME(23,59,0),"Night",
  L4601&lt;TIME(9,0,0),"Night"
))</f>
        <v/>
      </c>
      <c r="O4601" t="str">
        <f t="shared" si="428"/>
        <v/>
      </c>
    </row>
    <row r="4602" spans="7:15" x14ac:dyDescent="0.25">
      <c r="G4602" t="str">
        <f t="shared" si="426"/>
        <v/>
      </c>
      <c r="H4602" s="13" t="str">
        <f t="shared" si="429"/>
        <v/>
      </c>
      <c r="I4602" t="str">
        <f>IFERROR(INDEX(Analysis!$D$116:$N$137, MATCH(B4602, Analysis!$C$116:$C$137, 0), MATCH(C4602, Analysis!$D$115:$N$115, 0)), "")</f>
        <v/>
      </c>
      <c r="J4602" t="str">
        <f t="shared" si="430"/>
        <v/>
      </c>
      <c r="K4602" s="28" t="str">
        <f t="shared" si="427"/>
        <v/>
      </c>
      <c r="L4602" s="46" t="str">
        <f t="shared" si="431"/>
        <v/>
      </c>
      <c r="M4602" t="str" cm="1">
        <f t="array" ref="M4602">IF(L4602="","",_xlfn.IFS(
  AND(L4602&gt;=TIME(9,0,0), L4602&lt;TIME(16,0,0)),"Morning",
  AND(L4602&gt;=TIME(16,0,0), L4602&lt;TIME(23,59,0)),"Evening",
  L4602&gt;=TIME(23,59,0),"Night",
  L4602&lt;TIME(9,0,0),"Night"
))</f>
        <v/>
      </c>
      <c r="O4602" t="str">
        <f t="shared" si="428"/>
        <v/>
      </c>
    </row>
    <row r="4603" spans="7:15" x14ac:dyDescent="0.25">
      <c r="G4603" t="str">
        <f t="shared" si="426"/>
        <v/>
      </c>
      <c r="H4603" s="13" t="str">
        <f t="shared" si="429"/>
        <v/>
      </c>
      <c r="I4603" t="str">
        <f>IFERROR(INDEX(Analysis!$D$116:$N$137, MATCH(B4603, Analysis!$C$116:$C$137, 0), MATCH(C4603, Analysis!$D$115:$N$115, 0)), "")</f>
        <v/>
      </c>
      <c r="J4603" t="str">
        <f t="shared" si="430"/>
        <v/>
      </c>
      <c r="K4603" s="28" t="str">
        <f t="shared" si="427"/>
        <v/>
      </c>
      <c r="L4603" s="46" t="str">
        <f t="shared" si="431"/>
        <v/>
      </c>
      <c r="M4603" t="str" cm="1">
        <f t="array" ref="M4603">IF(L4603="","",_xlfn.IFS(
  AND(L4603&gt;=TIME(9,0,0), L4603&lt;TIME(16,0,0)),"Morning",
  AND(L4603&gt;=TIME(16,0,0), L4603&lt;TIME(23,59,0)),"Evening",
  L4603&gt;=TIME(23,59,0),"Night",
  L4603&lt;TIME(9,0,0),"Night"
))</f>
        <v/>
      </c>
      <c r="O4603" t="str">
        <f t="shared" si="428"/>
        <v/>
      </c>
    </row>
    <row r="4604" spans="7:15" x14ac:dyDescent="0.25">
      <c r="G4604" t="str">
        <f t="shared" si="426"/>
        <v/>
      </c>
      <c r="H4604" s="13" t="str">
        <f t="shared" si="429"/>
        <v/>
      </c>
      <c r="I4604" t="str">
        <f>IFERROR(INDEX(Analysis!$D$116:$N$137, MATCH(B4604, Analysis!$C$116:$C$137, 0), MATCH(C4604, Analysis!$D$115:$N$115, 0)), "")</f>
        <v/>
      </c>
      <c r="J4604" t="str">
        <f t="shared" si="430"/>
        <v/>
      </c>
      <c r="K4604" s="28" t="str">
        <f t="shared" si="427"/>
        <v/>
      </c>
      <c r="L4604" s="46" t="str">
        <f t="shared" si="431"/>
        <v/>
      </c>
      <c r="M4604" t="str" cm="1">
        <f t="array" ref="M4604">IF(L4604="","",_xlfn.IFS(
  AND(L4604&gt;=TIME(9,0,0), L4604&lt;TIME(16,0,0)),"Morning",
  AND(L4604&gt;=TIME(16,0,0), L4604&lt;TIME(23,59,0)),"Evening",
  L4604&gt;=TIME(23,59,0),"Night",
  L4604&lt;TIME(9,0,0),"Night"
))</f>
        <v/>
      </c>
      <c r="O4604" t="str">
        <f t="shared" si="428"/>
        <v/>
      </c>
    </row>
    <row r="4605" spans="7:15" x14ac:dyDescent="0.25">
      <c r="G4605" t="str">
        <f t="shared" si="426"/>
        <v/>
      </c>
      <c r="H4605" s="13" t="str">
        <f t="shared" si="429"/>
        <v/>
      </c>
      <c r="I4605" t="str">
        <f>IFERROR(INDEX(Analysis!$D$116:$N$137, MATCH(B4605, Analysis!$C$116:$C$137, 0), MATCH(C4605, Analysis!$D$115:$N$115, 0)), "")</f>
        <v/>
      </c>
      <c r="J4605" t="str">
        <f t="shared" si="430"/>
        <v/>
      </c>
      <c r="K4605" s="28" t="str">
        <f t="shared" si="427"/>
        <v/>
      </c>
      <c r="L4605" s="46" t="str">
        <f t="shared" si="431"/>
        <v/>
      </c>
      <c r="M4605" t="str" cm="1">
        <f t="array" ref="M4605">IF(L4605="","",_xlfn.IFS(
  AND(L4605&gt;=TIME(9,0,0), L4605&lt;TIME(16,0,0)),"Morning",
  AND(L4605&gt;=TIME(16,0,0), L4605&lt;TIME(23,59,0)),"Evening",
  L4605&gt;=TIME(23,59,0),"Night",
  L4605&lt;TIME(9,0,0),"Night"
))</f>
        <v/>
      </c>
      <c r="O4605" t="str">
        <f t="shared" si="428"/>
        <v/>
      </c>
    </row>
    <row r="4606" spans="7:15" x14ac:dyDescent="0.25">
      <c r="G4606" t="str">
        <f t="shared" si="426"/>
        <v/>
      </c>
      <c r="H4606" s="13" t="str">
        <f t="shared" si="429"/>
        <v/>
      </c>
      <c r="I4606" t="str">
        <f>IFERROR(INDEX(Analysis!$D$116:$N$137, MATCH(B4606, Analysis!$C$116:$C$137, 0), MATCH(C4606, Analysis!$D$115:$N$115, 0)), "")</f>
        <v/>
      </c>
      <c r="J4606" t="str">
        <f t="shared" si="430"/>
        <v/>
      </c>
      <c r="K4606" s="28" t="str">
        <f t="shared" si="427"/>
        <v/>
      </c>
      <c r="L4606" s="46" t="str">
        <f t="shared" si="431"/>
        <v/>
      </c>
      <c r="M4606" t="str" cm="1">
        <f t="array" ref="M4606">IF(L4606="","",_xlfn.IFS(
  AND(L4606&gt;=TIME(9,0,0), L4606&lt;TIME(16,0,0)),"Morning",
  AND(L4606&gt;=TIME(16,0,0), L4606&lt;TIME(23,59,0)),"Evening",
  L4606&gt;=TIME(23,59,0),"Night",
  L4606&lt;TIME(9,0,0),"Night"
))</f>
        <v/>
      </c>
      <c r="O4606" t="str">
        <f t="shared" si="428"/>
        <v/>
      </c>
    </row>
    <row r="4607" spans="7:15" x14ac:dyDescent="0.25">
      <c r="G4607" t="str">
        <f t="shared" si="426"/>
        <v/>
      </c>
      <c r="H4607" s="13" t="str">
        <f t="shared" si="429"/>
        <v/>
      </c>
      <c r="I4607" t="str">
        <f>IFERROR(INDEX(Analysis!$D$116:$N$137, MATCH(B4607, Analysis!$C$116:$C$137, 0), MATCH(C4607, Analysis!$D$115:$N$115, 0)), "")</f>
        <v/>
      </c>
      <c r="J4607" t="str">
        <f t="shared" si="430"/>
        <v/>
      </c>
      <c r="K4607" s="28" t="str">
        <f t="shared" si="427"/>
        <v/>
      </c>
      <c r="L4607" s="46" t="str">
        <f t="shared" si="431"/>
        <v/>
      </c>
      <c r="M4607" t="str" cm="1">
        <f t="array" ref="M4607">IF(L4607="","",_xlfn.IFS(
  AND(L4607&gt;=TIME(9,0,0), L4607&lt;TIME(16,0,0)),"Morning",
  AND(L4607&gt;=TIME(16,0,0), L4607&lt;TIME(23,59,0)),"Evening",
  L4607&gt;=TIME(23,59,0),"Night",
  L4607&lt;TIME(9,0,0),"Night"
))</f>
        <v/>
      </c>
      <c r="O4607" t="str">
        <f t="shared" si="428"/>
        <v/>
      </c>
    </row>
    <row r="4608" spans="7:15" x14ac:dyDescent="0.25">
      <c r="G4608" t="str">
        <f t="shared" si="426"/>
        <v/>
      </c>
      <c r="H4608" s="13" t="str">
        <f t="shared" si="429"/>
        <v/>
      </c>
      <c r="I4608" t="str">
        <f>IFERROR(INDEX(Analysis!$D$116:$N$137, MATCH(B4608, Analysis!$C$116:$C$137, 0), MATCH(C4608, Analysis!$D$115:$N$115, 0)), "")</f>
        <v/>
      </c>
      <c r="J4608" t="str">
        <f t="shared" si="430"/>
        <v/>
      </c>
      <c r="K4608" s="28" t="str">
        <f t="shared" si="427"/>
        <v/>
      </c>
      <c r="L4608" s="46" t="str">
        <f t="shared" si="431"/>
        <v/>
      </c>
      <c r="M4608" t="str" cm="1">
        <f t="array" ref="M4608">IF(L4608="","",_xlfn.IFS(
  AND(L4608&gt;=TIME(9,0,0), L4608&lt;TIME(16,0,0)),"Morning",
  AND(L4608&gt;=TIME(16,0,0), L4608&lt;TIME(23,59,0)),"Evening",
  L4608&gt;=TIME(23,59,0),"Night",
  L4608&lt;TIME(9,0,0),"Night"
))</f>
        <v/>
      </c>
      <c r="O4608" t="str">
        <f t="shared" si="428"/>
        <v/>
      </c>
    </row>
    <row r="4609" spans="7:15" x14ac:dyDescent="0.25">
      <c r="G4609" t="str">
        <f t="shared" si="426"/>
        <v/>
      </c>
      <c r="H4609" s="13" t="str">
        <f t="shared" si="429"/>
        <v/>
      </c>
      <c r="I4609" t="str">
        <f>IFERROR(INDEX(Analysis!$D$116:$N$137, MATCH(B4609, Analysis!$C$116:$C$137, 0), MATCH(C4609, Analysis!$D$115:$N$115, 0)), "")</f>
        <v/>
      </c>
      <c r="J4609" t="str">
        <f t="shared" si="430"/>
        <v/>
      </c>
      <c r="K4609" s="28" t="str">
        <f t="shared" si="427"/>
        <v/>
      </c>
      <c r="L4609" s="46" t="str">
        <f t="shared" si="431"/>
        <v/>
      </c>
      <c r="M4609" t="str" cm="1">
        <f t="array" ref="M4609">IF(L4609="","",_xlfn.IFS(
  AND(L4609&gt;=TIME(9,0,0), L4609&lt;TIME(16,0,0)),"Morning",
  AND(L4609&gt;=TIME(16,0,0), L4609&lt;TIME(23,59,0)),"Evening",
  L4609&gt;=TIME(23,59,0),"Night",
  L4609&lt;TIME(9,0,0),"Night"
))</f>
        <v/>
      </c>
      <c r="O4609" t="str">
        <f t="shared" si="428"/>
        <v/>
      </c>
    </row>
    <row r="4610" spans="7:15" x14ac:dyDescent="0.25">
      <c r="G4610" t="str">
        <f t="shared" ref="G4610:G4673" si="432">IF(ISBLANK(A4610), "", IF(ISBLANK(F4610), 0, F4610))</f>
        <v/>
      </c>
      <c r="H4610" s="13" t="str">
        <f t="shared" si="429"/>
        <v/>
      </c>
      <c r="I4610" t="str">
        <f>IFERROR(INDEX(Analysis!$D$116:$N$137, MATCH(B4610, Analysis!$C$116:$C$137, 0), MATCH(C4610, Analysis!$D$115:$N$115, 0)), "")</f>
        <v/>
      </c>
      <c r="J4610" t="str">
        <f t="shared" si="430"/>
        <v/>
      </c>
      <c r="K4610" s="28" t="str">
        <f t="shared" ref="K4610:K4673" si="433">IF(ISBLANK(A4610),"",DATE(YEAR(A4610),MONTH(A4610),DAY(A4610)))</f>
        <v/>
      </c>
      <c r="L4610" s="46" t="str">
        <f t="shared" si="431"/>
        <v/>
      </c>
      <c r="M4610" t="str" cm="1">
        <f t="array" ref="M4610">IF(L4610="","",_xlfn.IFS(
  AND(L4610&gt;=TIME(9,0,0), L4610&lt;TIME(16,0,0)),"Morning",
  AND(L4610&gt;=TIME(16,0,0), L4610&lt;TIME(23,59,0)),"Evening",
  L4610&gt;=TIME(23,59,0),"Night",
  L4610&lt;TIME(9,0,0),"Night"
))</f>
        <v/>
      </c>
      <c r="O4610" t="str">
        <f t="shared" ref="O4610:O4673" si="434">IF(N4610="ON", _xlfn.IMAGE(E4610, 1), "")</f>
        <v/>
      </c>
    </row>
    <row r="4611" spans="7:15" x14ac:dyDescent="0.25">
      <c r="G4611" t="str">
        <f t="shared" si="432"/>
        <v/>
      </c>
      <c r="H4611" s="13" t="str">
        <f t="shared" ref="H4611:H4674" si="435">IF(ISBLANK(E4611),"",HYPERLINK(E4611,"Click here"))</f>
        <v/>
      </c>
      <c r="I4611" t="str">
        <f>IFERROR(INDEX(Analysis!$D$116:$N$137, MATCH(B4611, Analysis!$C$116:$C$137, 0), MATCH(C4611, Analysis!$D$115:$N$115, 0)), "")</f>
        <v/>
      </c>
      <c r="J4611" t="str">
        <f t="shared" ref="J4611:J4674" si="436">IF(ISBLANK(A4611),"",WEEKNUM(A4611))</f>
        <v/>
      </c>
      <c r="K4611" s="28" t="str">
        <f t="shared" si="433"/>
        <v/>
      </c>
      <c r="L4611" s="46" t="str">
        <f t="shared" ref="L4611:L4674" si="437">IF(A4611="", "", A4611 - INT(A4611))</f>
        <v/>
      </c>
      <c r="M4611" t="str" cm="1">
        <f t="array" ref="M4611">IF(L4611="","",_xlfn.IFS(
  AND(L4611&gt;=TIME(9,0,0), L4611&lt;TIME(16,0,0)),"Morning",
  AND(L4611&gt;=TIME(16,0,0), L4611&lt;TIME(23,59,0)),"Evening",
  L4611&gt;=TIME(23,59,0),"Night",
  L4611&lt;TIME(9,0,0),"Night"
))</f>
        <v/>
      </c>
      <c r="O4611" t="str">
        <f t="shared" si="434"/>
        <v/>
      </c>
    </row>
    <row r="4612" spans="7:15" x14ac:dyDescent="0.25">
      <c r="G4612" t="str">
        <f t="shared" si="432"/>
        <v/>
      </c>
      <c r="H4612" s="13" t="str">
        <f t="shared" si="435"/>
        <v/>
      </c>
      <c r="I4612" t="str">
        <f>IFERROR(INDEX(Analysis!$D$116:$N$137, MATCH(B4612, Analysis!$C$116:$C$137, 0), MATCH(C4612, Analysis!$D$115:$N$115, 0)), "")</f>
        <v/>
      </c>
      <c r="J4612" t="str">
        <f t="shared" si="436"/>
        <v/>
      </c>
      <c r="K4612" s="28" t="str">
        <f t="shared" si="433"/>
        <v/>
      </c>
      <c r="L4612" s="46" t="str">
        <f t="shared" si="437"/>
        <v/>
      </c>
      <c r="M4612" t="str" cm="1">
        <f t="array" ref="M4612">IF(L4612="","",_xlfn.IFS(
  AND(L4612&gt;=TIME(9,0,0), L4612&lt;TIME(16,0,0)),"Morning",
  AND(L4612&gt;=TIME(16,0,0), L4612&lt;TIME(23,59,0)),"Evening",
  L4612&gt;=TIME(23,59,0),"Night",
  L4612&lt;TIME(9,0,0),"Night"
))</f>
        <v/>
      </c>
      <c r="O4612" t="str">
        <f t="shared" si="434"/>
        <v/>
      </c>
    </row>
    <row r="4613" spans="7:15" x14ac:dyDescent="0.25">
      <c r="G4613" t="str">
        <f t="shared" si="432"/>
        <v/>
      </c>
      <c r="H4613" s="13" t="str">
        <f t="shared" si="435"/>
        <v/>
      </c>
      <c r="I4613" t="str">
        <f>IFERROR(INDEX(Analysis!$D$116:$N$137, MATCH(B4613, Analysis!$C$116:$C$137, 0), MATCH(C4613, Analysis!$D$115:$N$115, 0)), "")</f>
        <v/>
      </c>
      <c r="J4613" t="str">
        <f t="shared" si="436"/>
        <v/>
      </c>
      <c r="K4613" s="28" t="str">
        <f t="shared" si="433"/>
        <v/>
      </c>
      <c r="L4613" s="46" t="str">
        <f t="shared" si="437"/>
        <v/>
      </c>
      <c r="M4613" t="str" cm="1">
        <f t="array" ref="M4613">IF(L4613="","",_xlfn.IFS(
  AND(L4613&gt;=TIME(9,0,0), L4613&lt;TIME(16,0,0)),"Morning",
  AND(L4613&gt;=TIME(16,0,0), L4613&lt;TIME(23,59,0)),"Evening",
  L4613&gt;=TIME(23,59,0),"Night",
  L4613&lt;TIME(9,0,0),"Night"
))</f>
        <v/>
      </c>
      <c r="O4613" t="str">
        <f t="shared" si="434"/>
        <v/>
      </c>
    </row>
    <row r="4614" spans="7:15" x14ac:dyDescent="0.25">
      <c r="G4614" t="str">
        <f t="shared" si="432"/>
        <v/>
      </c>
      <c r="H4614" s="13" t="str">
        <f t="shared" si="435"/>
        <v/>
      </c>
      <c r="I4614" t="str">
        <f>IFERROR(INDEX(Analysis!$D$116:$N$137, MATCH(B4614, Analysis!$C$116:$C$137, 0), MATCH(C4614, Analysis!$D$115:$N$115, 0)), "")</f>
        <v/>
      </c>
      <c r="J4614" t="str">
        <f t="shared" si="436"/>
        <v/>
      </c>
      <c r="K4614" s="28" t="str">
        <f t="shared" si="433"/>
        <v/>
      </c>
      <c r="L4614" s="46" t="str">
        <f t="shared" si="437"/>
        <v/>
      </c>
      <c r="M4614" t="str" cm="1">
        <f t="array" ref="M4614">IF(L4614="","",_xlfn.IFS(
  AND(L4614&gt;=TIME(9,0,0), L4614&lt;TIME(16,0,0)),"Morning",
  AND(L4614&gt;=TIME(16,0,0), L4614&lt;TIME(23,59,0)),"Evening",
  L4614&gt;=TIME(23,59,0),"Night",
  L4614&lt;TIME(9,0,0),"Night"
))</f>
        <v/>
      </c>
      <c r="O4614" t="str">
        <f t="shared" si="434"/>
        <v/>
      </c>
    </row>
    <row r="4615" spans="7:15" x14ac:dyDescent="0.25">
      <c r="G4615" t="str">
        <f t="shared" si="432"/>
        <v/>
      </c>
      <c r="H4615" s="13" t="str">
        <f t="shared" si="435"/>
        <v/>
      </c>
      <c r="I4615" t="str">
        <f>IFERROR(INDEX(Analysis!$D$116:$N$137, MATCH(B4615, Analysis!$C$116:$C$137, 0), MATCH(C4615, Analysis!$D$115:$N$115, 0)), "")</f>
        <v/>
      </c>
      <c r="J4615" t="str">
        <f t="shared" si="436"/>
        <v/>
      </c>
      <c r="K4615" s="28" t="str">
        <f t="shared" si="433"/>
        <v/>
      </c>
      <c r="L4615" s="46" t="str">
        <f t="shared" si="437"/>
        <v/>
      </c>
      <c r="M4615" t="str" cm="1">
        <f t="array" ref="M4615">IF(L4615="","",_xlfn.IFS(
  AND(L4615&gt;=TIME(9,0,0), L4615&lt;TIME(16,0,0)),"Morning",
  AND(L4615&gt;=TIME(16,0,0), L4615&lt;TIME(23,59,0)),"Evening",
  L4615&gt;=TIME(23,59,0),"Night",
  L4615&lt;TIME(9,0,0),"Night"
))</f>
        <v/>
      </c>
      <c r="O4615" t="str">
        <f t="shared" si="434"/>
        <v/>
      </c>
    </row>
    <row r="4616" spans="7:15" x14ac:dyDescent="0.25">
      <c r="G4616" t="str">
        <f t="shared" si="432"/>
        <v/>
      </c>
      <c r="H4616" s="13" t="str">
        <f t="shared" si="435"/>
        <v/>
      </c>
      <c r="I4616" t="str">
        <f>IFERROR(INDEX(Analysis!$D$116:$N$137, MATCH(B4616, Analysis!$C$116:$C$137, 0), MATCH(C4616, Analysis!$D$115:$N$115, 0)), "")</f>
        <v/>
      </c>
      <c r="J4616" t="str">
        <f t="shared" si="436"/>
        <v/>
      </c>
      <c r="K4616" s="28" t="str">
        <f t="shared" si="433"/>
        <v/>
      </c>
      <c r="L4616" s="46" t="str">
        <f t="shared" si="437"/>
        <v/>
      </c>
      <c r="M4616" t="str" cm="1">
        <f t="array" ref="M4616">IF(L4616="","",_xlfn.IFS(
  AND(L4616&gt;=TIME(9,0,0), L4616&lt;TIME(16,0,0)),"Morning",
  AND(L4616&gt;=TIME(16,0,0), L4616&lt;TIME(23,59,0)),"Evening",
  L4616&gt;=TIME(23,59,0),"Night",
  L4616&lt;TIME(9,0,0),"Night"
))</f>
        <v/>
      </c>
      <c r="O4616" t="str">
        <f t="shared" si="434"/>
        <v/>
      </c>
    </row>
    <row r="4617" spans="7:15" x14ac:dyDescent="0.25">
      <c r="G4617" t="str">
        <f t="shared" si="432"/>
        <v/>
      </c>
      <c r="H4617" s="13" t="str">
        <f t="shared" si="435"/>
        <v/>
      </c>
      <c r="I4617" t="str">
        <f>IFERROR(INDEX(Analysis!$D$116:$N$137, MATCH(B4617, Analysis!$C$116:$C$137, 0), MATCH(C4617, Analysis!$D$115:$N$115, 0)), "")</f>
        <v/>
      </c>
      <c r="J4617" t="str">
        <f t="shared" si="436"/>
        <v/>
      </c>
      <c r="K4617" s="28" t="str">
        <f t="shared" si="433"/>
        <v/>
      </c>
      <c r="L4617" s="46" t="str">
        <f t="shared" si="437"/>
        <v/>
      </c>
      <c r="M4617" t="str" cm="1">
        <f t="array" ref="M4617">IF(L4617="","",_xlfn.IFS(
  AND(L4617&gt;=TIME(9,0,0), L4617&lt;TIME(16,0,0)),"Morning",
  AND(L4617&gt;=TIME(16,0,0), L4617&lt;TIME(23,59,0)),"Evening",
  L4617&gt;=TIME(23,59,0),"Night",
  L4617&lt;TIME(9,0,0),"Night"
))</f>
        <v/>
      </c>
      <c r="O4617" t="str">
        <f t="shared" si="434"/>
        <v/>
      </c>
    </row>
    <row r="4618" spans="7:15" x14ac:dyDescent="0.25">
      <c r="G4618" t="str">
        <f t="shared" si="432"/>
        <v/>
      </c>
      <c r="H4618" s="13" t="str">
        <f t="shared" si="435"/>
        <v/>
      </c>
      <c r="I4618" t="str">
        <f>IFERROR(INDEX(Analysis!$D$116:$N$137, MATCH(B4618, Analysis!$C$116:$C$137, 0), MATCH(C4618, Analysis!$D$115:$N$115, 0)), "")</f>
        <v/>
      </c>
      <c r="J4618" t="str">
        <f t="shared" si="436"/>
        <v/>
      </c>
      <c r="K4618" s="28" t="str">
        <f t="shared" si="433"/>
        <v/>
      </c>
      <c r="L4618" s="46" t="str">
        <f t="shared" si="437"/>
        <v/>
      </c>
      <c r="M4618" t="str" cm="1">
        <f t="array" ref="M4618">IF(L4618="","",_xlfn.IFS(
  AND(L4618&gt;=TIME(9,0,0), L4618&lt;TIME(16,0,0)),"Morning",
  AND(L4618&gt;=TIME(16,0,0), L4618&lt;TIME(23,59,0)),"Evening",
  L4618&gt;=TIME(23,59,0),"Night",
  L4618&lt;TIME(9,0,0),"Night"
))</f>
        <v/>
      </c>
      <c r="O4618" t="str">
        <f t="shared" si="434"/>
        <v/>
      </c>
    </row>
    <row r="4619" spans="7:15" x14ac:dyDescent="0.25">
      <c r="G4619" t="str">
        <f t="shared" si="432"/>
        <v/>
      </c>
      <c r="H4619" s="13" t="str">
        <f t="shared" si="435"/>
        <v/>
      </c>
      <c r="I4619" t="str">
        <f>IFERROR(INDEX(Analysis!$D$116:$N$137, MATCH(B4619, Analysis!$C$116:$C$137, 0), MATCH(C4619, Analysis!$D$115:$N$115, 0)), "")</f>
        <v/>
      </c>
      <c r="J4619" t="str">
        <f t="shared" si="436"/>
        <v/>
      </c>
      <c r="K4619" s="28" t="str">
        <f t="shared" si="433"/>
        <v/>
      </c>
      <c r="L4619" s="46" t="str">
        <f t="shared" si="437"/>
        <v/>
      </c>
      <c r="M4619" t="str" cm="1">
        <f t="array" ref="M4619">IF(L4619="","",_xlfn.IFS(
  AND(L4619&gt;=TIME(9,0,0), L4619&lt;TIME(16,0,0)),"Morning",
  AND(L4619&gt;=TIME(16,0,0), L4619&lt;TIME(23,59,0)),"Evening",
  L4619&gt;=TIME(23,59,0),"Night",
  L4619&lt;TIME(9,0,0),"Night"
))</f>
        <v/>
      </c>
      <c r="O4619" t="str">
        <f t="shared" si="434"/>
        <v/>
      </c>
    </row>
    <row r="4620" spans="7:15" x14ac:dyDescent="0.25">
      <c r="G4620" t="str">
        <f t="shared" si="432"/>
        <v/>
      </c>
      <c r="H4620" s="13" t="str">
        <f t="shared" si="435"/>
        <v/>
      </c>
      <c r="I4620" t="str">
        <f>IFERROR(INDEX(Analysis!$D$116:$N$137, MATCH(B4620, Analysis!$C$116:$C$137, 0), MATCH(C4620, Analysis!$D$115:$N$115, 0)), "")</f>
        <v/>
      </c>
      <c r="J4620" t="str">
        <f t="shared" si="436"/>
        <v/>
      </c>
      <c r="K4620" s="28" t="str">
        <f t="shared" si="433"/>
        <v/>
      </c>
      <c r="L4620" s="46" t="str">
        <f t="shared" si="437"/>
        <v/>
      </c>
      <c r="M4620" t="str" cm="1">
        <f t="array" ref="M4620">IF(L4620="","",_xlfn.IFS(
  AND(L4620&gt;=TIME(9,0,0), L4620&lt;TIME(16,0,0)),"Morning",
  AND(L4620&gt;=TIME(16,0,0), L4620&lt;TIME(23,59,0)),"Evening",
  L4620&gt;=TIME(23,59,0),"Night",
  L4620&lt;TIME(9,0,0),"Night"
))</f>
        <v/>
      </c>
      <c r="O4620" t="str">
        <f t="shared" si="434"/>
        <v/>
      </c>
    </row>
    <row r="4621" spans="7:15" x14ac:dyDescent="0.25">
      <c r="G4621" t="str">
        <f t="shared" si="432"/>
        <v/>
      </c>
      <c r="H4621" s="13" t="str">
        <f t="shared" si="435"/>
        <v/>
      </c>
      <c r="I4621" t="str">
        <f>IFERROR(INDEX(Analysis!$D$116:$N$137, MATCH(B4621, Analysis!$C$116:$C$137, 0), MATCH(C4621, Analysis!$D$115:$N$115, 0)), "")</f>
        <v/>
      </c>
      <c r="J4621" t="str">
        <f t="shared" si="436"/>
        <v/>
      </c>
      <c r="K4621" s="28" t="str">
        <f t="shared" si="433"/>
        <v/>
      </c>
      <c r="L4621" s="46" t="str">
        <f t="shared" si="437"/>
        <v/>
      </c>
      <c r="M4621" t="str" cm="1">
        <f t="array" ref="M4621">IF(L4621="","",_xlfn.IFS(
  AND(L4621&gt;=TIME(9,0,0), L4621&lt;TIME(16,0,0)),"Morning",
  AND(L4621&gt;=TIME(16,0,0), L4621&lt;TIME(23,59,0)),"Evening",
  L4621&gt;=TIME(23,59,0),"Night",
  L4621&lt;TIME(9,0,0),"Night"
))</f>
        <v/>
      </c>
      <c r="O4621" t="str">
        <f t="shared" si="434"/>
        <v/>
      </c>
    </row>
    <row r="4622" spans="7:15" x14ac:dyDescent="0.25">
      <c r="G4622" t="str">
        <f t="shared" si="432"/>
        <v/>
      </c>
      <c r="H4622" s="13" t="str">
        <f t="shared" si="435"/>
        <v/>
      </c>
      <c r="I4622" t="str">
        <f>IFERROR(INDEX(Analysis!$D$116:$N$137, MATCH(B4622, Analysis!$C$116:$C$137, 0), MATCH(C4622, Analysis!$D$115:$N$115, 0)), "")</f>
        <v/>
      </c>
      <c r="J4622" t="str">
        <f t="shared" si="436"/>
        <v/>
      </c>
      <c r="K4622" s="28" t="str">
        <f t="shared" si="433"/>
        <v/>
      </c>
      <c r="L4622" s="46" t="str">
        <f t="shared" si="437"/>
        <v/>
      </c>
      <c r="M4622" t="str" cm="1">
        <f t="array" ref="M4622">IF(L4622="","",_xlfn.IFS(
  AND(L4622&gt;=TIME(9,0,0), L4622&lt;TIME(16,0,0)),"Morning",
  AND(L4622&gt;=TIME(16,0,0), L4622&lt;TIME(23,59,0)),"Evening",
  L4622&gt;=TIME(23,59,0),"Night",
  L4622&lt;TIME(9,0,0),"Night"
))</f>
        <v/>
      </c>
      <c r="O4622" t="str">
        <f t="shared" si="434"/>
        <v/>
      </c>
    </row>
    <row r="4623" spans="7:15" x14ac:dyDescent="0.25">
      <c r="G4623" t="str">
        <f t="shared" si="432"/>
        <v/>
      </c>
      <c r="H4623" s="13" t="str">
        <f t="shared" si="435"/>
        <v/>
      </c>
      <c r="I4623" t="str">
        <f>IFERROR(INDEX(Analysis!$D$116:$N$137, MATCH(B4623, Analysis!$C$116:$C$137, 0), MATCH(C4623, Analysis!$D$115:$N$115, 0)), "")</f>
        <v/>
      </c>
      <c r="J4623" t="str">
        <f t="shared" si="436"/>
        <v/>
      </c>
      <c r="K4623" s="28" t="str">
        <f t="shared" si="433"/>
        <v/>
      </c>
      <c r="L4623" s="46" t="str">
        <f t="shared" si="437"/>
        <v/>
      </c>
      <c r="M4623" t="str" cm="1">
        <f t="array" ref="M4623">IF(L4623="","",_xlfn.IFS(
  AND(L4623&gt;=TIME(9,0,0), L4623&lt;TIME(16,0,0)),"Morning",
  AND(L4623&gt;=TIME(16,0,0), L4623&lt;TIME(23,59,0)),"Evening",
  L4623&gt;=TIME(23,59,0),"Night",
  L4623&lt;TIME(9,0,0),"Night"
))</f>
        <v/>
      </c>
      <c r="O4623" t="str">
        <f t="shared" si="434"/>
        <v/>
      </c>
    </row>
    <row r="4624" spans="7:15" x14ac:dyDescent="0.25">
      <c r="G4624" t="str">
        <f t="shared" si="432"/>
        <v/>
      </c>
      <c r="H4624" s="13" t="str">
        <f t="shared" si="435"/>
        <v/>
      </c>
      <c r="I4624" t="str">
        <f>IFERROR(INDEX(Analysis!$D$116:$N$137, MATCH(B4624, Analysis!$C$116:$C$137, 0), MATCH(C4624, Analysis!$D$115:$N$115, 0)), "")</f>
        <v/>
      </c>
      <c r="J4624" t="str">
        <f t="shared" si="436"/>
        <v/>
      </c>
      <c r="K4624" s="28" t="str">
        <f t="shared" si="433"/>
        <v/>
      </c>
      <c r="L4624" s="46" t="str">
        <f t="shared" si="437"/>
        <v/>
      </c>
      <c r="M4624" t="str" cm="1">
        <f t="array" ref="M4624">IF(L4624="","",_xlfn.IFS(
  AND(L4624&gt;=TIME(9,0,0), L4624&lt;TIME(16,0,0)),"Morning",
  AND(L4624&gt;=TIME(16,0,0), L4624&lt;TIME(23,59,0)),"Evening",
  L4624&gt;=TIME(23,59,0),"Night",
  L4624&lt;TIME(9,0,0),"Night"
))</f>
        <v/>
      </c>
      <c r="O4624" t="str">
        <f t="shared" si="434"/>
        <v/>
      </c>
    </row>
    <row r="4625" spans="7:15" x14ac:dyDescent="0.25">
      <c r="G4625" t="str">
        <f t="shared" si="432"/>
        <v/>
      </c>
      <c r="H4625" s="13" t="str">
        <f t="shared" si="435"/>
        <v/>
      </c>
      <c r="I4625" t="str">
        <f>IFERROR(INDEX(Analysis!$D$116:$N$137, MATCH(B4625, Analysis!$C$116:$C$137, 0), MATCH(C4625, Analysis!$D$115:$N$115, 0)), "")</f>
        <v/>
      </c>
      <c r="J4625" t="str">
        <f t="shared" si="436"/>
        <v/>
      </c>
      <c r="K4625" s="28" t="str">
        <f t="shared" si="433"/>
        <v/>
      </c>
      <c r="L4625" s="46" t="str">
        <f t="shared" si="437"/>
        <v/>
      </c>
      <c r="M4625" t="str" cm="1">
        <f t="array" ref="M4625">IF(L4625="","",_xlfn.IFS(
  AND(L4625&gt;=TIME(9,0,0), L4625&lt;TIME(16,0,0)),"Morning",
  AND(L4625&gt;=TIME(16,0,0), L4625&lt;TIME(23,59,0)),"Evening",
  L4625&gt;=TIME(23,59,0),"Night",
  L4625&lt;TIME(9,0,0),"Night"
))</f>
        <v/>
      </c>
      <c r="O4625" t="str">
        <f t="shared" si="434"/>
        <v/>
      </c>
    </row>
    <row r="4626" spans="7:15" x14ac:dyDescent="0.25">
      <c r="G4626" t="str">
        <f t="shared" si="432"/>
        <v/>
      </c>
      <c r="H4626" s="13" t="str">
        <f t="shared" si="435"/>
        <v/>
      </c>
      <c r="I4626" t="str">
        <f>IFERROR(INDEX(Analysis!$D$116:$N$137, MATCH(B4626, Analysis!$C$116:$C$137, 0), MATCH(C4626, Analysis!$D$115:$N$115, 0)), "")</f>
        <v/>
      </c>
      <c r="J4626" t="str">
        <f t="shared" si="436"/>
        <v/>
      </c>
      <c r="K4626" s="28" t="str">
        <f t="shared" si="433"/>
        <v/>
      </c>
      <c r="L4626" s="46" t="str">
        <f t="shared" si="437"/>
        <v/>
      </c>
      <c r="M4626" t="str" cm="1">
        <f t="array" ref="M4626">IF(L4626="","",_xlfn.IFS(
  AND(L4626&gt;=TIME(9,0,0), L4626&lt;TIME(16,0,0)),"Morning",
  AND(L4626&gt;=TIME(16,0,0), L4626&lt;TIME(23,59,0)),"Evening",
  L4626&gt;=TIME(23,59,0),"Night",
  L4626&lt;TIME(9,0,0),"Night"
))</f>
        <v/>
      </c>
      <c r="O4626" t="str">
        <f t="shared" si="434"/>
        <v/>
      </c>
    </row>
    <row r="4627" spans="7:15" x14ac:dyDescent="0.25">
      <c r="G4627" t="str">
        <f t="shared" si="432"/>
        <v/>
      </c>
      <c r="H4627" s="13" t="str">
        <f t="shared" si="435"/>
        <v/>
      </c>
      <c r="I4627" t="str">
        <f>IFERROR(INDEX(Analysis!$D$116:$N$137, MATCH(B4627, Analysis!$C$116:$C$137, 0), MATCH(C4627, Analysis!$D$115:$N$115, 0)), "")</f>
        <v/>
      </c>
      <c r="J4627" t="str">
        <f t="shared" si="436"/>
        <v/>
      </c>
      <c r="K4627" s="28" t="str">
        <f t="shared" si="433"/>
        <v/>
      </c>
      <c r="L4627" s="46" t="str">
        <f t="shared" si="437"/>
        <v/>
      </c>
      <c r="M4627" t="str" cm="1">
        <f t="array" ref="M4627">IF(L4627="","",_xlfn.IFS(
  AND(L4627&gt;=TIME(9,0,0), L4627&lt;TIME(16,0,0)),"Morning",
  AND(L4627&gt;=TIME(16,0,0), L4627&lt;TIME(23,59,0)),"Evening",
  L4627&gt;=TIME(23,59,0),"Night",
  L4627&lt;TIME(9,0,0),"Night"
))</f>
        <v/>
      </c>
      <c r="O4627" t="str">
        <f t="shared" si="434"/>
        <v/>
      </c>
    </row>
    <row r="4628" spans="7:15" x14ac:dyDescent="0.25">
      <c r="G4628" t="str">
        <f t="shared" si="432"/>
        <v/>
      </c>
      <c r="H4628" s="13" t="str">
        <f t="shared" si="435"/>
        <v/>
      </c>
      <c r="I4628" t="str">
        <f>IFERROR(INDEX(Analysis!$D$116:$N$137, MATCH(B4628, Analysis!$C$116:$C$137, 0), MATCH(C4628, Analysis!$D$115:$N$115, 0)), "")</f>
        <v/>
      </c>
      <c r="J4628" t="str">
        <f t="shared" si="436"/>
        <v/>
      </c>
      <c r="K4628" s="28" t="str">
        <f t="shared" si="433"/>
        <v/>
      </c>
      <c r="L4628" s="46" t="str">
        <f t="shared" si="437"/>
        <v/>
      </c>
      <c r="M4628" t="str" cm="1">
        <f t="array" ref="M4628">IF(L4628="","",_xlfn.IFS(
  AND(L4628&gt;=TIME(9,0,0), L4628&lt;TIME(16,0,0)),"Morning",
  AND(L4628&gt;=TIME(16,0,0), L4628&lt;TIME(23,59,0)),"Evening",
  L4628&gt;=TIME(23,59,0),"Night",
  L4628&lt;TIME(9,0,0),"Night"
))</f>
        <v/>
      </c>
      <c r="O4628" t="str">
        <f t="shared" si="434"/>
        <v/>
      </c>
    </row>
    <row r="4629" spans="7:15" x14ac:dyDescent="0.25">
      <c r="G4629" t="str">
        <f t="shared" si="432"/>
        <v/>
      </c>
      <c r="H4629" s="13" t="str">
        <f t="shared" si="435"/>
        <v/>
      </c>
      <c r="I4629" t="str">
        <f>IFERROR(INDEX(Analysis!$D$116:$N$137, MATCH(B4629, Analysis!$C$116:$C$137, 0), MATCH(C4629, Analysis!$D$115:$N$115, 0)), "")</f>
        <v/>
      </c>
      <c r="J4629" t="str">
        <f t="shared" si="436"/>
        <v/>
      </c>
      <c r="K4629" s="28" t="str">
        <f t="shared" si="433"/>
        <v/>
      </c>
      <c r="L4629" s="46" t="str">
        <f t="shared" si="437"/>
        <v/>
      </c>
      <c r="M4629" t="str" cm="1">
        <f t="array" ref="M4629">IF(L4629="","",_xlfn.IFS(
  AND(L4629&gt;=TIME(9,0,0), L4629&lt;TIME(16,0,0)),"Morning",
  AND(L4629&gt;=TIME(16,0,0), L4629&lt;TIME(23,59,0)),"Evening",
  L4629&gt;=TIME(23,59,0),"Night",
  L4629&lt;TIME(9,0,0),"Night"
))</f>
        <v/>
      </c>
      <c r="O4629" t="str">
        <f t="shared" si="434"/>
        <v/>
      </c>
    </row>
    <row r="4630" spans="7:15" x14ac:dyDescent="0.25">
      <c r="G4630" t="str">
        <f t="shared" si="432"/>
        <v/>
      </c>
      <c r="H4630" s="13" t="str">
        <f t="shared" si="435"/>
        <v/>
      </c>
      <c r="I4630" t="str">
        <f>IFERROR(INDEX(Analysis!$D$116:$N$137, MATCH(B4630, Analysis!$C$116:$C$137, 0), MATCH(C4630, Analysis!$D$115:$N$115, 0)), "")</f>
        <v/>
      </c>
      <c r="J4630" t="str">
        <f t="shared" si="436"/>
        <v/>
      </c>
      <c r="K4630" s="28" t="str">
        <f t="shared" si="433"/>
        <v/>
      </c>
      <c r="L4630" s="46" t="str">
        <f t="shared" si="437"/>
        <v/>
      </c>
      <c r="M4630" t="str" cm="1">
        <f t="array" ref="M4630">IF(L4630="","",_xlfn.IFS(
  AND(L4630&gt;=TIME(9,0,0), L4630&lt;TIME(16,0,0)),"Morning",
  AND(L4630&gt;=TIME(16,0,0), L4630&lt;TIME(23,59,0)),"Evening",
  L4630&gt;=TIME(23,59,0),"Night",
  L4630&lt;TIME(9,0,0),"Night"
))</f>
        <v/>
      </c>
      <c r="O4630" t="str">
        <f t="shared" si="434"/>
        <v/>
      </c>
    </row>
    <row r="4631" spans="7:15" x14ac:dyDescent="0.25">
      <c r="G4631" t="str">
        <f t="shared" si="432"/>
        <v/>
      </c>
      <c r="H4631" s="13" t="str">
        <f t="shared" si="435"/>
        <v/>
      </c>
      <c r="I4631" t="str">
        <f>IFERROR(INDEX(Analysis!$D$116:$N$137, MATCH(B4631, Analysis!$C$116:$C$137, 0), MATCH(C4631, Analysis!$D$115:$N$115, 0)), "")</f>
        <v/>
      </c>
      <c r="J4631" t="str">
        <f t="shared" si="436"/>
        <v/>
      </c>
      <c r="K4631" s="28" t="str">
        <f t="shared" si="433"/>
        <v/>
      </c>
      <c r="L4631" s="46" t="str">
        <f t="shared" si="437"/>
        <v/>
      </c>
      <c r="M4631" t="str" cm="1">
        <f t="array" ref="M4631">IF(L4631="","",_xlfn.IFS(
  AND(L4631&gt;=TIME(9,0,0), L4631&lt;TIME(16,0,0)),"Morning",
  AND(L4631&gt;=TIME(16,0,0), L4631&lt;TIME(23,59,0)),"Evening",
  L4631&gt;=TIME(23,59,0),"Night",
  L4631&lt;TIME(9,0,0),"Night"
))</f>
        <v/>
      </c>
      <c r="O4631" t="str">
        <f t="shared" si="434"/>
        <v/>
      </c>
    </row>
    <row r="4632" spans="7:15" x14ac:dyDescent="0.25">
      <c r="G4632" t="str">
        <f t="shared" si="432"/>
        <v/>
      </c>
      <c r="H4632" s="13" t="str">
        <f t="shared" si="435"/>
        <v/>
      </c>
      <c r="I4632" t="str">
        <f>IFERROR(INDEX(Analysis!$D$116:$N$137, MATCH(B4632, Analysis!$C$116:$C$137, 0), MATCH(C4632, Analysis!$D$115:$N$115, 0)), "")</f>
        <v/>
      </c>
      <c r="J4632" t="str">
        <f t="shared" si="436"/>
        <v/>
      </c>
      <c r="K4632" s="28" t="str">
        <f t="shared" si="433"/>
        <v/>
      </c>
      <c r="L4632" s="46" t="str">
        <f t="shared" si="437"/>
        <v/>
      </c>
      <c r="M4632" t="str" cm="1">
        <f t="array" ref="M4632">IF(L4632="","",_xlfn.IFS(
  AND(L4632&gt;=TIME(9,0,0), L4632&lt;TIME(16,0,0)),"Morning",
  AND(L4632&gt;=TIME(16,0,0), L4632&lt;TIME(23,59,0)),"Evening",
  L4632&gt;=TIME(23,59,0),"Night",
  L4632&lt;TIME(9,0,0),"Night"
))</f>
        <v/>
      </c>
      <c r="O4632" t="str">
        <f t="shared" si="434"/>
        <v/>
      </c>
    </row>
    <row r="4633" spans="7:15" x14ac:dyDescent="0.25">
      <c r="G4633" t="str">
        <f t="shared" si="432"/>
        <v/>
      </c>
      <c r="H4633" s="13" t="str">
        <f t="shared" si="435"/>
        <v/>
      </c>
      <c r="I4633" t="str">
        <f>IFERROR(INDEX(Analysis!$D$116:$N$137, MATCH(B4633, Analysis!$C$116:$C$137, 0), MATCH(C4633, Analysis!$D$115:$N$115, 0)), "")</f>
        <v/>
      </c>
      <c r="J4633" t="str">
        <f t="shared" si="436"/>
        <v/>
      </c>
      <c r="K4633" s="28" t="str">
        <f t="shared" si="433"/>
        <v/>
      </c>
      <c r="L4633" s="46" t="str">
        <f t="shared" si="437"/>
        <v/>
      </c>
      <c r="M4633" t="str" cm="1">
        <f t="array" ref="M4633">IF(L4633="","",_xlfn.IFS(
  AND(L4633&gt;=TIME(9,0,0), L4633&lt;TIME(16,0,0)),"Morning",
  AND(L4633&gt;=TIME(16,0,0), L4633&lt;TIME(23,59,0)),"Evening",
  L4633&gt;=TIME(23,59,0),"Night",
  L4633&lt;TIME(9,0,0),"Night"
))</f>
        <v/>
      </c>
      <c r="O4633" t="str">
        <f t="shared" si="434"/>
        <v/>
      </c>
    </row>
    <row r="4634" spans="7:15" x14ac:dyDescent="0.25">
      <c r="G4634" t="str">
        <f t="shared" si="432"/>
        <v/>
      </c>
      <c r="H4634" s="13" t="str">
        <f t="shared" si="435"/>
        <v/>
      </c>
      <c r="I4634" t="str">
        <f>IFERROR(INDEX(Analysis!$D$116:$N$137, MATCH(B4634, Analysis!$C$116:$C$137, 0), MATCH(C4634, Analysis!$D$115:$N$115, 0)), "")</f>
        <v/>
      </c>
      <c r="J4634" t="str">
        <f t="shared" si="436"/>
        <v/>
      </c>
      <c r="K4634" s="28" t="str">
        <f t="shared" si="433"/>
        <v/>
      </c>
      <c r="L4634" s="46" t="str">
        <f t="shared" si="437"/>
        <v/>
      </c>
      <c r="M4634" t="str" cm="1">
        <f t="array" ref="M4634">IF(L4634="","",_xlfn.IFS(
  AND(L4634&gt;=TIME(9,0,0), L4634&lt;TIME(16,0,0)),"Morning",
  AND(L4634&gt;=TIME(16,0,0), L4634&lt;TIME(23,59,0)),"Evening",
  L4634&gt;=TIME(23,59,0),"Night",
  L4634&lt;TIME(9,0,0),"Night"
))</f>
        <v/>
      </c>
      <c r="O4634" t="str">
        <f t="shared" si="434"/>
        <v/>
      </c>
    </row>
    <row r="4635" spans="7:15" x14ac:dyDescent="0.25">
      <c r="G4635" t="str">
        <f t="shared" si="432"/>
        <v/>
      </c>
      <c r="H4635" s="13" t="str">
        <f t="shared" si="435"/>
        <v/>
      </c>
      <c r="I4635" t="str">
        <f>IFERROR(INDEX(Analysis!$D$116:$N$137, MATCH(B4635, Analysis!$C$116:$C$137, 0), MATCH(C4635, Analysis!$D$115:$N$115, 0)), "")</f>
        <v/>
      </c>
      <c r="J4635" t="str">
        <f t="shared" si="436"/>
        <v/>
      </c>
      <c r="K4635" s="28" t="str">
        <f t="shared" si="433"/>
        <v/>
      </c>
      <c r="L4635" s="46" t="str">
        <f t="shared" si="437"/>
        <v/>
      </c>
      <c r="M4635" t="str" cm="1">
        <f t="array" ref="M4635">IF(L4635="","",_xlfn.IFS(
  AND(L4635&gt;=TIME(9,0,0), L4635&lt;TIME(16,0,0)),"Morning",
  AND(L4635&gt;=TIME(16,0,0), L4635&lt;TIME(23,59,0)),"Evening",
  L4635&gt;=TIME(23,59,0),"Night",
  L4635&lt;TIME(9,0,0),"Night"
))</f>
        <v/>
      </c>
      <c r="O4635" t="str">
        <f t="shared" si="434"/>
        <v/>
      </c>
    </row>
    <row r="4636" spans="7:15" x14ac:dyDescent="0.25">
      <c r="G4636" t="str">
        <f t="shared" si="432"/>
        <v/>
      </c>
      <c r="H4636" s="13" t="str">
        <f t="shared" si="435"/>
        <v/>
      </c>
      <c r="I4636" t="str">
        <f>IFERROR(INDEX(Analysis!$D$116:$N$137, MATCH(B4636, Analysis!$C$116:$C$137, 0), MATCH(C4636, Analysis!$D$115:$N$115, 0)), "")</f>
        <v/>
      </c>
      <c r="J4636" t="str">
        <f t="shared" si="436"/>
        <v/>
      </c>
      <c r="K4636" s="28" t="str">
        <f t="shared" si="433"/>
        <v/>
      </c>
      <c r="L4636" s="46" t="str">
        <f t="shared" si="437"/>
        <v/>
      </c>
      <c r="M4636" t="str" cm="1">
        <f t="array" ref="M4636">IF(L4636="","",_xlfn.IFS(
  AND(L4636&gt;=TIME(9,0,0), L4636&lt;TIME(16,0,0)),"Morning",
  AND(L4636&gt;=TIME(16,0,0), L4636&lt;TIME(23,59,0)),"Evening",
  L4636&gt;=TIME(23,59,0),"Night",
  L4636&lt;TIME(9,0,0),"Night"
))</f>
        <v/>
      </c>
      <c r="O4636" t="str">
        <f t="shared" si="434"/>
        <v/>
      </c>
    </row>
    <row r="4637" spans="7:15" x14ac:dyDescent="0.25">
      <c r="G4637" t="str">
        <f t="shared" si="432"/>
        <v/>
      </c>
      <c r="H4637" s="13" t="str">
        <f t="shared" si="435"/>
        <v/>
      </c>
      <c r="I4637" t="str">
        <f>IFERROR(INDEX(Analysis!$D$116:$N$137, MATCH(B4637, Analysis!$C$116:$C$137, 0), MATCH(C4637, Analysis!$D$115:$N$115, 0)), "")</f>
        <v/>
      </c>
      <c r="J4637" t="str">
        <f t="shared" si="436"/>
        <v/>
      </c>
      <c r="K4637" s="28" t="str">
        <f t="shared" si="433"/>
        <v/>
      </c>
      <c r="L4637" s="46" t="str">
        <f t="shared" si="437"/>
        <v/>
      </c>
      <c r="M4637" t="str" cm="1">
        <f t="array" ref="M4637">IF(L4637="","",_xlfn.IFS(
  AND(L4637&gt;=TIME(9,0,0), L4637&lt;TIME(16,0,0)),"Morning",
  AND(L4637&gt;=TIME(16,0,0), L4637&lt;TIME(23,59,0)),"Evening",
  L4637&gt;=TIME(23,59,0),"Night",
  L4637&lt;TIME(9,0,0),"Night"
))</f>
        <v/>
      </c>
      <c r="O4637" t="str">
        <f t="shared" si="434"/>
        <v/>
      </c>
    </row>
    <row r="4638" spans="7:15" x14ac:dyDescent="0.25">
      <c r="G4638" t="str">
        <f t="shared" si="432"/>
        <v/>
      </c>
      <c r="H4638" s="13" t="str">
        <f t="shared" si="435"/>
        <v/>
      </c>
      <c r="I4638" t="str">
        <f>IFERROR(INDEX(Analysis!$D$116:$N$137, MATCH(B4638, Analysis!$C$116:$C$137, 0), MATCH(C4638, Analysis!$D$115:$N$115, 0)), "")</f>
        <v/>
      </c>
      <c r="J4638" t="str">
        <f t="shared" si="436"/>
        <v/>
      </c>
      <c r="K4638" s="28" t="str">
        <f t="shared" si="433"/>
        <v/>
      </c>
      <c r="L4638" s="46" t="str">
        <f t="shared" si="437"/>
        <v/>
      </c>
      <c r="M4638" t="str" cm="1">
        <f t="array" ref="M4638">IF(L4638="","",_xlfn.IFS(
  AND(L4638&gt;=TIME(9,0,0), L4638&lt;TIME(16,0,0)),"Morning",
  AND(L4638&gt;=TIME(16,0,0), L4638&lt;TIME(23,59,0)),"Evening",
  L4638&gt;=TIME(23,59,0),"Night",
  L4638&lt;TIME(9,0,0),"Night"
))</f>
        <v/>
      </c>
      <c r="O4638" t="str">
        <f t="shared" si="434"/>
        <v/>
      </c>
    </row>
    <row r="4639" spans="7:15" x14ac:dyDescent="0.25">
      <c r="G4639" t="str">
        <f t="shared" si="432"/>
        <v/>
      </c>
      <c r="H4639" s="13" t="str">
        <f t="shared" si="435"/>
        <v/>
      </c>
      <c r="I4639" t="str">
        <f>IFERROR(INDEX(Analysis!$D$116:$N$137, MATCH(B4639, Analysis!$C$116:$C$137, 0), MATCH(C4639, Analysis!$D$115:$N$115, 0)), "")</f>
        <v/>
      </c>
      <c r="J4639" t="str">
        <f t="shared" si="436"/>
        <v/>
      </c>
      <c r="K4639" s="28" t="str">
        <f t="shared" si="433"/>
        <v/>
      </c>
      <c r="L4639" s="46" t="str">
        <f t="shared" si="437"/>
        <v/>
      </c>
      <c r="M4639" t="str" cm="1">
        <f t="array" ref="M4639">IF(L4639="","",_xlfn.IFS(
  AND(L4639&gt;=TIME(9,0,0), L4639&lt;TIME(16,0,0)),"Morning",
  AND(L4639&gt;=TIME(16,0,0), L4639&lt;TIME(23,59,0)),"Evening",
  L4639&gt;=TIME(23,59,0),"Night",
  L4639&lt;TIME(9,0,0),"Night"
))</f>
        <v/>
      </c>
      <c r="O4639" t="str">
        <f t="shared" si="434"/>
        <v/>
      </c>
    </row>
    <row r="4640" spans="7:15" x14ac:dyDescent="0.25">
      <c r="G4640" t="str">
        <f t="shared" si="432"/>
        <v/>
      </c>
      <c r="H4640" s="13" t="str">
        <f t="shared" si="435"/>
        <v/>
      </c>
      <c r="I4640" t="str">
        <f>IFERROR(INDEX(Analysis!$D$116:$N$137, MATCH(B4640, Analysis!$C$116:$C$137, 0), MATCH(C4640, Analysis!$D$115:$N$115, 0)), "")</f>
        <v/>
      </c>
      <c r="J4640" t="str">
        <f t="shared" si="436"/>
        <v/>
      </c>
      <c r="K4640" s="28" t="str">
        <f t="shared" si="433"/>
        <v/>
      </c>
      <c r="L4640" s="46" t="str">
        <f t="shared" si="437"/>
        <v/>
      </c>
      <c r="M4640" t="str" cm="1">
        <f t="array" ref="M4640">IF(L4640="","",_xlfn.IFS(
  AND(L4640&gt;=TIME(9,0,0), L4640&lt;TIME(16,0,0)),"Morning",
  AND(L4640&gt;=TIME(16,0,0), L4640&lt;TIME(23,59,0)),"Evening",
  L4640&gt;=TIME(23,59,0),"Night",
  L4640&lt;TIME(9,0,0),"Night"
))</f>
        <v/>
      </c>
      <c r="O4640" t="str">
        <f t="shared" si="434"/>
        <v/>
      </c>
    </row>
    <row r="4641" spans="7:15" x14ac:dyDescent="0.25">
      <c r="G4641" t="str">
        <f t="shared" si="432"/>
        <v/>
      </c>
      <c r="H4641" s="13" t="str">
        <f t="shared" si="435"/>
        <v/>
      </c>
      <c r="I4641" t="str">
        <f>IFERROR(INDEX(Analysis!$D$116:$N$137, MATCH(B4641, Analysis!$C$116:$C$137, 0), MATCH(C4641, Analysis!$D$115:$N$115, 0)), "")</f>
        <v/>
      </c>
      <c r="J4641" t="str">
        <f t="shared" si="436"/>
        <v/>
      </c>
      <c r="K4641" s="28" t="str">
        <f t="shared" si="433"/>
        <v/>
      </c>
      <c r="L4641" s="46" t="str">
        <f t="shared" si="437"/>
        <v/>
      </c>
      <c r="M4641" t="str" cm="1">
        <f t="array" ref="M4641">IF(L4641="","",_xlfn.IFS(
  AND(L4641&gt;=TIME(9,0,0), L4641&lt;TIME(16,0,0)),"Morning",
  AND(L4641&gt;=TIME(16,0,0), L4641&lt;TIME(23,59,0)),"Evening",
  L4641&gt;=TIME(23,59,0),"Night",
  L4641&lt;TIME(9,0,0),"Night"
))</f>
        <v/>
      </c>
      <c r="O4641" t="str">
        <f t="shared" si="434"/>
        <v/>
      </c>
    </row>
    <row r="4642" spans="7:15" x14ac:dyDescent="0.25">
      <c r="G4642" t="str">
        <f t="shared" si="432"/>
        <v/>
      </c>
      <c r="H4642" s="13" t="str">
        <f t="shared" si="435"/>
        <v/>
      </c>
      <c r="I4642" t="str">
        <f>IFERROR(INDEX(Analysis!$D$116:$N$137, MATCH(B4642, Analysis!$C$116:$C$137, 0), MATCH(C4642, Analysis!$D$115:$N$115, 0)), "")</f>
        <v/>
      </c>
      <c r="J4642" t="str">
        <f t="shared" si="436"/>
        <v/>
      </c>
      <c r="K4642" s="28" t="str">
        <f t="shared" si="433"/>
        <v/>
      </c>
      <c r="L4642" s="46" t="str">
        <f t="shared" si="437"/>
        <v/>
      </c>
      <c r="M4642" t="str" cm="1">
        <f t="array" ref="M4642">IF(L4642="","",_xlfn.IFS(
  AND(L4642&gt;=TIME(9,0,0), L4642&lt;TIME(16,0,0)),"Morning",
  AND(L4642&gt;=TIME(16,0,0), L4642&lt;TIME(23,59,0)),"Evening",
  L4642&gt;=TIME(23,59,0),"Night",
  L4642&lt;TIME(9,0,0),"Night"
))</f>
        <v/>
      </c>
      <c r="O4642" t="str">
        <f t="shared" si="434"/>
        <v/>
      </c>
    </row>
    <row r="4643" spans="7:15" x14ac:dyDescent="0.25">
      <c r="G4643" t="str">
        <f t="shared" si="432"/>
        <v/>
      </c>
      <c r="H4643" s="13" t="str">
        <f t="shared" si="435"/>
        <v/>
      </c>
      <c r="I4643" t="str">
        <f>IFERROR(INDEX(Analysis!$D$116:$N$137, MATCH(B4643, Analysis!$C$116:$C$137, 0), MATCH(C4643, Analysis!$D$115:$N$115, 0)), "")</f>
        <v/>
      </c>
      <c r="J4643" t="str">
        <f t="shared" si="436"/>
        <v/>
      </c>
      <c r="K4643" s="28" t="str">
        <f t="shared" si="433"/>
        <v/>
      </c>
      <c r="L4643" s="46" t="str">
        <f t="shared" si="437"/>
        <v/>
      </c>
      <c r="M4643" t="str" cm="1">
        <f t="array" ref="M4643">IF(L4643="","",_xlfn.IFS(
  AND(L4643&gt;=TIME(9,0,0), L4643&lt;TIME(16,0,0)),"Morning",
  AND(L4643&gt;=TIME(16,0,0), L4643&lt;TIME(23,59,0)),"Evening",
  L4643&gt;=TIME(23,59,0),"Night",
  L4643&lt;TIME(9,0,0),"Night"
))</f>
        <v/>
      </c>
      <c r="O4643" t="str">
        <f t="shared" si="434"/>
        <v/>
      </c>
    </row>
    <row r="4644" spans="7:15" x14ac:dyDescent="0.25">
      <c r="G4644" t="str">
        <f t="shared" si="432"/>
        <v/>
      </c>
      <c r="H4644" s="13" t="str">
        <f t="shared" si="435"/>
        <v/>
      </c>
      <c r="I4644" t="str">
        <f>IFERROR(INDEX(Analysis!$D$116:$N$137, MATCH(B4644, Analysis!$C$116:$C$137, 0), MATCH(C4644, Analysis!$D$115:$N$115, 0)), "")</f>
        <v/>
      </c>
      <c r="J4644" t="str">
        <f t="shared" si="436"/>
        <v/>
      </c>
      <c r="K4644" s="28" t="str">
        <f t="shared" si="433"/>
        <v/>
      </c>
      <c r="L4644" s="46" t="str">
        <f t="shared" si="437"/>
        <v/>
      </c>
      <c r="M4644" t="str" cm="1">
        <f t="array" ref="M4644">IF(L4644="","",_xlfn.IFS(
  AND(L4644&gt;=TIME(9,0,0), L4644&lt;TIME(16,0,0)),"Morning",
  AND(L4644&gt;=TIME(16,0,0), L4644&lt;TIME(23,59,0)),"Evening",
  L4644&gt;=TIME(23,59,0),"Night",
  L4644&lt;TIME(9,0,0),"Night"
))</f>
        <v/>
      </c>
      <c r="O4644" t="str">
        <f t="shared" si="434"/>
        <v/>
      </c>
    </row>
    <row r="4645" spans="7:15" x14ac:dyDescent="0.25">
      <c r="G4645" t="str">
        <f t="shared" si="432"/>
        <v/>
      </c>
      <c r="H4645" s="13" t="str">
        <f t="shared" si="435"/>
        <v/>
      </c>
      <c r="I4645" t="str">
        <f>IFERROR(INDEX(Analysis!$D$116:$N$137, MATCH(B4645, Analysis!$C$116:$C$137, 0), MATCH(C4645, Analysis!$D$115:$N$115, 0)), "")</f>
        <v/>
      </c>
      <c r="J4645" t="str">
        <f t="shared" si="436"/>
        <v/>
      </c>
      <c r="K4645" s="28" t="str">
        <f t="shared" si="433"/>
        <v/>
      </c>
      <c r="L4645" s="46" t="str">
        <f t="shared" si="437"/>
        <v/>
      </c>
      <c r="M4645" t="str" cm="1">
        <f t="array" ref="M4645">IF(L4645="","",_xlfn.IFS(
  AND(L4645&gt;=TIME(9,0,0), L4645&lt;TIME(16,0,0)),"Morning",
  AND(L4645&gt;=TIME(16,0,0), L4645&lt;TIME(23,59,0)),"Evening",
  L4645&gt;=TIME(23,59,0),"Night",
  L4645&lt;TIME(9,0,0),"Night"
))</f>
        <v/>
      </c>
      <c r="O4645" t="str">
        <f t="shared" si="434"/>
        <v/>
      </c>
    </row>
    <row r="4646" spans="7:15" x14ac:dyDescent="0.25">
      <c r="G4646" t="str">
        <f t="shared" si="432"/>
        <v/>
      </c>
      <c r="H4646" s="13" t="str">
        <f t="shared" si="435"/>
        <v/>
      </c>
      <c r="I4646" t="str">
        <f>IFERROR(INDEX(Analysis!$D$116:$N$137, MATCH(B4646, Analysis!$C$116:$C$137, 0), MATCH(C4646, Analysis!$D$115:$N$115, 0)), "")</f>
        <v/>
      </c>
      <c r="J4646" t="str">
        <f t="shared" si="436"/>
        <v/>
      </c>
      <c r="K4646" s="28" t="str">
        <f t="shared" si="433"/>
        <v/>
      </c>
      <c r="L4646" s="46" t="str">
        <f t="shared" si="437"/>
        <v/>
      </c>
      <c r="M4646" t="str" cm="1">
        <f t="array" ref="M4646">IF(L4646="","",_xlfn.IFS(
  AND(L4646&gt;=TIME(9,0,0), L4646&lt;TIME(16,0,0)),"Morning",
  AND(L4646&gt;=TIME(16,0,0), L4646&lt;TIME(23,59,0)),"Evening",
  L4646&gt;=TIME(23,59,0),"Night",
  L4646&lt;TIME(9,0,0),"Night"
))</f>
        <v/>
      </c>
      <c r="O4646" t="str">
        <f t="shared" si="434"/>
        <v/>
      </c>
    </row>
    <row r="4647" spans="7:15" x14ac:dyDescent="0.25">
      <c r="G4647" t="str">
        <f t="shared" si="432"/>
        <v/>
      </c>
      <c r="H4647" s="13" t="str">
        <f t="shared" si="435"/>
        <v/>
      </c>
      <c r="I4647" t="str">
        <f>IFERROR(INDEX(Analysis!$D$116:$N$137, MATCH(B4647, Analysis!$C$116:$C$137, 0), MATCH(C4647, Analysis!$D$115:$N$115, 0)), "")</f>
        <v/>
      </c>
      <c r="J4647" t="str">
        <f t="shared" si="436"/>
        <v/>
      </c>
      <c r="K4647" s="28" t="str">
        <f t="shared" si="433"/>
        <v/>
      </c>
      <c r="L4647" s="46" t="str">
        <f t="shared" si="437"/>
        <v/>
      </c>
      <c r="M4647" t="str" cm="1">
        <f t="array" ref="M4647">IF(L4647="","",_xlfn.IFS(
  AND(L4647&gt;=TIME(9,0,0), L4647&lt;TIME(16,0,0)),"Morning",
  AND(L4647&gt;=TIME(16,0,0), L4647&lt;TIME(23,59,0)),"Evening",
  L4647&gt;=TIME(23,59,0),"Night",
  L4647&lt;TIME(9,0,0),"Night"
))</f>
        <v/>
      </c>
      <c r="O4647" t="str">
        <f t="shared" si="434"/>
        <v/>
      </c>
    </row>
    <row r="4648" spans="7:15" x14ac:dyDescent="0.25">
      <c r="G4648" t="str">
        <f t="shared" si="432"/>
        <v/>
      </c>
      <c r="H4648" s="13" t="str">
        <f t="shared" si="435"/>
        <v/>
      </c>
      <c r="I4648" t="str">
        <f>IFERROR(INDEX(Analysis!$D$116:$N$137, MATCH(B4648, Analysis!$C$116:$C$137, 0), MATCH(C4648, Analysis!$D$115:$N$115, 0)), "")</f>
        <v/>
      </c>
      <c r="J4648" t="str">
        <f t="shared" si="436"/>
        <v/>
      </c>
      <c r="K4648" s="28" t="str">
        <f t="shared" si="433"/>
        <v/>
      </c>
      <c r="L4648" s="46" t="str">
        <f t="shared" si="437"/>
        <v/>
      </c>
      <c r="M4648" t="str" cm="1">
        <f t="array" ref="M4648">IF(L4648="","",_xlfn.IFS(
  AND(L4648&gt;=TIME(9,0,0), L4648&lt;TIME(16,0,0)),"Morning",
  AND(L4648&gt;=TIME(16,0,0), L4648&lt;TIME(23,59,0)),"Evening",
  L4648&gt;=TIME(23,59,0),"Night",
  L4648&lt;TIME(9,0,0),"Night"
))</f>
        <v/>
      </c>
      <c r="O4648" t="str">
        <f t="shared" si="434"/>
        <v/>
      </c>
    </row>
    <row r="4649" spans="7:15" x14ac:dyDescent="0.25">
      <c r="G4649" t="str">
        <f t="shared" si="432"/>
        <v/>
      </c>
      <c r="H4649" s="13" t="str">
        <f t="shared" si="435"/>
        <v/>
      </c>
      <c r="I4649" t="str">
        <f>IFERROR(INDEX(Analysis!$D$116:$N$137, MATCH(B4649, Analysis!$C$116:$C$137, 0), MATCH(C4649, Analysis!$D$115:$N$115, 0)), "")</f>
        <v/>
      </c>
      <c r="J4649" t="str">
        <f t="shared" si="436"/>
        <v/>
      </c>
      <c r="K4649" s="28" t="str">
        <f t="shared" si="433"/>
        <v/>
      </c>
      <c r="L4649" s="46" t="str">
        <f t="shared" si="437"/>
        <v/>
      </c>
      <c r="M4649" t="str" cm="1">
        <f t="array" ref="M4649">IF(L4649="","",_xlfn.IFS(
  AND(L4649&gt;=TIME(9,0,0), L4649&lt;TIME(16,0,0)),"Morning",
  AND(L4649&gt;=TIME(16,0,0), L4649&lt;TIME(23,59,0)),"Evening",
  L4649&gt;=TIME(23,59,0),"Night",
  L4649&lt;TIME(9,0,0),"Night"
))</f>
        <v/>
      </c>
      <c r="O4649" t="str">
        <f t="shared" si="434"/>
        <v/>
      </c>
    </row>
    <row r="4650" spans="7:15" x14ac:dyDescent="0.25">
      <c r="G4650" t="str">
        <f t="shared" si="432"/>
        <v/>
      </c>
      <c r="H4650" s="13" t="str">
        <f t="shared" si="435"/>
        <v/>
      </c>
      <c r="I4650" t="str">
        <f>IFERROR(INDEX(Analysis!$D$116:$N$137, MATCH(B4650, Analysis!$C$116:$C$137, 0), MATCH(C4650, Analysis!$D$115:$N$115, 0)), "")</f>
        <v/>
      </c>
      <c r="J4650" t="str">
        <f t="shared" si="436"/>
        <v/>
      </c>
      <c r="K4650" s="28" t="str">
        <f t="shared" si="433"/>
        <v/>
      </c>
      <c r="L4650" s="46" t="str">
        <f t="shared" si="437"/>
        <v/>
      </c>
      <c r="M4650" t="str" cm="1">
        <f t="array" ref="M4650">IF(L4650="","",_xlfn.IFS(
  AND(L4650&gt;=TIME(9,0,0), L4650&lt;TIME(16,0,0)),"Morning",
  AND(L4650&gt;=TIME(16,0,0), L4650&lt;TIME(23,59,0)),"Evening",
  L4650&gt;=TIME(23,59,0),"Night",
  L4650&lt;TIME(9,0,0),"Night"
))</f>
        <v/>
      </c>
      <c r="O4650" t="str">
        <f t="shared" si="434"/>
        <v/>
      </c>
    </row>
    <row r="4651" spans="7:15" x14ac:dyDescent="0.25">
      <c r="G4651" t="str">
        <f t="shared" si="432"/>
        <v/>
      </c>
      <c r="H4651" s="13" t="str">
        <f t="shared" si="435"/>
        <v/>
      </c>
      <c r="I4651" t="str">
        <f>IFERROR(INDEX(Analysis!$D$116:$N$137, MATCH(B4651, Analysis!$C$116:$C$137, 0), MATCH(C4651, Analysis!$D$115:$N$115, 0)), "")</f>
        <v/>
      </c>
      <c r="J4651" t="str">
        <f t="shared" si="436"/>
        <v/>
      </c>
      <c r="K4651" s="28" t="str">
        <f t="shared" si="433"/>
        <v/>
      </c>
      <c r="L4651" s="46" t="str">
        <f t="shared" si="437"/>
        <v/>
      </c>
      <c r="M4651" t="str" cm="1">
        <f t="array" ref="M4651">IF(L4651="","",_xlfn.IFS(
  AND(L4651&gt;=TIME(9,0,0), L4651&lt;TIME(16,0,0)),"Morning",
  AND(L4651&gt;=TIME(16,0,0), L4651&lt;TIME(23,59,0)),"Evening",
  L4651&gt;=TIME(23,59,0),"Night",
  L4651&lt;TIME(9,0,0),"Night"
))</f>
        <v/>
      </c>
      <c r="O4651" t="str">
        <f t="shared" si="434"/>
        <v/>
      </c>
    </row>
    <row r="4652" spans="7:15" x14ac:dyDescent="0.25">
      <c r="G4652" t="str">
        <f t="shared" si="432"/>
        <v/>
      </c>
      <c r="H4652" s="13" t="str">
        <f t="shared" si="435"/>
        <v/>
      </c>
      <c r="I4652" t="str">
        <f>IFERROR(INDEX(Analysis!$D$116:$N$137, MATCH(B4652, Analysis!$C$116:$C$137, 0), MATCH(C4652, Analysis!$D$115:$N$115, 0)), "")</f>
        <v/>
      </c>
      <c r="J4652" t="str">
        <f t="shared" si="436"/>
        <v/>
      </c>
      <c r="K4652" s="28" t="str">
        <f t="shared" si="433"/>
        <v/>
      </c>
      <c r="L4652" s="46" t="str">
        <f t="shared" si="437"/>
        <v/>
      </c>
      <c r="M4652" t="str" cm="1">
        <f t="array" ref="M4652">IF(L4652="","",_xlfn.IFS(
  AND(L4652&gt;=TIME(9,0,0), L4652&lt;TIME(16,0,0)),"Morning",
  AND(L4652&gt;=TIME(16,0,0), L4652&lt;TIME(23,59,0)),"Evening",
  L4652&gt;=TIME(23,59,0),"Night",
  L4652&lt;TIME(9,0,0),"Night"
))</f>
        <v/>
      </c>
      <c r="O4652" t="str">
        <f t="shared" si="434"/>
        <v/>
      </c>
    </row>
    <row r="4653" spans="7:15" x14ac:dyDescent="0.25">
      <c r="G4653" t="str">
        <f t="shared" si="432"/>
        <v/>
      </c>
      <c r="H4653" s="13" t="str">
        <f t="shared" si="435"/>
        <v/>
      </c>
      <c r="I4653" t="str">
        <f>IFERROR(INDEX(Analysis!$D$116:$N$137, MATCH(B4653, Analysis!$C$116:$C$137, 0), MATCH(C4653, Analysis!$D$115:$N$115, 0)), "")</f>
        <v/>
      </c>
      <c r="J4653" t="str">
        <f t="shared" si="436"/>
        <v/>
      </c>
      <c r="K4653" s="28" t="str">
        <f t="shared" si="433"/>
        <v/>
      </c>
      <c r="L4653" s="46" t="str">
        <f t="shared" si="437"/>
        <v/>
      </c>
      <c r="M4653" t="str" cm="1">
        <f t="array" ref="M4653">IF(L4653="","",_xlfn.IFS(
  AND(L4653&gt;=TIME(9,0,0), L4653&lt;TIME(16,0,0)),"Morning",
  AND(L4653&gt;=TIME(16,0,0), L4653&lt;TIME(23,59,0)),"Evening",
  L4653&gt;=TIME(23,59,0),"Night",
  L4653&lt;TIME(9,0,0),"Night"
))</f>
        <v/>
      </c>
      <c r="O4653" t="str">
        <f t="shared" si="434"/>
        <v/>
      </c>
    </row>
    <row r="4654" spans="7:15" x14ac:dyDescent="0.25">
      <c r="G4654" t="str">
        <f t="shared" si="432"/>
        <v/>
      </c>
      <c r="H4654" s="13" t="str">
        <f t="shared" si="435"/>
        <v/>
      </c>
      <c r="I4654" t="str">
        <f>IFERROR(INDEX(Analysis!$D$116:$N$137, MATCH(B4654, Analysis!$C$116:$C$137, 0), MATCH(C4654, Analysis!$D$115:$N$115, 0)), "")</f>
        <v/>
      </c>
      <c r="J4654" t="str">
        <f t="shared" si="436"/>
        <v/>
      </c>
      <c r="K4654" s="28" t="str">
        <f t="shared" si="433"/>
        <v/>
      </c>
      <c r="L4654" s="46" t="str">
        <f t="shared" si="437"/>
        <v/>
      </c>
      <c r="M4654" t="str" cm="1">
        <f t="array" ref="M4654">IF(L4654="","",_xlfn.IFS(
  AND(L4654&gt;=TIME(9,0,0), L4654&lt;TIME(16,0,0)),"Morning",
  AND(L4654&gt;=TIME(16,0,0), L4654&lt;TIME(23,59,0)),"Evening",
  L4654&gt;=TIME(23,59,0),"Night",
  L4654&lt;TIME(9,0,0),"Night"
))</f>
        <v/>
      </c>
      <c r="O4654" t="str">
        <f t="shared" si="434"/>
        <v/>
      </c>
    </row>
    <row r="4655" spans="7:15" x14ac:dyDescent="0.25">
      <c r="G4655" t="str">
        <f t="shared" si="432"/>
        <v/>
      </c>
      <c r="H4655" s="13" t="str">
        <f t="shared" si="435"/>
        <v/>
      </c>
      <c r="I4655" t="str">
        <f>IFERROR(INDEX(Analysis!$D$116:$N$137, MATCH(B4655, Analysis!$C$116:$C$137, 0), MATCH(C4655, Analysis!$D$115:$N$115, 0)), "")</f>
        <v/>
      </c>
      <c r="J4655" t="str">
        <f t="shared" si="436"/>
        <v/>
      </c>
      <c r="K4655" s="28" t="str">
        <f t="shared" si="433"/>
        <v/>
      </c>
      <c r="L4655" s="46" t="str">
        <f t="shared" si="437"/>
        <v/>
      </c>
      <c r="M4655" t="str" cm="1">
        <f t="array" ref="M4655">IF(L4655="","",_xlfn.IFS(
  AND(L4655&gt;=TIME(9,0,0), L4655&lt;TIME(16,0,0)),"Morning",
  AND(L4655&gt;=TIME(16,0,0), L4655&lt;TIME(23,59,0)),"Evening",
  L4655&gt;=TIME(23,59,0),"Night",
  L4655&lt;TIME(9,0,0),"Night"
))</f>
        <v/>
      </c>
      <c r="O4655" t="str">
        <f t="shared" si="434"/>
        <v/>
      </c>
    </row>
    <row r="4656" spans="7:15" x14ac:dyDescent="0.25">
      <c r="G4656" t="str">
        <f t="shared" si="432"/>
        <v/>
      </c>
      <c r="H4656" s="13" t="str">
        <f t="shared" si="435"/>
        <v/>
      </c>
      <c r="I4656" t="str">
        <f>IFERROR(INDEX(Analysis!$D$116:$N$137, MATCH(B4656, Analysis!$C$116:$C$137, 0), MATCH(C4656, Analysis!$D$115:$N$115, 0)), "")</f>
        <v/>
      </c>
      <c r="J4656" t="str">
        <f t="shared" si="436"/>
        <v/>
      </c>
      <c r="K4656" s="28" t="str">
        <f t="shared" si="433"/>
        <v/>
      </c>
      <c r="L4656" s="46" t="str">
        <f t="shared" si="437"/>
        <v/>
      </c>
      <c r="M4656" t="str" cm="1">
        <f t="array" ref="M4656">IF(L4656="","",_xlfn.IFS(
  AND(L4656&gt;=TIME(9,0,0), L4656&lt;TIME(16,0,0)),"Morning",
  AND(L4656&gt;=TIME(16,0,0), L4656&lt;TIME(23,59,0)),"Evening",
  L4656&gt;=TIME(23,59,0),"Night",
  L4656&lt;TIME(9,0,0),"Night"
))</f>
        <v/>
      </c>
      <c r="O4656" t="str">
        <f t="shared" si="434"/>
        <v/>
      </c>
    </row>
    <row r="4657" spans="7:15" x14ac:dyDescent="0.25">
      <c r="G4657" t="str">
        <f t="shared" si="432"/>
        <v/>
      </c>
      <c r="H4657" s="13" t="str">
        <f t="shared" si="435"/>
        <v/>
      </c>
      <c r="I4657" t="str">
        <f>IFERROR(INDEX(Analysis!$D$116:$N$137, MATCH(B4657, Analysis!$C$116:$C$137, 0), MATCH(C4657, Analysis!$D$115:$N$115, 0)), "")</f>
        <v/>
      </c>
      <c r="J4657" t="str">
        <f t="shared" si="436"/>
        <v/>
      </c>
      <c r="K4657" s="28" t="str">
        <f t="shared" si="433"/>
        <v/>
      </c>
      <c r="L4657" s="46" t="str">
        <f t="shared" si="437"/>
        <v/>
      </c>
      <c r="M4657" t="str" cm="1">
        <f t="array" ref="M4657">IF(L4657="","",_xlfn.IFS(
  AND(L4657&gt;=TIME(9,0,0), L4657&lt;TIME(16,0,0)),"Morning",
  AND(L4657&gt;=TIME(16,0,0), L4657&lt;TIME(23,59,0)),"Evening",
  L4657&gt;=TIME(23,59,0),"Night",
  L4657&lt;TIME(9,0,0),"Night"
))</f>
        <v/>
      </c>
      <c r="O4657" t="str">
        <f t="shared" si="434"/>
        <v/>
      </c>
    </row>
    <row r="4658" spans="7:15" x14ac:dyDescent="0.25">
      <c r="G4658" t="str">
        <f t="shared" si="432"/>
        <v/>
      </c>
      <c r="H4658" s="13" t="str">
        <f t="shared" si="435"/>
        <v/>
      </c>
      <c r="I4658" t="str">
        <f>IFERROR(INDEX(Analysis!$D$116:$N$137, MATCH(B4658, Analysis!$C$116:$C$137, 0), MATCH(C4658, Analysis!$D$115:$N$115, 0)), "")</f>
        <v/>
      </c>
      <c r="J4658" t="str">
        <f t="shared" si="436"/>
        <v/>
      </c>
      <c r="K4658" s="28" t="str">
        <f t="shared" si="433"/>
        <v/>
      </c>
      <c r="L4658" s="46" t="str">
        <f t="shared" si="437"/>
        <v/>
      </c>
      <c r="M4658" t="str" cm="1">
        <f t="array" ref="M4658">IF(L4658="","",_xlfn.IFS(
  AND(L4658&gt;=TIME(9,0,0), L4658&lt;TIME(16,0,0)),"Morning",
  AND(L4658&gt;=TIME(16,0,0), L4658&lt;TIME(23,59,0)),"Evening",
  L4658&gt;=TIME(23,59,0),"Night",
  L4658&lt;TIME(9,0,0),"Night"
))</f>
        <v/>
      </c>
      <c r="O4658" t="str">
        <f t="shared" si="434"/>
        <v/>
      </c>
    </row>
    <row r="4659" spans="7:15" x14ac:dyDescent="0.25">
      <c r="G4659" t="str">
        <f t="shared" si="432"/>
        <v/>
      </c>
      <c r="H4659" s="13" t="str">
        <f t="shared" si="435"/>
        <v/>
      </c>
      <c r="I4659" t="str">
        <f>IFERROR(INDEX(Analysis!$D$116:$N$137, MATCH(B4659, Analysis!$C$116:$C$137, 0), MATCH(C4659, Analysis!$D$115:$N$115, 0)), "")</f>
        <v/>
      </c>
      <c r="J4659" t="str">
        <f t="shared" si="436"/>
        <v/>
      </c>
      <c r="K4659" s="28" t="str">
        <f t="shared" si="433"/>
        <v/>
      </c>
      <c r="L4659" s="46" t="str">
        <f t="shared" si="437"/>
        <v/>
      </c>
      <c r="M4659" t="str" cm="1">
        <f t="array" ref="M4659">IF(L4659="","",_xlfn.IFS(
  AND(L4659&gt;=TIME(9,0,0), L4659&lt;TIME(16,0,0)),"Morning",
  AND(L4659&gt;=TIME(16,0,0), L4659&lt;TIME(23,59,0)),"Evening",
  L4659&gt;=TIME(23,59,0),"Night",
  L4659&lt;TIME(9,0,0),"Night"
))</f>
        <v/>
      </c>
      <c r="O4659" t="str">
        <f t="shared" si="434"/>
        <v/>
      </c>
    </row>
    <row r="4660" spans="7:15" x14ac:dyDescent="0.25">
      <c r="G4660" t="str">
        <f t="shared" si="432"/>
        <v/>
      </c>
      <c r="H4660" s="13" t="str">
        <f t="shared" si="435"/>
        <v/>
      </c>
      <c r="I4660" t="str">
        <f>IFERROR(INDEX(Analysis!$D$116:$N$137, MATCH(B4660, Analysis!$C$116:$C$137, 0), MATCH(C4660, Analysis!$D$115:$N$115, 0)), "")</f>
        <v/>
      </c>
      <c r="J4660" t="str">
        <f t="shared" si="436"/>
        <v/>
      </c>
      <c r="K4660" s="28" t="str">
        <f t="shared" si="433"/>
        <v/>
      </c>
      <c r="L4660" s="46" t="str">
        <f t="shared" si="437"/>
        <v/>
      </c>
      <c r="M4660" t="str" cm="1">
        <f t="array" ref="M4660">IF(L4660="","",_xlfn.IFS(
  AND(L4660&gt;=TIME(9,0,0), L4660&lt;TIME(16,0,0)),"Morning",
  AND(L4660&gt;=TIME(16,0,0), L4660&lt;TIME(23,59,0)),"Evening",
  L4660&gt;=TIME(23,59,0),"Night",
  L4660&lt;TIME(9,0,0),"Night"
))</f>
        <v/>
      </c>
      <c r="O4660" t="str">
        <f t="shared" si="434"/>
        <v/>
      </c>
    </row>
    <row r="4661" spans="7:15" x14ac:dyDescent="0.25">
      <c r="G4661" t="str">
        <f t="shared" si="432"/>
        <v/>
      </c>
      <c r="H4661" s="13" t="str">
        <f t="shared" si="435"/>
        <v/>
      </c>
      <c r="I4661" t="str">
        <f>IFERROR(INDEX(Analysis!$D$116:$N$137, MATCH(B4661, Analysis!$C$116:$C$137, 0), MATCH(C4661, Analysis!$D$115:$N$115, 0)), "")</f>
        <v/>
      </c>
      <c r="J4661" t="str">
        <f t="shared" si="436"/>
        <v/>
      </c>
      <c r="K4661" s="28" t="str">
        <f t="shared" si="433"/>
        <v/>
      </c>
      <c r="L4661" s="46" t="str">
        <f t="shared" si="437"/>
        <v/>
      </c>
      <c r="M4661" t="str" cm="1">
        <f t="array" ref="M4661">IF(L4661="","",_xlfn.IFS(
  AND(L4661&gt;=TIME(9,0,0), L4661&lt;TIME(16,0,0)),"Morning",
  AND(L4661&gt;=TIME(16,0,0), L4661&lt;TIME(23,59,0)),"Evening",
  L4661&gt;=TIME(23,59,0),"Night",
  L4661&lt;TIME(9,0,0),"Night"
))</f>
        <v/>
      </c>
      <c r="O4661" t="str">
        <f t="shared" si="434"/>
        <v/>
      </c>
    </row>
    <row r="4662" spans="7:15" x14ac:dyDescent="0.25">
      <c r="G4662" t="str">
        <f t="shared" si="432"/>
        <v/>
      </c>
      <c r="H4662" s="13" t="str">
        <f t="shared" si="435"/>
        <v/>
      </c>
      <c r="I4662" t="str">
        <f>IFERROR(INDEX(Analysis!$D$116:$N$137, MATCH(B4662, Analysis!$C$116:$C$137, 0), MATCH(C4662, Analysis!$D$115:$N$115, 0)), "")</f>
        <v/>
      </c>
      <c r="J4662" t="str">
        <f t="shared" si="436"/>
        <v/>
      </c>
      <c r="K4662" s="28" t="str">
        <f t="shared" si="433"/>
        <v/>
      </c>
      <c r="L4662" s="46" t="str">
        <f t="shared" si="437"/>
        <v/>
      </c>
      <c r="M4662" t="str" cm="1">
        <f t="array" ref="M4662">IF(L4662="","",_xlfn.IFS(
  AND(L4662&gt;=TIME(9,0,0), L4662&lt;TIME(16,0,0)),"Morning",
  AND(L4662&gt;=TIME(16,0,0), L4662&lt;TIME(23,59,0)),"Evening",
  L4662&gt;=TIME(23,59,0),"Night",
  L4662&lt;TIME(9,0,0),"Night"
))</f>
        <v/>
      </c>
      <c r="O4662" t="str">
        <f t="shared" si="434"/>
        <v/>
      </c>
    </row>
    <row r="4663" spans="7:15" x14ac:dyDescent="0.25">
      <c r="G4663" t="str">
        <f t="shared" si="432"/>
        <v/>
      </c>
      <c r="H4663" s="13" t="str">
        <f t="shared" si="435"/>
        <v/>
      </c>
      <c r="I4663" t="str">
        <f>IFERROR(INDEX(Analysis!$D$116:$N$137, MATCH(B4663, Analysis!$C$116:$C$137, 0), MATCH(C4663, Analysis!$D$115:$N$115, 0)), "")</f>
        <v/>
      </c>
      <c r="J4663" t="str">
        <f t="shared" si="436"/>
        <v/>
      </c>
      <c r="K4663" s="28" t="str">
        <f t="shared" si="433"/>
        <v/>
      </c>
      <c r="L4663" s="46" t="str">
        <f t="shared" si="437"/>
        <v/>
      </c>
      <c r="M4663" t="str" cm="1">
        <f t="array" ref="M4663">IF(L4663="","",_xlfn.IFS(
  AND(L4663&gt;=TIME(9,0,0), L4663&lt;TIME(16,0,0)),"Morning",
  AND(L4663&gt;=TIME(16,0,0), L4663&lt;TIME(23,59,0)),"Evening",
  L4663&gt;=TIME(23,59,0),"Night",
  L4663&lt;TIME(9,0,0),"Night"
))</f>
        <v/>
      </c>
      <c r="O4663" t="str">
        <f t="shared" si="434"/>
        <v/>
      </c>
    </row>
    <row r="4664" spans="7:15" x14ac:dyDescent="0.25">
      <c r="G4664" t="str">
        <f t="shared" si="432"/>
        <v/>
      </c>
      <c r="H4664" s="13" t="str">
        <f t="shared" si="435"/>
        <v/>
      </c>
      <c r="I4664" t="str">
        <f>IFERROR(INDEX(Analysis!$D$116:$N$137, MATCH(B4664, Analysis!$C$116:$C$137, 0), MATCH(C4664, Analysis!$D$115:$N$115, 0)), "")</f>
        <v/>
      </c>
      <c r="J4664" t="str">
        <f t="shared" si="436"/>
        <v/>
      </c>
      <c r="K4664" s="28" t="str">
        <f t="shared" si="433"/>
        <v/>
      </c>
      <c r="L4664" s="46" t="str">
        <f t="shared" si="437"/>
        <v/>
      </c>
      <c r="M4664" t="str" cm="1">
        <f t="array" ref="M4664">IF(L4664="","",_xlfn.IFS(
  AND(L4664&gt;=TIME(9,0,0), L4664&lt;TIME(16,0,0)),"Morning",
  AND(L4664&gt;=TIME(16,0,0), L4664&lt;TIME(23,59,0)),"Evening",
  L4664&gt;=TIME(23,59,0),"Night",
  L4664&lt;TIME(9,0,0),"Night"
))</f>
        <v/>
      </c>
      <c r="O4664" t="str">
        <f t="shared" si="434"/>
        <v/>
      </c>
    </row>
    <row r="4665" spans="7:15" x14ac:dyDescent="0.25">
      <c r="G4665" t="str">
        <f t="shared" si="432"/>
        <v/>
      </c>
      <c r="H4665" s="13" t="str">
        <f t="shared" si="435"/>
        <v/>
      </c>
      <c r="I4665" t="str">
        <f>IFERROR(INDEX(Analysis!$D$116:$N$137, MATCH(B4665, Analysis!$C$116:$C$137, 0), MATCH(C4665, Analysis!$D$115:$N$115, 0)), "")</f>
        <v/>
      </c>
      <c r="J4665" t="str">
        <f t="shared" si="436"/>
        <v/>
      </c>
      <c r="K4665" s="28" t="str">
        <f t="shared" si="433"/>
        <v/>
      </c>
      <c r="L4665" s="46" t="str">
        <f t="shared" si="437"/>
        <v/>
      </c>
      <c r="M4665" t="str" cm="1">
        <f t="array" ref="M4665">IF(L4665="","",_xlfn.IFS(
  AND(L4665&gt;=TIME(9,0,0), L4665&lt;TIME(16,0,0)),"Morning",
  AND(L4665&gt;=TIME(16,0,0), L4665&lt;TIME(23,59,0)),"Evening",
  L4665&gt;=TIME(23,59,0),"Night",
  L4665&lt;TIME(9,0,0),"Night"
))</f>
        <v/>
      </c>
      <c r="O4665" t="str">
        <f t="shared" si="434"/>
        <v/>
      </c>
    </row>
    <row r="4666" spans="7:15" x14ac:dyDescent="0.25">
      <c r="G4666" t="str">
        <f t="shared" si="432"/>
        <v/>
      </c>
      <c r="H4666" s="13" t="str">
        <f t="shared" si="435"/>
        <v/>
      </c>
      <c r="I4666" t="str">
        <f>IFERROR(INDEX(Analysis!$D$116:$N$137, MATCH(B4666, Analysis!$C$116:$C$137, 0), MATCH(C4666, Analysis!$D$115:$N$115, 0)), "")</f>
        <v/>
      </c>
      <c r="J4666" t="str">
        <f t="shared" si="436"/>
        <v/>
      </c>
      <c r="K4666" s="28" t="str">
        <f t="shared" si="433"/>
        <v/>
      </c>
      <c r="L4666" s="46" t="str">
        <f t="shared" si="437"/>
        <v/>
      </c>
      <c r="M4666" t="str" cm="1">
        <f t="array" ref="M4666">IF(L4666="","",_xlfn.IFS(
  AND(L4666&gt;=TIME(9,0,0), L4666&lt;TIME(16,0,0)),"Morning",
  AND(L4666&gt;=TIME(16,0,0), L4666&lt;TIME(23,59,0)),"Evening",
  L4666&gt;=TIME(23,59,0),"Night",
  L4666&lt;TIME(9,0,0),"Night"
))</f>
        <v/>
      </c>
      <c r="O4666" t="str">
        <f t="shared" si="434"/>
        <v/>
      </c>
    </row>
    <row r="4667" spans="7:15" x14ac:dyDescent="0.25">
      <c r="G4667" t="str">
        <f t="shared" si="432"/>
        <v/>
      </c>
      <c r="H4667" s="13" t="str">
        <f t="shared" si="435"/>
        <v/>
      </c>
      <c r="I4667" t="str">
        <f>IFERROR(INDEX(Analysis!$D$116:$N$137, MATCH(B4667, Analysis!$C$116:$C$137, 0), MATCH(C4667, Analysis!$D$115:$N$115, 0)), "")</f>
        <v/>
      </c>
      <c r="J4667" t="str">
        <f t="shared" si="436"/>
        <v/>
      </c>
      <c r="K4667" s="28" t="str">
        <f t="shared" si="433"/>
        <v/>
      </c>
      <c r="L4667" s="46" t="str">
        <f t="shared" si="437"/>
        <v/>
      </c>
      <c r="M4667" t="str" cm="1">
        <f t="array" ref="M4667">IF(L4667="","",_xlfn.IFS(
  AND(L4667&gt;=TIME(9,0,0), L4667&lt;TIME(16,0,0)),"Morning",
  AND(L4667&gt;=TIME(16,0,0), L4667&lt;TIME(23,59,0)),"Evening",
  L4667&gt;=TIME(23,59,0),"Night",
  L4667&lt;TIME(9,0,0),"Night"
))</f>
        <v/>
      </c>
      <c r="O4667" t="str">
        <f t="shared" si="434"/>
        <v/>
      </c>
    </row>
    <row r="4668" spans="7:15" x14ac:dyDescent="0.25">
      <c r="G4668" t="str">
        <f t="shared" si="432"/>
        <v/>
      </c>
      <c r="H4668" s="13" t="str">
        <f t="shared" si="435"/>
        <v/>
      </c>
      <c r="I4668" t="str">
        <f>IFERROR(INDEX(Analysis!$D$116:$N$137, MATCH(B4668, Analysis!$C$116:$C$137, 0), MATCH(C4668, Analysis!$D$115:$N$115, 0)), "")</f>
        <v/>
      </c>
      <c r="J4668" t="str">
        <f t="shared" si="436"/>
        <v/>
      </c>
      <c r="K4668" s="28" t="str">
        <f t="shared" si="433"/>
        <v/>
      </c>
      <c r="L4668" s="46" t="str">
        <f t="shared" si="437"/>
        <v/>
      </c>
      <c r="M4668" t="str" cm="1">
        <f t="array" ref="M4668">IF(L4668="","",_xlfn.IFS(
  AND(L4668&gt;=TIME(9,0,0), L4668&lt;TIME(16,0,0)),"Morning",
  AND(L4668&gt;=TIME(16,0,0), L4668&lt;TIME(23,59,0)),"Evening",
  L4668&gt;=TIME(23,59,0),"Night",
  L4668&lt;TIME(9,0,0),"Night"
))</f>
        <v/>
      </c>
      <c r="O4668" t="str">
        <f t="shared" si="434"/>
        <v/>
      </c>
    </row>
    <row r="4669" spans="7:15" x14ac:dyDescent="0.25">
      <c r="G4669" t="str">
        <f t="shared" si="432"/>
        <v/>
      </c>
      <c r="H4669" s="13" t="str">
        <f t="shared" si="435"/>
        <v/>
      </c>
      <c r="I4669" t="str">
        <f>IFERROR(INDEX(Analysis!$D$116:$N$137, MATCH(B4669, Analysis!$C$116:$C$137, 0), MATCH(C4669, Analysis!$D$115:$N$115, 0)), "")</f>
        <v/>
      </c>
      <c r="J4669" t="str">
        <f t="shared" si="436"/>
        <v/>
      </c>
      <c r="K4669" s="28" t="str">
        <f t="shared" si="433"/>
        <v/>
      </c>
      <c r="L4669" s="46" t="str">
        <f t="shared" si="437"/>
        <v/>
      </c>
      <c r="M4669" t="str" cm="1">
        <f t="array" ref="M4669">IF(L4669="","",_xlfn.IFS(
  AND(L4669&gt;=TIME(9,0,0), L4669&lt;TIME(16,0,0)),"Morning",
  AND(L4669&gt;=TIME(16,0,0), L4669&lt;TIME(23,59,0)),"Evening",
  L4669&gt;=TIME(23,59,0),"Night",
  L4669&lt;TIME(9,0,0),"Night"
))</f>
        <v/>
      </c>
      <c r="O4669" t="str">
        <f t="shared" si="434"/>
        <v/>
      </c>
    </row>
    <row r="4670" spans="7:15" x14ac:dyDescent="0.25">
      <c r="G4670" t="str">
        <f t="shared" si="432"/>
        <v/>
      </c>
      <c r="H4670" s="13" t="str">
        <f t="shared" si="435"/>
        <v/>
      </c>
      <c r="I4670" t="str">
        <f>IFERROR(INDEX(Analysis!$D$116:$N$137, MATCH(B4670, Analysis!$C$116:$C$137, 0), MATCH(C4670, Analysis!$D$115:$N$115, 0)), "")</f>
        <v/>
      </c>
      <c r="J4670" t="str">
        <f t="shared" si="436"/>
        <v/>
      </c>
      <c r="K4670" s="28" t="str">
        <f t="shared" si="433"/>
        <v/>
      </c>
      <c r="L4670" s="46" t="str">
        <f t="shared" si="437"/>
        <v/>
      </c>
      <c r="M4670" t="str" cm="1">
        <f t="array" ref="M4670">IF(L4670="","",_xlfn.IFS(
  AND(L4670&gt;=TIME(9,0,0), L4670&lt;TIME(16,0,0)),"Morning",
  AND(L4670&gt;=TIME(16,0,0), L4670&lt;TIME(23,59,0)),"Evening",
  L4670&gt;=TIME(23,59,0),"Night",
  L4670&lt;TIME(9,0,0),"Night"
))</f>
        <v/>
      </c>
      <c r="O4670" t="str">
        <f t="shared" si="434"/>
        <v/>
      </c>
    </row>
    <row r="4671" spans="7:15" x14ac:dyDescent="0.25">
      <c r="G4671" t="str">
        <f t="shared" si="432"/>
        <v/>
      </c>
      <c r="H4671" s="13" t="str">
        <f t="shared" si="435"/>
        <v/>
      </c>
      <c r="I4671" t="str">
        <f>IFERROR(INDEX(Analysis!$D$116:$N$137, MATCH(B4671, Analysis!$C$116:$C$137, 0), MATCH(C4671, Analysis!$D$115:$N$115, 0)), "")</f>
        <v/>
      </c>
      <c r="J4671" t="str">
        <f t="shared" si="436"/>
        <v/>
      </c>
      <c r="K4671" s="28" t="str">
        <f t="shared" si="433"/>
        <v/>
      </c>
      <c r="L4671" s="46" t="str">
        <f t="shared" si="437"/>
        <v/>
      </c>
      <c r="M4671" t="str" cm="1">
        <f t="array" ref="M4671">IF(L4671="","",_xlfn.IFS(
  AND(L4671&gt;=TIME(9,0,0), L4671&lt;TIME(16,0,0)),"Morning",
  AND(L4671&gt;=TIME(16,0,0), L4671&lt;TIME(23,59,0)),"Evening",
  L4671&gt;=TIME(23,59,0),"Night",
  L4671&lt;TIME(9,0,0),"Night"
))</f>
        <v/>
      </c>
      <c r="O4671" t="str">
        <f t="shared" si="434"/>
        <v/>
      </c>
    </row>
    <row r="4672" spans="7:15" x14ac:dyDescent="0.25">
      <c r="G4672" t="str">
        <f t="shared" si="432"/>
        <v/>
      </c>
      <c r="H4672" s="13" t="str">
        <f t="shared" si="435"/>
        <v/>
      </c>
      <c r="I4672" t="str">
        <f>IFERROR(INDEX(Analysis!$D$116:$N$137, MATCH(B4672, Analysis!$C$116:$C$137, 0), MATCH(C4672, Analysis!$D$115:$N$115, 0)), "")</f>
        <v/>
      </c>
      <c r="J4672" t="str">
        <f t="shared" si="436"/>
        <v/>
      </c>
      <c r="K4672" s="28" t="str">
        <f t="shared" si="433"/>
        <v/>
      </c>
      <c r="L4672" s="46" t="str">
        <f t="shared" si="437"/>
        <v/>
      </c>
      <c r="M4672" t="str" cm="1">
        <f t="array" ref="M4672">IF(L4672="","",_xlfn.IFS(
  AND(L4672&gt;=TIME(9,0,0), L4672&lt;TIME(16,0,0)),"Morning",
  AND(L4672&gt;=TIME(16,0,0), L4672&lt;TIME(23,59,0)),"Evening",
  L4672&gt;=TIME(23,59,0),"Night",
  L4672&lt;TIME(9,0,0),"Night"
))</f>
        <v/>
      </c>
      <c r="O4672" t="str">
        <f t="shared" si="434"/>
        <v/>
      </c>
    </row>
    <row r="4673" spans="7:15" x14ac:dyDescent="0.25">
      <c r="G4673" t="str">
        <f t="shared" si="432"/>
        <v/>
      </c>
      <c r="H4673" s="13" t="str">
        <f t="shared" si="435"/>
        <v/>
      </c>
      <c r="I4673" t="str">
        <f>IFERROR(INDEX(Analysis!$D$116:$N$137, MATCH(B4673, Analysis!$C$116:$C$137, 0), MATCH(C4673, Analysis!$D$115:$N$115, 0)), "")</f>
        <v/>
      </c>
      <c r="J4673" t="str">
        <f t="shared" si="436"/>
        <v/>
      </c>
      <c r="K4673" s="28" t="str">
        <f t="shared" si="433"/>
        <v/>
      </c>
      <c r="L4673" s="46" t="str">
        <f t="shared" si="437"/>
        <v/>
      </c>
      <c r="M4673" t="str" cm="1">
        <f t="array" ref="M4673">IF(L4673="","",_xlfn.IFS(
  AND(L4673&gt;=TIME(9,0,0), L4673&lt;TIME(16,0,0)),"Morning",
  AND(L4673&gt;=TIME(16,0,0), L4673&lt;TIME(23,59,0)),"Evening",
  L4673&gt;=TIME(23,59,0),"Night",
  L4673&lt;TIME(9,0,0),"Night"
))</f>
        <v/>
      </c>
      <c r="O4673" t="str">
        <f t="shared" si="434"/>
        <v/>
      </c>
    </row>
    <row r="4674" spans="7:15" x14ac:dyDescent="0.25">
      <c r="G4674" t="str">
        <f t="shared" ref="G4674:G4737" si="438">IF(ISBLANK(A4674), "", IF(ISBLANK(F4674), 0, F4674))</f>
        <v/>
      </c>
      <c r="H4674" s="13" t="str">
        <f t="shared" si="435"/>
        <v/>
      </c>
      <c r="I4674" t="str">
        <f>IFERROR(INDEX(Analysis!$D$116:$N$137, MATCH(B4674, Analysis!$C$116:$C$137, 0), MATCH(C4674, Analysis!$D$115:$N$115, 0)), "")</f>
        <v/>
      </c>
      <c r="J4674" t="str">
        <f t="shared" si="436"/>
        <v/>
      </c>
      <c r="K4674" s="28" t="str">
        <f t="shared" ref="K4674:K4737" si="439">IF(ISBLANK(A4674),"",DATE(YEAR(A4674),MONTH(A4674),DAY(A4674)))</f>
        <v/>
      </c>
      <c r="L4674" s="46" t="str">
        <f t="shared" si="437"/>
        <v/>
      </c>
      <c r="M4674" t="str" cm="1">
        <f t="array" ref="M4674">IF(L4674="","",_xlfn.IFS(
  AND(L4674&gt;=TIME(9,0,0), L4674&lt;TIME(16,0,0)),"Morning",
  AND(L4674&gt;=TIME(16,0,0), L4674&lt;TIME(23,59,0)),"Evening",
  L4674&gt;=TIME(23,59,0),"Night",
  L4674&lt;TIME(9,0,0),"Night"
))</f>
        <v/>
      </c>
      <c r="O4674" t="str">
        <f t="shared" ref="O4674:O4737" si="440">IF(N4674="ON", _xlfn.IMAGE(E4674, 1), "")</f>
        <v/>
      </c>
    </row>
    <row r="4675" spans="7:15" x14ac:dyDescent="0.25">
      <c r="G4675" t="str">
        <f t="shared" si="438"/>
        <v/>
      </c>
      <c r="H4675" s="13" t="str">
        <f t="shared" ref="H4675:H4738" si="441">IF(ISBLANK(E4675),"",HYPERLINK(E4675,"Click here"))</f>
        <v/>
      </c>
      <c r="I4675" t="str">
        <f>IFERROR(INDEX(Analysis!$D$116:$N$137, MATCH(B4675, Analysis!$C$116:$C$137, 0), MATCH(C4675, Analysis!$D$115:$N$115, 0)), "")</f>
        <v/>
      </c>
      <c r="J4675" t="str">
        <f t="shared" ref="J4675:J4738" si="442">IF(ISBLANK(A4675),"",WEEKNUM(A4675))</f>
        <v/>
      </c>
      <c r="K4675" s="28" t="str">
        <f t="shared" si="439"/>
        <v/>
      </c>
      <c r="L4675" s="46" t="str">
        <f t="shared" ref="L4675:L4738" si="443">IF(A4675="", "", A4675 - INT(A4675))</f>
        <v/>
      </c>
      <c r="M4675" t="str" cm="1">
        <f t="array" ref="M4675">IF(L4675="","",_xlfn.IFS(
  AND(L4675&gt;=TIME(9,0,0), L4675&lt;TIME(16,0,0)),"Morning",
  AND(L4675&gt;=TIME(16,0,0), L4675&lt;TIME(23,59,0)),"Evening",
  L4675&gt;=TIME(23,59,0),"Night",
  L4675&lt;TIME(9,0,0),"Night"
))</f>
        <v/>
      </c>
      <c r="O4675" t="str">
        <f t="shared" si="440"/>
        <v/>
      </c>
    </row>
    <row r="4676" spans="7:15" x14ac:dyDescent="0.25">
      <c r="G4676" t="str">
        <f t="shared" si="438"/>
        <v/>
      </c>
      <c r="H4676" s="13" t="str">
        <f t="shared" si="441"/>
        <v/>
      </c>
      <c r="I4676" t="str">
        <f>IFERROR(INDEX(Analysis!$D$116:$N$137, MATCH(B4676, Analysis!$C$116:$C$137, 0), MATCH(C4676, Analysis!$D$115:$N$115, 0)), "")</f>
        <v/>
      </c>
      <c r="J4676" t="str">
        <f t="shared" si="442"/>
        <v/>
      </c>
      <c r="K4676" s="28" t="str">
        <f t="shared" si="439"/>
        <v/>
      </c>
      <c r="L4676" s="46" t="str">
        <f t="shared" si="443"/>
        <v/>
      </c>
      <c r="M4676" t="str" cm="1">
        <f t="array" ref="M4676">IF(L4676="","",_xlfn.IFS(
  AND(L4676&gt;=TIME(9,0,0), L4676&lt;TIME(16,0,0)),"Morning",
  AND(L4676&gt;=TIME(16,0,0), L4676&lt;TIME(23,59,0)),"Evening",
  L4676&gt;=TIME(23,59,0),"Night",
  L4676&lt;TIME(9,0,0),"Night"
))</f>
        <v/>
      </c>
      <c r="O4676" t="str">
        <f t="shared" si="440"/>
        <v/>
      </c>
    </row>
    <row r="4677" spans="7:15" x14ac:dyDescent="0.25">
      <c r="G4677" t="str">
        <f t="shared" si="438"/>
        <v/>
      </c>
      <c r="H4677" s="13" t="str">
        <f t="shared" si="441"/>
        <v/>
      </c>
      <c r="I4677" t="str">
        <f>IFERROR(INDEX(Analysis!$D$116:$N$137, MATCH(B4677, Analysis!$C$116:$C$137, 0), MATCH(C4677, Analysis!$D$115:$N$115, 0)), "")</f>
        <v/>
      </c>
      <c r="J4677" t="str">
        <f t="shared" si="442"/>
        <v/>
      </c>
      <c r="K4677" s="28" t="str">
        <f t="shared" si="439"/>
        <v/>
      </c>
      <c r="L4677" s="46" t="str">
        <f t="shared" si="443"/>
        <v/>
      </c>
      <c r="M4677" t="str" cm="1">
        <f t="array" ref="M4677">IF(L4677="","",_xlfn.IFS(
  AND(L4677&gt;=TIME(9,0,0), L4677&lt;TIME(16,0,0)),"Morning",
  AND(L4677&gt;=TIME(16,0,0), L4677&lt;TIME(23,59,0)),"Evening",
  L4677&gt;=TIME(23,59,0),"Night",
  L4677&lt;TIME(9,0,0),"Night"
))</f>
        <v/>
      </c>
      <c r="O4677" t="str">
        <f t="shared" si="440"/>
        <v/>
      </c>
    </row>
    <row r="4678" spans="7:15" x14ac:dyDescent="0.25">
      <c r="G4678" t="str">
        <f t="shared" si="438"/>
        <v/>
      </c>
      <c r="H4678" s="13" t="str">
        <f t="shared" si="441"/>
        <v/>
      </c>
      <c r="I4678" t="str">
        <f>IFERROR(INDEX(Analysis!$D$116:$N$137, MATCH(B4678, Analysis!$C$116:$C$137, 0), MATCH(C4678, Analysis!$D$115:$N$115, 0)), "")</f>
        <v/>
      </c>
      <c r="J4678" t="str">
        <f t="shared" si="442"/>
        <v/>
      </c>
      <c r="K4678" s="28" t="str">
        <f t="shared" si="439"/>
        <v/>
      </c>
      <c r="L4678" s="46" t="str">
        <f t="shared" si="443"/>
        <v/>
      </c>
      <c r="M4678" t="str" cm="1">
        <f t="array" ref="M4678">IF(L4678="","",_xlfn.IFS(
  AND(L4678&gt;=TIME(9,0,0), L4678&lt;TIME(16,0,0)),"Morning",
  AND(L4678&gt;=TIME(16,0,0), L4678&lt;TIME(23,59,0)),"Evening",
  L4678&gt;=TIME(23,59,0),"Night",
  L4678&lt;TIME(9,0,0),"Night"
))</f>
        <v/>
      </c>
      <c r="O4678" t="str">
        <f t="shared" si="440"/>
        <v/>
      </c>
    </row>
    <row r="4679" spans="7:15" x14ac:dyDescent="0.25">
      <c r="G4679" t="str">
        <f t="shared" si="438"/>
        <v/>
      </c>
      <c r="H4679" s="13" t="str">
        <f t="shared" si="441"/>
        <v/>
      </c>
      <c r="I4679" t="str">
        <f>IFERROR(INDEX(Analysis!$D$116:$N$137, MATCH(B4679, Analysis!$C$116:$C$137, 0), MATCH(C4679, Analysis!$D$115:$N$115, 0)), "")</f>
        <v/>
      </c>
      <c r="J4679" t="str">
        <f t="shared" si="442"/>
        <v/>
      </c>
      <c r="K4679" s="28" t="str">
        <f t="shared" si="439"/>
        <v/>
      </c>
      <c r="L4679" s="46" t="str">
        <f t="shared" si="443"/>
        <v/>
      </c>
      <c r="M4679" t="str" cm="1">
        <f t="array" ref="M4679">IF(L4679="","",_xlfn.IFS(
  AND(L4679&gt;=TIME(9,0,0), L4679&lt;TIME(16,0,0)),"Morning",
  AND(L4679&gt;=TIME(16,0,0), L4679&lt;TIME(23,59,0)),"Evening",
  L4679&gt;=TIME(23,59,0),"Night",
  L4679&lt;TIME(9,0,0),"Night"
))</f>
        <v/>
      </c>
      <c r="O4679" t="str">
        <f t="shared" si="440"/>
        <v/>
      </c>
    </row>
    <row r="4680" spans="7:15" x14ac:dyDescent="0.25">
      <c r="G4680" t="str">
        <f t="shared" si="438"/>
        <v/>
      </c>
      <c r="H4680" s="13" t="str">
        <f t="shared" si="441"/>
        <v/>
      </c>
      <c r="I4680" t="str">
        <f>IFERROR(INDEX(Analysis!$D$116:$N$137, MATCH(B4680, Analysis!$C$116:$C$137, 0), MATCH(C4680, Analysis!$D$115:$N$115, 0)), "")</f>
        <v/>
      </c>
      <c r="J4680" t="str">
        <f t="shared" si="442"/>
        <v/>
      </c>
      <c r="K4680" s="28" t="str">
        <f t="shared" si="439"/>
        <v/>
      </c>
      <c r="L4680" s="46" t="str">
        <f t="shared" si="443"/>
        <v/>
      </c>
      <c r="M4680" t="str" cm="1">
        <f t="array" ref="M4680">IF(L4680="","",_xlfn.IFS(
  AND(L4680&gt;=TIME(9,0,0), L4680&lt;TIME(16,0,0)),"Morning",
  AND(L4680&gt;=TIME(16,0,0), L4680&lt;TIME(23,59,0)),"Evening",
  L4680&gt;=TIME(23,59,0),"Night",
  L4680&lt;TIME(9,0,0),"Night"
))</f>
        <v/>
      </c>
      <c r="O4680" t="str">
        <f t="shared" si="440"/>
        <v/>
      </c>
    </row>
    <row r="4681" spans="7:15" x14ac:dyDescent="0.25">
      <c r="G4681" t="str">
        <f t="shared" si="438"/>
        <v/>
      </c>
      <c r="H4681" s="13" t="str">
        <f t="shared" si="441"/>
        <v/>
      </c>
      <c r="I4681" t="str">
        <f>IFERROR(INDEX(Analysis!$D$116:$N$137, MATCH(B4681, Analysis!$C$116:$C$137, 0), MATCH(C4681, Analysis!$D$115:$N$115, 0)), "")</f>
        <v/>
      </c>
      <c r="J4681" t="str">
        <f t="shared" si="442"/>
        <v/>
      </c>
      <c r="K4681" s="28" t="str">
        <f t="shared" si="439"/>
        <v/>
      </c>
      <c r="L4681" s="46" t="str">
        <f t="shared" si="443"/>
        <v/>
      </c>
      <c r="M4681" t="str" cm="1">
        <f t="array" ref="M4681">IF(L4681="","",_xlfn.IFS(
  AND(L4681&gt;=TIME(9,0,0), L4681&lt;TIME(16,0,0)),"Morning",
  AND(L4681&gt;=TIME(16,0,0), L4681&lt;TIME(23,59,0)),"Evening",
  L4681&gt;=TIME(23,59,0),"Night",
  L4681&lt;TIME(9,0,0),"Night"
))</f>
        <v/>
      </c>
      <c r="O4681" t="str">
        <f t="shared" si="440"/>
        <v/>
      </c>
    </row>
    <row r="4682" spans="7:15" x14ac:dyDescent="0.25">
      <c r="G4682" t="str">
        <f t="shared" si="438"/>
        <v/>
      </c>
      <c r="H4682" s="13" t="str">
        <f t="shared" si="441"/>
        <v/>
      </c>
      <c r="I4682" t="str">
        <f>IFERROR(INDEX(Analysis!$D$116:$N$137, MATCH(B4682, Analysis!$C$116:$C$137, 0), MATCH(C4682, Analysis!$D$115:$N$115, 0)), "")</f>
        <v/>
      </c>
      <c r="J4682" t="str">
        <f t="shared" si="442"/>
        <v/>
      </c>
      <c r="K4682" s="28" t="str">
        <f t="shared" si="439"/>
        <v/>
      </c>
      <c r="L4682" s="46" t="str">
        <f t="shared" si="443"/>
        <v/>
      </c>
      <c r="M4682" t="str" cm="1">
        <f t="array" ref="M4682">IF(L4682="","",_xlfn.IFS(
  AND(L4682&gt;=TIME(9,0,0), L4682&lt;TIME(16,0,0)),"Morning",
  AND(L4682&gt;=TIME(16,0,0), L4682&lt;TIME(23,59,0)),"Evening",
  L4682&gt;=TIME(23,59,0),"Night",
  L4682&lt;TIME(9,0,0),"Night"
))</f>
        <v/>
      </c>
      <c r="O4682" t="str">
        <f t="shared" si="440"/>
        <v/>
      </c>
    </row>
    <row r="4683" spans="7:15" x14ac:dyDescent="0.25">
      <c r="G4683" t="str">
        <f t="shared" si="438"/>
        <v/>
      </c>
      <c r="H4683" s="13" t="str">
        <f t="shared" si="441"/>
        <v/>
      </c>
      <c r="I4683" t="str">
        <f>IFERROR(INDEX(Analysis!$D$116:$N$137, MATCH(B4683, Analysis!$C$116:$C$137, 0), MATCH(C4683, Analysis!$D$115:$N$115, 0)), "")</f>
        <v/>
      </c>
      <c r="J4683" t="str">
        <f t="shared" si="442"/>
        <v/>
      </c>
      <c r="K4683" s="28" t="str">
        <f t="shared" si="439"/>
        <v/>
      </c>
      <c r="L4683" s="46" t="str">
        <f t="shared" si="443"/>
        <v/>
      </c>
      <c r="M4683" t="str" cm="1">
        <f t="array" ref="M4683">IF(L4683="","",_xlfn.IFS(
  AND(L4683&gt;=TIME(9,0,0), L4683&lt;TIME(16,0,0)),"Morning",
  AND(L4683&gt;=TIME(16,0,0), L4683&lt;TIME(23,59,0)),"Evening",
  L4683&gt;=TIME(23,59,0),"Night",
  L4683&lt;TIME(9,0,0),"Night"
))</f>
        <v/>
      </c>
      <c r="O4683" t="str">
        <f t="shared" si="440"/>
        <v/>
      </c>
    </row>
    <row r="4684" spans="7:15" x14ac:dyDescent="0.25">
      <c r="G4684" t="str">
        <f t="shared" si="438"/>
        <v/>
      </c>
      <c r="H4684" s="13" t="str">
        <f t="shared" si="441"/>
        <v/>
      </c>
      <c r="I4684" t="str">
        <f>IFERROR(INDEX(Analysis!$D$116:$N$137, MATCH(B4684, Analysis!$C$116:$C$137, 0), MATCH(C4684, Analysis!$D$115:$N$115, 0)), "")</f>
        <v/>
      </c>
      <c r="J4684" t="str">
        <f t="shared" si="442"/>
        <v/>
      </c>
      <c r="K4684" s="28" t="str">
        <f t="shared" si="439"/>
        <v/>
      </c>
      <c r="L4684" s="46" t="str">
        <f t="shared" si="443"/>
        <v/>
      </c>
      <c r="M4684" t="str" cm="1">
        <f t="array" ref="M4684">IF(L4684="","",_xlfn.IFS(
  AND(L4684&gt;=TIME(9,0,0), L4684&lt;TIME(16,0,0)),"Morning",
  AND(L4684&gt;=TIME(16,0,0), L4684&lt;TIME(23,59,0)),"Evening",
  L4684&gt;=TIME(23,59,0),"Night",
  L4684&lt;TIME(9,0,0),"Night"
))</f>
        <v/>
      </c>
      <c r="O4684" t="str">
        <f t="shared" si="440"/>
        <v/>
      </c>
    </row>
    <row r="4685" spans="7:15" x14ac:dyDescent="0.25">
      <c r="G4685" t="str">
        <f t="shared" si="438"/>
        <v/>
      </c>
      <c r="H4685" s="13" t="str">
        <f t="shared" si="441"/>
        <v/>
      </c>
      <c r="I4685" t="str">
        <f>IFERROR(INDEX(Analysis!$D$116:$N$137, MATCH(B4685, Analysis!$C$116:$C$137, 0), MATCH(C4685, Analysis!$D$115:$N$115, 0)), "")</f>
        <v/>
      </c>
      <c r="J4685" t="str">
        <f t="shared" si="442"/>
        <v/>
      </c>
      <c r="K4685" s="28" t="str">
        <f t="shared" si="439"/>
        <v/>
      </c>
      <c r="L4685" s="46" t="str">
        <f t="shared" si="443"/>
        <v/>
      </c>
      <c r="M4685" t="str" cm="1">
        <f t="array" ref="M4685">IF(L4685="","",_xlfn.IFS(
  AND(L4685&gt;=TIME(9,0,0), L4685&lt;TIME(16,0,0)),"Morning",
  AND(L4685&gt;=TIME(16,0,0), L4685&lt;TIME(23,59,0)),"Evening",
  L4685&gt;=TIME(23,59,0),"Night",
  L4685&lt;TIME(9,0,0),"Night"
))</f>
        <v/>
      </c>
      <c r="O4685" t="str">
        <f t="shared" si="440"/>
        <v/>
      </c>
    </row>
    <row r="4686" spans="7:15" x14ac:dyDescent="0.25">
      <c r="G4686" t="str">
        <f t="shared" si="438"/>
        <v/>
      </c>
      <c r="H4686" s="13" t="str">
        <f t="shared" si="441"/>
        <v/>
      </c>
      <c r="I4686" t="str">
        <f>IFERROR(INDEX(Analysis!$D$116:$N$137, MATCH(B4686, Analysis!$C$116:$C$137, 0), MATCH(C4686, Analysis!$D$115:$N$115, 0)), "")</f>
        <v/>
      </c>
      <c r="J4686" t="str">
        <f t="shared" si="442"/>
        <v/>
      </c>
      <c r="K4686" s="28" t="str">
        <f t="shared" si="439"/>
        <v/>
      </c>
      <c r="L4686" s="46" t="str">
        <f t="shared" si="443"/>
        <v/>
      </c>
      <c r="M4686" t="str" cm="1">
        <f t="array" ref="M4686">IF(L4686="","",_xlfn.IFS(
  AND(L4686&gt;=TIME(9,0,0), L4686&lt;TIME(16,0,0)),"Morning",
  AND(L4686&gt;=TIME(16,0,0), L4686&lt;TIME(23,59,0)),"Evening",
  L4686&gt;=TIME(23,59,0),"Night",
  L4686&lt;TIME(9,0,0),"Night"
))</f>
        <v/>
      </c>
      <c r="O4686" t="str">
        <f t="shared" si="440"/>
        <v/>
      </c>
    </row>
    <row r="4687" spans="7:15" x14ac:dyDescent="0.25">
      <c r="G4687" t="str">
        <f t="shared" si="438"/>
        <v/>
      </c>
      <c r="H4687" s="13" t="str">
        <f t="shared" si="441"/>
        <v/>
      </c>
      <c r="I4687" t="str">
        <f>IFERROR(INDEX(Analysis!$D$116:$N$137, MATCH(B4687, Analysis!$C$116:$C$137, 0), MATCH(C4687, Analysis!$D$115:$N$115, 0)), "")</f>
        <v/>
      </c>
      <c r="J4687" t="str">
        <f t="shared" si="442"/>
        <v/>
      </c>
      <c r="K4687" s="28" t="str">
        <f t="shared" si="439"/>
        <v/>
      </c>
      <c r="L4687" s="46" t="str">
        <f t="shared" si="443"/>
        <v/>
      </c>
      <c r="M4687" t="str" cm="1">
        <f t="array" ref="M4687">IF(L4687="","",_xlfn.IFS(
  AND(L4687&gt;=TIME(9,0,0), L4687&lt;TIME(16,0,0)),"Morning",
  AND(L4687&gt;=TIME(16,0,0), L4687&lt;TIME(23,59,0)),"Evening",
  L4687&gt;=TIME(23,59,0),"Night",
  L4687&lt;TIME(9,0,0),"Night"
))</f>
        <v/>
      </c>
      <c r="O4687" t="str">
        <f t="shared" si="440"/>
        <v/>
      </c>
    </row>
    <row r="4688" spans="7:15" x14ac:dyDescent="0.25">
      <c r="G4688" t="str">
        <f t="shared" si="438"/>
        <v/>
      </c>
      <c r="H4688" s="13" t="str">
        <f t="shared" si="441"/>
        <v/>
      </c>
      <c r="I4688" t="str">
        <f>IFERROR(INDEX(Analysis!$D$116:$N$137, MATCH(B4688, Analysis!$C$116:$C$137, 0), MATCH(C4688, Analysis!$D$115:$N$115, 0)), "")</f>
        <v/>
      </c>
      <c r="J4688" t="str">
        <f t="shared" si="442"/>
        <v/>
      </c>
      <c r="K4688" s="28" t="str">
        <f t="shared" si="439"/>
        <v/>
      </c>
      <c r="L4688" s="46" t="str">
        <f t="shared" si="443"/>
        <v/>
      </c>
      <c r="M4688" t="str" cm="1">
        <f t="array" ref="M4688">IF(L4688="","",_xlfn.IFS(
  AND(L4688&gt;=TIME(9,0,0), L4688&lt;TIME(16,0,0)),"Morning",
  AND(L4688&gt;=TIME(16,0,0), L4688&lt;TIME(23,59,0)),"Evening",
  L4688&gt;=TIME(23,59,0),"Night",
  L4688&lt;TIME(9,0,0),"Night"
))</f>
        <v/>
      </c>
      <c r="O4688" t="str">
        <f t="shared" si="440"/>
        <v/>
      </c>
    </row>
    <row r="4689" spans="7:15" x14ac:dyDescent="0.25">
      <c r="G4689" t="str">
        <f t="shared" si="438"/>
        <v/>
      </c>
      <c r="H4689" s="13" t="str">
        <f t="shared" si="441"/>
        <v/>
      </c>
      <c r="I4689" t="str">
        <f>IFERROR(INDEX(Analysis!$D$116:$N$137, MATCH(B4689, Analysis!$C$116:$C$137, 0), MATCH(C4689, Analysis!$D$115:$N$115, 0)), "")</f>
        <v/>
      </c>
      <c r="J4689" t="str">
        <f t="shared" si="442"/>
        <v/>
      </c>
      <c r="K4689" s="28" t="str">
        <f t="shared" si="439"/>
        <v/>
      </c>
      <c r="L4689" s="46" t="str">
        <f t="shared" si="443"/>
        <v/>
      </c>
      <c r="M4689" t="str" cm="1">
        <f t="array" ref="M4689">IF(L4689="","",_xlfn.IFS(
  AND(L4689&gt;=TIME(9,0,0), L4689&lt;TIME(16,0,0)),"Morning",
  AND(L4689&gt;=TIME(16,0,0), L4689&lt;TIME(23,59,0)),"Evening",
  L4689&gt;=TIME(23,59,0),"Night",
  L4689&lt;TIME(9,0,0),"Night"
))</f>
        <v/>
      </c>
      <c r="O4689" t="str">
        <f t="shared" si="440"/>
        <v/>
      </c>
    </row>
    <row r="4690" spans="7:15" x14ac:dyDescent="0.25">
      <c r="G4690" t="str">
        <f t="shared" si="438"/>
        <v/>
      </c>
      <c r="H4690" s="13" t="str">
        <f t="shared" si="441"/>
        <v/>
      </c>
      <c r="I4690" t="str">
        <f>IFERROR(INDEX(Analysis!$D$116:$N$137, MATCH(B4690, Analysis!$C$116:$C$137, 0), MATCH(C4690, Analysis!$D$115:$N$115, 0)), "")</f>
        <v/>
      </c>
      <c r="J4690" t="str">
        <f t="shared" si="442"/>
        <v/>
      </c>
      <c r="K4690" s="28" t="str">
        <f t="shared" si="439"/>
        <v/>
      </c>
      <c r="L4690" s="46" t="str">
        <f t="shared" si="443"/>
        <v/>
      </c>
      <c r="M4690" t="str" cm="1">
        <f t="array" ref="M4690">IF(L4690="","",_xlfn.IFS(
  AND(L4690&gt;=TIME(9,0,0), L4690&lt;TIME(16,0,0)),"Morning",
  AND(L4690&gt;=TIME(16,0,0), L4690&lt;TIME(23,59,0)),"Evening",
  L4690&gt;=TIME(23,59,0),"Night",
  L4690&lt;TIME(9,0,0),"Night"
))</f>
        <v/>
      </c>
      <c r="O4690" t="str">
        <f t="shared" si="440"/>
        <v/>
      </c>
    </row>
    <row r="4691" spans="7:15" x14ac:dyDescent="0.25">
      <c r="G4691" t="str">
        <f t="shared" si="438"/>
        <v/>
      </c>
      <c r="H4691" s="13" t="str">
        <f t="shared" si="441"/>
        <v/>
      </c>
      <c r="I4691" t="str">
        <f>IFERROR(INDEX(Analysis!$D$116:$N$137, MATCH(B4691, Analysis!$C$116:$C$137, 0), MATCH(C4691, Analysis!$D$115:$N$115, 0)), "")</f>
        <v/>
      </c>
      <c r="J4691" t="str">
        <f t="shared" si="442"/>
        <v/>
      </c>
      <c r="K4691" s="28" t="str">
        <f t="shared" si="439"/>
        <v/>
      </c>
      <c r="L4691" s="46" t="str">
        <f t="shared" si="443"/>
        <v/>
      </c>
      <c r="M4691" t="str" cm="1">
        <f t="array" ref="M4691">IF(L4691="","",_xlfn.IFS(
  AND(L4691&gt;=TIME(9,0,0), L4691&lt;TIME(16,0,0)),"Morning",
  AND(L4691&gt;=TIME(16,0,0), L4691&lt;TIME(23,59,0)),"Evening",
  L4691&gt;=TIME(23,59,0),"Night",
  L4691&lt;TIME(9,0,0),"Night"
))</f>
        <v/>
      </c>
      <c r="O4691" t="str">
        <f t="shared" si="440"/>
        <v/>
      </c>
    </row>
    <row r="4692" spans="7:15" x14ac:dyDescent="0.25">
      <c r="G4692" t="str">
        <f t="shared" si="438"/>
        <v/>
      </c>
      <c r="H4692" s="13" t="str">
        <f t="shared" si="441"/>
        <v/>
      </c>
      <c r="I4692" t="str">
        <f>IFERROR(INDEX(Analysis!$D$116:$N$137, MATCH(B4692, Analysis!$C$116:$C$137, 0), MATCH(C4692, Analysis!$D$115:$N$115, 0)), "")</f>
        <v/>
      </c>
      <c r="J4692" t="str">
        <f t="shared" si="442"/>
        <v/>
      </c>
      <c r="K4692" s="28" t="str">
        <f t="shared" si="439"/>
        <v/>
      </c>
      <c r="L4692" s="46" t="str">
        <f t="shared" si="443"/>
        <v/>
      </c>
      <c r="M4692" t="str" cm="1">
        <f t="array" ref="M4692">IF(L4692="","",_xlfn.IFS(
  AND(L4692&gt;=TIME(9,0,0), L4692&lt;TIME(16,0,0)),"Morning",
  AND(L4692&gt;=TIME(16,0,0), L4692&lt;TIME(23,59,0)),"Evening",
  L4692&gt;=TIME(23,59,0),"Night",
  L4692&lt;TIME(9,0,0),"Night"
))</f>
        <v/>
      </c>
      <c r="O4692" t="str">
        <f t="shared" si="440"/>
        <v/>
      </c>
    </row>
    <row r="4693" spans="7:15" x14ac:dyDescent="0.25">
      <c r="G4693" t="str">
        <f t="shared" si="438"/>
        <v/>
      </c>
      <c r="H4693" s="13" t="str">
        <f t="shared" si="441"/>
        <v/>
      </c>
      <c r="I4693" t="str">
        <f>IFERROR(INDEX(Analysis!$D$116:$N$137, MATCH(B4693, Analysis!$C$116:$C$137, 0), MATCH(C4693, Analysis!$D$115:$N$115, 0)), "")</f>
        <v/>
      </c>
      <c r="J4693" t="str">
        <f t="shared" si="442"/>
        <v/>
      </c>
      <c r="K4693" s="28" t="str">
        <f t="shared" si="439"/>
        <v/>
      </c>
      <c r="L4693" s="46" t="str">
        <f t="shared" si="443"/>
        <v/>
      </c>
      <c r="M4693" t="str" cm="1">
        <f t="array" ref="M4693">IF(L4693="","",_xlfn.IFS(
  AND(L4693&gt;=TIME(9,0,0), L4693&lt;TIME(16,0,0)),"Morning",
  AND(L4693&gt;=TIME(16,0,0), L4693&lt;TIME(23,59,0)),"Evening",
  L4693&gt;=TIME(23,59,0),"Night",
  L4693&lt;TIME(9,0,0),"Night"
))</f>
        <v/>
      </c>
      <c r="O4693" t="str">
        <f t="shared" si="440"/>
        <v/>
      </c>
    </row>
    <row r="4694" spans="7:15" x14ac:dyDescent="0.25">
      <c r="G4694" t="str">
        <f t="shared" si="438"/>
        <v/>
      </c>
      <c r="H4694" s="13" t="str">
        <f t="shared" si="441"/>
        <v/>
      </c>
      <c r="I4694" t="str">
        <f>IFERROR(INDEX(Analysis!$D$116:$N$137, MATCH(B4694, Analysis!$C$116:$C$137, 0), MATCH(C4694, Analysis!$D$115:$N$115, 0)), "")</f>
        <v/>
      </c>
      <c r="J4694" t="str">
        <f t="shared" si="442"/>
        <v/>
      </c>
      <c r="K4694" s="28" t="str">
        <f t="shared" si="439"/>
        <v/>
      </c>
      <c r="L4694" s="46" t="str">
        <f t="shared" si="443"/>
        <v/>
      </c>
      <c r="M4694" t="str" cm="1">
        <f t="array" ref="M4694">IF(L4694="","",_xlfn.IFS(
  AND(L4694&gt;=TIME(9,0,0), L4694&lt;TIME(16,0,0)),"Morning",
  AND(L4694&gt;=TIME(16,0,0), L4694&lt;TIME(23,59,0)),"Evening",
  L4694&gt;=TIME(23,59,0),"Night",
  L4694&lt;TIME(9,0,0),"Night"
))</f>
        <v/>
      </c>
      <c r="O4694" t="str">
        <f t="shared" si="440"/>
        <v/>
      </c>
    </row>
    <row r="4695" spans="7:15" x14ac:dyDescent="0.25">
      <c r="G4695" t="str">
        <f t="shared" si="438"/>
        <v/>
      </c>
      <c r="H4695" s="13" t="str">
        <f t="shared" si="441"/>
        <v/>
      </c>
      <c r="I4695" t="str">
        <f>IFERROR(INDEX(Analysis!$D$116:$N$137, MATCH(B4695, Analysis!$C$116:$C$137, 0), MATCH(C4695, Analysis!$D$115:$N$115, 0)), "")</f>
        <v/>
      </c>
      <c r="J4695" t="str">
        <f t="shared" si="442"/>
        <v/>
      </c>
      <c r="K4695" s="28" t="str">
        <f t="shared" si="439"/>
        <v/>
      </c>
      <c r="L4695" s="46" t="str">
        <f t="shared" si="443"/>
        <v/>
      </c>
      <c r="M4695" t="str" cm="1">
        <f t="array" ref="M4695">IF(L4695="","",_xlfn.IFS(
  AND(L4695&gt;=TIME(9,0,0), L4695&lt;TIME(16,0,0)),"Morning",
  AND(L4695&gt;=TIME(16,0,0), L4695&lt;TIME(23,59,0)),"Evening",
  L4695&gt;=TIME(23,59,0),"Night",
  L4695&lt;TIME(9,0,0),"Night"
))</f>
        <v/>
      </c>
      <c r="O4695" t="str">
        <f t="shared" si="440"/>
        <v/>
      </c>
    </row>
    <row r="4696" spans="7:15" x14ac:dyDescent="0.25">
      <c r="G4696" t="str">
        <f t="shared" si="438"/>
        <v/>
      </c>
      <c r="H4696" s="13" t="str">
        <f t="shared" si="441"/>
        <v/>
      </c>
      <c r="I4696" t="str">
        <f>IFERROR(INDEX(Analysis!$D$116:$N$137, MATCH(B4696, Analysis!$C$116:$C$137, 0), MATCH(C4696, Analysis!$D$115:$N$115, 0)), "")</f>
        <v/>
      </c>
      <c r="J4696" t="str">
        <f t="shared" si="442"/>
        <v/>
      </c>
      <c r="K4696" s="28" t="str">
        <f t="shared" si="439"/>
        <v/>
      </c>
      <c r="L4696" s="46" t="str">
        <f t="shared" si="443"/>
        <v/>
      </c>
      <c r="M4696" t="str" cm="1">
        <f t="array" ref="M4696">IF(L4696="","",_xlfn.IFS(
  AND(L4696&gt;=TIME(9,0,0), L4696&lt;TIME(16,0,0)),"Morning",
  AND(L4696&gt;=TIME(16,0,0), L4696&lt;TIME(23,59,0)),"Evening",
  L4696&gt;=TIME(23,59,0),"Night",
  L4696&lt;TIME(9,0,0),"Night"
))</f>
        <v/>
      </c>
      <c r="O4696" t="str">
        <f t="shared" si="440"/>
        <v/>
      </c>
    </row>
    <row r="4697" spans="7:15" x14ac:dyDescent="0.25">
      <c r="G4697" t="str">
        <f t="shared" si="438"/>
        <v/>
      </c>
      <c r="H4697" s="13" t="str">
        <f t="shared" si="441"/>
        <v/>
      </c>
      <c r="I4697" t="str">
        <f>IFERROR(INDEX(Analysis!$D$116:$N$137, MATCH(B4697, Analysis!$C$116:$C$137, 0), MATCH(C4697, Analysis!$D$115:$N$115, 0)), "")</f>
        <v/>
      </c>
      <c r="J4697" t="str">
        <f t="shared" si="442"/>
        <v/>
      </c>
      <c r="K4697" s="28" t="str">
        <f t="shared" si="439"/>
        <v/>
      </c>
      <c r="L4697" s="46" t="str">
        <f t="shared" si="443"/>
        <v/>
      </c>
      <c r="M4697" t="str" cm="1">
        <f t="array" ref="M4697">IF(L4697="","",_xlfn.IFS(
  AND(L4697&gt;=TIME(9,0,0), L4697&lt;TIME(16,0,0)),"Morning",
  AND(L4697&gt;=TIME(16,0,0), L4697&lt;TIME(23,59,0)),"Evening",
  L4697&gt;=TIME(23,59,0),"Night",
  L4697&lt;TIME(9,0,0),"Night"
))</f>
        <v/>
      </c>
      <c r="O4697" t="str">
        <f t="shared" si="440"/>
        <v/>
      </c>
    </row>
    <row r="4698" spans="7:15" x14ac:dyDescent="0.25">
      <c r="G4698" t="str">
        <f t="shared" si="438"/>
        <v/>
      </c>
      <c r="H4698" s="13" t="str">
        <f t="shared" si="441"/>
        <v/>
      </c>
      <c r="I4698" t="str">
        <f>IFERROR(INDEX(Analysis!$D$116:$N$137, MATCH(B4698, Analysis!$C$116:$C$137, 0), MATCH(C4698, Analysis!$D$115:$N$115, 0)), "")</f>
        <v/>
      </c>
      <c r="J4698" t="str">
        <f t="shared" si="442"/>
        <v/>
      </c>
      <c r="K4698" s="28" t="str">
        <f t="shared" si="439"/>
        <v/>
      </c>
      <c r="L4698" s="46" t="str">
        <f t="shared" si="443"/>
        <v/>
      </c>
      <c r="M4698" t="str" cm="1">
        <f t="array" ref="M4698">IF(L4698="","",_xlfn.IFS(
  AND(L4698&gt;=TIME(9,0,0), L4698&lt;TIME(16,0,0)),"Morning",
  AND(L4698&gt;=TIME(16,0,0), L4698&lt;TIME(23,59,0)),"Evening",
  L4698&gt;=TIME(23,59,0),"Night",
  L4698&lt;TIME(9,0,0),"Night"
))</f>
        <v/>
      </c>
      <c r="O4698" t="str">
        <f t="shared" si="440"/>
        <v/>
      </c>
    </row>
    <row r="4699" spans="7:15" x14ac:dyDescent="0.25">
      <c r="G4699" t="str">
        <f t="shared" si="438"/>
        <v/>
      </c>
      <c r="H4699" s="13" t="str">
        <f t="shared" si="441"/>
        <v/>
      </c>
      <c r="I4699" t="str">
        <f>IFERROR(INDEX(Analysis!$D$116:$N$137, MATCH(B4699, Analysis!$C$116:$C$137, 0), MATCH(C4699, Analysis!$D$115:$N$115, 0)), "")</f>
        <v/>
      </c>
      <c r="J4699" t="str">
        <f t="shared" si="442"/>
        <v/>
      </c>
      <c r="K4699" s="28" t="str">
        <f t="shared" si="439"/>
        <v/>
      </c>
      <c r="L4699" s="46" t="str">
        <f t="shared" si="443"/>
        <v/>
      </c>
      <c r="M4699" t="str" cm="1">
        <f t="array" ref="M4699">IF(L4699="","",_xlfn.IFS(
  AND(L4699&gt;=TIME(9,0,0), L4699&lt;TIME(16,0,0)),"Morning",
  AND(L4699&gt;=TIME(16,0,0), L4699&lt;TIME(23,59,0)),"Evening",
  L4699&gt;=TIME(23,59,0),"Night",
  L4699&lt;TIME(9,0,0),"Night"
))</f>
        <v/>
      </c>
      <c r="O4699" t="str">
        <f t="shared" si="440"/>
        <v/>
      </c>
    </row>
    <row r="4700" spans="7:15" x14ac:dyDescent="0.25">
      <c r="G4700" t="str">
        <f t="shared" si="438"/>
        <v/>
      </c>
      <c r="H4700" s="13" t="str">
        <f t="shared" si="441"/>
        <v/>
      </c>
      <c r="I4700" t="str">
        <f>IFERROR(INDEX(Analysis!$D$116:$N$137, MATCH(B4700, Analysis!$C$116:$C$137, 0), MATCH(C4700, Analysis!$D$115:$N$115, 0)), "")</f>
        <v/>
      </c>
      <c r="J4700" t="str">
        <f t="shared" si="442"/>
        <v/>
      </c>
      <c r="K4700" s="28" t="str">
        <f t="shared" si="439"/>
        <v/>
      </c>
      <c r="L4700" s="46" t="str">
        <f t="shared" si="443"/>
        <v/>
      </c>
      <c r="M4700" t="str" cm="1">
        <f t="array" ref="M4700">IF(L4700="","",_xlfn.IFS(
  AND(L4700&gt;=TIME(9,0,0), L4700&lt;TIME(16,0,0)),"Morning",
  AND(L4700&gt;=TIME(16,0,0), L4700&lt;TIME(23,59,0)),"Evening",
  L4700&gt;=TIME(23,59,0),"Night",
  L4700&lt;TIME(9,0,0),"Night"
))</f>
        <v/>
      </c>
      <c r="O4700" t="str">
        <f t="shared" si="440"/>
        <v/>
      </c>
    </row>
    <row r="4701" spans="7:15" x14ac:dyDescent="0.25">
      <c r="G4701" t="str">
        <f t="shared" si="438"/>
        <v/>
      </c>
      <c r="H4701" s="13" t="str">
        <f t="shared" si="441"/>
        <v/>
      </c>
      <c r="I4701" t="str">
        <f>IFERROR(INDEX(Analysis!$D$116:$N$137, MATCH(B4701, Analysis!$C$116:$C$137, 0), MATCH(C4701, Analysis!$D$115:$N$115, 0)), "")</f>
        <v/>
      </c>
      <c r="J4701" t="str">
        <f t="shared" si="442"/>
        <v/>
      </c>
      <c r="K4701" s="28" t="str">
        <f t="shared" si="439"/>
        <v/>
      </c>
      <c r="L4701" s="46" t="str">
        <f t="shared" si="443"/>
        <v/>
      </c>
      <c r="M4701" t="str" cm="1">
        <f t="array" ref="M4701">IF(L4701="","",_xlfn.IFS(
  AND(L4701&gt;=TIME(9,0,0), L4701&lt;TIME(16,0,0)),"Morning",
  AND(L4701&gt;=TIME(16,0,0), L4701&lt;TIME(23,59,0)),"Evening",
  L4701&gt;=TIME(23,59,0),"Night",
  L4701&lt;TIME(9,0,0),"Night"
))</f>
        <v/>
      </c>
      <c r="O4701" t="str">
        <f t="shared" si="440"/>
        <v/>
      </c>
    </row>
    <row r="4702" spans="7:15" x14ac:dyDescent="0.25">
      <c r="G4702" t="str">
        <f t="shared" si="438"/>
        <v/>
      </c>
      <c r="H4702" s="13" t="str">
        <f t="shared" si="441"/>
        <v/>
      </c>
      <c r="I4702" t="str">
        <f>IFERROR(INDEX(Analysis!$D$116:$N$137, MATCH(B4702, Analysis!$C$116:$C$137, 0), MATCH(C4702, Analysis!$D$115:$N$115, 0)), "")</f>
        <v/>
      </c>
      <c r="J4702" t="str">
        <f t="shared" si="442"/>
        <v/>
      </c>
      <c r="K4702" s="28" t="str">
        <f t="shared" si="439"/>
        <v/>
      </c>
      <c r="L4702" s="46" t="str">
        <f t="shared" si="443"/>
        <v/>
      </c>
      <c r="M4702" t="str" cm="1">
        <f t="array" ref="M4702">IF(L4702="","",_xlfn.IFS(
  AND(L4702&gt;=TIME(9,0,0), L4702&lt;TIME(16,0,0)),"Morning",
  AND(L4702&gt;=TIME(16,0,0), L4702&lt;TIME(23,59,0)),"Evening",
  L4702&gt;=TIME(23,59,0),"Night",
  L4702&lt;TIME(9,0,0),"Night"
))</f>
        <v/>
      </c>
      <c r="O4702" t="str">
        <f t="shared" si="440"/>
        <v/>
      </c>
    </row>
    <row r="4703" spans="7:15" x14ac:dyDescent="0.25">
      <c r="G4703" t="str">
        <f t="shared" si="438"/>
        <v/>
      </c>
      <c r="H4703" s="13" t="str">
        <f t="shared" si="441"/>
        <v/>
      </c>
      <c r="I4703" t="str">
        <f>IFERROR(INDEX(Analysis!$D$116:$N$137, MATCH(B4703, Analysis!$C$116:$C$137, 0), MATCH(C4703, Analysis!$D$115:$N$115, 0)), "")</f>
        <v/>
      </c>
      <c r="J4703" t="str">
        <f t="shared" si="442"/>
        <v/>
      </c>
      <c r="K4703" s="28" t="str">
        <f t="shared" si="439"/>
        <v/>
      </c>
      <c r="L4703" s="46" t="str">
        <f t="shared" si="443"/>
        <v/>
      </c>
      <c r="M4703" t="str" cm="1">
        <f t="array" ref="M4703">IF(L4703="","",_xlfn.IFS(
  AND(L4703&gt;=TIME(9,0,0), L4703&lt;TIME(16,0,0)),"Morning",
  AND(L4703&gt;=TIME(16,0,0), L4703&lt;TIME(23,59,0)),"Evening",
  L4703&gt;=TIME(23,59,0),"Night",
  L4703&lt;TIME(9,0,0),"Night"
))</f>
        <v/>
      </c>
      <c r="O4703" t="str">
        <f t="shared" si="440"/>
        <v/>
      </c>
    </row>
    <row r="4704" spans="7:15" x14ac:dyDescent="0.25">
      <c r="G4704" t="str">
        <f t="shared" si="438"/>
        <v/>
      </c>
      <c r="H4704" s="13" t="str">
        <f t="shared" si="441"/>
        <v/>
      </c>
      <c r="I4704" t="str">
        <f>IFERROR(INDEX(Analysis!$D$116:$N$137, MATCH(B4704, Analysis!$C$116:$C$137, 0), MATCH(C4704, Analysis!$D$115:$N$115, 0)), "")</f>
        <v/>
      </c>
      <c r="J4704" t="str">
        <f t="shared" si="442"/>
        <v/>
      </c>
      <c r="K4704" s="28" t="str">
        <f t="shared" si="439"/>
        <v/>
      </c>
      <c r="L4704" s="46" t="str">
        <f t="shared" si="443"/>
        <v/>
      </c>
      <c r="M4704" t="str" cm="1">
        <f t="array" ref="M4704">IF(L4704="","",_xlfn.IFS(
  AND(L4704&gt;=TIME(9,0,0), L4704&lt;TIME(16,0,0)),"Morning",
  AND(L4704&gt;=TIME(16,0,0), L4704&lt;TIME(23,59,0)),"Evening",
  L4704&gt;=TIME(23,59,0),"Night",
  L4704&lt;TIME(9,0,0),"Night"
))</f>
        <v/>
      </c>
      <c r="O4704" t="str">
        <f t="shared" si="440"/>
        <v/>
      </c>
    </row>
    <row r="4705" spans="7:15" x14ac:dyDescent="0.25">
      <c r="G4705" t="str">
        <f t="shared" si="438"/>
        <v/>
      </c>
      <c r="H4705" s="13" t="str">
        <f t="shared" si="441"/>
        <v/>
      </c>
      <c r="I4705" t="str">
        <f>IFERROR(INDEX(Analysis!$D$116:$N$137, MATCH(B4705, Analysis!$C$116:$C$137, 0), MATCH(C4705, Analysis!$D$115:$N$115, 0)), "")</f>
        <v/>
      </c>
      <c r="J4705" t="str">
        <f t="shared" si="442"/>
        <v/>
      </c>
      <c r="K4705" s="28" t="str">
        <f t="shared" si="439"/>
        <v/>
      </c>
      <c r="L4705" s="46" t="str">
        <f t="shared" si="443"/>
        <v/>
      </c>
      <c r="M4705" t="str" cm="1">
        <f t="array" ref="M4705">IF(L4705="","",_xlfn.IFS(
  AND(L4705&gt;=TIME(9,0,0), L4705&lt;TIME(16,0,0)),"Morning",
  AND(L4705&gt;=TIME(16,0,0), L4705&lt;TIME(23,59,0)),"Evening",
  L4705&gt;=TIME(23,59,0),"Night",
  L4705&lt;TIME(9,0,0),"Night"
))</f>
        <v/>
      </c>
      <c r="O4705" t="str">
        <f t="shared" si="440"/>
        <v/>
      </c>
    </row>
    <row r="4706" spans="7:15" x14ac:dyDescent="0.25">
      <c r="G4706" t="str">
        <f t="shared" si="438"/>
        <v/>
      </c>
      <c r="H4706" s="13" t="str">
        <f t="shared" si="441"/>
        <v/>
      </c>
      <c r="I4706" t="str">
        <f>IFERROR(INDEX(Analysis!$D$116:$N$137, MATCH(B4706, Analysis!$C$116:$C$137, 0), MATCH(C4706, Analysis!$D$115:$N$115, 0)), "")</f>
        <v/>
      </c>
      <c r="J4706" t="str">
        <f t="shared" si="442"/>
        <v/>
      </c>
      <c r="K4706" s="28" t="str">
        <f t="shared" si="439"/>
        <v/>
      </c>
      <c r="L4706" s="46" t="str">
        <f t="shared" si="443"/>
        <v/>
      </c>
      <c r="M4706" t="str" cm="1">
        <f t="array" ref="M4706">IF(L4706="","",_xlfn.IFS(
  AND(L4706&gt;=TIME(9,0,0), L4706&lt;TIME(16,0,0)),"Morning",
  AND(L4706&gt;=TIME(16,0,0), L4706&lt;TIME(23,59,0)),"Evening",
  L4706&gt;=TIME(23,59,0),"Night",
  L4706&lt;TIME(9,0,0),"Night"
))</f>
        <v/>
      </c>
      <c r="O4706" t="str">
        <f t="shared" si="440"/>
        <v/>
      </c>
    </row>
    <row r="4707" spans="7:15" x14ac:dyDescent="0.25">
      <c r="G4707" t="str">
        <f t="shared" si="438"/>
        <v/>
      </c>
      <c r="H4707" s="13" t="str">
        <f t="shared" si="441"/>
        <v/>
      </c>
      <c r="I4707" t="str">
        <f>IFERROR(INDEX(Analysis!$D$116:$N$137, MATCH(B4707, Analysis!$C$116:$C$137, 0), MATCH(C4707, Analysis!$D$115:$N$115, 0)), "")</f>
        <v/>
      </c>
      <c r="J4707" t="str">
        <f t="shared" si="442"/>
        <v/>
      </c>
      <c r="K4707" s="28" t="str">
        <f t="shared" si="439"/>
        <v/>
      </c>
      <c r="L4707" s="46" t="str">
        <f t="shared" si="443"/>
        <v/>
      </c>
      <c r="M4707" t="str" cm="1">
        <f t="array" ref="M4707">IF(L4707="","",_xlfn.IFS(
  AND(L4707&gt;=TIME(9,0,0), L4707&lt;TIME(16,0,0)),"Morning",
  AND(L4707&gt;=TIME(16,0,0), L4707&lt;TIME(23,59,0)),"Evening",
  L4707&gt;=TIME(23,59,0),"Night",
  L4707&lt;TIME(9,0,0),"Night"
))</f>
        <v/>
      </c>
      <c r="O4707" t="str">
        <f t="shared" si="440"/>
        <v/>
      </c>
    </row>
    <row r="4708" spans="7:15" x14ac:dyDescent="0.25">
      <c r="G4708" t="str">
        <f t="shared" si="438"/>
        <v/>
      </c>
      <c r="H4708" s="13" t="str">
        <f t="shared" si="441"/>
        <v/>
      </c>
      <c r="I4708" t="str">
        <f>IFERROR(INDEX(Analysis!$D$116:$N$137, MATCH(B4708, Analysis!$C$116:$C$137, 0), MATCH(C4708, Analysis!$D$115:$N$115, 0)), "")</f>
        <v/>
      </c>
      <c r="J4708" t="str">
        <f t="shared" si="442"/>
        <v/>
      </c>
      <c r="K4708" s="28" t="str">
        <f t="shared" si="439"/>
        <v/>
      </c>
      <c r="L4708" s="46" t="str">
        <f t="shared" si="443"/>
        <v/>
      </c>
      <c r="M4708" t="str" cm="1">
        <f t="array" ref="M4708">IF(L4708="","",_xlfn.IFS(
  AND(L4708&gt;=TIME(9,0,0), L4708&lt;TIME(16,0,0)),"Morning",
  AND(L4708&gt;=TIME(16,0,0), L4708&lt;TIME(23,59,0)),"Evening",
  L4708&gt;=TIME(23,59,0),"Night",
  L4708&lt;TIME(9,0,0),"Night"
))</f>
        <v/>
      </c>
      <c r="O4708" t="str">
        <f t="shared" si="440"/>
        <v/>
      </c>
    </row>
    <row r="4709" spans="7:15" x14ac:dyDescent="0.25">
      <c r="G4709" t="str">
        <f t="shared" si="438"/>
        <v/>
      </c>
      <c r="H4709" s="13" t="str">
        <f t="shared" si="441"/>
        <v/>
      </c>
      <c r="I4709" t="str">
        <f>IFERROR(INDEX(Analysis!$D$116:$N$137, MATCH(B4709, Analysis!$C$116:$C$137, 0), MATCH(C4709, Analysis!$D$115:$N$115, 0)), "")</f>
        <v/>
      </c>
      <c r="J4709" t="str">
        <f t="shared" si="442"/>
        <v/>
      </c>
      <c r="K4709" s="28" t="str">
        <f t="shared" si="439"/>
        <v/>
      </c>
      <c r="L4709" s="46" t="str">
        <f t="shared" si="443"/>
        <v/>
      </c>
      <c r="M4709" t="str" cm="1">
        <f t="array" ref="M4709">IF(L4709="","",_xlfn.IFS(
  AND(L4709&gt;=TIME(9,0,0), L4709&lt;TIME(16,0,0)),"Morning",
  AND(L4709&gt;=TIME(16,0,0), L4709&lt;TIME(23,59,0)),"Evening",
  L4709&gt;=TIME(23,59,0),"Night",
  L4709&lt;TIME(9,0,0),"Night"
))</f>
        <v/>
      </c>
      <c r="O4709" t="str">
        <f t="shared" si="440"/>
        <v/>
      </c>
    </row>
    <row r="4710" spans="7:15" x14ac:dyDescent="0.25">
      <c r="G4710" t="str">
        <f t="shared" si="438"/>
        <v/>
      </c>
      <c r="H4710" s="13" t="str">
        <f t="shared" si="441"/>
        <v/>
      </c>
      <c r="I4710" t="str">
        <f>IFERROR(INDEX(Analysis!$D$116:$N$137, MATCH(B4710, Analysis!$C$116:$C$137, 0), MATCH(C4710, Analysis!$D$115:$N$115, 0)), "")</f>
        <v/>
      </c>
      <c r="J4710" t="str">
        <f t="shared" si="442"/>
        <v/>
      </c>
      <c r="K4710" s="28" t="str">
        <f t="shared" si="439"/>
        <v/>
      </c>
      <c r="L4710" s="46" t="str">
        <f t="shared" si="443"/>
        <v/>
      </c>
      <c r="M4710" t="str" cm="1">
        <f t="array" ref="M4710">IF(L4710="","",_xlfn.IFS(
  AND(L4710&gt;=TIME(9,0,0), L4710&lt;TIME(16,0,0)),"Morning",
  AND(L4710&gt;=TIME(16,0,0), L4710&lt;TIME(23,59,0)),"Evening",
  L4710&gt;=TIME(23,59,0),"Night",
  L4710&lt;TIME(9,0,0),"Night"
))</f>
        <v/>
      </c>
      <c r="O4710" t="str">
        <f t="shared" si="440"/>
        <v/>
      </c>
    </row>
    <row r="4711" spans="7:15" x14ac:dyDescent="0.25">
      <c r="G4711" t="str">
        <f t="shared" si="438"/>
        <v/>
      </c>
      <c r="H4711" s="13" t="str">
        <f t="shared" si="441"/>
        <v/>
      </c>
      <c r="I4711" t="str">
        <f>IFERROR(INDEX(Analysis!$D$116:$N$137, MATCH(B4711, Analysis!$C$116:$C$137, 0), MATCH(C4711, Analysis!$D$115:$N$115, 0)), "")</f>
        <v/>
      </c>
      <c r="J4711" t="str">
        <f t="shared" si="442"/>
        <v/>
      </c>
      <c r="K4711" s="28" t="str">
        <f t="shared" si="439"/>
        <v/>
      </c>
      <c r="L4711" s="46" t="str">
        <f t="shared" si="443"/>
        <v/>
      </c>
      <c r="M4711" t="str" cm="1">
        <f t="array" ref="M4711">IF(L4711="","",_xlfn.IFS(
  AND(L4711&gt;=TIME(9,0,0), L4711&lt;TIME(16,0,0)),"Morning",
  AND(L4711&gt;=TIME(16,0,0), L4711&lt;TIME(23,59,0)),"Evening",
  L4711&gt;=TIME(23,59,0),"Night",
  L4711&lt;TIME(9,0,0),"Night"
))</f>
        <v/>
      </c>
      <c r="O4711" t="str">
        <f t="shared" si="440"/>
        <v/>
      </c>
    </row>
    <row r="4712" spans="7:15" x14ac:dyDescent="0.25">
      <c r="G4712" t="str">
        <f t="shared" si="438"/>
        <v/>
      </c>
      <c r="H4712" s="13" t="str">
        <f t="shared" si="441"/>
        <v/>
      </c>
      <c r="I4712" t="str">
        <f>IFERROR(INDEX(Analysis!$D$116:$N$137, MATCH(B4712, Analysis!$C$116:$C$137, 0), MATCH(C4712, Analysis!$D$115:$N$115, 0)), "")</f>
        <v/>
      </c>
      <c r="J4712" t="str">
        <f t="shared" si="442"/>
        <v/>
      </c>
      <c r="K4712" s="28" t="str">
        <f t="shared" si="439"/>
        <v/>
      </c>
      <c r="L4712" s="46" t="str">
        <f t="shared" si="443"/>
        <v/>
      </c>
      <c r="M4712" t="str" cm="1">
        <f t="array" ref="M4712">IF(L4712="","",_xlfn.IFS(
  AND(L4712&gt;=TIME(9,0,0), L4712&lt;TIME(16,0,0)),"Morning",
  AND(L4712&gt;=TIME(16,0,0), L4712&lt;TIME(23,59,0)),"Evening",
  L4712&gt;=TIME(23,59,0),"Night",
  L4712&lt;TIME(9,0,0),"Night"
))</f>
        <v/>
      </c>
      <c r="O4712" t="str">
        <f t="shared" si="440"/>
        <v/>
      </c>
    </row>
    <row r="4713" spans="7:15" x14ac:dyDescent="0.25">
      <c r="G4713" t="str">
        <f t="shared" si="438"/>
        <v/>
      </c>
      <c r="H4713" s="13" t="str">
        <f t="shared" si="441"/>
        <v/>
      </c>
      <c r="I4713" t="str">
        <f>IFERROR(INDEX(Analysis!$D$116:$N$137, MATCH(B4713, Analysis!$C$116:$C$137, 0), MATCH(C4713, Analysis!$D$115:$N$115, 0)), "")</f>
        <v/>
      </c>
      <c r="J4713" t="str">
        <f t="shared" si="442"/>
        <v/>
      </c>
      <c r="K4713" s="28" t="str">
        <f t="shared" si="439"/>
        <v/>
      </c>
      <c r="L4713" s="46" t="str">
        <f t="shared" si="443"/>
        <v/>
      </c>
      <c r="M4713" t="str" cm="1">
        <f t="array" ref="M4713">IF(L4713="","",_xlfn.IFS(
  AND(L4713&gt;=TIME(9,0,0), L4713&lt;TIME(16,0,0)),"Morning",
  AND(L4713&gt;=TIME(16,0,0), L4713&lt;TIME(23,59,0)),"Evening",
  L4713&gt;=TIME(23,59,0),"Night",
  L4713&lt;TIME(9,0,0),"Night"
))</f>
        <v/>
      </c>
      <c r="O4713" t="str">
        <f t="shared" si="440"/>
        <v/>
      </c>
    </row>
    <row r="4714" spans="7:15" x14ac:dyDescent="0.25">
      <c r="G4714" t="str">
        <f t="shared" si="438"/>
        <v/>
      </c>
      <c r="H4714" s="13" t="str">
        <f t="shared" si="441"/>
        <v/>
      </c>
      <c r="I4714" t="str">
        <f>IFERROR(INDEX(Analysis!$D$116:$N$137, MATCH(B4714, Analysis!$C$116:$C$137, 0), MATCH(C4714, Analysis!$D$115:$N$115, 0)), "")</f>
        <v/>
      </c>
      <c r="J4714" t="str">
        <f t="shared" si="442"/>
        <v/>
      </c>
      <c r="K4714" s="28" t="str">
        <f t="shared" si="439"/>
        <v/>
      </c>
      <c r="L4714" s="46" t="str">
        <f t="shared" si="443"/>
        <v/>
      </c>
      <c r="M4714" t="str" cm="1">
        <f t="array" ref="M4714">IF(L4714="","",_xlfn.IFS(
  AND(L4714&gt;=TIME(9,0,0), L4714&lt;TIME(16,0,0)),"Morning",
  AND(L4714&gt;=TIME(16,0,0), L4714&lt;TIME(23,59,0)),"Evening",
  L4714&gt;=TIME(23,59,0),"Night",
  L4714&lt;TIME(9,0,0),"Night"
))</f>
        <v/>
      </c>
      <c r="O4714" t="str">
        <f t="shared" si="440"/>
        <v/>
      </c>
    </row>
    <row r="4715" spans="7:15" x14ac:dyDescent="0.25">
      <c r="G4715" t="str">
        <f t="shared" si="438"/>
        <v/>
      </c>
      <c r="H4715" s="13" t="str">
        <f t="shared" si="441"/>
        <v/>
      </c>
      <c r="I4715" t="str">
        <f>IFERROR(INDEX(Analysis!$D$116:$N$137, MATCH(B4715, Analysis!$C$116:$C$137, 0), MATCH(C4715, Analysis!$D$115:$N$115, 0)), "")</f>
        <v/>
      </c>
      <c r="J4715" t="str">
        <f t="shared" si="442"/>
        <v/>
      </c>
      <c r="K4715" s="28" t="str">
        <f t="shared" si="439"/>
        <v/>
      </c>
      <c r="L4715" s="46" t="str">
        <f t="shared" si="443"/>
        <v/>
      </c>
      <c r="M4715" t="str" cm="1">
        <f t="array" ref="M4715">IF(L4715="","",_xlfn.IFS(
  AND(L4715&gt;=TIME(9,0,0), L4715&lt;TIME(16,0,0)),"Morning",
  AND(L4715&gt;=TIME(16,0,0), L4715&lt;TIME(23,59,0)),"Evening",
  L4715&gt;=TIME(23,59,0),"Night",
  L4715&lt;TIME(9,0,0),"Night"
))</f>
        <v/>
      </c>
      <c r="O4715" t="str">
        <f t="shared" si="440"/>
        <v/>
      </c>
    </row>
    <row r="4716" spans="7:15" x14ac:dyDescent="0.25">
      <c r="G4716" t="str">
        <f t="shared" si="438"/>
        <v/>
      </c>
      <c r="H4716" s="13" t="str">
        <f t="shared" si="441"/>
        <v/>
      </c>
      <c r="I4716" t="str">
        <f>IFERROR(INDEX(Analysis!$D$116:$N$137, MATCH(B4716, Analysis!$C$116:$C$137, 0), MATCH(C4716, Analysis!$D$115:$N$115, 0)), "")</f>
        <v/>
      </c>
      <c r="J4716" t="str">
        <f t="shared" si="442"/>
        <v/>
      </c>
      <c r="K4716" s="28" t="str">
        <f t="shared" si="439"/>
        <v/>
      </c>
      <c r="L4716" s="46" t="str">
        <f t="shared" si="443"/>
        <v/>
      </c>
      <c r="M4716" t="str" cm="1">
        <f t="array" ref="M4716">IF(L4716="","",_xlfn.IFS(
  AND(L4716&gt;=TIME(9,0,0), L4716&lt;TIME(16,0,0)),"Morning",
  AND(L4716&gt;=TIME(16,0,0), L4716&lt;TIME(23,59,0)),"Evening",
  L4716&gt;=TIME(23,59,0),"Night",
  L4716&lt;TIME(9,0,0),"Night"
))</f>
        <v/>
      </c>
      <c r="O4716" t="str">
        <f t="shared" si="440"/>
        <v/>
      </c>
    </row>
    <row r="4717" spans="7:15" x14ac:dyDescent="0.25">
      <c r="G4717" t="str">
        <f t="shared" si="438"/>
        <v/>
      </c>
      <c r="H4717" s="13" t="str">
        <f t="shared" si="441"/>
        <v/>
      </c>
      <c r="I4717" t="str">
        <f>IFERROR(INDEX(Analysis!$D$116:$N$137, MATCH(B4717, Analysis!$C$116:$C$137, 0), MATCH(C4717, Analysis!$D$115:$N$115, 0)), "")</f>
        <v/>
      </c>
      <c r="J4717" t="str">
        <f t="shared" si="442"/>
        <v/>
      </c>
      <c r="K4717" s="28" t="str">
        <f t="shared" si="439"/>
        <v/>
      </c>
      <c r="L4717" s="46" t="str">
        <f t="shared" si="443"/>
        <v/>
      </c>
      <c r="M4717" t="str" cm="1">
        <f t="array" ref="M4717">IF(L4717="","",_xlfn.IFS(
  AND(L4717&gt;=TIME(9,0,0), L4717&lt;TIME(16,0,0)),"Morning",
  AND(L4717&gt;=TIME(16,0,0), L4717&lt;TIME(23,59,0)),"Evening",
  L4717&gt;=TIME(23,59,0),"Night",
  L4717&lt;TIME(9,0,0),"Night"
))</f>
        <v/>
      </c>
      <c r="O4717" t="str">
        <f t="shared" si="440"/>
        <v/>
      </c>
    </row>
    <row r="4718" spans="7:15" x14ac:dyDescent="0.25">
      <c r="G4718" t="str">
        <f t="shared" si="438"/>
        <v/>
      </c>
      <c r="H4718" s="13" t="str">
        <f t="shared" si="441"/>
        <v/>
      </c>
      <c r="I4718" t="str">
        <f>IFERROR(INDEX(Analysis!$D$116:$N$137, MATCH(B4718, Analysis!$C$116:$C$137, 0), MATCH(C4718, Analysis!$D$115:$N$115, 0)), "")</f>
        <v/>
      </c>
      <c r="J4718" t="str">
        <f t="shared" si="442"/>
        <v/>
      </c>
      <c r="K4718" s="28" t="str">
        <f t="shared" si="439"/>
        <v/>
      </c>
      <c r="L4718" s="46" t="str">
        <f t="shared" si="443"/>
        <v/>
      </c>
      <c r="M4718" t="str" cm="1">
        <f t="array" ref="M4718">IF(L4718="","",_xlfn.IFS(
  AND(L4718&gt;=TIME(9,0,0), L4718&lt;TIME(16,0,0)),"Morning",
  AND(L4718&gt;=TIME(16,0,0), L4718&lt;TIME(23,59,0)),"Evening",
  L4718&gt;=TIME(23,59,0),"Night",
  L4718&lt;TIME(9,0,0),"Night"
))</f>
        <v/>
      </c>
      <c r="O4718" t="str">
        <f t="shared" si="440"/>
        <v/>
      </c>
    </row>
    <row r="4719" spans="7:15" x14ac:dyDescent="0.25">
      <c r="G4719" t="str">
        <f t="shared" si="438"/>
        <v/>
      </c>
      <c r="H4719" s="13" t="str">
        <f t="shared" si="441"/>
        <v/>
      </c>
      <c r="I4719" t="str">
        <f>IFERROR(INDEX(Analysis!$D$116:$N$137, MATCH(B4719, Analysis!$C$116:$C$137, 0), MATCH(C4719, Analysis!$D$115:$N$115, 0)), "")</f>
        <v/>
      </c>
      <c r="J4719" t="str">
        <f t="shared" si="442"/>
        <v/>
      </c>
      <c r="K4719" s="28" t="str">
        <f t="shared" si="439"/>
        <v/>
      </c>
      <c r="L4719" s="46" t="str">
        <f t="shared" si="443"/>
        <v/>
      </c>
      <c r="M4719" t="str" cm="1">
        <f t="array" ref="M4719">IF(L4719="","",_xlfn.IFS(
  AND(L4719&gt;=TIME(9,0,0), L4719&lt;TIME(16,0,0)),"Morning",
  AND(L4719&gt;=TIME(16,0,0), L4719&lt;TIME(23,59,0)),"Evening",
  L4719&gt;=TIME(23,59,0),"Night",
  L4719&lt;TIME(9,0,0),"Night"
))</f>
        <v/>
      </c>
      <c r="O4719" t="str">
        <f t="shared" si="440"/>
        <v/>
      </c>
    </row>
    <row r="4720" spans="7:15" x14ac:dyDescent="0.25">
      <c r="G4720" t="str">
        <f t="shared" si="438"/>
        <v/>
      </c>
      <c r="H4720" s="13" t="str">
        <f t="shared" si="441"/>
        <v/>
      </c>
      <c r="I4720" t="str">
        <f>IFERROR(INDEX(Analysis!$D$116:$N$137, MATCH(B4720, Analysis!$C$116:$C$137, 0), MATCH(C4720, Analysis!$D$115:$N$115, 0)), "")</f>
        <v/>
      </c>
      <c r="J4720" t="str">
        <f t="shared" si="442"/>
        <v/>
      </c>
      <c r="K4720" s="28" t="str">
        <f t="shared" si="439"/>
        <v/>
      </c>
      <c r="L4720" s="46" t="str">
        <f t="shared" si="443"/>
        <v/>
      </c>
      <c r="M4720" t="str" cm="1">
        <f t="array" ref="M4720">IF(L4720="","",_xlfn.IFS(
  AND(L4720&gt;=TIME(9,0,0), L4720&lt;TIME(16,0,0)),"Morning",
  AND(L4720&gt;=TIME(16,0,0), L4720&lt;TIME(23,59,0)),"Evening",
  L4720&gt;=TIME(23,59,0),"Night",
  L4720&lt;TIME(9,0,0),"Night"
))</f>
        <v/>
      </c>
      <c r="O4720" t="str">
        <f t="shared" si="440"/>
        <v/>
      </c>
    </row>
    <row r="4721" spans="7:15" x14ac:dyDescent="0.25">
      <c r="G4721" t="str">
        <f t="shared" si="438"/>
        <v/>
      </c>
      <c r="H4721" s="13" t="str">
        <f t="shared" si="441"/>
        <v/>
      </c>
      <c r="I4721" t="str">
        <f>IFERROR(INDEX(Analysis!$D$116:$N$137, MATCH(B4721, Analysis!$C$116:$C$137, 0), MATCH(C4721, Analysis!$D$115:$N$115, 0)), "")</f>
        <v/>
      </c>
      <c r="J4721" t="str">
        <f t="shared" si="442"/>
        <v/>
      </c>
      <c r="K4721" s="28" t="str">
        <f t="shared" si="439"/>
        <v/>
      </c>
      <c r="L4721" s="46" t="str">
        <f t="shared" si="443"/>
        <v/>
      </c>
      <c r="M4721" t="str" cm="1">
        <f t="array" ref="M4721">IF(L4721="","",_xlfn.IFS(
  AND(L4721&gt;=TIME(9,0,0), L4721&lt;TIME(16,0,0)),"Morning",
  AND(L4721&gt;=TIME(16,0,0), L4721&lt;TIME(23,59,0)),"Evening",
  L4721&gt;=TIME(23,59,0),"Night",
  L4721&lt;TIME(9,0,0),"Night"
))</f>
        <v/>
      </c>
      <c r="O4721" t="str">
        <f t="shared" si="440"/>
        <v/>
      </c>
    </row>
    <row r="4722" spans="7:15" x14ac:dyDescent="0.25">
      <c r="G4722" t="str">
        <f t="shared" si="438"/>
        <v/>
      </c>
      <c r="H4722" s="13" t="str">
        <f t="shared" si="441"/>
        <v/>
      </c>
      <c r="I4722" t="str">
        <f>IFERROR(INDEX(Analysis!$D$116:$N$137, MATCH(B4722, Analysis!$C$116:$C$137, 0), MATCH(C4722, Analysis!$D$115:$N$115, 0)), "")</f>
        <v/>
      </c>
      <c r="J4722" t="str">
        <f t="shared" si="442"/>
        <v/>
      </c>
      <c r="K4722" s="28" t="str">
        <f t="shared" si="439"/>
        <v/>
      </c>
      <c r="L4722" s="46" t="str">
        <f t="shared" si="443"/>
        <v/>
      </c>
      <c r="M4722" t="str" cm="1">
        <f t="array" ref="M4722">IF(L4722="","",_xlfn.IFS(
  AND(L4722&gt;=TIME(9,0,0), L4722&lt;TIME(16,0,0)),"Morning",
  AND(L4722&gt;=TIME(16,0,0), L4722&lt;TIME(23,59,0)),"Evening",
  L4722&gt;=TIME(23,59,0),"Night",
  L4722&lt;TIME(9,0,0),"Night"
))</f>
        <v/>
      </c>
      <c r="O4722" t="str">
        <f t="shared" si="440"/>
        <v/>
      </c>
    </row>
    <row r="4723" spans="7:15" x14ac:dyDescent="0.25">
      <c r="G4723" t="str">
        <f t="shared" si="438"/>
        <v/>
      </c>
      <c r="H4723" s="13" t="str">
        <f t="shared" si="441"/>
        <v/>
      </c>
      <c r="I4723" t="str">
        <f>IFERROR(INDEX(Analysis!$D$116:$N$137, MATCH(B4723, Analysis!$C$116:$C$137, 0), MATCH(C4723, Analysis!$D$115:$N$115, 0)), "")</f>
        <v/>
      </c>
      <c r="J4723" t="str">
        <f t="shared" si="442"/>
        <v/>
      </c>
      <c r="K4723" s="28" t="str">
        <f t="shared" si="439"/>
        <v/>
      </c>
      <c r="L4723" s="46" t="str">
        <f t="shared" si="443"/>
        <v/>
      </c>
      <c r="M4723" t="str" cm="1">
        <f t="array" ref="M4723">IF(L4723="","",_xlfn.IFS(
  AND(L4723&gt;=TIME(9,0,0), L4723&lt;TIME(16,0,0)),"Morning",
  AND(L4723&gt;=TIME(16,0,0), L4723&lt;TIME(23,59,0)),"Evening",
  L4723&gt;=TIME(23,59,0),"Night",
  L4723&lt;TIME(9,0,0),"Night"
))</f>
        <v/>
      </c>
      <c r="O4723" t="str">
        <f t="shared" si="440"/>
        <v/>
      </c>
    </row>
    <row r="4724" spans="7:15" x14ac:dyDescent="0.25">
      <c r="G4724" t="str">
        <f t="shared" si="438"/>
        <v/>
      </c>
      <c r="H4724" s="13" t="str">
        <f t="shared" si="441"/>
        <v/>
      </c>
      <c r="I4724" t="str">
        <f>IFERROR(INDEX(Analysis!$D$116:$N$137, MATCH(B4724, Analysis!$C$116:$C$137, 0), MATCH(C4724, Analysis!$D$115:$N$115, 0)), "")</f>
        <v/>
      </c>
      <c r="J4724" t="str">
        <f t="shared" si="442"/>
        <v/>
      </c>
      <c r="K4724" s="28" t="str">
        <f t="shared" si="439"/>
        <v/>
      </c>
      <c r="L4724" s="46" t="str">
        <f t="shared" si="443"/>
        <v/>
      </c>
      <c r="M4724" t="str" cm="1">
        <f t="array" ref="M4724">IF(L4724="","",_xlfn.IFS(
  AND(L4724&gt;=TIME(9,0,0), L4724&lt;TIME(16,0,0)),"Morning",
  AND(L4724&gt;=TIME(16,0,0), L4724&lt;TIME(23,59,0)),"Evening",
  L4724&gt;=TIME(23,59,0),"Night",
  L4724&lt;TIME(9,0,0),"Night"
))</f>
        <v/>
      </c>
      <c r="O4724" t="str">
        <f t="shared" si="440"/>
        <v/>
      </c>
    </row>
    <row r="4725" spans="7:15" x14ac:dyDescent="0.25">
      <c r="G4725" t="str">
        <f t="shared" si="438"/>
        <v/>
      </c>
      <c r="H4725" s="13" t="str">
        <f t="shared" si="441"/>
        <v/>
      </c>
      <c r="I4725" t="str">
        <f>IFERROR(INDEX(Analysis!$D$116:$N$137, MATCH(B4725, Analysis!$C$116:$C$137, 0), MATCH(C4725, Analysis!$D$115:$N$115, 0)), "")</f>
        <v/>
      </c>
      <c r="J4725" t="str">
        <f t="shared" si="442"/>
        <v/>
      </c>
      <c r="K4725" s="28" t="str">
        <f t="shared" si="439"/>
        <v/>
      </c>
      <c r="L4725" s="46" t="str">
        <f t="shared" si="443"/>
        <v/>
      </c>
      <c r="M4725" t="str" cm="1">
        <f t="array" ref="M4725">IF(L4725="","",_xlfn.IFS(
  AND(L4725&gt;=TIME(9,0,0), L4725&lt;TIME(16,0,0)),"Morning",
  AND(L4725&gt;=TIME(16,0,0), L4725&lt;TIME(23,59,0)),"Evening",
  L4725&gt;=TIME(23,59,0),"Night",
  L4725&lt;TIME(9,0,0),"Night"
))</f>
        <v/>
      </c>
      <c r="O4725" t="str">
        <f t="shared" si="440"/>
        <v/>
      </c>
    </row>
    <row r="4726" spans="7:15" x14ac:dyDescent="0.25">
      <c r="G4726" t="str">
        <f t="shared" si="438"/>
        <v/>
      </c>
      <c r="H4726" s="13" t="str">
        <f t="shared" si="441"/>
        <v/>
      </c>
      <c r="I4726" t="str">
        <f>IFERROR(INDEX(Analysis!$D$116:$N$137, MATCH(B4726, Analysis!$C$116:$C$137, 0), MATCH(C4726, Analysis!$D$115:$N$115, 0)), "")</f>
        <v/>
      </c>
      <c r="J4726" t="str">
        <f t="shared" si="442"/>
        <v/>
      </c>
      <c r="K4726" s="28" t="str">
        <f t="shared" si="439"/>
        <v/>
      </c>
      <c r="L4726" s="46" t="str">
        <f t="shared" si="443"/>
        <v/>
      </c>
      <c r="M4726" t="str" cm="1">
        <f t="array" ref="M4726">IF(L4726="","",_xlfn.IFS(
  AND(L4726&gt;=TIME(9,0,0), L4726&lt;TIME(16,0,0)),"Morning",
  AND(L4726&gt;=TIME(16,0,0), L4726&lt;TIME(23,59,0)),"Evening",
  L4726&gt;=TIME(23,59,0),"Night",
  L4726&lt;TIME(9,0,0),"Night"
))</f>
        <v/>
      </c>
      <c r="O4726" t="str">
        <f t="shared" si="440"/>
        <v/>
      </c>
    </row>
    <row r="4727" spans="7:15" x14ac:dyDescent="0.25">
      <c r="G4727" t="str">
        <f t="shared" si="438"/>
        <v/>
      </c>
      <c r="H4727" s="13" t="str">
        <f t="shared" si="441"/>
        <v/>
      </c>
      <c r="I4727" t="str">
        <f>IFERROR(INDEX(Analysis!$D$116:$N$137, MATCH(B4727, Analysis!$C$116:$C$137, 0), MATCH(C4727, Analysis!$D$115:$N$115, 0)), "")</f>
        <v/>
      </c>
      <c r="J4727" t="str">
        <f t="shared" si="442"/>
        <v/>
      </c>
      <c r="K4727" s="28" t="str">
        <f t="shared" si="439"/>
        <v/>
      </c>
      <c r="L4727" s="46" t="str">
        <f t="shared" si="443"/>
        <v/>
      </c>
      <c r="M4727" t="str" cm="1">
        <f t="array" ref="M4727">IF(L4727="","",_xlfn.IFS(
  AND(L4727&gt;=TIME(9,0,0), L4727&lt;TIME(16,0,0)),"Morning",
  AND(L4727&gt;=TIME(16,0,0), L4727&lt;TIME(23,59,0)),"Evening",
  L4727&gt;=TIME(23,59,0),"Night",
  L4727&lt;TIME(9,0,0),"Night"
))</f>
        <v/>
      </c>
      <c r="O4727" t="str">
        <f t="shared" si="440"/>
        <v/>
      </c>
    </row>
    <row r="4728" spans="7:15" x14ac:dyDescent="0.25">
      <c r="G4728" t="str">
        <f t="shared" si="438"/>
        <v/>
      </c>
      <c r="H4728" s="13" t="str">
        <f t="shared" si="441"/>
        <v/>
      </c>
      <c r="I4728" t="str">
        <f>IFERROR(INDEX(Analysis!$D$116:$N$137, MATCH(B4728, Analysis!$C$116:$C$137, 0), MATCH(C4728, Analysis!$D$115:$N$115, 0)), "")</f>
        <v/>
      </c>
      <c r="J4728" t="str">
        <f t="shared" si="442"/>
        <v/>
      </c>
      <c r="K4728" s="28" t="str">
        <f t="shared" si="439"/>
        <v/>
      </c>
      <c r="L4728" s="46" t="str">
        <f t="shared" si="443"/>
        <v/>
      </c>
      <c r="M4728" t="str" cm="1">
        <f t="array" ref="M4728">IF(L4728="","",_xlfn.IFS(
  AND(L4728&gt;=TIME(9,0,0), L4728&lt;TIME(16,0,0)),"Morning",
  AND(L4728&gt;=TIME(16,0,0), L4728&lt;TIME(23,59,0)),"Evening",
  L4728&gt;=TIME(23,59,0),"Night",
  L4728&lt;TIME(9,0,0),"Night"
))</f>
        <v/>
      </c>
      <c r="O4728" t="str">
        <f t="shared" si="440"/>
        <v/>
      </c>
    </row>
    <row r="4729" spans="7:15" x14ac:dyDescent="0.25">
      <c r="G4729" t="str">
        <f t="shared" si="438"/>
        <v/>
      </c>
      <c r="H4729" s="13" t="str">
        <f t="shared" si="441"/>
        <v/>
      </c>
      <c r="I4729" t="str">
        <f>IFERROR(INDEX(Analysis!$D$116:$N$137, MATCH(B4729, Analysis!$C$116:$C$137, 0), MATCH(C4729, Analysis!$D$115:$N$115, 0)), "")</f>
        <v/>
      </c>
      <c r="J4729" t="str">
        <f t="shared" si="442"/>
        <v/>
      </c>
      <c r="K4729" s="28" t="str">
        <f t="shared" si="439"/>
        <v/>
      </c>
      <c r="L4729" s="46" t="str">
        <f t="shared" si="443"/>
        <v/>
      </c>
      <c r="M4729" t="str" cm="1">
        <f t="array" ref="M4729">IF(L4729="","",_xlfn.IFS(
  AND(L4729&gt;=TIME(9,0,0), L4729&lt;TIME(16,0,0)),"Morning",
  AND(L4729&gt;=TIME(16,0,0), L4729&lt;TIME(23,59,0)),"Evening",
  L4729&gt;=TIME(23,59,0),"Night",
  L4729&lt;TIME(9,0,0),"Night"
))</f>
        <v/>
      </c>
      <c r="O4729" t="str">
        <f t="shared" si="440"/>
        <v/>
      </c>
    </row>
    <row r="4730" spans="7:15" x14ac:dyDescent="0.25">
      <c r="G4730" t="str">
        <f t="shared" si="438"/>
        <v/>
      </c>
      <c r="H4730" s="13" t="str">
        <f t="shared" si="441"/>
        <v/>
      </c>
      <c r="I4730" t="str">
        <f>IFERROR(INDEX(Analysis!$D$116:$N$137, MATCH(B4730, Analysis!$C$116:$C$137, 0), MATCH(C4730, Analysis!$D$115:$N$115, 0)), "")</f>
        <v/>
      </c>
      <c r="J4730" t="str">
        <f t="shared" si="442"/>
        <v/>
      </c>
      <c r="K4730" s="28" t="str">
        <f t="shared" si="439"/>
        <v/>
      </c>
      <c r="L4730" s="46" t="str">
        <f t="shared" si="443"/>
        <v/>
      </c>
      <c r="M4730" t="str" cm="1">
        <f t="array" ref="M4730">IF(L4730="","",_xlfn.IFS(
  AND(L4730&gt;=TIME(9,0,0), L4730&lt;TIME(16,0,0)),"Morning",
  AND(L4730&gt;=TIME(16,0,0), L4730&lt;TIME(23,59,0)),"Evening",
  L4730&gt;=TIME(23,59,0),"Night",
  L4730&lt;TIME(9,0,0),"Night"
))</f>
        <v/>
      </c>
      <c r="O4730" t="str">
        <f t="shared" si="440"/>
        <v/>
      </c>
    </row>
    <row r="4731" spans="7:15" x14ac:dyDescent="0.25">
      <c r="G4731" t="str">
        <f t="shared" si="438"/>
        <v/>
      </c>
      <c r="H4731" s="13" t="str">
        <f t="shared" si="441"/>
        <v/>
      </c>
      <c r="I4731" t="str">
        <f>IFERROR(INDEX(Analysis!$D$116:$N$137, MATCH(B4731, Analysis!$C$116:$C$137, 0), MATCH(C4731, Analysis!$D$115:$N$115, 0)), "")</f>
        <v/>
      </c>
      <c r="J4731" t="str">
        <f t="shared" si="442"/>
        <v/>
      </c>
      <c r="K4731" s="28" t="str">
        <f t="shared" si="439"/>
        <v/>
      </c>
      <c r="L4731" s="46" t="str">
        <f t="shared" si="443"/>
        <v/>
      </c>
      <c r="M4731" t="str" cm="1">
        <f t="array" ref="M4731">IF(L4731="","",_xlfn.IFS(
  AND(L4731&gt;=TIME(9,0,0), L4731&lt;TIME(16,0,0)),"Morning",
  AND(L4731&gt;=TIME(16,0,0), L4731&lt;TIME(23,59,0)),"Evening",
  L4731&gt;=TIME(23,59,0),"Night",
  L4731&lt;TIME(9,0,0),"Night"
))</f>
        <v/>
      </c>
      <c r="O4731" t="str">
        <f t="shared" si="440"/>
        <v/>
      </c>
    </row>
    <row r="4732" spans="7:15" x14ac:dyDescent="0.25">
      <c r="G4732" t="str">
        <f t="shared" si="438"/>
        <v/>
      </c>
      <c r="H4732" s="13" t="str">
        <f t="shared" si="441"/>
        <v/>
      </c>
      <c r="I4732" t="str">
        <f>IFERROR(INDEX(Analysis!$D$116:$N$137, MATCH(B4732, Analysis!$C$116:$C$137, 0), MATCH(C4732, Analysis!$D$115:$N$115, 0)), "")</f>
        <v/>
      </c>
      <c r="J4732" t="str">
        <f t="shared" si="442"/>
        <v/>
      </c>
      <c r="K4732" s="28" t="str">
        <f t="shared" si="439"/>
        <v/>
      </c>
      <c r="L4732" s="46" t="str">
        <f t="shared" si="443"/>
        <v/>
      </c>
      <c r="M4732" t="str" cm="1">
        <f t="array" ref="M4732">IF(L4732="","",_xlfn.IFS(
  AND(L4732&gt;=TIME(9,0,0), L4732&lt;TIME(16,0,0)),"Morning",
  AND(L4732&gt;=TIME(16,0,0), L4732&lt;TIME(23,59,0)),"Evening",
  L4732&gt;=TIME(23,59,0),"Night",
  L4732&lt;TIME(9,0,0),"Night"
))</f>
        <v/>
      </c>
      <c r="O4732" t="str">
        <f t="shared" si="440"/>
        <v/>
      </c>
    </row>
    <row r="4733" spans="7:15" x14ac:dyDescent="0.25">
      <c r="G4733" t="str">
        <f t="shared" si="438"/>
        <v/>
      </c>
      <c r="H4733" s="13" t="str">
        <f t="shared" si="441"/>
        <v/>
      </c>
      <c r="I4733" t="str">
        <f>IFERROR(INDEX(Analysis!$D$116:$N$137, MATCH(B4733, Analysis!$C$116:$C$137, 0), MATCH(C4733, Analysis!$D$115:$N$115, 0)), "")</f>
        <v/>
      </c>
      <c r="J4733" t="str">
        <f t="shared" si="442"/>
        <v/>
      </c>
      <c r="K4733" s="28" t="str">
        <f t="shared" si="439"/>
        <v/>
      </c>
      <c r="L4733" s="46" t="str">
        <f t="shared" si="443"/>
        <v/>
      </c>
      <c r="M4733" t="str" cm="1">
        <f t="array" ref="M4733">IF(L4733="","",_xlfn.IFS(
  AND(L4733&gt;=TIME(9,0,0), L4733&lt;TIME(16,0,0)),"Morning",
  AND(L4733&gt;=TIME(16,0,0), L4733&lt;TIME(23,59,0)),"Evening",
  L4733&gt;=TIME(23,59,0),"Night",
  L4733&lt;TIME(9,0,0),"Night"
))</f>
        <v/>
      </c>
      <c r="O4733" t="str">
        <f t="shared" si="440"/>
        <v/>
      </c>
    </row>
    <row r="4734" spans="7:15" x14ac:dyDescent="0.25">
      <c r="G4734" t="str">
        <f t="shared" si="438"/>
        <v/>
      </c>
      <c r="H4734" s="13" t="str">
        <f t="shared" si="441"/>
        <v/>
      </c>
      <c r="I4734" t="str">
        <f>IFERROR(INDEX(Analysis!$D$116:$N$137, MATCH(B4734, Analysis!$C$116:$C$137, 0), MATCH(C4734, Analysis!$D$115:$N$115, 0)), "")</f>
        <v/>
      </c>
      <c r="J4734" t="str">
        <f t="shared" si="442"/>
        <v/>
      </c>
      <c r="K4734" s="28" t="str">
        <f t="shared" si="439"/>
        <v/>
      </c>
      <c r="L4734" s="46" t="str">
        <f t="shared" si="443"/>
        <v/>
      </c>
      <c r="M4734" t="str" cm="1">
        <f t="array" ref="M4734">IF(L4734="","",_xlfn.IFS(
  AND(L4734&gt;=TIME(9,0,0), L4734&lt;TIME(16,0,0)),"Morning",
  AND(L4734&gt;=TIME(16,0,0), L4734&lt;TIME(23,59,0)),"Evening",
  L4734&gt;=TIME(23,59,0),"Night",
  L4734&lt;TIME(9,0,0),"Night"
))</f>
        <v/>
      </c>
      <c r="O4734" t="str">
        <f t="shared" si="440"/>
        <v/>
      </c>
    </row>
    <row r="4735" spans="7:15" x14ac:dyDescent="0.25">
      <c r="G4735" t="str">
        <f t="shared" si="438"/>
        <v/>
      </c>
      <c r="H4735" s="13" t="str">
        <f t="shared" si="441"/>
        <v/>
      </c>
      <c r="I4735" t="str">
        <f>IFERROR(INDEX(Analysis!$D$116:$N$137, MATCH(B4735, Analysis!$C$116:$C$137, 0), MATCH(C4735, Analysis!$D$115:$N$115, 0)), "")</f>
        <v/>
      </c>
      <c r="J4735" t="str">
        <f t="shared" si="442"/>
        <v/>
      </c>
      <c r="K4735" s="28" t="str">
        <f t="shared" si="439"/>
        <v/>
      </c>
      <c r="L4735" s="46" t="str">
        <f t="shared" si="443"/>
        <v/>
      </c>
      <c r="M4735" t="str" cm="1">
        <f t="array" ref="M4735">IF(L4735="","",_xlfn.IFS(
  AND(L4735&gt;=TIME(9,0,0), L4735&lt;TIME(16,0,0)),"Morning",
  AND(L4735&gt;=TIME(16,0,0), L4735&lt;TIME(23,59,0)),"Evening",
  L4735&gt;=TIME(23,59,0),"Night",
  L4735&lt;TIME(9,0,0),"Night"
))</f>
        <v/>
      </c>
      <c r="O4735" t="str">
        <f t="shared" si="440"/>
        <v/>
      </c>
    </row>
    <row r="4736" spans="7:15" x14ac:dyDescent="0.25">
      <c r="G4736" t="str">
        <f t="shared" si="438"/>
        <v/>
      </c>
      <c r="H4736" s="13" t="str">
        <f t="shared" si="441"/>
        <v/>
      </c>
      <c r="I4736" t="str">
        <f>IFERROR(INDEX(Analysis!$D$116:$N$137, MATCH(B4736, Analysis!$C$116:$C$137, 0), MATCH(C4736, Analysis!$D$115:$N$115, 0)), "")</f>
        <v/>
      </c>
      <c r="J4736" t="str">
        <f t="shared" si="442"/>
        <v/>
      </c>
      <c r="K4736" s="28" t="str">
        <f t="shared" si="439"/>
        <v/>
      </c>
      <c r="L4736" s="46" t="str">
        <f t="shared" si="443"/>
        <v/>
      </c>
      <c r="M4736" t="str" cm="1">
        <f t="array" ref="M4736">IF(L4736="","",_xlfn.IFS(
  AND(L4736&gt;=TIME(9,0,0), L4736&lt;TIME(16,0,0)),"Morning",
  AND(L4736&gt;=TIME(16,0,0), L4736&lt;TIME(23,59,0)),"Evening",
  L4736&gt;=TIME(23,59,0),"Night",
  L4736&lt;TIME(9,0,0),"Night"
))</f>
        <v/>
      </c>
      <c r="O4736" t="str">
        <f t="shared" si="440"/>
        <v/>
      </c>
    </row>
    <row r="4737" spans="7:15" x14ac:dyDescent="0.25">
      <c r="G4737" t="str">
        <f t="shared" si="438"/>
        <v/>
      </c>
      <c r="H4737" s="13" t="str">
        <f t="shared" si="441"/>
        <v/>
      </c>
      <c r="I4737" t="str">
        <f>IFERROR(INDEX(Analysis!$D$116:$N$137, MATCH(B4737, Analysis!$C$116:$C$137, 0), MATCH(C4737, Analysis!$D$115:$N$115, 0)), "")</f>
        <v/>
      </c>
      <c r="J4737" t="str">
        <f t="shared" si="442"/>
        <v/>
      </c>
      <c r="K4737" s="28" t="str">
        <f t="shared" si="439"/>
        <v/>
      </c>
      <c r="L4737" s="46" t="str">
        <f t="shared" si="443"/>
        <v/>
      </c>
      <c r="M4737" t="str" cm="1">
        <f t="array" ref="M4737">IF(L4737="","",_xlfn.IFS(
  AND(L4737&gt;=TIME(9,0,0), L4737&lt;TIME(16,0,0)),"Morning",
  AND(L4737&gt;=TIME(16,0,0), L4737&lt;TIME(23,59,0)),"Evening",
  L4737&gt;=TIME(23,59,0),"Night",
  L4737&lt;TIME(9,0,0),"Night"
))</f>
        <v/>
      </c>
      <c r="O4737" t="str">
        <f t="shared" si="440"/>
        <v/>
      </c>
    </row>
    <row r="4738" spans="7:15" x14ac:dyDescent="0.25">
      <c r="G4738" t="str">
        <f t="shared" ref="G4738:G4801" si="444">IF(ISBLANK(A4738), "", IF(ISBLANK(F4738), 0, F4738))</f>
        <v/>
      </c>
      <c r="H4738" s="13" t="str">
        <f t="shared" si="441"/>
        <v/>
      </c>
      <c r="I4738" t="str">
        <f>IFERROR(INDEX(Analysis!$D$116:$N$137, MATCH(B4738, Analysis!$C$116:$C$137, 0), MATCH(C4738, Analysis!$D$115:$N$115, 0)), "")</f>
        <v/>
      </c>
      <c r="J4738" t="str">
        <f t="shared" si="442"/>
        <v/>
      </c>
      <c r="K4738" s="28" t="str">
        <f t="shared" ref="K4738:K4801" si="445">IF(ISBLANK(A4738),"",DATE(YEAR(A4738),MONTH(A4738),DAY(A4738)))</f>
        <v/>
      </c>
      <c r="L4738" s="46" t="str">
        <f t="shared" si="443"/>
        <v/>
      </c>
      <c r="M4738" t="str" cm="1">
        <f t="array" ref="M4738">IF(L4738="","",_xlfn.IFS(
  AND(L4738&gt;=TIME(9,0,0), L4738&lt;TIME(16,0,0)),"Morning",
  AND(L4738&gt;=TIME(16,0,0), L4738&lt;TIME(23,59,0)),"Evening",
  L4738&gt;=TIME(23,59,0),"Night",
  L4738&lt;TIME(9,0,0),"Night"
))</f>
        <v/>
      </c>
      <c r="O4738" t="str">
        <f t="shared" ref="O4738:O4801" si="446">IF(N4738="ON", _xlfn.IMAGE(E4738, 1), "")</f>
        <v/>
      </c>
    </row>
    <row r="4739" spans="7:15" x14ac:dyDescent="0.25">
      <c r="G4739" t="str">
        <f t="shared" si="444"/>
        <v/>
      </c>
      <c r="H4739" s="13" t="str">
        <f t="shared" ref="H4739:H4802" si="447">IF(ISBLANK(E4739),"",HYPERLINK(E4739,"Click here"))</f>
        <v/>
      </c>
      <c r="I4739" t="str">
        <f>IFERROR(INDEX(Analysis!$D$116:$N$137, MATCH(B4739, Analysis!$C$116:$C$137, 0), MATCH(C4739, Analysis!$D$115:$N$115, 0)), "")</f>
        <v/>
      </c>
      <c r="J4739" t="str">
        <f t="shared" ref="J4739:J4802" si="448">IF(ISBLANK(A4739),"",WEEKNUM(A4739))</f>
        <v/>
      </c>
      <c r="K4739" s="28" t="str">
        <f t="shared" si="445"/>
        <v/>
      </c>
      <c r="L4739" s="46" t="str">
        <f t="shared" ref="L4739:L4802" si="449">IF(A4739="", "", A4739 - INT(A4739))</f>
        <v/>
      </c>
      <c r="M4739" t="str" cm="1">
        <f t="array" ref="M4739">IF(L4739="","",_xlfn.IFS(
  AND(L4739&gt;=TIME(9,0,0), L4739&lt;TIME(16,0,0)),"Morning",
  AND(L4739&gt;=TIME(16,0,0), L4739&lt;TIME(23,59,0)),"Evening",
  L4739&gt;=TIME(23,59,0),"Night",
  L4739&lt;TIME(9,0,0),"Night"
))</f>
        <v/>
      </c>
      <c r="O4739" t="str">
        <f t="shared" si="446"/>
        <v/>
      </c>
    </row>
    <row r="4740" spans="7:15" x14ac:dyDescent="0.25">
      <c r="G4740" t="str">
        <f t="shared" si="444"/>
        <v/>
      </c>
      <c r="H4740" s="13" t="str">
        <f t="shared" si="447"/>
        <v/>
      </c>
      <c r="I4740" t="str">
        <f>IFERROR(INDEX(Analysis!$D$116:$N$137, MATCH(B4740, Analysis!$C$116:$C$137, 0), MATCH(C4740, Analysis!$D$115:$N$115, 0)), "")</f>
        <v/>
      </c>
      <c r="J4740" t="str">
        <f t="shared" si="448"/>
        <v/>
      </c>
      <c r="K4740" s="28" t="str">
        <f t="shared" si="445"/>
        <v/>
      </c>
      <c r="L4740" s="46" t="str">
        <f t="shared" si="449"/>
        <v/>
      </c>
      <c r="M4740" t="str" cm="1">
        <f t="array" ref="M4740">IF(L4740="","",_xlfn.IFS(
  AND(L4740&gt;=TIME(9,0,0), L4740&lt;TIME(16,0,0)),"Morning",
  AND(L4740&gt;=TIME(16,0,0), L4740&lt;TIME(23,59,0)),"Evening",
  L4740&gt;=TIME(23,59,0),"Night",
  L4740&lt;TIME(9,0,0),"Night"
))</f>
        <v/>
      </c>
      <c r="O4740" t="str">
        <f t="shared" si="446"/>
        <v/>
      </c>
    </row>
    <row r="4741" spans="7:15" x14ac:dyDescent="0.25">
      <c r="G4741" t="str">
        <f t="shared" si="444"/>
        <v/>
      </c>
      <c r="H4741" s="13" t="str">
        <f t="shared" si="447"/>
        <v/>
      </c>
      <c r="I4741" t="str">
        <f>IFERROR(INDEX(Analysis!$D$116:$N$137, MATCH(B4741, Analysis!$C$116:$C$137, 0), MATCH(C4741, Analysis!$D$115:$N$115, 0)), "")</f>
        <v/>
      </c>
      <c r="J4741" t="str">
        <f t="shared" si="448"/>
        <v/>
      </c>
      <c r="K4741" s="28" t="str">
        <f t="shared" si="445"/>
        <v/>
      </c>
      <c r="L4741" s="46" t="str">
        <f t="shared" si="449"/>
        <v/>
      </c>
      <c r="M4741" t="str" cm="1">
        <f t="array" ref="M4741">IF(L4741="","",_xlfn.IFS(
  AND(L4741&gt;=TIME(9,0,0), L4741&lt;TIME(16,0,0)),"Morning",
  AND(L4741&gt;=TIME(16,0,0), L4741&lt;TIME(23,59,0)),"Evening",
  L4741&gt;=TIME(23,59,0),"Night",
  L4741&lt;TIME(9,0,0),"Night"
))</f>
        <v/>
      </c>
      <c r="O4741" t="str">
        <f t="shared" si="446"/>
        <v/>
      </c>
    </row>
    <row r="4742" spans="7:15" x14ac:dyDescent="0.25">
      <c r="G4742" t="str">
        <f t="shared" si="444"/>
        <v/>
      </c>
      <c r="H4742" s="13" t="str">
        <f t="shared" si="447"/>
        <v/>
      </c>
      <c r="I4742" t="str">
        <f>IFERROR(INDEX(Analysis!$D$116:$N$137, MATCH(B4742, Analysis!$C$116:$C$137, 0), MATCH(C4742, Analysis!$D$115:$N$115, 0)), "")</f>
        <v/>
      </c>
      <c r="J4742" t="str">
        <f t="shared" si="448"/>
        <v/>
      </c>
      <c r="K4742" s="28" t="str">
        <f t="shared" si="445"/>
        <v/>
      </c>
      <c r="L4742" s="46" t="str">
        <f t="shared" si="449"/>
        <v/>
      </c>
      <c r="M4742" t="str" cm="1">
        <f t="array" ref="M4742">IF(L4742="","",_xlfn.IFS(
  AND(L4742&gt;=TIME(9,0,0), L4742&lt;TIME(16,0,0)),"Morning",
  AND(L4742&gt;=TIME(16,0,0), L4742&lt;TIME(23,59,0)),"Evening",
  L4742&gt;=TIME(23,59,0),"Night",
  L4742&lt;TIME(9,0,0),"Night"
))</f>
        <v/>
      </c>
      <c r="O4742" t="str">
        <f t="shared" si="446"/>
        <v/>
      </c>
    </row>
    <row r="4743" spans="7:15" x14ac:dyDescent="0.25">
      <c r="G4743" t="str">
        <f t="shared" si="444"/>
        <v/>
      </c>
      <c r="H4743" s="13" t="str">
        <f t="shared" si="447"/>
        <v/>
      </c>
      <c r="I4743" t="str">
        <f>IFERROR(INDEX(Analysis!$D$116:$N$137, MATCH(B4743, Analysis!$C$116:$C$137, 0), MATCH(C4743, Analysis!$D$115:$N$115, 0)), "")</f>
        <v/>
      </c>
      <c r="J4743" t="str">
        <f t="shared" si="448"/>
        <v/>
      </c>
      <c r="K4743" s="28" t="str">
        <f t="shared" si="445"/>
        <v/>
      </c>
      <c r="L4743" s="46" t="str">
        <f t="shared" si="449"/>
        <v/>
      </c>
      <c r="M4743" t="str" cm="1">
        <f t="array" ref="M4743">IF(L4743="","",_xlfn.IFS(
  AND(L4743&gt;=TIME(9,0,0), L4743&lt;TIME(16,0,0)),"Morning",
  AND(L4743&gt;=TIME(16,0,0), L4743&lt;TIME(23,59,0)),"Evening",
  L4743&gt;=TIME(23,59,0),"Night",
  L4743&lt;TIME(9,0,0),"Night"
))</f>
        <v/>
      </c>
      <c r="O4743" t="str">
        <f t="shared" si="446"/>
        <v/>
      </c>
    </row>
    <row r="4744" spans="7:15" x14ac:dyDescent="0.25">
      <c r="G4744" t="str">
        <f t="shared" si="444"/>
        <v/>
      </c>
      <c r="H4744" s="13" t="str">
        <f t="shared" si="447"/>
        <v/>
      </c>
      <c r="I4744" t="str">
        <f>IFERROR(INDEX(Analysis!$D$116:$N$137, MATCH(B4744, Analysis!$C$116:$C$137, 0), MATCH(C4744, Analysis!$D$115:$N$115, 0)), "")</f>
        <v/>
      </c>
      <c r="J4744" t="str">
        <f t="shared" si="448"/>
        <v/>
      </c>
      <c r="K4744" s="28" t="str">
        <f t="shared" si="445"/>
        <v/>
      </c>
      <c r="L4744" s="46" t="str">
        <f t="shared" si="449"/>
        <v/>
      </c>
      <c r="M4744" t="str" cm="1">
        <f t="array" ref="M4744">IF(L4744="","",_xlfn.IFS(
  AND(L4744&gt;=TIME(9,0,0), L4744&lt;TIME(16,0,0)),"Morning",
  AND(L4744&gt;=TIME(16,0,0), L4744&lt;TIME(23,59,0)),"Evening",
  L4744&gt;=TIME(23,59,0),"Night",
  L4744&lt;TIME(9,0,0),"Night"
))</f>
        <v/>
      </c>
      <c r="O4744" t="str">
        <f t="shared" si="446"/>
        <v/>
      </c>
    </row>
    <row r="4745" spans="7:15" x14ac:dyDescent="0.25">
      <c r="G4745" t="str">
        <f t="shared" si="444"/>
        <v/>
      </c>
      <c r="H4745" s="13" t="str">
        <f t="shared" si="447"/>
        <v/>
      </c>
      <c r="I4745" t="str">
        <f>IFERROR(INDEX(Analysis!$D$116:$N$137, MATCH(B4745, Analysis!$C$116:$C$137, 0), MATCH(C4745, Analysis!$D$115:$N$115, 0)), "")</f>
        <v/>
      </c>
      <c r="J4745" t="str">
        <f t="shared" si="448"/>
        <v/>
      </c>
      <c r="K4745" s="28" t="str">
        <f t="shared" si="445"/>
        <v/>
      </c>
      <c r="L4745" s="46" t="str">
        <f t="shared" si="449"/>
        <v/>
      </c>
      <c r="M4745" t="str" cm="1">
        <f t="array" ref="M4745">IF(L4745="","",_xlfn.IFS(
  AND(L4745&gt;=TIME(9,0,0), L4745&lt;TIME(16,0,0)),"Morning",
  AND(L4745&gt;=TIME(16,0,0), L4745&lt;TIME(23,59,0)),"Evening",
  L4745&gt;=TIME(23,59,0),"Night",
  L4745&lt;TIME(9,0,0),"Night"
))</f>
        <v/>
      </c>
      <c r="O4745" t="str">
        <f t="shared" si="446"/>
        <v/>
      </c>
    </row>
    <row r="4746" spans="7:15" x14ac:dyDescent="0.25">
      <c r="G4746" t="str">
        <f t="shared" si="444"/>
        <v/>
      </c>
      <c r="H4746" s="13" t="str">
        <f t="shared" si="447"/>
        <v/>
      </c>
      <c r="I4746" t="str">
        <f>IFERROR(INDEX(Analysis!$D$116:$N$137, MATCH(B4746, Analysis!$C$116:$C$137, 0), MATCH(C4746, Analysis!$D$115:$N$115, 0)), "")</f>
        <v/>
      </c>
      <c r="J4746" t="str">
        <f t="shared" si="448"/>
        <v/>
      </c>
      <c r="K4746" s="28" t="str">
        <f t="shared" si="445"/>
        <v/>
      </c>
      <c r="L4746" s="46" t="str">
        <f t="shared" si="449"/>
        <v/>
      </c>
      <c r="M4746" t="str" cm="1">
        <f t="array" ref="M4746">IF(L4746="","",_xlfn.IFS(
  AND(L4746&gt;=TIME(9,0,0), L4746&lt;TIME(16,0,0)),"Morning",
  AND(L4746&gt;=TIME(16,0,0), L4746&lt;TIME(23,59,0)),"Evening",
  L4746&gt;=TIME(23,59,0),"Night",
  L4746&lt;TIME(9,0,0),"Night"
))</f>
        <v/>
      </c>
      <c r="O4746" t="str">
        <f t="shared" si="446"/>
        <v/>
      </c>
    </row>
    <row r="4747" spans="7:15" x14ac:dyDescent="0.25">
      <c r="G4747" t="str">
        <f t="shared" si="444"/>
        <v/>
      </c>
      <c r="H4747" s="13" t="str">
        <f t="shared" si="447"/>
        <v/>
      </c>
      <c r="I4747" t="str">
        <f>IFERROR(INDEX(Analysis!$D$116:$N$137, MATCH(B4747, Analysis!$C$116:$C$137, 0), MATCH(C4747, Analysis!$D$115:$N$115, 0)), "")</f>
        <v/>
      </c>
      <c r="J4747" t="str">
        <f t="shared" si="448"/>
        <v/>
      </c>
      <c r="K4747" s="28" t="str">
        <f t="shared" si="445"/>
        <v/>
      </c>
      <c r="L4747" s="46" t="str">
        <f t="shared" si="449"/>
        <v/>
      </c>
      <c r="M4747" t="str" cm="1">
        <f t="array" ref="M4747">IF(L4747="","",_xlfn.IFS(
  AND(L4747&gt;=TIME(9,0,0), L4747&lt;TIME(16,0,0)),"Morning",
  AND(L4747&gt;=TIME(16,0,0), L4747&lt;TIME(23,59,0)),"Evening",
  L4747&gt;=TIME(23,59,0),"Night",
  L4747&lt;TIME(9,0,0),"Night"
))</f>
        <v/>
      </c>
      <c r="O4747" t="str">
        <f t="shared" si="446"/>
        <v/>
      </c>
    </row>
    <row r="4748" spans="7:15" x14ac:dyDescent="0.25">
      <c r="G4748" t="str">
        <f t="shared" si="444"/>
        <v/>
      </c>
      <c r="H4748" s="13" t="str">
        <f t="shared" si="447"/>
        <v/>
      </c>
      <c r="I4748" t="str">
        <f>IFERROR(INDEX(Analysis!$D$116:$N$137, MATCH(B4748, Analysis!$C$116:$C$137, 0), MATCH(C4748, Analysis!$D$115:$N$115, 0)), "")</f>
        <v/>
      </c>
      <c r="J4748" t="str">
        <f t="shared" si="448"/>
        <v/>
      </c>
      <c r="K4748" s="28" t="str">
        <f t="shared" si="445"/>
        <v/>
      </c>
      <c r="L4748" s="46" t="str">
        <f t="shared" si="449"/>
        <v/>
      </c>
      <c r="M4748" t="str" cm="1">
        <f t="array" ref="M4748">IF(L4748="","",_xlfn.IFS(
  AND(L4748&gt;=TIME(9,0,0), L4748&lt;TIME(16,0,0)),"Morning",
  AND(L4748&gt;=TIME(16,0,0), L4748&lt;TIME(23,59,0)),"Evening",
  L4748&gt;=TIME(23,59,0),"Night",
  L4748&lt;TIME(9,0,0),"Night"
))</f>
        <v/>
      </c>
      <c r="O4748" t="str">
        <f t="shared" si="446"/>
        <v/>
      </c>
    </row>
    <row r="4749" spans="7:15" x14ac:dyDescent="0.25">
      <c r="G4749" t="str">
        <f t="shared" si="444"/>
        <v/>
      </c>
      <c r="H4749" s="13" t="str">
        <f t="shared" si="447"/>
        <v/>
      </c>
      <c r="I4749" t="str">
        <f>IFERROR(INDEX(Analysis!$D$116:$N$137, MATCH(B4749, Analysis!$C$116:$C$137, 0), MATCH(C4749, Analysis!$D$115:$N$115, 0)), "")</f>
        <v/>
      </c>
      <c r="J4749" t="str">
        <f t="shared" si="448"/>
        <v/>
      </c>
      <c r="K4749" s="28" t="str">
        <f t="shared" si="445"/>
        <v/>
      </c>
      <c r="L4749" s="46" t="str">
        <f t="shared" si="449"/>
        <v/>
      </c>
      <c r="M4749" t="str" cm="1">
        <f t="array" ref="M4749">IF(L4749="","",_xlfn.IFS(
  AND(L4749&gt;=TIME(9,0,0), L4749&lt;TIME(16,0,0)),"Morning",
  AND(L4749&gt;=TIME(16,0,0), L4749&lt;TIME(23,59,0)),"Evening",
  L4749&gt;=TIME(23,59,0),"Night",
  L4749&lt;TIME(9,0,0),"Night"
))</f>
        <v/>
      </c>
      <c r="O4749" t="str">
        <f t="shared" si="446"/>
        <v/>
      </c>
    </row>
    <row r="4750" spans="7:15" x14ac:dyDescent="0.25">
      <c r="G4750" t="str">
        <f t="shared" si="444"/>
        <v/>
      </c>
      <c r="H4750" s="13" t="str">
        <f t="shared" si="447"/>
        <v/>
      </c>
      <c r="I4750" t="str">
        <f>IFERROR(INDEX(Analysis!$D$116:$N$137, MATCH(B4750, Analysis!$C$116:$C$137, 0), MATCH(C4750, Analysis!$D$115:$N$115, 0)), "")</f>
        <v/>
      </c>
      <c r="J4750" t="str">
        <f t="shared" si="448"/>
        <v/>
      </c>
      <c r="K4750" s="28" t="str">
        <f t="shared" si="445"/>
        <v/>
      </c>
      <c r="L4750" s="46" t="str">
        <f t="shared" si="449"/>
        <v/>
      </c>
      <c r="M4750" t="str" cm="1">
        <f t="array" ref="M4750">IF(L4750="","",_xlfn.IFS(
  AND(L4750&gt;=TIME(9,0,0), L4750&lt;TIME(16,0,0)),"Morning",
  AND(L4750&gt;=TIME(16,0,0), L4750&lt;TIME(23,59,0)),"Evening",
  L4750&gt;=TIME(23,59,0),"Night",
  L4750&lt;TIME(9,0,0),"Night"
))</f>
        <v/>
      </c>
      <c r="O4750" t="str">
        <f t="shared" si="446"/>
        <v/>
      </c>
    </row>
    <row r="4751" spans="7:15" x14ac:dyDescent="0.25">
      <c r="G4751" t="str">
        <f t="shared" si="444"/>
        <v/>
      </c>
      <c r="H4751" s="13" t="str">
        <f t="shared" si="447"/>
        <v/>
      </c>
      <c r="I4751" t="str">
        <f>IFERROR(INDEX(Analysis!$D$116:$N$137, MATCH(B4751, Analysis!$C$116:$C$137, 0), MATCH(C4751, Analysis!$D$115:$N$115, 0)), "")</f>
        <v/>
      </c>
      <c r="J4751" t="str">
        <f t="shared" si="448"/>
        <v/>
      </c>
      <c r="K4751" s="28" t="str">
        <f t="shared" si="445"/>
        <v/>
      </c>
      <c r="L4751" s="46" t="str">
        <f t="shared" si="449"/>
        <v/>
      </c>
      <c r="M4751" t="str" cm="1">
        <f t="array" ref="M4751">IF(L4751="","",_xlfn.IFS(
  AND(L4751&gt;=TIME(9,0,0), L4751&lt;TIME(16,0,0)),"Morning",
  AND(L4751&gt;=TIME(16,0,0), L4751&lt;TIME(23,59,0)),"Evening",
  L4751&gt;=TIME(23,59,0),"Night",
  L4751&lt;TIME(9,0,0),"Night"
))</f>
        <v/>
      </c>
      <c r="O4751" t="str">
        <f t="shared" si="446"/>
        <v/>
      </c>
    </row>
    <row r="4752" spans="7:15" x14ac:dyDescent="0.25">
      <c r="G4752" t="str">
        <f t="shared" si="444"/>
        <v/>
      </c>
      <c r="H4752" s="13" t="str">
        <f t="shared" si="447"/>
        <v/>
      </c>
      <c r="I4752" t="str">
        <f>IFERROR(INDEX(Analysis!$D$116:$N$137, MATCH(B4752, Analysis!$C$116:$C$137, 0), MATCH(C4752, Analysis!$D$115:$N$115, 0)), "")</f>
        <v/>
      </c>
      <c r="J4752" t="str">
        <f t="shared" si="448"/>
        <v/>
      </c>
      <c r="K4752" s="28" t="str">
        <f t="shared" si="445"/>
        <v/>
      </c>
      <c r="L4752" s="46" t="str">
        <f t="shared" si="449"/>
        <v/>
      </c>
      <c r="M4752" t="str" cm="1">
        <f t="array" ref="M4752">IF(L4752="","",_xlfn.IFS(
  AND(L4752&gt;=TIME(9,0,0), L4752&lt;TIME(16,0,0)),"Morning",
  AND(L4752&gt;=TIME(16,0,0), L4752&lt;TIME(23,59,0)),"Evening",
  L4752&gt;=TIME(23,59,0),"Night",
  L4752&lt;TIME(9,0,0),"Night"
))</f>
        <v/>
      </c>
      <c r="O4752" t="str">
        <f t="shared" si="446"/>
        <v/>
      </c>
    </row>
    <row r="4753" spans="7:15" x14ac:dyDescent="0.25">
      <c r="G4753" t="str">
        <f t="shared" si="444"/>
        <v/>
      </c>
      <c r="H4753" s="13" t="str">
        <f t="shared" si="447"/>
        <v/>
      </c>
      <c r="I4753" t="str">
        <f>IFERROR(INDEX(Analysis!$D$116:$N$137, MATCH(B4753, Analysis!$C$116:$C$137, 0), MATCH(C4753, Analysis!$D$115:$N$115, 0)), "")</f>
        <v/>
      </c>
      <c r="J4753" t="str">
        <f t="shared" si="448"/>
        <v/>
      </c>
      <c r="K4753" s="28" t="str">
        <f t="shared" si="445"/>
        <v/>
      </c>
      <c r="L4753" s="46" t="str">
        <f t="shared" si="449"/>
        <v/>
      </c>
      <c r="M4753" t="str" cm="1">
        <f t="array" ref="M4753">IF(L4753="","",_xlfn.IFS(
  AND(L4753&gt;=TIME(9,0,0), L4753&lt;TIME(16,0,0)),"Morning",
  AND(L4753&gt;=TIME(16,0,0), L4753&lt;TIME(23,59,0)),"Evening",
  L4753&gt;=TIME(23,59,0),"Night",
  L4753&lt;TIME(9,0,0),"Night"
))</f>
        <v/>
      </c>
      <c r="O4753" t="str">
        <f t="shared" si="446"/>
        <v/>
      </c>
    </row>
    <row r="4754" spans="7:15" x14ac:dyDescent="0.25">
      <c r="G4754" t="str">
        <f t="shared" si="444"/>
        <v/>
      </c>
      <c r="H4754" s="13" t="str">
        <f t="shared" si="447"/>
        <v/>
      </c>
      <c r="I4754" t="str">
        <f>IFERROR(INDEX(Analysis!$D$116:$N$137, MATCH(B4754, Analysis!$C$116:$C$137, 0), MATCH(C4754, Analysis!$D$115:$N$115, 0)), "")</f>
        <v/>
      </c>
      <c r="J4754" t="str">
        <f t="shared" si="448"/>
        <v/>
      </c>
      <c r="K4754" s="28" t="str">
        <f t="shared" si="445"/>
        <v/>
      </c>
      <c r="L4754" s="46" t="str">
        <f t="shared" si="449"/>
        <v/>
      </c>
      <c r="M4754" t="str" cm="1">
        <f t="array" ref="M4754">IF(L4754="","",_xlfn.IFS(
  AND(L4754&gt;=TIME(9,0,0), L4754&lt;TIME(16,0,0)),"Morning",
  AND(L4754&gt;=TIME(16,0,0), L4754&lt;TIME(23,59,0)),"Evening",
  L4754&gt;=TIME(23,59,0),"Night",
  L4754&lt;TIME(9,0,0),"Night"
))</f>
        <v/>
      </c>
      <c r="O4754" t="str">
        <f t="shared" si="446"/>
        <v/>
      </c>
    </row>
    <row r="4755" spans="7:15" x14ac:dyDescent="0.25">
      <c r="G4755" t="str">
        <f t="shared" si="444"/>
        <v/>
      </c>
      <c r="H4755" s="13" t="str">
        <f t="shared" si="447"/>
        <v/>
      </c>
      <c r="I4755" t="str">
        <f>IFERROR(INDEX(Analysis!$D$116:$N$137, MATCH(B4755, Analysis!$C$116:$C$137, 0), MATCH(C4755, Analysis!$D$115:$N$115, 0)), "")</f>
        <v/>
      </c>
      <c r="J4755" t="str">
        <f t="shared" si="448"/>
        <v/>
      </c>
      <c r="K4755" s="28" t="str">
        <f t="shared" si="445"/>
        <v/>
      </c>
      <c r="L4755" s="46" t="str">
        <f t="shared" si="449"/>
        <v/>
      </c>
      <c r="M4755" t="str" cm="1">
        <f t="array" ref="M4755">IF(L4755="","",_xlfn.IFS(
  AND(L4755&gt;=TIME(9,0,0), L4755&lt;TIME(16,0,0)),"Morning",
  AND(L4755&gt;=TIME(16,0,0), L4755&lt;TIME(23,59,0)),"Evening",
  L4755&gt;=TIME(23,59,0),"Night",
  L4755&lt;TIME(9,0,0),"Night"
))</f>
        <v/>
      </c>
      <c r="O4755" t="str">
        <f t="shared" si="446"/>
        <v/>
      </c>
    </row>
    <row r="4756" spans="7:15" x14ac:dyDescent="0.25">
      <c r="G4756" t="str">
        <f t="shared" si="444"/>
        <v/>
      </c>
      <c r="H4756" s="13" t="str">
        <f t="shared" si="447"/>
        <v/>
      </c>
      <c r="I4756" t="str">
        <f>IFERROR(INDEX(Analysis!$D$116:$N$137, MATCH(B4756, Analysis!$C$116:$C$137, 0), MATCH(C4756, Analysis!$D$115:$N$115, 0)), "")</f>
        <v/>
      </c>
      <c r="J4756" t="str">
        <f t="shared" si="448"/>
        <v/>
      </c>
      <c r="K4756" s="28" t="str">
        <f t="shared" si="445"/>
        <v/>
      </c>
      <c r="L4756" s="46" t="str">
        <f t="shared" si="449"/>
        <v/>
      </c>
      <c r="M4756" t="str" cm="1">
        <f t="array" ref="M4756">IF(L4756="","",_xlfn.IFS(
  AND(L4756&gt;=TIME(9,0,0), L4756&lt;TIME(16,0,0)),"Morning",
  AND(L4756&gt;=TIME(16,0,0), L4756&lt;TIME(23,59,0)),"Evening",
  L4756&gt;=TIME(23,59,0),"Night",
  L4756&lt;TIME(9,0,0),"Night"
))</f>
        <v/>
      </c>
      <c r="O4756" t="str">
        <f t="shared" si="446"/>
        <v/>
      </c>
    </row>
    <row r="4757" spans="7:15" x14ac:dyDescent="0.25">
      <c r="G4757" t="str">
        <f t="shared" si="444"/>
        <v/>
      </c>
      <c r="H4757" s="13" t="str">
        <f t="shared" si="447"/>
        <v/>
      </c>
      <c r="I4757" t="str">
        <f>IFERROR(INDEX(Analysis!$D$116:$N$137, MATCH(B4757, Analysis!$C$116:$C$137, 0), MATCH(C4757, Analysis!$D$115:$N$115, 0)), "")</f>
        <v/>
      </c>
      <c r="J4757" t="str">
        <f t="shared" si="448"/>
        <v/>
      </c>
      <c r="K4757" s="28" t="str">
        <f t="shared" si="445"/>
        <v/>
      </c>
      <c r="L4757" s="46" t="str">
        <f t="shared" si="449"/>
        <v/>
      </c>
      <c r="M4757" t="str" cm="1">
        <f t="array" ref="M4757">IF(L4757="","",_xlfn.IFS(
  AND(L4757&gt;=TIME(9,0,0), L4757&lt;TIME(16,0,0)),"Morning",
  AND(L4757&gt;=TIME(16,0,0), L4757&lt;TIME(23,59,0)),"Evening",
  L4757&gt;=TIME(23,59,0),"Night",
  L4757&lt;TIME(9,0,0),"Night"
))</f>
        <v/>
      </c>
      <c r="O4757" t="str">
        <f t="shared" si="446"/>
        <v/>
      </c>
    </row>
    <row r="4758" spans="7:15" x14ac:dyDescent="0.25">
      <c r="G4758" t="str">
        <f t="shared" si="444"/>
        <v/>
      </c>
      <c r="H4758" s="13" t="str">
        <f t="shared" si="447"/>
        <v/>
      </c>
      <c r="I4758" t="str">
        <f>IFERROR(INDEX(Analysis!$D$116:$N$137, MATCH(B4758, Analysis!$C$116:$C$137, 0), MATCH(C4758, Analysis!$D$115:$N$115, 0)), "")</f>
        <v/>
      </c>
      <c r="J4758" t="str">
        <f t="shared" si="448"/>
        <v/>
      </c>
      <c r="K4758" s="28" t="str">
        <f t="shared" si="445"/>
        <v/>
      </c>
      <c r="L4758" s="46" t="str">
        <f t="shared" si="449"/>
        <v/>
      </c>
      <c r="M4758" t="str" cm="1">
        <f t="array" ref="M4758">IF(L4758="","",_xlfn.IFS(
  AND(L4758&gt;=TIME(9,0,0), L4758&lt;TIME(16,0,0)),"Morning",
  AND(L4758&gt;=TIME(16,0,0), L4758&lt;TIME(23,59,0)),"Evening",
  L4758&gt;=TIME(23,59,0),"Night",
  L4758&lt;TIME(9,0,0),"Night"
))</f>
        <v/>
      </c>
      <c r="O4758" t="str">
        <f t="shared" si="446"/>
        <v/>
      </c>
    </row>
    <row r="4759" spans="7:15" x14ac:dyDescent="0.25">
      <c r="G4759" t="str">
        <f t="shared" si="444"/>
        <v/>
      </c>
      <c r="H4759" s="13" t="str">
        <f t="shared" si="447"/>
        <v/>
      </c>
      <c r="I4759" t="str">
        <f>IFERROR(INDEX(Analysis!$D$116:$N$137, MATCH(B4759, Analysis!$C$116:$C$137, 0), MATCH(C4759, Analysis!$D$115:$N$115, 0)), "")</f>
        <v/>
      </c>
      <c r="J4759" t="str">
        <f t="shared" si="448"/>
        <v/>
      </c>
      <c r="K4759" s="28" t="str">
        <f t="shared" si="445"/>
        <v/>
      </c>
      <c r="L4759" s="46" t="str">
        <f t="shared" si="449"/>
        <v/>
      </c>
      <c r="M4759" t="str" cm="1">
        <f t="array" ref="M4759">IF(L4759="","",_xlfn.IFS(
  AND(L4759&gt;=TIME(9,0,0), L4759&lt;TIME(16,0,0)),"Morning",
  AND(L4759&gt;=TIME(16,0,0), L4759&lt;TIME(23,59,0)),"Evening",
  L4759&gt;=TIME(23,59,0),"Night",
  L4759&lt;TIME(9,0,0),"Night"
))</f>
        <v/>
      </c>
      <c r="O4759" t="str">
        <f t="shared" si="446"/>
        <v/>
      </c>
    </row>
    <row r="4760" spans="7:15" x14ac:dyDescent="0.25">
      <c r="G4760" t="str">
        <f t="shared" si="444"/>
        <v/>
      </c>
      <c r="H4760" s="13" t="str">
        <f t="shared" si="447"/>
        <v/>
      </c>
      <c r="I4760" t="str">
        <f>IFERROR(INDEX(Analysis!$D$116:$N$137, MATCH(B4760, Analysis!$C$116:$C$137, 0), MATCH(C4760, Analysis!$D$115:$N$115, 0)), "")</f>
        <v/>
      </c>
      <c r="J4760" t="str">
        <f t="shared" si="448"/>
        <v/>
      </c>
      <c r="K4760" s="28" t="str">
        <f t="shared" si="445"/>
        <v/>
      </c>
      <c r="L4760" s="46" t="str">
        <f t="shared" si="449"/>
        <v/>
      </c>
      <c r="M4760" t="str" cm="1">
        <f t="array" ref="M4760">IF(L4760="","",_xlfn.IFS(
  AND(L4760&gt;=TIME(9,0,0), L4760&lt;TIME(16,0,0)),"Morning",
  AND(L4760&gt;=TIME(16,0,0), L4760&lt;TIME(23,59,0)),"Evening",
  L4760&gt;=TIME(23,59,0),"Night",
  L4760&lt;TIME(9,0,0),"Night"
))</f>
        <v/>
      </c>
      <c r="O4760" t="str">
        <f t="shared" si="446"/>
        <v/>
      </c>
    </row>
    <row r="4761" spans="7:15" x14ac:dyDescent="0.25">
      <c r="G4761" t="str">
        <f t="shared" si="444"/>
        <v/>
      </c>
      <c r="H4761" s="13" t="str">
        <f t="shared" si="447"/>
        <v/>
      </c>
      <c r="I4761" t="str">
        <f>IFERROR(INDEX(Analysis!$D$116:$N$137, MATCH(B4761, Analysis!$C$116:$C$137, 0), MATCH(C4761, Analysis!$D$115:$N$115, 0)), "")</f>
        <v/>
      </c>
      <c r="J4761" t="str">
        <f t="shared" si="448"/>
        <v/>
      </c>
      <c r="K4761" s="28" t="str">
        <f t="shared" si="445"/>
        <v/>
      </c>
      <c r="L4761" s="46" t="str">
        <f t="shared" si="449"/>
        <v/>
      </c>
      <c r="M4761" t="str" cm="1">
        <f t="array" ref="M4761">IF(L4761="","",_xlfn.IFS(
  AND(L4761&gt;=TIME(9,0,0), L4761&lt;TIME(16,0,0)),"Morning",
  AND(L4761&gt;=TIME(16,0,0), L4761&lt;TIME(23,59,0)),"Evening",
  L4761&gt;=TIME(23,59,0),"Night",
  L4761&lt;TIME(9,0,0),"Night"
))</f>
        <v/>
      </c>
      <c r="O4761" t="str">
        <f t="shared" si="446"/>
        <v/>
      </c>
    </row>
    <row r="4762" spans="7:15" x14ac:dyDescent="0.25">
      <c r="G4762" t="str">
        <f t="shared" si="444"/>
        <v/>
      </c>
      <c r="H4762" s="13" t="str">
        <f t="shared" si="447"/>
        <v/>
      </c>
      <c r="I4762" t="str">
        <f>IFERROR(INDEX(Analysis!$D$116:$N$137, MATCH(B4762, Analysis!$C$116:$C$137, 0), MATCH(C4762, Analysis!$D$115:$N$115, 0)), "")</f>
        <v/>
      </c>
      <c r="J4762" t="str">
        <f t="shared" si="448"/>
        <v/>
      </c>
      <c r="K4762" s="28" t="str">
        <f t="shared" si="445"/>
        <v/>
      </c>
      <c r="L4762" s="46" t="str">
        <f t="shared" si="449"/>
        <v/>
      </c>
      <c r="M4762" t="str" cm="1">
        <f t="array" ref="M4762">IF(L4762="","",_xlfn.IFS(
  AND(L4762&gt;=TIME(9,0,0), L4762&lt;TIME(16,0,0)),"Morning",
  AND(L4762&gt;=TIME(16,0,0), L4762&lt;TIME(23,59,0)),"Evening",
  L4762&gt;=TIME(23,59,0),"Night",
  L4762&lt;TIME(9,0,0),"Night"
))</f>
        <v/>
      </c>
      <c r="O4762" t="str">
        <f t="shared" si="446"/>
        <v/>
      </c>
    </row>
    <row r="4763" spans="7:15" x14ac:dyDescent="0.25">
      <c r="G4763" t="str">
        <f t="shared" si="444"/>
        <v/>
      </c>
      <c r="H4763" s="13" t="str">
        <f t="shared" si="447"/>
        <v/>
      </c>
      <c r="I4763" t="str">
        <f>IFERROR(INDEX(Analysis!$D$116:$N$137, MATCH(B4763, Analysis!$C$116:$C$137, 0), MATCH(C4763, Analysis!$D$115:$N$115, 0)), "")</f>
        <v/>
      </c>
      <c r="J4763" t="str">
        <f t="shared" si="448"/>
        <v/>
      </c>
      <c r="K4763" s="28" t="str">
        <f t="shared" si="445"/>
        <v/>
      </c>
      <c r="L4763" s="46" t="str">
        <f t="shared" si="449"/>
        <v/>
      </c>
      <c r="M4763" t="str" cm="1">
        <f t="array" ref="M4763">IF(L4763="","",_xlfn.IFS(
  AND(L4763&gt;=TIME(9,0,0), L4763&lt;TIME(16,0,0)),"Morning",
  AND(L4763&gt;=TIME(16,0,0), L4763&lt;TIME(23,59,0)),"Evening",
  L4763&gt;=TIME(23,59,0),"Night",
  L4763&lt;TIME(9,0,0),"Night"
))</f>
        <v/>
      </c>
      <c r="O4763" t="str">
        <f t="shared" si="446"/>
        <v/>
      </c>
    </row>
    <row r="4764" spans="7:15" x14ac:dyDescent="0.25">
      <c r="G4764" t="str">
        <f t="shared" si="444"/>
        <v/>
      </c>
      <c r="H4764" s="13" t="str">
        <f t="shared" si="447"/>
        <v/>
      </c>
      <c r="I4764" t="str">
        <f>IFERROR(INDEX(Analysis!$D$116:$N$137, MATCH(B4764, Analysis!$C$116:$C$137, 0), MATCH(C4764, Analysis!$D$115:$N$115, 0)), "")</f>
        <v/>
      </c>
      <c r="J4764" t="str">
        <f t="shared" si="448"/>
        <v/>
      </c>
      <c r="K4764" s="28" t="str">
        <f t="shared" si="445"/>
        <v/>
      </c>
      <c r="L4764" s="46" t="str">
        <f t="shared" si="449"/>
        <v/>
      </c>
      <c r="M4764" t="str" cm="1">
        <f t="array" ref="M4764">IF(L4764="","",_xlfn.IFS(
  AND(L4764&gt;=TIME(9,0,0), L4764&lt;TIME(16,0,0)),"Morning",
  AND(L4764&gt;=TIME(16,0,0), L4764&lt;TIME(23,59,0)),"Evening",
  L4764&gt;=TIME(23,59,0),"Night",
  L4764&lt;TIME(9,0,0),"Night"
))</f>
        <v/>
      </c>
      <c r="O4764" t="str">
        <f t="shared" si="446"/>
        <v/>
      </c>
    </row>
    <row r="4765" spans="7:15" x14ac:dyDescent="0.25">
      <c r="G4765" t="str">
        <f t="shared" si="444"/>
        <v/>
      </c>
      <c r="H4765" s="13" t="str">
        <f t="shared" si="447"/>
        <v/>
      </c>
      <c r="I4765" t="str">
        <f>IFERROR(INDEX(Analysis!$D$116:$N$137, MATCH(B4765, Analysis!$C$116:$C$137, 0), MATCH(C4765, Analysis!$D$115:$N$115, 0)), "")</f>
        <v/>
      </c>
      <c r="J4765" t="str">
        <f t="shared" si="448"/>
        <v/>
      </c>
      <c r="K4765" s="28" t="str">
        <f t="shared" si="445"/>
        <v/>
      </c>
      <c r="L4765" s="46" t="str">
        <f t="shared" si="449"/>
        <v/>
      </c>
      <c r="M4765" t="str" cm="1">
        <f t="array" ref="M4765">IF(L4765="","",_xlfn.IFS(
  AND(L4765&gt;=TIME(9,0,0), L4765&lt;TIME(16,0,0)),"Morning",
  AND(L4765&gt;=TIME(16,0,0), L4765&lt;TIME(23,59,0)),"Evening",
  L4765&gt;=TIME(23,59,0),"Night",
  L4765&lt;TIME(9,0,0),"Night"
))</f>
        <v/>
      </c>
      <c r="O4765" t="str">
        <f t="shared" si="446"/>
        <v/>
      </c>
    </row>
    <row r="4766" spans="7:15" x14ac:dyDescent="0.25">
      <c r="G4766" t="str">
        <f t="shared" si="444"/>
        <v/>
      </c>
      <c r="H4766" s="13" t="str">
        <f t="shared" si="447"/>
        <v/>
      </c>
      <c r="I4766" t="str">
        <f>IFERROR(INDEX(Analysis!$D$116:$N$137, MATCH(B4766, Analysis!$C$116:$C$137, 0), MATCH(C4766, Analysis!$D$115:$N$115, 0)), "")</f>
        <v/>
      </c>
      <c r="J4766" t="str">
        <f t="shared" si="448"/>
        <v/>
      </c>
      <c r="K4766" s="28" t="str">
        <f t="shared" si="445"/>
        <v/>
      </c>
      <c r="L4766" s="46" t="str">
        <f t="shared" si="449"/>
        <v/>
      </c>
      <c r="M4766" t="str" cm="1">
        <f t="array" ref="M4766">IF(L4766="","",_xlfn.IFS(
  AND(L4766&gt;=TIME(9,0,0), L4766&lt;TIME(16,0,0)),"Morning",
  AND(L4766&gt;=TIME(16,0,0), L4766&lt;TIME(23,59,0)),"Evening",
  L4766&gt;=TIME(23,59,0),"Night",
  L4766&lt;TIME(9,0,0),"Night"
))</f>
        <v/>
      </c>
      <c r="O4766" t="str">
        <f t="shared" si="446"/>
        <v/>
      </c>
    </row>
    <row r="4767" spans="7:15" x14ac:dyDescent="0.25">
      <c r="G4767" t="str">
        <f t="shared" si="444"/>
        <v/>
      </c>
      <c r="H4767" s="13" t="str">
        <f t="shared" si="447"/>
        <v/>
      </c>
      <c r="I4767" t="str">
        <f>IFERROR(INDEX(Analysis!$D$116:$N$137, MATCH(B4767, Analysis!$C$116:$C$137, 0), MATCH(C4767, Analysis!$D$115:$N$115, 0)), "")</f>
        <v/>
      </c>
      <c r="J4767" t="str">
        <f t="shared" si="448"/>
        <v/>
      </c>
      <c r="K4767" s="28" t="str">
        <f t="shared" si="445"/>
        <v/>
      </c>
      <c r="L4767" s="46" t="str">
        <f t="shared" si="449"/>
        <v/>
      </c>
      <c r="M4767" t="str" cm="1">
        <f t="array" ref="M4767">IF(L4767="","",_xlfn.IFS(
  AND(L4767&gt;=TIME(9,0,0), L4767&lt;TIME(16,0,0)),"Morning",
  AND(L4767&gt;=TIME(16,0,0), L4767&lt;TIME(23,59,0)),"Evening",
  L4767&gt;=TIME(23,59,0),"Night",
  L4767&lt;TIME(9,0,0),"Night"
))</f>
        <v/>
      </c>
      <c r="O4767" t="str">
        <f t="shared" si="446"/>
        <v/>
      </c>
    </row>
    <row r="4768" spans="7:15" x14ac:dyDescent="0.25">
      <c r="G4768" t="str">
        <f t="shared" si="444"/>
        <v/>
      </c>
      <c r="H4768" s="13" t="str">
        <f t="shared" si="447"/>
        <v/>
      </c>
      <c r="I4768" t="str">
        <f>IFERROR(INDEX(Analysis!$D$116:$N$137, MATCH(B4768, Analysis!$C$116:$C$137, 0), MATCH(C4768, Analysis!$D$115:$N$115, 0)), "")</f>
        <v/>
      </c>
      <c r="J4768" t="str">
        <f t="shared" si="448"/>
        <v/>
      </c>
      <c r="K4768" s="28" t="str">
        <f t="shared" si="445"/>
        <v/>
      </c>
      <c r="L4768" s="46" t="str">
        <f t="shared" si="449"/>
        <v/>
      </c>
      <c r="M4768" t="str" cm="1">
        <f t="array" ref="M4768">IF(L4768="","",_xlfn.IFS(
  AND(L4768&gt;=TIME(9,0,0), L4768&lt;TIME(16,0,0)),"Morning",
  AND(L4768&gt;=TIME(16,0,0), L4768&lt;TIME(23,59,0)),"Evening",
  L4768&gt;=TIME(23,59,0),"Night",
  L4768&lt;TIME(9,0,0),"Night"
))</f>
        <v/>
      </c>
      <c r="O4768" t="str">
        <f t="shared" si="446"/>
        <v/>
      </c>
    </row>
    <row r="4769" spans="7:15" x14ac:dyDescent="0.25">
      <c r="G4769" t="str">
        <f t="shared" si="444"/>
        <v/>
      </c>
      <c r="H4769" s="13" t="str">
        <f t="shared" si="447"/>
        <v/>
      </c>
      <c r="I4769" t="str">
        <f>IFERROR(INDEX(Analysis!$D$116:$N$137, MATCH(B4769, Analysis!$C$116:$C$137, 0), MATCH(C4769, Analysis!$D$115:$N$115, 0)), "")</f>
        <v/>
      </c>
      <c r="J4769" t="str">
        <f t="shared" si="448"/>
        <v/>
      </c>
      <c r="K4769" s="28" t="str">
        <f t="shared" si="445"/>
        <v/>
      </c>
      <c r="L4769" s="46" t="str">
        <f t="shared" si="449"/>
        <v/>
      </c>
      <c r="M4769" t="str" cm="1">
        <f t="array" ref="M4769">IF(L4769="","",_xlfn.IFS(
  AND(L4769&gt;=TIME(9,0,0), L4769&lt;TIME(16,0,0)),"Morning",
  AND(L4769&gt;=TIME(16,0,0), L4769&lt;TIME(23,59,0)),"Evening",
  L4769&gt;=TIME(23,59,0),"Night",
  L4769&lt;TIME(9,0,0),"Night"
))</f>
        <v/>
      </c>
      <c r="O4769" t="str">
        <f t="shared" si="446"/>
        <v/>
      </c>
    </row>
    <row r="4770" spans="7:15" x14ac:dyDescent="0.25">
      <c r="G4770" t="str">
        <f t="shared" si="444"/>
        <v/>
      </c>
      <c r="H4770" s="13" t="str">
        <f t="shared" si="447"/>
        <v/>
      </c>
      <c r="I4770" t="str">
        <f>IFERROR(INDEX(Analysis!$D$116:$N$137, MATCH(B4770, Analysis!$C$116:$C$137, 0), MATCH(C4770, Analysis!$D$115:$N$115, 0)), "")</f>
        <v/>
      </c>
      <c r="J4770" t="str">
        <f t="shared" si="448"/>
        <v/>
      </c>
      <c r="K4770" s="28" t="str">
        <f t="shared" si="445"/>
        <v/>
      </c>
      <c r="L4770" s="46" t="str">
        <f t="shared" si="449"/>
        <v/>
      </c>
      <c r="M4770" t="str" cm="1">
        <f t="array" ref="M4770">IF(L4770="","",_xlfn.IFS(
  AND(L4770&gt;=TIME(9,0,0), L4770&lt;TIME(16,0,0)),"Morning",
  AND(L4770&gt;=TIME(16,0,0), L4770&lt;TIME(23,59,0)),"Evening",
  L4770&gt;=TIME(23,59,0),"Night",
  L4770&lt;TIME(9,0,0),"Night"
))</f>
        <v/>
      </c>
      <c r="O4770" t="str">
        <f t="shared" si="446"/>
        <v/>
      </c>
    </row>
    <row r="4771" spans="7:15" x14ac:dyDescent="0.25">
      <c r="G4771" t="str">
        <f t="shared" si="444"/>
        <v/>
      </c>
      <c r="H4771" s="13" t="str">
        <f t="shared" si="447"/>
        <v/>
      </c>
      <c r="I4771" t="str">
        <f>IFERROR(INDEX(Analysis!$D$116:$N$137, MATCH(B4771, Analysis!$C$116:$C$137, 0), MATCH(C4771, Analysis!$D$115:$N$115, 0)), "")</f>
        <v/>
      </c>
      <c r="J4771" t="str">
        <f t="shared" si="448"/>
        <v/>
      </c>
      <c r="K4771" s="28" t="str">
        <f t="shared" si="445"/>
        <v/>
      </c>
      <c r="L4771" s="46" t="str">
        <f t="shared" si="449"/>
        <v/>
      </c>
      <c r="M4771" t="str" cm="1">
        <f t="array" ref="M4771">IF(L4771="","",_xlfn.IFS(
  AND(L4771&gt;=TIME(9,0,0), L4771&lt;TIME(16,0,0)),"Morning",
  AND(L4771&gt;=TIME(16,0,0), L4771&lt;TIME(23,59,0)),"Evening",
  L4771&gt;=TIME(23,59,0),"Night",
  L4771&lt;TIME(9,0,0),"Night"
))</f>
        <v/>
      </c>
      <c r="O4771" t="str">
        <f t="shared" si="446"/>
        <v/>
      </c>
    </row>
    <row r="4772" spans="7:15" x14ac:dyDescent="0.25">
      <c r="G4772" t="str">
        <f t="shared" si="444"/>
        <v/>
      </c>
      <c r="H4772" s="13" t="str">
        <f t="shared" si="447"/>
        <v/>
      </c>
      <c r="I4772" t="str">
        <f>IFERROR(INDEX(Analysis!$D$116:$N$137, MATCH(B4772, Analysis!$C$116:$C$137, 0), MATCH(C4772, Analysis!$D$115:$N$115, 0)), "")</f>
        <v/>
      </c>
      <c r="J4772" t="str">
        <f t="shared" si="448"/>
        <v/>
      </c>
      <c r="K4772" s="28" t="str">
        <f t="shared" si="445"/>
        <v/>
      </c>
      <c r="L4772" s="46" t="str">
        <f t="shared" si="449"/>
        <v/>
      </c>
      <c r="M4772" t="str" cm="1">
        <f t="array" ref="M4772">IF(L4772="","",_xlfn.IFS(
  AND(L4772&gt;=TIME(9,0,0), L4772&lt;TIME(16,0,0)),"Morning",
  AND(L4772&gt;=TIME(16,0,0), L4772&lt;TIME(23,59,0)),"Evening",
  L4772&gt;=TIME(23,59,0),"Night",
  L4772&lt;TIME(9,0,0),"Night"
))</f>
        <v/>
      </c>
      <c r="O4772" t="str">
        <f t="shared" si="446"/>
        <v/>
      </c>
    </row>
    <row r="4773" spans="7:15" x14ac:dyDescent="0.25">
      <c r="G4773" t="str">
        <f t="shared" si="444"/>
        <v/>
      </c>
      <c r="H4773" s="13" t="str">
        <f t="shared" si="447"/>
        <v/>
      </c>
      <c r="I4773" t="str">
        <f>IFERROR(INDEX(Analysis!$D$116:$N$137, MATCH(B4773, Analysis!$C$116:$C$137, 0), MATCH(C4773, Analysis!$D$115:$N$115, 0)), "")</f>
        <v/>
      </c>
      <c r="J4773" t="str">
        <f t="shared" si="448"/>
        <v/>
      </c>
      <c r="K4773" s="28" t="str">
        <f t="shared" si="445"/>
        <v/>
      </c>
      <c r="L4773" s="46" t="str">
        <f t="shared" si="449"/>
        <v/>
      </c>
      <c r="M4773" t="str" cm="1">
        <f t="array" ref="M4773">IF(L4773="","",_xlfn.IFS(
  AND(L4773&gt;=TIME(9,0,0), L4773&lt;TIME(16,0,0)),"Morning",
  AND(L4773&gt;=TIME(16,0,0), L4773&lt;TIME(23,59,0)),"Evening",
  L4773&gt;=TIME(23,59,0),"Night",
  L4773&lt;TIME(9,0,0),"Night"
))</f>
        <v/>
      </c>
      <c r="O4773" t="str">
        <f t="shared" si="446"/>
        <v/>
      </c>
    </row>
    <row r="4774" spans="7:15" x14ac:dyDescent="0.25">
      <c r="G4774" t="str">
        <f t="shared" si="444"/>
        <v/>
      </c>
      <c r="H4774" s="13" t="str">
        <f t="shared" si="447"/>
        <v/>
      </c>
      <c r="I4774" t="str">
        <f>IFERROR(INDEX(Analysis!$D$116:$N$137, MATCH(B4774, Analysis!$C$116:$C$137, 0), MATCH(C4774, Analysis!$D$115:$N$115, 0)), "")</f>
        <v/>
      </c>
      <c r="J4774" t="str">
        <f t="shared" si="448"/>
        <v/>
      </c>
      <c r="K4774" s="28" t="str">
        <f t="shared" si="445"/>
        <v/>
      </c>
      <c r="L4774" s="46" t="str">
        <f t="shared" si="449"/>
        <v/>
      </c>
      <c r="M4774" t="str" cm="1">
        <f t="array" ref="M4774">IF(L4774="","",_xlfn.IFS(
  AND(L4774&gt;=TIME(9,0,0), L4774&lt;TIME(16,0,0)),"Morning",
  AND(L4774&gt;=TIME(16,0,0), L4774&lt;TIME(23,59,0)),"Evening",
  L4774&gt;=TIME(23,59,0),"Night",
  L4774&lt;TIME(9,0,0),"Night"
))</f>
        <v/>
      </c>
      <c r="O4774" t="str">
        <f t="shared" si="446"/>
        <v/>
      </c>
    </row>
    <row r="4775" spans="7:15" x14ac:dyDescent="0.25">
      <c r="G4775" t="str">
        <f t="shared" si="444"/>
        <v/>
      </c>
      <c r="H4775" s="13" t="str">
        <f t="shared" si="447"/>
        <v/>
      </c>
      <c r="I4775" t="str">
        <f>IFERROR(INDEX(Analysis!$D$116:$N$137, MATCH(B4775, Analysis!$C$116:$C$137, 0), MATCH(C4775, Analysis!$D$115:$N$115, 0)), "")</f>
        <v/>
      </c>
      <c r="J4775" t="str">
        <f t="shared" si="448"/>
        <v/>
      </c>
      <c r="K4775" s="28" t="str">
        <f t="shared" si="445"/>
        <v/>
      </c>
      <c r="L4775" s="46" t="str">
        <f t="shared" si="449"/>
        <v/>
      </c>
      <c r="M4775" t="str" cm="1">
        <f t="array" ref="M4775">IF(L4775="","",_xlfn.IFS(
  AND(L4775&gt;=TIME(9,0,0), L4775&lt;TIME(16,0,0)),"Morning",
  AND(L4775&gt;=TIME(16,0,0), L4775&lt;TIME(23,59,0)),"Evening",
  L4775&gt;=TIME(23,59,0),"Night",
  L4775&lt;TIME(9,0,0),"Night"
))</f>
        <v/>
      </c>
      <c r="O4775" t="str">
        <f t="shared" si="446"/>
        <v/>
      </c>
    </row>
    <row r="4776" spans="7:15" x14ac:dyDescent="0.25">
      <c r="G4776" t="str">
        <f t="shared" si="444"/>
        <v/>
      </c>
      <c r="H4776" s="13" t="str">
        <f t="shared" si="447"/>
        <v/>
      </c>
      <c r="I4776" t="str">
        <f>IFERROR(INDEX(Analysis!$D$116:$N$137, MATCH(B4776, Analysis!$C$116:$C$137, 0), MATCH(C4776, Analysis!$D$115:$N$115, 0)), "")</f>
        <v/>
      </c>
      <c r="J4776" t="str">
        <f t="shared" si="448"/>
        <v/>
      </c>
      <c r="K4776" s="28" t="str">
        <f t="shared" si="445"/>
        <v/>
      </c>
      <c r="L4776" s="46" t="str">
        <f t="shared" si="449"/>
        <v/>
      </c>
      <c r="M4776" t="str" cm="1">
        <f t="array" ref="M4776">IF(L4776="","",_xlfn.IFS(
  AND(L4776&gt;=TIME(9,0,0), L4776&lt;TIME(16,0,0)),"Morning",
  AND(L4776&gt;=TIME(16,0,0), L4776&lt;TIME(23,59,0)),"Evening",
  L4776&gt;=TIME(23,59,0),"Night",
  L4776&lt;TIME(9,0,0),"Night"
))</f>
        <v/>
      </c>
      <c r="O4776" t="str">
        <f t="shared" si="446"/>
        <v/>
      </c>
    </row>
    <row r="4777" spans="7:15" x14ac:dyDescent="0.25">
      <c r="G4777" t="str">
        <f t="shared" si="444"/>
        <v/>
      </c>
      <c r="H4777" s="13" t="str">
        <f t="shared" si="447"/>
        <v/>
      </c>
      <c r="I4777" t="str">
        <f>IFERROR(INDEX(Analysis!$D$116:$N$137, MATCH(B4777, Analysis!$C$116:$C$137, 0), MATCH(C4777, Analysis!$D$115:$N$115, 0)), "")</f>
        <v/>
      </c>
      <c r="J4777" t="str">
        <f t="shared" si="448"/>
        <v/>
      </c>
      <c r="K4777" s="28" t="str">
        <f t="shared" si="445"/>
        <v/>
      </c>
      <c r="L4777" s="46" t="str">
        <f t="shared" si="449"/>
        <v/>
      </c>
      <c r="M4777" t="str" cm="1">
        <f t="array" ref="M4777">IF(L4777="","",_xlfn.IFS(
  AND(L4777&gt;=TIME(9,0,0), L4777&lt;TIME(16,0,0)),"Morning",
  AND(L4777&gt;=TIME(16,0,0), L4777&lt;TIME(23,59,0)),"Evening",
  L4777&gt;=TIME(23,59,0),"Night",
  L4777&lt;TIME(9,0,0),"Night"
))</f>
        <v/>
      </c>
      <c r="O4777" t="str">
        <f t="shared" si="446"/>
        <v/>
      </c>
    </row>
    <row r="4778" spans="7:15" x14ac:dyDescent="0.25">
      <c r="G4778" t="str">
        <f t="shared" si="444"/>
        <v/>
      </c>
      <c r="H4778" s="13" t="str">
        <f t="shared" si="447"/>
        <v/>
      </c>
      <c r="I4778" t="str">
        <f>IFERROR(INDEX(Analysis!$D$116:$N$137, MATCH(B4778, Analysis!$C$116:$C$137, 0), MATCH(C4778, Analysis!$D$115:$N$115, 0)), "")</f>
        <v/>
      </c>
      <c r="J4778" t="str">
        <f t="shared" si="448"/>
        <v/>
      </c>
      <c r="K4778" s="28" t="str">
        <f t="shared" si="445"/>
        <v/>
      </c>
      <c r="L4778" s="46" t="str">
        <f t="shared" si="449"/>
        <v/>
      </c>
      <c r="M4778" t="str" cm="1">
        <f t="array" ref="M4778">IF(L4778="","",_xlfn.IFS(
  AND(L4778&gt;=TIME(9,0,0), L4778&lt;TIME(16,0,0)),"Morning",
  AND(L4778&gt;=TIME(16,0,0), L4778&lt;TIME(23,59,0)),"Evening",
  L4778&gt;=TIME(23,59,0),"Night",
  L4778&lt;TIME(9,0,0),"Night"
))</f>
        <v/>
      </c>
      <c r="O4778" t="str">
        <f t="shared" si="446"/>
        <v/>
      </c>
    </row>
    <row r="4779" spans="7:15" x14ac:dyDescent="0.25">
      <c r="G4779" t="str">
        <f t="shared" si="444"/>
        <v/>
      </c>
      <c r="H4779" s="13" t="str">
        <f t="shared" si="447"/>
        <v/>
      </c>
      <c r="I4779" t="str">
        <f>IFERROR(INDEX(Analysis!$D$116:$N$137, MATCH(B4779, Analysis!$C$116:$C$137, 0), MATCH(C4779, Analysis!$D$115:$N$115, 0)), "")</f>
        <v/>
      </c>
      <c r="J4779" t="str">
        <f t="shared" si="448"/>
        <v/>
      </c>
      <c r="K4779" s="28" t="str">
        <f t="shared" si="445"/>
        <v/>
      </c>
      <c r="L4779" s="46" t="str">
        <f t="shared" si="449"/>
        <v/>
      </c>
      <c r="M4779" t="str" cm="1">
        <f t="array" ref="M4779">IF(L4779="","",_xlfn.IFS(
  AND(L4779&gt;=TIME(9,0,0), L4779&lt;TIME(16,0,0)),"Morning",
  AND(L4779&gt;=TIME(16,0,0), L4779&lt;TIME(23,59,0)),"Evening",
  L4779&gt;=TIME(23,59,0),"Night",
  L4779&lt;TIME(9,0,0),"Night"
))</f>
        <v/>
      </c>
      <c r="O4779" t="str">
        <f t="shared" si="446"/>
        <v/>
      </c>
    </row>
    <row r="4780" spans="7:15" x14ac:dyDescent="0.25">
      <c r="G4780" t="str">
        <f t="shared" si="444"/>
        <v/>
      </c>
      <c r="H4780" s="13" t="str">
        <f t="shared" si="447"/>
        <v/>
      </c>
      <c r="I4780" t="str">
        <f>IFERROR(INDEX(Analysis!$D$116:$N$137, MATCH(B4780, Analysis!$C$116:$C$137, 0), MATCH(C4780, Analysis!$D$115:$N$115, 0)), "")</f>
        <v/>
      </c>
      <c r="J4780" t="str">
        <f t="shared" si="448"/>
        <v/>
      </c>
      <c r="K4780" s="28" t="str">
        <f t="shared" si="445"/>
        <v/>
      </c>
      <c r="L4780" s="46" t="str">
        <f t="shared" si="449"/>
        <v/>
      </c>
      <c r="M4780" t="str" cm="1">
        <f t="array" ref="M4780">IF(L4780="","",_xlfn.IFS(
  AND(L4780&gt;=TIME(9,0,0), L4780&lt;TIME(16,0,0)),"Morning",
  AND(L4780&gt;=TIME(16,0,0), L4780&lt;TIME(23,59,0)),"Evening",
  L4780&gt;=TIME(23,59,0),"Night",
  L4780&lt;TIME(9,0,0),"Night"
))</f>
        <v/>
      </c>
      <c r="O4780" t="str">
        <f t="shared" si="446"/>
        <v/>
      </c>
    </row>
    <row r="4781" spans="7:15" x14ac:dyDescent="0.25">
      <c r="G4781" t="str">
        <f t="shared" si="444"/>
        <v/>
      </c>
      <c r="H4781" s="13" t="str">
        <f t="shared" si="447"/>
        <v/>
      </c>
      <c r="I4781" t="str">
        <f>IFERROR(INDEX(Analysis!$D$116:$N$137, MATCH(B4781, Analysis!$C$116:$C$137, 0), MATCH(C4781, Analysis!$D$115:$N$115, 0)), "")</f>
        <v/>
      </c>
      <c r="J4781" t="str">
        <f t="shared" si="448"/>
        <v/>
      </c>
      <c r="K4781" s="28" t="str">
        <f t="shared" si="445"/>
        <v/>
      </c>
      <c r="L4781" s="46" t="str">
        <f t="shared" si="449"/>
        <v/>
      </c>
      <c r="M4781" t="str" cm="1">
        <f t="array" ref="M4781">IF(L4781="","",_xlfn.IFS(
  AND(L4781&gt;=TIME(9,0,0), L4781&lt;TIME(16,0,0)),"Morning",
  AND(L4781&gt;=TIME(16,0,0), L4781&lt;TIME(23,59,0)),"Evening",
  L4781&gt;=TIME(23,59,0),"Night",
  L4781&lt;TIME(9,0,0),"Night"
))</f>
        <v/>
      </c>
      <c r="O4781" t="str">
        <f t="shared" si="446"/>
        <v/>
      </c>
    </row>
    <row r="4782" spans="7:15" x14ac:dyDescent="0.25">
      <c r="G4782" t="str">
        <f t="shared" si="444"/>
        <v/>
      </c>
      <c r="H4782" s="13" t="str">
        <f t="shared" si="447"/>
        <v/>
      </c>
      <c r="I4782" t="str">
        <f>IFERROR(INDEX(Analysis!$D$116:$N$137, MATCH(B4782, Analysis!$C$116:$C$137, 0), MATCH(C4782, Analysis!$D$115:$N$115, 0)), "")</f>
        <v/>
      </c>
      <c r="J4782" t="str">
        <f t="shared" si="448"/>
        <v/>
      </c>
      <c r="K4782" s="28" t="str">
        <f t="shared" si="445"/>
        <v/>
      </c>
      <c r="L4782" s="46" t="str">
        <f t="shared" si="449"/>
        <v/>
      </c>
      <c r="M4782" t="str" cm="1">
        <f t="array" ref="M4782">IF(L4782="","",_xlfn.IFS(
  AND(L4782&gt;=TIME(9,0,0), L4782&lt;TIME(16,0,0)),"Morning",
  AND(L4782&gt;=TIME(16,0,0), L4782&lt;TIME(23,59,0)),"Evening",
  L4782&gt;=TIME(23,59,0),"Night",
  L4782&lt;TIME(9,0,0),"Night"
))</f>
        <v/>
      </c>
      <c r="O4782" t="str">
        <f t="shared" si="446"/>
        <v/>
      </c>
    </row>
    <row r="4783" spans="7:15" x14ac:dyDescent="0.25">
      <c r="G4783" t="str">
        <f t="shared" si="444"/>
        <v/>
      </c>
      <c r="H4783" s="13" t="str">
        <f t="shared" si="447"/>
        <v/>
      </c>
      <c r="I4783" t="str">
        <f>IFERROR(INDEX(Analysis!$D$116:$N$137, MATCH(B4783, Analysis!$C$116:$C$137, 0), MATCH(C4783, Analysis!$D$115:$N$115, 0)), "")</f>
        <v/>
      </c>
      <c r="J4783" t="str">
        <f t="shared" si="448"/>
        <v/>
      </c>
      <c r="K4783" s="28" t="str">
        <f t="shared" si="445"/>
        <v/>
      </c>
      <c r="L4783" s="46" t="str">
        <f t="shared" si="449"/>
        <v/>
      </c>
      <c r="M4783" t="str" cm="1">
        <f t="array" ref="M4783">IF(L4783="","",_xlfn.IFS(
  AND(L4783&gt;=TIME(9,0,0), L4783&lt;TIME(16,0,0)),"Morning",
  AND(L4783&gt;=TIME(16,0,0), L4783&lt;TIME(23,59,0)),"Evening",
  L4783&gt;=TIME(23,59,0),"Night",
  L4783&lt;TIME(9,0,0),"Night"
))</f>
        <v/>
      </c>
      <c r="O4783" t="str">
        <f t="shared" si="446"/>
        <v/>
      </c>
    </row>
    <row r="4784" spans="7:15" x14ac:dyDescent="0.25">
      <c r="G4784" t="str">
        <f t="shared" si="444"/>
        <v/>
      </c>
      <c r="H4784" s="13" t="str">
        <f t="shared" si="447"/>
        <v/>
      </c>
      <c r="I4784" t="str">
        <f>IFERROR(INDEX(Analysis!$D$116:$N$137, MATCH(B4784, Analysis!$C$116:$C$137, 0), MATCH(C4784, Analysis!$D$115:$N$115, 0)), "")</f>
        <v/>
      </c>
      <c r="J4784" t="str">
        <f t="shared" si="448"/>
        <v/>
      </c>
      <c r="K4784" s="28" t="str">
        <f t="shared" si="445"/>
        <v/>
      </c>
      <c r="L4784" s="46" t="str">
        <f t="shared" si="449"/>
        <v/>
      </c>
      <c r="M4784" t="str" cm="1">
        <f t="array" ref="M4784">IF(L4784="","",_xlfn.IFS(
  AND(L4784&gt;=TIME(9,0,0), L4784&lt;TIME(16,0,0)),"Morning",
  AND(L4784&gt;=TIME(16,0,0), L4784&lt;TIME(23,59,0)),"Evening",
  L4784&gt;=TIME(23,59,0),"Night",
  L4784&lt;TIME(9,0,0),"Night"
))</f>
        <v/>
      </c>
      <c r="O4784" t="str">
        <f t="shared" si="446"/>
        <v/>
      </c>
    </row>
    <row r="4785" spans="7:15" x14ac:dyDescent="0.25">
      <c r="G4785" t="str">
        <f t="shared" si="444"/>
        <v/>
      </c>
      <c r="H4785" s="13" t="str">
        <f t="shared" si="447"/>
        <v/>
      </c>
      <c r="I4785" t="str">
        <f>IFERROR(INDEX(Analysis!$D$116:$N$137, MATCH(B4785, Analysis!$C$116:$C$137, 0), MATCH(C4785, Analysis!$D$115:$N$115, 0)), "")</f>
        <v/>
      </c>
      <c r="J4785" t="str">
        <f t="shared" si="448"/>
        <v/>
      </c>
      <c r="K4785" s="28" t="str">
        <f t="shared" si="445"/>
        <v/>
      </c>
      <c r="L4785" s="46" t="str">
        <f t="shared" si="449"/>
        <v/>
      </c>
      <c r="M4785" t="str" cm="1">
        <f t="array" ref="M4785">IF(L4785="","",_xlfn.IFS(
  AND(L4785&gt;=TIME(9,0,0), L4785&lt;TIME(16,0,0)),"Morning",
  AND(L4785&gt;=TIME(16,0,0), L4785&lt;TIME(23,59,0)),"Evening",
  L4785&gt;=TIME(23,59,0),"Night",
  L4785&lt;TIME(9,0,0),"Night"
))</f>
        <v/>
      </c>
      <c r="O4785" t="str">
        <f t="shared" si="446"/>
        <v/>
      </c>
    </row>
    <row r="4786" spans="7:15" x14ac:dyDescent="0.25">
      <c r="G4786" t="str">
        <f t="shared" si="444"/>
        <v/>
      </c>
      <c r="H4786" s="13" t="str">
        <f t="shared" si="447"/>
        <v/>
      </c>
      <c r="I4786" t="str">
        <f>IFERROR(INDEX(Analysis!$D$116:$N$137, MATCH(B4786, Analysis!$C$116:$C$137, 0), MATCH(C4786, Analysis!$D$115:$N$115, 0)), "")</f>
        <v/>
      </c>
      <c r="J4786" t="str">
        <f t="shared" si="448"/>
        <v/>
      </c>
      <c r="K4786" s="28" t="str">
        <f t="shared" si="445"/>
        <v/>
      </c>
      <c r="L4786" s="46" t="str">
        <f t="shared" si="449"/>
        <v/>
      </c>
      <c r="M4786" t="str" cm="1">
        <f t="array" ref="M4786">IF(L4786="","",_xlfn.IFS(
  AND(L4786&gt;=TIME(9,0,0), L4786&lt;TIME(16,0,0)),"Morning",
  AND(L4786&gt;=TIME(16,0,0), L4786&lt;TIME(23,59,0)),"Evening",
  L4786&gt;=TIME(23,59,0),"Night",
  L4786&lt;TIME(9,0,0),"Night"
))</f>
        <v/>
      </c>
      <c r="O4786" t="str">
        <f t="shared" si="446"/>
        <v/>
      </c>
    </row>
    <row r="4787" spans="7:15" x14ac:dyDescent="0.25">
      <c r="G4787" t="str">
        <f t="shared" si="444"/>
        <v/>
      </c>
      <c r="H4787" s="13" t="str">
        <f t="shared" si="447"/>
        <v/>
      </c>
      <c r="I4787" t="str">
        <f>IFERROR(INDEX(Analysis!$D$116:$N$137, MATCH(B4787, Analysis!$C$116:$C$137, 0), MATCH(C4787, Analysis!$D$115:$N$115, 0)), "")</f>
        <v/>
      </c>
      <c r="J4787" t="str">
        <f t="shared" si="448"/>
        <v/>
      </c>
      <c r="K4787" s="28" t="str">
        <f t="shared" si="445"/>
        <v/>
      </c>
      <c r="L4787" s="46" t="str">
        <f t="shared" si="449"/>
        <v/>
      </c>
      <c r="M4787" t="str" cm="1">
        <f t="array" ref="M4787">IF(L4787="","",_xlfn.IFS(
  AND(L4787&gt;=TIME(9,0,0), L4787&lt;TIME(16,0,0)),"Morning",
  AND(L4787&gt;=TIME(16,0,0), L4787&lt;TIME(23,59,0)),"Evening",
  L4787&gt;=TIME(23,59,0),"Night",
  L4787&lt;TIME(9,0,0),"Night"
))</f>
        <v/>
      </c>
      <c r="O4787" t="str">
        <f t="shared" si="446"/>
        <v/>
      </c>
    </row>
    <row r="4788" spans="7:15" x14ac:dyDescent="0.25">
      <c r="G4788" t="str">
        <f t="shared" si="444"/>
        <v/>
      </c>
      <c r="H4788" s="13" t="str">
        <f t="shared" si="447"/>
        <v/>
      </c>
      <c r="I4788" t="str">
        <f>IFERROR(INDEX(Analysis!$D$116:$N$137, MATCH(B4788, Analysis!$C$116:$C$137, 0), MATCH(C4788, Analysis!$D$115:$N$115, 0)), "")</f>
        <v/>
      </c>
      <c r="J4788" t="str">
        <f t="shared" si="448"/>
        <v/>
      </c>
      <c r="K4788" s="28" t="str">
        <f t="shared" si="445"/>
        <v/>
      </c>
      <c r="L4788" s="46" t="str">
        <f t="shared" si="449"/>
        <v/>
      </c>
      <c r="M4788" t="str" cm="1">
        <f t="array" ref="M4788">IF(L4788="","",_xlfn.IFS(
  AND(L4788&gt;=TIME(9,0,0), L4788&lt;TIME(16,0,0)),"Morning",
  AND(L4788&gt;=TIME(16,0,0), L4788&lt;TIME(23,59,0)),"Evening",
  L4788&gt;=TIME(23,59,0),"Night",
  L4788&lt;TIME(9,0,0),"Night"
))</f>
        <v/>
      </c>
      <c r="O4788" t="str">
        <f t="shared" si="446"/>
        <v/>
      </c>
    </row>
    <row r="4789" spans="7:15" x14ac:dyDescent="0.25">
      <c r="G4789" t="str">
        <f t="shared" si="444"/>
        <v/>
      </c>
      <c r="H4789" s="13" t="str">
        <f t="shared" si="447"/>
        <v/>
      </c>
      <c r="I4789" t="str">
        <f>IFERROR(INDEX(Analysis!$D$116:$N$137, MATCH(B4789, Analysis!$C$116:$C$137, 0), MATCH(C4789, Analysis!$D$115:$N$115, 0)), "")</f>
        <v/>
      </c>
      <c r="J4789" t="str">
        <f t="shared" si="448"/>
        <v/>
      </c>
      <c r="K4789" s="28" t="str">
        <f t="shared" si="445"/>
        <v/>
      </c>
      <c r="L4789" s="46" t="str">
        <f t="shared" si="449"/>
        <v/>
      </c>
      <c r="M4789" t="str" cm="1">
        <f t="array" ref="M4789">IF(L4789="","",_xlfn.IFS(
  AND(L4789&gt;=TIME(9,0,0), L4789&lt;TIME(16,0,0)),"Morning",
  AND(L4789&gt;=TIME(16,0,0), L4789&lt;TIME(23,59,0)),"Evening",
  L4789&gt;=TIME(23,59,0),"Night",
  L4789&lt;TIME(9,0,0),"Night"
))</f>
        <v/>
      </c>
      <c r="O4789" t="str">
        <f t="shared" si="446"/>
        <v/>
      </c>
    </row>
    <row r="4790" spans="7:15" x14ac:dyDescent="0.25">
      <c r="G4790" t="str">
        <f t="shared" si="444"/>
        <v/>
      </c>
      <c r="H4790" s="13" t="str">
        <f t="shared" si="447"/>
        <v/>
      </c>
      <c r="I4790" t="str">
        <f>IFERROR(INDEX(Analysis!$D$116:$N$137, MATCH(B4790, Analysis!$C$116:$C$137, 0), MATCH(C4790, Analysis!$D$115:$N$115, 0)), "")</f>
        <v/>
      </c>
      <c r="J4790" t="str">
        <f t="shared" si="448"/>
        <v/>
      </c>
      <c r="K4790" s="28" t="str">
        <f t="shared" si="445"/>
        <v/>
      </c>
      <c r="L4790" s="46" t="str">
        <f t="shared" si="449"/>
        <v/>
      </c>
      <c r="M4790" t="str" cm="1">
        <f t="array" ref="M4790">IF(L4790="","",_xlfn.IFS(
  AND(L4790&gt;=TIME(9,0,0), L4790&lt;TIME(16,0,0)),"Morning",
  AND(L4790&gt;=TIME(16,0,0), L4790&lt;TIME(23,59,0)),"Evening",
  L4790&gt;=TIME(23,59,0),"Night",
  L4790&lt;TIME(9,0,0),"Night"
))</f>
        <v/>
      </c>
      <c r="O4790" t="str">
        <f t="shared" si="446"/>
        <v/>
      </c>
    </row>
    <row r="4791" spans="7:15" x14ac:dyDescent="0.25">
      <c r="G4791" t="str">
        <f t="shared" si="444"/>
        <v/>
      </c>
      <c r="H4791" s="13" t="str">
        <f t="shared" si="447"/>
        <v/>
      </c>
      <c r="I4791" t="str">
        <f>IFERROR(INDEX(Analysis!$D$116:$N$137, MATCH(B4791, Analysis!$C$116:$C$137, 0), MATCH(C4791, Analysis!$D$115:$N$115, 0)), "")</f>
        <v/>
      </c>
      <c r="J4791" t="str">
        <f t="shared" si="448"/>
        <v/>
      </c>
      <c r="K4791" s="28" t="str">
        <f t="shared" si="445"/>
        <v/>
      </c>
      <c r="L4791" s="46" t="str">
        <f t="shared" si="449"/>
        <v/>
      </c>
      <c r="M4791" t="str" cm="1">
        <f t="array" ref="M4791">IF(L4791="","",_xlfn.IFS(
  AND(L4791&gt;=TIME(9,0,0), L4791&lt;TIME(16,0,0)),"Morning",
  AND(L4791&gt;=TIME(16,0,0), L4791&lt;TIME(23,59,0)),"Evening",
  L4791&gt;=TIME(23,59,0),"Night",
  L4791&lt;TIME(9,0,0),"Night"
))</f>
        <v/>
      </c>
      <c r="O4791" t="str">
        <f t="shared" si="446"/>
        <v/>
      </c>
    </row>
    <row r="4792" spans="7:15" x14ac:dyDescent="0.25">
      <c r="G4792" t="str">
        <f t="shared" si="444"/>
        <v/>
      </c>
      <c r="H4792" s="13" t="str">
        <f t="shared" si="447"/>
        <v/>
      </c>
      <c r="I4792" t="str">
        <f>IFERROR(INDEX(Analysis!$D$116:$N$137, MATCH(B4792, Analysis!$C$116:$C$137, 0), MATCH(C4792, Analysis!$D$115:$N$115, 0)), "")</f>
        <v/>
      </c>
      <c r="J4792" t="str">
        <f t="shared" si="448"/>
        <v/>
      </c>
      <c r="K4792" s="28" t="str">
        <f t="shared" si="445"/>
        <v/>
      </c>
      <c r="L4792" s="46" t="str">
        <f t="shared" si="449"/>
        <v/>
      </c>
      <c r="M4792" t="str" cm="1">
        <f t="array" ref="M4792">IF(L4792="","",_xlfn.IFS(
  AND(L4792&gt;=TIME(9,0,0), L4792&lt;TIME(16,0,0)),"Morning",
  AND(L4792&gt;=TIME(16,0,0), L4792&lt;TIME(23,59,0)),"Evening",
  L4792&gt;=TIME(23,59,0),"Night",
  L4792&lt;TIME(9,0,0),"Night"
))</f>
        <v/>
      </c>
      <c r="O4792" t="str">
        <f t="shared" si="446"/>
        <v/>
      </c>
    </row>
    <row r="4793" spans="7:15" x14ac:dyDescent="0.25">
      <c r="G4793" t="str">
        <f t="shared" si="444"/>
        <v/>
      </c>
      <c r="H4793" s="13" t="str">
        <f t="shared" si="447"/>
        <v/>
      </c>
      <c r="I4793" t="str">
        <f>IFERROR(INDEX(Analysis!$D$116:$N$137, MATCH(B4793, Analysis!$C$116:$C$137, 0), MATCH(C4793, Analysis!$D$115:$N$115, 0)), "")</f>
        <v/>
      </c>
      <c r="J4793" t="str">
        <f t="shared" si="448"/>
        <v/>
      </c>
      <c r="K4793" s="28" t="str">
        <f t="shared" si="445"/>
        <v/>
      </c>
      <c r="L4793" s="46" t="str">
        <f t="shared" si="449"/>
        <v/>
      </c>
      <c r="M4793" t="str" cm="1">
        <f t="array" ref="M4793">IF(L4793="","",_xlfn.IFS(
  AND(L4793&gt;=TIME(9,0,0), L4793&lt;TIME(16,0,0)),"Morning",
  AND(L4793&gt;=TIME(16,0,0), L4793&lt;TIME(23,59,0)),"Evening",
  L4793&gt;=TIME(23,59,0),"Night",
  L4793&lt;TIME(9,0,0),"Night"
))</f>
        <v/>
      </c>
      <c r="O4793" t="str">
        <f t="shared" si="446"/>
        <v/>
      </c>
    </row>
    <row r="4794" spans="7:15" x14ac:dyDescent="0.25">
      <c r="G4794" t="str">
        <f t="shared" si="444"/>
        <v/>
      </c>
      <c r="H4794" s="13" t="str">
        <f t="shared" si="447"/>
        <v/>
      </c>
      <c r="I4794" t="str">
        <f>IFERROR(INDEX(Analysis!$D$116:$N$137, MATCH(B4794, Analysis!$C$116:$C$137, 0), MATCH(C4794, Analysis!$D$115:$N$115, 0)), "")</f>
        <v/>
      </c>
      <c r="J4794" t="str">
        <f t="shared" si="448"/>
        <v/>
      </c>
      <c r="K4794" s="28" t="str">
        <f t="shared" si="445"/>
        <v/>
      </c>
      <c r="L4794" s="46" t="str">
        <f t="shared" si="449"/>
        <v/>
      </c>
      <c r="M4794" t="str" cm="1">
        <f t="array" ref="M4794">IF(L4794="","",_xlfn.IFS(
  AND(L4794&gt;=TIME(9,0,0), L4794&lt;TIME(16,0,0)),"Morning",
  AND(L4794&gt;=TIME(16,0,0), L4794&lt;TIME(23,59,0)),"Evening",
  L4794&gt;=TIME(23,59,0),"Night",
  L4794&lt;TIME(9,0,0),"Night"
))</f>
        <v/>
      </c>
      <c r="O4794" t="str">
        <f t="shared" si="446"/>
        <v/>
      </c>
    </row>
    <row r="4795" spans="7:15" x14ac:dyDescent="0.25">
      <c r="G4795" t="str">
        <f t="shared" si="444"/>
        <v/>
      </c>
      <c r="H4795" s="13" t="str">
        <f t="shared" si="447"/>
        <v/>
      </c>
      <c r="I4795" t="str">
        <f>IFERROR(INDEX(Analysis!$D$116:$N$137, MATCH(B4795, Analysis!$C$116:$C$137, 0), MATCH(C4795, Analysis!$D$115:$N$115, 0)), "")</f>
        <v/>
      </c>
      <c r="J4795" t="str">
        <f t="shared" si="448"/>
        <v/>
      </c>
      <c r="K4795" s="28" t="str">
        <f t="shared" si="445"/>
        <v/>
      </c>
      <c r="L4795" s="46" t="str">
        <f t="shared" si="449"/>
        <v/>
      </c>
      <c r="M4795" t="str" cm="1">
        <f t="array" ref="M4795">IF(L4795="","",_xlfn.IFS(
  AND(L4795&gt;=TIME(9,0,0), L4795&lt;TIME(16,0,0)),"Morning",
  AND(L4795&gt;=TIME(16,0,0), L4795&lt;TIME(23,59,0)),"Evening",
  L4795&gt;=TIME(23,59,0),"Night",
  L4795&lt;TIME(9,0,0),"Night"
))</f>
        <v/>
      </c>
      <c r="O4795" t="str">
        <f t="shared" si="446"/>
        <v/>
      </c>
    </row>
    <row r="4796" spans="7:15" x14ac:dyDescent="0.25">
      <c r="G4796" t="str">
        <f t="shared" si="444"/>
        <v/>
      </c>
      <c r="H4796" s="13" t="str">
        <f t="shared" si="447"/>
        <v/>
      </c>
      <c r="I4796" t="str">
        <f>IFERROR(INDEX(Analysis!$D$116:$N$137, MATCH(B4796, Analysis!$C$116:$C$137, 0), MATCH(C4796, Analysis!$D$115:$N$115, 0)), "")</f>
        <v/>
      </c>
      <c r="J4796" t="str">
        <f t="shared" si="448"/>
        <v/>
      </c>
      <c r="K4796" s="28" t="str">
        <f t="shared" si="445"/>
        <v/>
      </c>
      <c r="L4796" s="46" t="str">
        <f t="shared" si="449"/>
        <v/>
      </c>
      <c r="M4796" t="str" cm="1">
        <f t="array" ref="M4796">IF(L4796="","",_xlfn.IFS(
  AND(L4796&gt;=TIME(9,0,0), L4796&lt;TIME(16,0,0)),"Morning",
  AND(L4796&gt;=TIME(16,0,0), L4796&lt;TIME(23,59,0)),"Evening",
  L4796&gt;=TIME(23,59,0),"Night",
  L4796&lt;TIME(9,0,0),"Night"
))</f>
        <v/>
      </c>
      <c r="O4796" t="str">
        <f t="shared" si="446"/>
        <v/>
      </c>
    </row>
    <row r="4797" spans="7:15" x14ac:dyDescent="0.25">
      <c r="G4797" t="str">
        <f t="shared" si="444"/>
        <v/>
      </c>
      <c r="H4797" s="13" t="str">
        <f t="shared" si="447"/>
        <v/>
      </c>
      <c r="I4797" t="str">
        <f>IFERROR(INDEX(Analysis!$D$116:$N$137, MATCH(B4797, Analysis!$C$116:$C$137, 0), MATCH(C4797, Analysis!$D$115:$N$115, 0)), "")</f>
        <v/>
      </c>
      <c r="J4797" t="str">
        <f t="shared" si="448"/>
        <v/>
      </c>
      <c r="K4797" s="28" t="str">
        <f t="shared" si="445"/>
        <v/>
      </c>
      <c r="L4797" s="46" t="str">
        <f t="shared" si="449"/>
        <v/>
      </c>
      <c r="M4797" t="str" cm="1">
        <f t="array" ref="M4797">IF(L4797="","",_xlfn.IFS(
  AND(L4797&gt;=TIME(9,0,0), L4797&lt;TIME(16,0,0)),"Morning",
  AND(L4797&gt;=TIME(16,0,0), L4797&lt;TIME(23,59,0)),"Evening",
  L4797&gt;=TIME(23,59,0),"Night",
  L4797&lt;TIME(9,0,0),"Night"
))</f>
        <v/>
      </c>
      <c r="O4797" t="str">
        <f t="shared" si="446"/>
        <v/>
      </c>
    </row>
    <row r="4798" spans="7:15" x14ac:dyDescent="0.25">
      <c r="G4798" t="str">
        <f t="shared" si="444"/>
        <v/>
      </c>
      <c r="H4798" s="13" t="str">
        <f t="shared" si="447"/>
        <v/>
      </c>
      <c r="I4798" t="str">
        <f>IFERROR(INDEX(Analysis!$D$116:$N$137, MATCH(B4798, Analysis!$C$116:$C$137, 0), MATCH(C4798, Analysis!$D$115:$N$115, 0)), "")</f>
        <v/>
      </c>
      <c r="J4798" t="str">
        <f t="shared" si="448"/>
        <v/>
      </c>
      <c r="K4798" s="28" t="str">
        <f t="shared" si="445"/>
        <v/>
      </c>
      <c r="L4798" s="46" t="str">
        <f t="shared" si="449"/>
        <v/>
      </c>
      <c r="M4798" t="str" cm="1">
        <f t="array" ref="M4798">IF(L4798="","",_xlfn.IFS(
  AND(L4798&gt;=TIME(9,0,0), L4798&lt;TIME(16,0,0)),"Morning",
  AND(L4798&gt;=TIME(16,0,0), L4798&lt;TIME(23,59,0)),"Evening",
  L4798&gt;=TIME(23,59,0),"Night",
  L4798&lt;TIME(9,0,0),"Night"
))</f>
        <v/>
      </c>
      <c r="O4798" t="str">
        <f t="shared" si="446"/>
        <v/>
      </c>
    </row>
    <row r="4799" spans="7:15" x14ac:dyDescent="0.25">
      <c r="G4799" t="str">
        <f t="shared" si="444"/>
        <v/>
      </c>
      <c r="H4799" s="13" t="str">
        <f t="shared" si="447"/>
        <v/>
      </c>
      <c r="I4799" t="str">
        <f>IFERROR(INDEX(Analysis!$D$116:$N$137, MATCH(B4799, Analysis!$C$116:$C$137, 0), MATCH(C4799, Analysis!$D$115:$N$115, 0)), "")</f>
        <v/>
      </c>
      <c r="J4799" t="str">
        <f t="shared" si="448"/>
        <v/>
      </c>
      <c r="K4799" s="28" t="str">
        <f t="shared" si="445"/>
        <v/>
      </c>
      <c r="L4799" s="46" t="str">
        <f t="shared" si="449"/>
        <v/>
      </c>
      <c r="M4799" t="str" cm="1">
        <f t="array" ref="M4799">IF(L4799="","",_xlfn.IFS(
  AND(L4799&gt;=TIME(9,0,0), L4799&lt;TIME(16,0,0)),"Morning",
  AND(L4799&gt;=TIME(16,0,0), L4799&lt;TIME(23,59,0)),"Evening",
  L4799&gt;=TIME(23,59,0),"Night",
  L4799&lt;TIME(9,0,0),"Night"
))</f>
        <v/>
      </c>
      <c r="O4799" t="str">
        <f t="shared" si="446"/>
        <v/>
      </c>
    </row>
    <row r="4800" spans="7:15" x14ac:dyDescent="0.25">
      <c r="G4800" t="str">
        <f t="shared" si="444"/>
        <v/>
      </c>
      <c r="H4800" s="13" t="str">
        <f t="shared" si="447"/>
        <v/>
      </c>
      <c r="I4800" t="str">
        <f>IFERROR(INDEX(Analysis!$D$116:$N$137, MATCH(B4800, Analysis!$C$116:$C$137, 0), MATCH(C4800, Analysis!$D$115:$N$115, 0)), "")</f>
        <v/>
      </c>
      <c r="J4800" t="str">
        <f t="shared" si="448"/>
        <v/>
      </c>
      <c r="K4800" s="28" t="str">
        <f t="shared" si="445"/>
        <v/>
      </c>
      <c r="L4800" s="46" t="str">
        <f t="shared" si="449"/>
        <v/>
      </c>
      <c r="M4800" t="str" cm="1">
        <f t="array" ref="M4800">IF(L4800="","",_xlfn.IFS(
  AND(L4800&gt;=TIME(9,0,0), L4800&lt;TIME(16,0,0)),"Morning",
  AND(L4800&gt;=TIME(16,0,0), L4800&lt;TIME(23,59,0)),"Evening",
  L4800&gt;=TIME(23,59,0),"Night",
  L4800&lt;TIME(9,0,0),"Night"
))</f>
        <v/>
      </c>
      <c r="O4800" t="str">
        <f t="shared" si="446"/>
        <v/>
      </c>
    </row>
    <row r="4801" spans="7:15" x14ac:dyDescent="0.25">
      <c r="G4801" t="str">
        <f t="shared" si="444"/>
        <v/>
      </c>
      <c r="H4801" s="13" t="str">
        <f t="shared" si="447"/>
        <v/>
      </c>
      <c r="I4801" t="str">
        <f>IFERROR(INDEX(Analysis!$D$116:$N$137, MATCH(B4801, Analysis!$C$116:$C$137, 0), MATCH(C4801, Analysis!$D$115:$N$115, 0)), "")</f>
        <v/>
      </c>
      <c r="J4801" t="str">
        <f t="shared" si="448"/>
        <v/>
      </c>
      <c r="K4801" s="28" t="str">
        <f t="shared" si="445"/>
        <v/>
      </c>
      <c r="L4801" s="46" t="str">
        <f t="shared" si="449"/>
        <v/>
      </c>
      <c r="M4801" t="str" cm="1">
        <f t="array" ref="M4801">IF(L4801="","",_xlfn.IFS(
  AND(L4801&gt;=TIME(9,0,0), L4801&lt;TIME(16,0,0)),"Morning",
  AND(L4801&gt;=TIME(16,0,0), L4801&lt;TIME(23,59,0)),"Evening",
  L4801&gt;=TIME(23,59,0),"Night",
  L4801&lt;TIME(9,0,0),"Night"
))</f>
        <v/>
      </c>
      <c r="O4801" t="str">
        <f t="shared" si="446"/>
        <v/>
      </c>
    </row>
    <row r="4802" spans="7:15" x14ac:dyDescent="0.25">
      <c r="G4802" t="str">
        <f t="shared" ref="G4802:G4865" si="450">IF(ISBLANK(A4802), "", IF(ISBLANK(F4802), 0, F4802))</f>
        <v/>
      </c>
      <c r="H4802" s="13" t="str">
        <f t="shared" si="447"/>
        <v/>
      </c>
      <c r="I4802" t="str">
        <f>IFERROR(INDEX(Analysis!$D$116:$N$137, MATCH(B4802, Analysis!$C$116:$C$137, 0), MATCH(C4802, Analysis!$D$115:$N$115, 0)), "")</f>
        <v/>
      </c>
      <c r="J4802" t="str">
        <f t="shared" si="448"/>
        <v/>
      </c>
      <c r="K4802" s="28" t="str">
        <f t="shared" ref="K4802:K4865" si="451">IF(ISBLANK(A4802),"",DATE(YEAR(A4802),MONTH(A4802),DAY(A4802)))</f>
        <v/>
      </c>
      <c r="L4802" s="46" t="str">
        <f t="shared" si="449"/>
        <v/>
      </c>
      <c r="M4802" t="str" cm="1">
        <f t="array" ref="M4802">IF(L4802="","",_xlfn.IFS(
  AND(L4802&gt;=TIME(9,0,0), L4802&lt;TIME(16,0,0)),"Morning",
  AND(L4802&gt;=TIME(16,0,0), L4802&lt;TIME(23,59,0)),"Evening",
  L4802&gt;=TIME(23,59,0),"Night",
  L4802&lt;TIME(9,0,0),"Night"
))</f>
        <v/>
      </c>
      <c r="O4802" t="str">
        <f t="shared" ref="O4802:O4865" si="452">IF(N4802="ON", _xlfn.IMAGE(E4802, 1), "")</f>
        <v/>
      </c>
    </row>
    <row r="4803" spans="7:15" x14ac:dyDescent="0.25">
      <c r="G4803" t="str">
        <f t="shared" si="450"/>
        <v/>
      </c>
      <c r="H4803" s="13" t="str">
        <f t="shared" ref="H4803:H4866" si="453">IF(ISBLANK(E4803),"",HYPERLINK(E4803,"Click here"))</f>
        <v/>
      </c>
      <c r="I4803" t="str">
        <f>IFERROR(INDEX(Analysis!$D$116:$N$137, MATCH(B4803, Analysis!$C$116:$C$137, 0), MATCH(C4803, Analysis!$D$115:$N$115, 0)), "")</f>
        <v/>
      </c>
      <c r="J4803" t="str">
        <f t="shared" ref="J4803:J4866" si="454">IF(ISBLANK(A4803),"",WEEKNUM(A4803))</f>
        <v/>
      </c>
      <c r="K4803" s="28" t="str">
        <f t="shared" si="451"/>
        <v/>
      </c>
      <c r="L4803" s="46" t="str">
        <f t="shared" ref="L4803:L4866" si="455">IF(A4803="", "", A4803 - INT(A4803))</f>
        <v/>
      </c>
      <c r="M4803" t="str" cm="1">
        <f t="array" ref="M4803">IF(L4803="","",_xlfn.IFS(
  AND(L4803&gt;=TIME(9,0,0), L4803&lt;TIME(16,0,0)),"Morning",
  AND(L4803&gt;=TIME(16,0,0), L4803&lt;TIME(23,59,0)),"Evening",
  L4803&gt;=TIME(23,59,0),"Night",
  L4803&lt;TIME(9,0,0),"Night"
))</f>
        <v/>
      </c>
      <c r="O4803" t="str">
        <f t="shared" si="452"/>
        <v/>
      </c>
    </row>
    <row r="4804" spans="7:15" x14ac:dyDescent="0.25">
      <c r="G4804" t="str">
        <f t="shared" si="450"/>
        <v/>
      </c>
      <c r="H4804" s="13" t="str">
        <f t="shared" si="453"/>
        <v/>
      </c>
      <c r="I4804" t="str">
        <f>IFERROR(INDEX(Analysis!$D$116:$N$137, MATCH(B4804, Analysis!$C$116:$C$137, 0), MATCH(C4804, Analysis!$D$115:$N$115, 0)), "")</f>
        <v/>
      </c>
      <c r="J4804" t="str">
        <f t="shared" si="454"/>
        <v/>
      </c>
      <c r="K4804" s="28" t="str">
        <f t="shared" si="451"/>
        <v/>
      </c>
      <c r="L4804" s="46" t="str">
        <f t="shared" si="455"/>
        <v/>
      </c>
      <c r="M4804" t="str" cm="1">
        <f t="array" ref="M4804">IF(L4804="","",_xlfn.IFS(
  AND(L4804&gt;=TIME(9,0,0), L4804&lt;TIME(16,0,0)),"Morning",
  AND(L4804&gt;=TIME(16,0,0), L4804&lt;TIME(23,59,0)),"Evening",
  L4804&gt;=TIME(23,59,0),"Night",
  L4804&lt;TIME(9,0,0),"Night"
))</f>
        <v/>
      </c>
      <c r="O4804" t="str">
        <f t="shared" si="452"/>
        <v/>
      </c>
    </row>
    <row r="4805" spans="7:15" x14ac:dyDescent="0.25">
      <c r="G4805" t="str">
        <f t="shared" si="450"/>
        <v/>
      </c>
      <c r="H4805" s="13" t="str">
        <f t="shared" si="453"/>
        <v/>
      </c>
      <c r="I4805" t="str">
        <f>IFERROR(INDEX(Analysis!$D$116:$N$137, MATCH(B4805, Analysis!$C$116:$C$137, 0), MATCH(C4805, Analysis!$D$115:$N$115, 0)), "")</f>
        <v/>
      </c>
      <c r="J4805" t="str">
        <f t="shared" si="454"/>
        <v/>
      </c>
      <c r="K4805" s="28" t="str">
        <f t="shared" si="451"/>
        <v/>
      </c>
      <c r="L4805" s="46" t="str">
        <f t="shared" si="455"/>
        <v/>
      </c>
      <c r="M4805" t="str" cm="1">
        <f t="array" ref="M4805">IF(L4805="","",_xlfn.IFS(
  AND(L4805&gt;=TIME(9,0,0), L4805&lt;TIME(16,0,0)),"Morning",
  AND(L4805&gt;=TIME(16,0,0), L4805&lt;TIME(23,59,0)),"Evening",
  L4805&gt;=TIME(23,59,0),"Night",
  L4805&lt;TIME(9,0,0),"Night"
))</f>
        <v/>
      </c>
      <c r="O4805" t="str">
        <f t="shared" si="452"/>
        <v/>
      </c>
    </row>
    <row r="4806" spans="7:15" x14ac:dyDescent="0.25">
      <c r="G4806" t="str">
        <f t="shared" si="450"/>
        <v/>
      </c>
      <c r="H4806" s="13" t="str">
        <f t="shared" si="453"/>
        <v/>
      </c>
      <c r="I4806" t="str">
        <f>IFERROR(INDEX(Analysis!$D$116:$N$137, MATCH(B4806, Analysis!$C$116:$C$137, 0), MATCH(C4806, Analysis!$D$115:$N$115, 0)), "")</f>
        <v/>
      </c>
      <c r="J4806" t="str">
        <f t="shared" si="454"/>
        <v/>
      </c>
      <c r="K4806" s="28" t="str">
        <f t="shared" si="451"/>
        <v/>
      </c>
      <c r="L4806" s="46" t="str">
        <f t="shared" si="455"/>
        <v/>
      </c>
      <c r="M4806" t="str" cm="1">
        <f t="array" ref="M4806">IF(L4806="","",_xlfn.IFS(
  AND(L4806&gt;=TIME(9,0,0), L4806&lt;TIME(16,0,0)),"Morning",
  AND(L4806&gt;=TIME(16,0,0), L4806&lt;TIME(23,59,0)),"Evening",
  L4806&gt;=TIME(23,59,0),"Night",
  L4806&lt;TIME(9,0,0),"Night"
))</f>
        <v/>
      </c>
      <c r="O4806" t="str">
        <f t="shared" si="452"/>
        <v/>
      </c>
    </row>
    <row r="4807" spans="7:15" x14ac:dyDescent="0.25">
      <c r="G4807" t="str">
        <f t="shared" si="450"/>
        <v/>
      </c>
      <c r="H4807" s="13" t="str">
        <f t="shared" si="453"/>
        <v/>
      </c>
      <c r="I4807" t="str">
        <f>IFERROR(INDEX(Analysis!$D$116:$N$137, MATCH(B4807, Analysis!$C$116:$C$137, 0), MATCH(C4807, Analysis!$D$115:$N$115, 0)), "")</f>
        <v/>
      </c>
      <c r="J4807" t="str">
        <f t="shared" si="454"/>
        <v/>
      </c>
      <c r="K4807" s="28" t="str">
        <f t="shared" si="451"/>
        <v/>
      </c>
      <c r="L4807" s="46" t="str">
        <f t="shared" si="455"/>
        <v/>
      </c>
      <c r="M4807" t="str" cm="1">
        <f t="array" ref="M4807">IF(L4807="","",_xlfn.IFS(
  AND(L4807&gt;=TIME(9,0,0), L4807&lt;TIME(16,0,0)),"Morning",
  AND(L4807&gt;=TIME(16,0,0), L4807&lt;TIME(23,59,0)),"Evening",
  L4807&gt;=TIME(23,59,0),"Night",
  L4807&lt;TIME(9,0,0),"Night"
))</f>
        <v/>
      </c>
      <c r="O4807" t="str">
        <f t="shared" si="452"/>
        <v/>
      </c>
    </row>
    <row r="4808" spans="7:15" x14ac:dyDescent="0.25">
      <c r="G4808" t="str">
        <f t="shared" si="450"/>
        <v/>
      </c>
      <c r="H4808" s="13" t="str">
        <f t="shared" si="453"/>
        <v/>
      </c>
      <c r="I4808" t="str">
        <f>IFERROR(INDEX(Analysis!$D$116:$N$137, MATCH(B4808, Analysis!$C$116:$C$137, 0), MATCH(C4808, Analysis!$D$115:$N$115, 0)), "")</f>
        <v/>
      </c>
      <c r="J4808" t="str">
        <f t="shared" si="454"/>
        <v/>
      </c>
      <c r="K4808" s="28" t="str">
        <f t="shared" si="451"/>
        <v/>
      </c>
      <c r="L4808" s="46" t="str">
        <f t="shared" si="455"/>
        <v/>
      </c>
      <c r="M4808" t="str" cm="1">
        <f t="array" ref="M4808">IF(L4808="","",_xlfn.IFS(
  AND(L4808&gt;=TIME(9,0,0), L4808&lt;TIME(16,0,0)),"Morning",
  AND(L4808&gt;=TIME(16,0,0), L4808&lt;TIME(23,59,0)),"Evening",
  L4808&gt;=TIME(23,59,0),"Night",
  L4808&lt;TIME(9,0,0),"Night"
))</f>
        <v/>
      </c>
      <c r="O4808" t="str">
        <f t="shared" si="452"/>
        <v/>
      </c>
    </row>
    <row r="4809" spans="7:15" x14ac:dyDescent="0.25">
      <c r="G4809" t="str">
        <f t="shared" si="450"/>
        <v/>
      </c>
      <c r="H4809" s="13" t="str">
        <f t="shared" si="453"/>
        <v/>
      </c>
      <c r="I4809" t="str">
        <f>IFERROR(INDEX(Analysis!$D$116:$N$137, MATCH(B4809, Analysis!$C$116:$C$137, 0), MATCH(C4809, Analysis!$D$115:$N$115, 0)), "")</f>
        <v/>
      </c>
      <c r="J4809" t="str">
        <f t="shared" si="454"/>
        <v/>
      </c>
      <c r="K4809" s="28" t="str">
        <f t="shared" si="451"/>
        <v/>
      </c>
      <c r="L4809" s="46" t="str">
        <f t="shared" si="455"/>
        <v/>
      </c>
      <c r="M4809" t="str" cm="1">
        <f t="array" ref="M4809">IF(L4809="","",_xlfn.IFS(
  AND(L4809&gt;=TIME(9,0,0), L4809&lt;TIME(16,0,0)),"Morning",
  AND(L4809&gt;=TIME(16,0,0), L4809&lt;TIME(23,59,0)),"Evening",
  L4809&gt;=TIME(23,59,0),"Night",
  L4809&lt;TIME(9,0,0),"Night"
))</f>
        <v/>
      </c>
      <c r="O4809" t="str">
        <f t="shared" si="452"/>
        <v/>
      </c>
    </row>
    <row r="4810" spans="7:15" x14ac:dyDescent="0.25">
      <c r="G4810" t="str">
        <f t="shared" si="450"/>
        <v/>
      </c>
      <c r="H4810" s="13" t="str">
        <f t="shared" si="453"/>
        <v/>
      </c>
      <c r="I4810" t="str">
        <f>IFERROR(INDEX(Analysis!$D$116:$N$137, MATCH(B4810, Analysis!$C$116:$C$137, 0), MATCH(C4810, Analysis!$D$115:$N$115, 0)), "")</f>
        <v/>
      </c>
      <c r="J4810" t="str">
        <f t="shared" si="454"/>
        <v/>
      </c>
      <c r="K4810" s="28" t="str">
        <f t="shared" si="451"/>
        <v/>
      </c>
      <c r="L4810" s="46" t="str">
        <f t="shared" si="455"/>
        <v/>
      </c>
      <c r="M4810" t="str" cm="1">
        <f t="array" ref="M4810">IF(L4810="","",_xlfn.IFS(
  AND(L4810&gt;=TIME(9,0,0), L4810&lt;TIME(16,0,0)),"Morning",
  AND(L4810&gt;=TIME(16,0,0), L4810&lt;TIME(23,59,0)),"Evening",
  L4810&gt;=TIME(23,59,0),"Night",
  L4810&lt;TIME(9,0,0),"Night"
))</f>
        <v/>
      </c>
      <c r="O4810" t="str">
        <f t="shared" si="452"/>
        <v/>
      </c>
    </row>
    <row r="4811" spans="7:15" x14ac:dyDescent="0.25">
      <c r="G4811" t="str">
        <f t="shared" si="450"/>
        <v/>
      </c>
      <c r="H4811" s="13" t="str">
        <f t="shared" si="453"/>
        <v/>
      </c>
      <c r="I4811" t="str">
        <f>IFERROR(INDEX(Analysis!$D$116:$N$137, MATCH(B4811, Analysis!$C$116:$C$137, 0), MATCH(C4811, Analysis!$D$115:$N$115, 0)), "")</f>
        <v/>
      </c>
      <c r="J4811" t="str">
        <f t="shared" si="454"/>
        <v/>
      </c>
      <c r="K4811" s="28" t="str">
        <f t="shared" si="451"/>
        <v/>
      </c>
      <c r="L4811" s="46" t="str">
        <f t="shared" si="455"/>
        <v/>
      </c>
      <c r="M4811" t="str" cm="1">
        <f t="array" ref="M4811">IF(L4811="","",_xlfn.IFS(
  AND(L4811&gt;=TIME(9,0,0), L4811&lt;TIME(16,0,0)),"Morning",
  AND(L4811&gt;=TIME(16,0,0), L4811&lt;TIME(23,59,0)),"Evening",
  L4811&gt;=TIME(23,59,0),"Night",
  L4811&lt;TIME(9,0,0),"Night"
))</f>
        <v/>
      </c>
      <c r="O4811" t="str">
        <f t="shared" si="452"/>
        <v/>
      </c>
    </row>
    <row r="4812" spans="7:15" x14ac:dyDescent="0.25">
      <c r="G4812" t="str">
        <f t="shared" si="450"/>
        <v/>
      </c>
      <c r="H4812" s="13" t="str">
        <f t="shared" si="453"/>
        <v/>
      </c>
      <c r="I4812" t="str">
        <f>IFERROR(INDEX(Analysis!$D$116:$N$137, MATCH(B4812, Analysis!$C$116:$C$137, 0), MATCH(C4812, Analysis!$D$115:$N$115, 0)), "")</f>
        <v/>
      </c>
      <c r="J4812" t="str">
        <f t="shared" si="454"/>
        <v/>
      </c>
      <c r="K4812" s="28" t="str">
        <f t="shared" si="451"/>
        <v/>
      </c>
      <c r="L4812" s="46" t="str">
        <f t="shared" si="455"/>
        <v/>
      </c>
      <c r="M4812" t="str" cm="1">
        <f t="array" ref="M4812">IF(L4812="","",_xlfn.IFS(
  AND(L4812&gt;=TIME(9,0,0), L4812&lt;TIME(16,0,0)),"Morning",
  AND(L4812&gt;=TIME(16,0,0), L4812&lt;TIME(23,59,0)),"Evening",
  L4812&gt;=TIME(23,59,0),"Night",
  L4812&lt;TIME(9,0,0),"Night"
))</f>
        <v/>
      </c>
      <c r="O4812" t="str">
        <f t="shared" si="452"/>
        <v/>
      </c>
    </row>
    <row r="4813" spans="7:15" x14ac:dyDescent="0.25">
      <c r="G4813" t="str">
        <f t="shared" si="450"/>
        <v/>
      </c>
      <c r="H4813" s="13" t="str">
        <f t="shared" si="453"/>
        <v/>
      </c>
      <c r="I4813" t="str">
        <f>IFERROR(INDEX(Analysis!$D$116:$N$137, MATCH(B4813, Analysis!$C$116:$C$137, 0), MATCH(C4813, Analysis!$D$115:$N$115, 0)), "")</f>
        <v/>
      </c>
      <c r="J4813" t="str">
        <f t="shared" si="454"/>
        <v/>
      </c>
      <c r="K4813" s="28" t="str">
        <f t="shared" si="451"/>
        <v/>
      </c>
      <c r="L4813" s="46" t="str">
        <f t="shared" si="455"/>
        <v/>
      </c>
      <c r="M4813" t="str" cm="1">
        <f t="array" ref="M4813">IF(L4813="","",_xlfn.IFS(
  AND(L4813&gt;=TIME(9,0,0), L4813&lt;TIME(16,0,0)),"Morning",
  AND(L4813&gt;=TIME(16,0,0), L4813&lt;TIME(23,59,0)),"Evening",
  L4813&gt;=TIME(23,59,0),"Night",
  L4813&lt;TIME(9,0,0),"Night"
))</f>
        <v/>
      </c>
      <c r="O4813" t="str">
        <f t="shared" si="452"/>
        <v/>
      </c>
    </row>
    <row r="4814" spans="7:15" x14ac:dyDescent="0.25">
      <c r="G4814" t="str">
        <f t="shared" si="450"/>
        <v/>
      </c>
      <c r="H4814" s="13" t="str">
        <f t="shared" si="453"/>
        <v/>
      </c>
      <c r="I4814" t="str">
        <f>IFERROR(INDEX(Analysis!$D$116:$N$137, MATCH(B4814, Analysis!$C$116:$C$137, 0), MATCH(C4814, Analysis!$D$115:$N$115, 0)), "")</f>
        <v/>
      </c>
      <c r="J4814" t="str">
        <f t="shared" si="454"/>
        <v/>
      </c>
      <c r="K4814" s="28" t="str">
        <f t="shared" si="451"/>
        <v/>
      </c>
      <c r="L4814" s="46" t="str">
        <f t="shared" si="455"/>
        <v/>
      </c>
      <c r="M4814" t="str" cm="1">
        <f t="array" ref="M4814">IF(L4814="","",_xlfn.IFS(
  AND(L4814&gt;=TIME(9,0,0), L4814&lt;TIME(16,0,0)),"Morning",
  AND(L4814&gt;=TIME(16,0,0), L4814&lt;TIME(23,59,0)),"Evening",
  L4814&gt;=TIME(23,59,0),"Night",
  L4814&lt;TIME(9,0,0),"Night"
))</f>
        <v/>
      </c>
      <c r="O4814" t="str">
        <f t="shared" si="452"/>
        <v/>
      </c>
    </row>
    <row r="4815" spans="7:15" x14ac:dyDescent="0.25">
      <c r="G4815" t="str">
        <f t="shared" si="450"/>
        <v/>
      </c>
      <c r="H4815" s="13" t="str">
        <f t="shared" si="453"/>
        <v/>
      </c>
      <c r="I4815" t="str">
        <f>IFERROR(INDEX(Analysis!$D$116:$N$137, MATCH(B4815, Analysis!$C$116:$C$137, 0), MATCH(C4815, Analysis!$D$115:$N$115, 0)), "")</f>
        <v/>
      </c>
      <c r="J4815" t="str">
        <f t="shared" si="454"/>
        <v/>
      </c>
      <c r="K4815" s="28" t="str">
        <f t="shared" si="451"/>
        <v/>
      </c>
      <c r="L4815" s="46" t="str">
        <f t="shared" si="455"/>
        <v/>
      </c>
      <c r="M4815" t="str" cm="1">
        <f t="array" ref="M4815">IF(L4815="","",_xlfn.IFS(
  AND(L4815&gt;=TIME(9,0,0), L4815&lt;TIME(16,0,0)),"Morning",
  AND(L4815&gt;=TIME(16,0,0), L4815&lt;TIME(23,59,0)),"Evening",
  L4815&gt;=TIME(23,59,0),"Night",
  L4815&lt;TIME(9,0,0),"Night"
))</f>
        <v/>
      </c>
      <c r="O4815" t="str">
        <f t="shared" si="452"/>
        <v/>
      </c>
    </row>
    <row r="4816" spans="7:15" x14ac:dyDescent="0.25">
      <c r="G4816" t="str">
        <f t="shared" si="450"/>
        <v/>
      </c>
      <c r="H4816" s="13" t="str">
        <f t="shared" si="453"/>
        <v/>
      </c>
      <c r="I4816" t="str">
        <f>IFERROR(INDEX(Analysis!$D$116:$N$137, MATCH(B4816, Analysis!$C$116:$C$137, 0), MATCH(C4816, Analysis!$D$115:$N$115, 0)), "")</f>
        <v/>
      </c>
      <c r="J4816" t="str">
        <f t="shared" si="454"/>
        <v/>
      </c>
      <c r="K4816" s="28" t="str">
        <f t="shared" si="451"/>
        <v/>
      </c>
      <c r="L4816" s="46" t="str">
        <f t="shared" si="455"/>
        <v/>
      </c>
      <c r="M4816" t="str" cm="1">
        <f t="array" ref="M4816">IF(L4816="","",_xlfn.IFS(
  AND(L4816&gt;=TIME(9,0,0), L4816&lt;TIME(16,0,0)),"Morning",
  AND(L4816&gt;=TIME(16,0,0), L4816&lt;TIME(23,59,0)),"Evening",
  L4816&gt;=TIME(23,59,0),"Night",
  L4816&lt;TIME(9,0,0),"Night"
))</f>
        <v/>
      </c>
      <c r="O4816" t="str">
        <f t="shared" si="452"/>
        <v/>
      </c>
    </row>
    <row r="4817" spans="7:15" x14ac:dyDescent="0.25">
      <c r="G4817" t="str">
        <f t="shared" si="450"/>
        <v/>
      </c>
      <c r="H4817" s="13" t="str">
        <f t="shared" si="453"/>
        <v/>
      </c>
      <c r="I4817" t="str">
        <f>IFERROR(INDEX(Analysis!$D$116:$N$137, MATCH(B4817, Analysis!$C$116:$C$137, 0), MATCH(C4817, Analysis!$D$115:$N$115, 0)), "")</f>
        <v/>
      </c>
      <c r="J4817" t="str">
        <f t="shared" si="454"/>
        <v/>
      </c>
      <c r="K4817" s="28" t="str">
        <f t="shared" si="451"/>
        <v/>
      </c>
      <c r="L4817" s="46" t="str">
        <f t="shared" si="455"/>
        <v/>
      </c>
      <c r="M4817" t="str" cm="1">
        <f t="array" ref="M4817">IF(L4817="","",_xlfn.IFS(
  AND(L4817&gt;=TIME(9,0,0), L4817&lt;TIME(16,0,0)),"Morning",
  AND(L4817&gt;=TIME(16,0,0), L4817&lt;TIME(23,59,0)),"Evening",
  L4817&gt;=TIME(23,59,0),"Night",
  L4817&lt;TIME(9,0,0),"Night"
))</f>
        <v/>
      </c>
      <c r="O4817" t="str">
        <f t="shared" si="452"/>
        <v/>
      </c>
    </row>
    <row r="4818" spans="7:15" x14ac:dyDescent="0.25">
      <c r="G4818" t="str">
        <f t="shared" si="450"/>
        <v/>
      </c>
      <c r="H4818" s="13" t="str">
        <f t="shared" si="453"/>
        <v/>
      </c>
      <c r="I4818" t="str">
        <f>IFERROR(INDEX(Analysis!$D$116:$N$137, MATCH(B4818, Analysis!$C$116:$C$137, 0), MATCH(C4818, Analysis!$D$115:$N$115, 0)), "")</f>
        <v/>
      </c>
      <c r="J4818" t="str">
        <f t="shared" si="454"/>
        <v/>
      </c>
      <c r="K4818" s="28" t="str">
        <f t="shared" si="451"/>
        <v/>
      </c>
      <c r="L4818" s="46" t="str">
        <f t="shared" si="455"/>
        <v/>
      </c>
      <c r="M4818" t="str" cm="1">
        <f t="array" ref="M4818">IF(L4818="","",_xlfn.IFS(
  AND(L4818&gt;=TIME(9,0,0), L4818&lt;TIME(16,0,0)),"Morning",
  AND(L4818&gt;=TIME(16,0,0), L4818&lt;TIME(23,59,0)),"Evening",
  L4818&gt;=TIME(23,59,0),"Night",
  L4818&lt;TIME(9,0,0),"Night"
))</f>
        <v/>
      </c>
      <c r="O4818" t="str">
        <f t="shared" si="452"/>
        <v/>
      </c>
    </row>
    <row r="4819" spans="7:15" x14ac:dyDescent="0.25">
      <c r="G4819" t="str">
        <f t="shared" si="450"/>
        <v/>
      </c>
      <c r="H4819" s="13" t="str">
        <f t="shared" si="453"/>
        <v/>
      </c>
      <c r="I4819" t="str">
        <f>IFERROR(INDEX(Analysis!$D$116:$N$137, MATCH(B4819, Analysis!$C$116:$C$137, 0), MATCH(C4819, Analysis!$D$115:$N$115, 0)), "")</f>
        <v/>
      </c>
      <c r="J4819" t="str">
        <f t="shared" si="454"/>
        <v/>
      </c>
      <c r="K4819" s="28" t="str">
        <f t="shared" si="451"/>
        <v/>
      </c>
      <c r="L4819" s="46" t="str">
        <f t="shared" si="455"/>
        <v/>
      </c>
      <c r="M4819" t="str" cm="1">
        <f t="array" ref="M4819">IF(L4819="","",_xlfn.IFS(
  AND(L4819&gt;=TIME(9,0,0), L4819&lt;TIME(16,0,0)),"Morning",
  AND(L4819&gt;=TIME(16,0,0), L4819&lt;TIME(23,59,0)),"Evening",
  L4819&gt;=TIME(23,59,0),"Night",
  L4819&lt;TIME(9,0,0),"Night"
))</f>
        <v/>
      </c>
      <c r="O4819" t="str">
        <f t="shared" si="452"/>
        <v/>
      </c>
    </row>
    <row r="4820" spans="7:15" x14ac:dyDescent="0.25">
      <c r="G4820" t="str">
        <f t="shared" si="450"/>
        <v/>
      </c>
      <c r="H4820" s="13" t="str">
        <f t="shared" si="453"/>
        <v/>
      </c>
      <c r="I4820" t="str">
        <f>IFERROR(INDEX(Analysis!$D$116:$N$137, MATCH(B4820, Analysis!$C$116:$C$137, 0), MATCH(C4820, Analysis!$D$115:$N$115, 0)), "")</f>
        <v/>
      </c>
      <c r="J4820" t="str">
        <f t="shared" si="454"/>
        <v/>
      </c>
      <c r="K4820" s="28" t="str">
        <f t="shared" si="451"/>
        <v/>
      </c>
      <c r="L4820" s="46" t="str">
        <f t="shared" si="455"/>
        <v/>
      </c>
      <c r="M4820" t="str" cm="1">
        <f t="array" ref="M4820">IF(L4820="","",_xlfn.IFS(
  AND(L4820&gt;=TIME(9,0,0), L4820&lt;TIME(16,0,0)),"Morning",
  AND(L4820&gt;=TIME(16,0,0), L4820&lt;TIME(23,59,0)),"Evening",
  L4820&gt;=TIME(23,59,0),"Night",
  L4820&lt;TIME(9,0,0),"Night"
))</f>
        <v/>
      </c>
      <c r="O4820" t="str">
        <f t="shared" si="452"/>
        <v/>
      </c>
    </row>
    <row r="4821" spans="7:15" x14ac:dyDescent="0.25">
      <c r="G4821" t="str">
        <f t="shared" si="450"/>
        <v/>
      </c>
      <c r="H4821" s="13" t="str">
        <f t="shared" si="453"/>
        <v/>
      </c>
      <c r="I4821" t="str">
        <f>IFERROR(INDEX(Analysis!$D$116:$N$137, MATCH(B4821, Analysis!$C$116:$C$137, 0), MATCH(C4821, Analysis!$D$115:$N$115, 0)), "")</f>
        <v/>
      </c>
      <c r="J4821" t="str">
        <f t="shared" si="454"/>
        <v/>
      </c>
      <c r="K4821" s="28" t="str">
        <f t="shared" si="451"/>
        <v/>
      </c>
      <c r="L4821" s="46" t="str">
        <f t="shared" si="455"/>
        <v/>
      </c>
      <c r="M4821" t="str" cm="1">
        <f t="array" ref="M4821">IF(L4821="","",_xlfn.IFS(
  AND(L4821&gt;=TIME(9,0,0), L4821&lt;TIME(16,0,0)),"Morning",
  AND(L4821&gt;=TIME(16,0,0), L4821&lt;TIME(23,59,0)),"Evening",
  L4821&gt;=TIME(23,59,0),"Night",
  L4821&lt;TIME(9,0,0),"Night"
))</f>
        <v/>
      </c>
      <c r="O4821" t="str">
        <f t="shared" si="452"/>
        <v/>
      </c>
    </row>
    <row r="4822" spans="7:15" x14ac:dyDescent="0.25">
      <c r="G4822" t="str">
        <f t="shared" si="450"/>
        <v/>
      </c>
      <c r="H4822" s="13" t="str">
        <f t="shared" si="453"/>
        <v/>
      </c>
      <c r="I4822" t="str">
        <f>IFERROR(INDEX(Analysis!$D$116:$N$137, MATCH(B4822, Analysis!$C$116:$C$137, 0), MATCH(C4822, Analysis!$D$115:$N$115, 0)), "")</f>
        <v/>
      </c>
      <c r="J4822" t="str">
        <f t="shared" si="454"/>
        <v/>
      </c>
      <c r="K4822" s="28" t="str">
        <f t="shared" si="451"/>
        <v/>
      </c>
      <c r="L4822" s="46" t="str">
        <f t="shared" si="455"/>
        <v/>
      </c>
      <c r="M4822" t="str" cm="1">
        <f t="array" ref="M4822">IF(L4822="","",_xlfn.IFS(
  AND(L4822&gt;=TIME(9,0,0), L4822&lt;TIME(16,0,0)),"Morning",
  AND(L4822&gt;=TIME(16,0,0), L4822&lt;TIME(23,59,0)),"Evening",
  L4822&gt;=TIME(23,59,0),"Night",
  L4822&lt;TIME(9,0,0),"Night"
))</f>
        <v/>
      </c>
      <c r="O4822" t="str">
        <f t="shared" si="452"/>
        <v/>
      </c>
    </row>
    <row r="4823" spans="7:15" x14ac:dyDescent="0.25">
      <c r="G4823" t="str">
        <f t="shared" si="450"/>
        <v/>
      </c>
      <c r="H4823" s="13" t="str">
        <f t="shared" si="453"/>
        <v/>
      </c>
      <c r="I4823" t="str">
        <f>IFERROR(INDEX(Analysis!$D$116:$N$137, MATCH(B4823, Analysis!$C$116:$C$137, 0), MATCH(C4823, Analysis!$D$115:$N$115, 0)), "")</f>
        <v/>
      </c>
      <c r="J4823" t="str">
        <f t="shared" si="454"/>
        <v/>
      </c>
      <c r="K4823" s="28" t="str">
        <f t="shared" si="451"/>
        <v/>
      </c>
      <c r="L4823" s="46" t="str">
        <f t="shared" si="455"/>
        <v/>
      </c>
      <c r="M4823" t="str" cm="1">
        <f t="array" ref="M4823">IF(L4823="","",_xlfn.IFS(
  AND(L4823&gt;=TIME(9,0,0), L4823&lt;TIME(16,0,0)),"Morning",
  AND(L4823&gt;=TIME(16,0,0), L4823&lt;TIME(23,59,0)),"Evening",
  L4823&gt;=TIME(23,59,0),"Night",
  L4823&lt;TIME(9,0,0),"Night"
))</f>
        <v/>
      </c>
      <c r="O4823" t="str">
        <f t="shared" si="452"/>
        <v/>
      </c>
    </row>
    <row r="4824" spans="7:15" x14ac:dyDescent="0.25">
      <c r="G4824" t="str">
        <f t="shared" si="450"/>
        <v/>
      </c>
      <c r="H4824" s="13" t="str">
        <f t="shared" si="453"/>
        <v/>
      </c>
      <c r="I4824" t="str">
        <f>IFERROR(INDEX(Analysis!$D$116:$N$137, MATCH(B4824, Analysis!$C$116:$C$137, 0), MATCH(C4824, Analysis!$D$115:$N$115, 0)), "")</f>
        <v/>
      </c>
      <c r="J4824" t="str">
        <f t="shared" si="454"/>
        <v/>
      </c>
      <c r="K4824" s="28" t="str">
        <f t="shared" si="451"/>
        <v/>
      </c>
      <c r="L4824" s="46" t="str">
        <f t="shared" si="455"/>
        <v/>
      </c>
      <c r="M4824" t="str" cm="1">
        <f t="array" ref="M4824">IF(L4824="","",_xlfn.IFS(
  AND(L4824&gt;=TIME(9,0,0), L4824&lt;TIME(16,0,0)),"Morning",
  AND(L4824&gt;=TIME(16,0,0), L4824&lt;TIME(23,59,0)),"Evening",
  L4824&gt;=TIME(23,59,0),"Night",
  L4824&lt;TIME(9,0,0),"Night"
))</f>
        <v/>
      </c>
      <c r="O4824" t="str">
        <f t="shared" si="452"/>
        <v/>
      </c>
    </row>
    <row r="4825" spans="7:15" x14ac:dyDescent="0.25">
      <c r="G4825" t="str">
        <f t="shared" si="450"/>
        <v/>
      </c>
      <c r="H4825" s="13" t="str">
        <f t="shared" si="453"/>
        <v/>
      </c>
      <c r="I4825" t="str">
        <f>IFERROR(INDEX(Analysis!$D$116:$N$137, MATCH(B4825, Analysis!$C$116:$C$137, 0), MATCH(C4825, Analysis!$D$115:$N$115, 0)), "")</f>
        <v/>
      </c>
      <c r="J4825" t="str">
        <f t="shared" si="454"/>
        <v/>
      </c>
      <c r="K4825" s="28" t="str">
        <f t="shared" si="451"/>
        <v/>
      </c>
      <c r="L4825" s="46" t="str">
        <f t="shared" si="455"/>
        <v/>
      </c>
      <c r="M4825" t="str" cm="1">
        <f t="array" ref="M4825">IF(L4825="","",_xlfn.IFS(
  AND(L4825&gt;=TIME(9,0,0), L4825&lt;TIME(16,0,0)),"Morning",
  AND(L4825&gt;=TIME(16,0,0), L4825&lt;TIME(23,59,0)),"Evening",
  L4825&gt;=TIME(23,59,0),"Night",
  L4825&lt;TIME(9,0,0),"Night"
))</f>
        <v/>
      </c>
      <c r="O4825" t="str">
        <f t="shared" si="452"/>
        <v/>
      </c>
    </row>
    <row r="4826" spans="7:15" x14ac:dyDescent="0.25">
      <c r="G4826" t="str">
        <f t="shared" si="450"/>
        <v/>
      </c>
      <c r="H4826" s="13" t="str">
        <f t="shared" si="453"/>
        <v/>
      </c>
      <c r="I4826" t="str">
        <f>IFERROR(INDEX(Analysis!$D$116:$N$137, MATCH(B4826, Analysis!$C$116:$C$137, 0), MATCH(C4826, Analysis!$D$115:$N$115, 0)), "")</f>
        <v/>
      </c>
      <c r="J4826" t="str">
        <f t="shared" si="454"/>
        <v/>
      </c>
      <c r="K4826" s="28" t="str">
        <f t="shared" si="451"/>
        <v/>
      </c>
      <c r="L4826" s="46" t="str">
        <f t="shared" si="455"/>
        <v/>
      </c>
      <c r="M4826" t="str" cm="1">
        <f t="array" ref="M4826">IF(L4826="","",_xlfn.IFS(
  AND(L4826&gt;=TIME(9,0,0), L4826&lt;TIME(16,0,0)),"Morning",
  AND(L4826&gt;=TIME(16,0,0), L4826&lt;TIME(23,59,0)),"Evening",
  L4826&gt;=TIME(23,59,0),"Night",
  L4826&lt;TIME(9,0,0),"Night"
))</f>
        <v/>
      </c>
      <c r="O4826" t="str">
        <f t="shared" si="452"/>
        <v/>
      </c>
    </row>
    <row r="4827" spans="7:15" x14ac:dyDescent="0.25">
      <c r="G4827" t="str">
        <f t="shared" si="450"/>
        <v/>
      </c>
      <c r="H4827" s="13" t="str">
        <f t="shared" si="453"/>
        <v/>
      </c>
      <c r="I4827" t="str">
        <f>IFERROR(INDEX(Analysis!$D$116:$N$137, MATCH(B4827, Analysis!$C$116:$C$137, 0), MATCH(C4827, Analysis!$D$115:$N$115, 0)), "")</f>
        <v/>
      </c>
      <c r="J4827" t="str">
        <f t="shared" si="454"/>
        <v/>
      </c>
      <c r="K4827" s="28" t="str">
        <f t="shared" si="451"/>
        <v/>
      </c>
      <c r="L4827" s="46" t="str">
        <f t="shared" si="455"/>
        <v/>
      </c>
      <c r="M4827" t="str" cm="1">
        <f t="array" ref="M4827">IF(L4827="","",_xlfn.IFS(
  AND(L4827&gt;=TIME(9,0,0), L4827&lt;TIME(16,0,0)),"Morning",
  AND(L4827&gt;=TIME(16,0,0), L4827&lt;TIME(23,59,0)),"Evening",
  L4827&gt;=TIME(23,59,0),"Night",
  L4827&lt;TIME(9,0,0),"Night"
))</f>
        <v/>
      </c>
      <c r="O4827" t="str">
        <f t="shared" si="452"/>
        <v/>
      </c>
    </row>
    <row r="4828" spans="7:15" x14ac:dyDescent="0.25">
      <c r="G4828" t="str">
        <f t="shared" si="450"/>
        <v/>
      </c>
      <c r="H4828" s="13" t="str">
        <f t="shared" si="453"/>
        <v/>
      </c>
      <c r="I4828" t="str">
        <f>IFERROR(INDEX(Analysis!$D$116:$N$137, MATCH(B4828, Analysis!$C$116:$C$137, 0), MATCH(C4828, Analysis!$D$115:$N$115, 0)), "")</f>
        <v/>
      </c>
      <c r="J4828" t="str">
        <f t="shared" si="454"/>
        <v/>
      </c>
      <c r="K4828" s="28" t="str">
        <f t="shared" si="451"/>
        <v/>
      </c>
      <c r="L4828" s="46" t="str">
        <f t="shared" si="455"/>
        <v/>
      </c>
      <c r="M4828" t="str" cm="1">
        <f t="array" ref="M4828">IF(L4828="","",_xlfn.IFS(
  AND(L4828&gt;=TIME(9,0,0), L4828&lt;TIME(16,0,0)),"Morning",
  AND(L4828&gt;=TIME(16,0,0), L4828&lt;TIME(23,59,0)),"Evening",
  L4828&gt;=TIME(23,59,0),"Night",
  L4828&lt;TIME(9,0,0),"Night"
))</f>
        <v/>
      </c>
      <c r="O4828" t="str">
        <f t="shared" si="452"/>
        <v/>
      </c>
    </row>
    <row r="4829" spans="7:15" x14ac:dyDescent="0.25">
      <c r="G4829" t="str">
        <f t="shared" si="450"/>
        <v/>
      </c>
      <c r="H4829" s="13" t="str">
        <f t="shared" si="453"/>
        <v/>
      </c>
      <c r="I4829" t="str">
        <f>IFERROR(INDEX(Analysis!$D$116:$N$137, MATCH(B4829, Analysis!$C$116:$C$137, 0), MATCH(C4829, Analysis!$D$115:$N$115, 0)), "")</f>
        <v/>
      </c>
      <c r="J4829" t="str">
        <f t="shared" si="454"/>
        <v/>
      </c>
      <c r="K4829" s="28" t="str">
        <f t="shared" si="451"/>
        <v/>
      </c>
      <c r="L4829" s="46" t="str">
        <f t="shared" si="455"/>
        <v/>
      </c>
      <c r="M4829" t="str" cm="1">
        <f t="array" ref="M4829">IF(L4829="","",_xlfn.IFS(
  AND(L4829&gt;=TIME(9,0,0), L4829&lt;TIME(16,0,0)),"Morning",
  AND(L4829&gt;=TIME(16,0,0), L4829&lt;TIME(23,59,0)),"Evening",
  L4829&gt;=TIME(23,59,0),"Night",
  L4829&lt;TIME(9,0,0),"Night"
))</f>
        <v/>
      </c>
      <c r="O4829" t="str">
        <f t="shared" si="452"/>
        <v/>
      </c>
    </row>
    <row r="4830" spans="7:15" x14ac:dyDescent="0.25">
      <c r="G4830" t="str">
        <f t="shared" si="450"/>
        <v/>
      </c>
      <c r="H4830" s="13" t="str">
        <f t="shared" si="453"/>
        <v/>
      </c>
      <c r="I4830" t="str">
        <f>IFERROR(INDEX(Analysis!$D$116:$N$137, MATCH(B4830, Analysis!$C$116:$C$137, 0), MATCH(C4830, Analysis!$D$115:$N$115, 0)), "")</f>
        <v/>
      </c>
      <c r="J4830" t="str">
        <f t="shared" si="454"/>
        <v/>
      </c>
      <c r="K4830" s="28" t="str">
        <f t="shared" si="451"/>
        <v/>
      </c>
      <c r="L4830" s="46" t="str">
        <f t="shared" si="455"/>
        <v/>
      </c>
      <c r="M4830" t="str" cm="1">
        <f t="array" ref="M4830">IF(L4830="","",_xlfn.IFS(
  AND(L4830&gt;=TIME(9,0,0), L4830&lt;TIME(16,0,0)),"Morning",
  AND(L4830&gt;=TIME(16,0,0), L4830&lt;TIME(23,59,0)),"Evening",
  L4830&gt;=TIME(23,59,0),"Night",
  L4830&lt;TIME(9,0,0),"Night"
))</f>
        <v/>
      </c>
      <c r="O4830" t="str">
        <f t="shared" si="452"/>
        <v/>
      </c>
    </row>
    <row r="4831" spans="7:15" x14ac:dyDescent="0.25">
      <c r="G4831" t="str">
        <f t="shared" si="450"/>
        <v/>
      </c>
      <c r="H4831" s="13" t="str">
        <f t="shared" si="453"/>
        <v/>
      </c>
      <c r="I4831" t="str">
        <f>IFERROR(INDEX(Analysis!$D$116:$N$137, MATCH(B4831, Analysis!$C$116:$C$137, 0), MATCH(C4831, Analysis!$D$115:$N$115, 0)), "")</f>
        <v/>
      </c>
      <c r="J4831" t="str">
        <f t="shared" si="454"/>
        <v/>
      </c>
      <c r="K4831" s="28" t="str">
        <f t="shared" si="451"/>
        <v/>
      </c>
      <c r="L4831" s="46" t="str">
        <f t="shared" si="455"/>
        <v/>
      </c>
      <c r="M4831" t="str" cm="1">
        <f t="array" ref="M4831">IF(L4831="","",_xlfn.IFS(
  AND(L4831&gt;=TIME(9,0,0), L4831&lt;TIME(16,0,0)),"Morning",
  AND(L4831&gt;=TIME(16,0,0), L4831&lt;TIME(23,59,0)),"Evening",
  L4831&gt;=TIME(23,59,0),"Night",
  L4831&lt;TIME(9,0,0),"Night"
))</f>
        <v/>
      </c>
      <c r="O4831" t="str">
        <f t="shared" si="452"/>
        <v/>
      </c>
    </row>
    <row r="4832" spans="7:15" x14ac:dyDescent="0.25">
      <c r="G4832" t="str">
        <f t="shared" si="450"/>
        <v/>
      </c>
      <c r="H4832" s="13" t="str">
        <f t="shared" si="453"/>
        <v/>
      </c>
      <c r="I4832" t="str">
        <f>IFERROR(INDEX(Analysis!$D$116:$N$137, MATCH(B4832, Analysis!$C$116:$C$137, 0), MATCH(C4832, Analysis!$D$115:$N$115, 0)), "")</f>
        <v/>
      </c>
      <c r="J4832" t="str">
        <f t="shared" si="454"/>
        <v/>
      </c>
      <c r="K4832" s="28" t="str">
        <f t="shared" si="451"/>
        <v/>
      </c>
      <c r="L4832" s="46" t="str">
        <f t="shared" si="455"/>
        <v/>
      </c>
      <c r="M4832" t="str" cm="1">
        <f t="array" ref="M4832">IF(L4832="","",_xlfn.IFS(
  AND(L4832&gt;=TIME(9,0,0), L4832&lt;TIME(16,0,0)),"Morning",
  AND(L4832&gt;=TIME(16,0,0), L4832&lt;TIME(23,59,0)),"Evening",
  L4832&gt;=TIME(23,59,0),"Night",
  L4832&lt;TIME(9,0,0),"Night"
))</f>
        <v/>
      </c>
      <c r="O4832" t="str">
        <f t="shared" si="452"/>
        <v/>
      </c>
    </row>
    <row r="4833" spans="7:15" x14ac:dyDescent="0.25">
      <c r="G4833" t="str">
        <f t="shared" si="450"/>
        <v/>
      </c>
      <c r="H4833" s="13" t="str">
        <f t="shared" si="453"/>
        <v/>
      </c>
      <c r="I4833" t="str">
        <f>IFERROR(INDEX(Analysis!$D$116:$N$137, MATCH(B4833, Analysis!$C$116:$C$137, 0), MATCH(C4833, Analysis!$D$115:$N$115, 0)), "")</f>
        <v/>
      </c>
      <c r="J4833" t="str">
        <f t="shared" si="454"/>
        <v/>
      </c>
      <c r="K4833" s="28" t="str">
        <f t="shared" si="451"/>
        <v/>
      </c>
      <c r="L4833" s="46" t="str">
        <f t="shared" si="455"/>
        <v/>
      </c>
      <c r="M4833" t="str" cm="1">
        <f t="array" ref="M4833">IF(L4833="","",_xlfn.IFS(
  AND(L4833&gt;=TIME(9,0,0), L4833&lt;TIME(16,0,0)),"Morning",
  AND(L4833&gt;=TIME(16,0,0), L4833&lt;TIME(23,59,0)),"Evening",
  L4833&gt;=TIME(23,59,0),"Night",
  L4833&lt;TIME(9,0,0),"Night"
))</f>
        <v/>
      </c>
      <c r="O4833" t="str">
        <f t="shared" si="452"/>
        <v/>
      </c>
    </row>
    <row r="4834" spans="7:15" x14ac:dyDescent="0.25">
      <c r="G4834" t="str">
        <f t="shared" si="450"/>
        <v/>
      </c>
      <c r="H4834" s="13" t="str">
        <f t="shared" si="453"/>
        <v/>
      </c>
      <c r="I4834" t="str">
        <f>IFERROR(INDEX(Analysis!$D$116:$N$137, MATCH(B4834, Analysis!$C$116:$C$137, 0), MATCH(C4834, Analysis!$D$115:$N$115, 0)), "")</f>
        <v/>
      </c>
      <c r="J4834" t="str">
        <f t="shared" si="454"/>
        <v/>
      </c>
      <c r="K4834" s="28" t="str">
        <f t="shared" si="451"/>
        <v/>
      </c>
      <c r="L4834" s="46" t="str">
        <f t="shared" si="455"/>
        <v/>
      </c>
      <c r="M4834" t="str" cm="1">
        <f t="array" ref="M4834">IF(L4834="","",_xlfn.IFS(
  AND(L4834&gt;=TIME(9,0,0), L4834&lt;TIME(16,0,0)),"Morning",
  AND(L4834&gt;=TIME(16,0,0), L4834&lt;TIME(23,59,0)),"Evening",
  L4834&gt;=TIME(23,59,0),"Night",
  L4834&lt;TIME(9,0,0),"Night"
))</f>
        <v/>
      </c>
      <c r="O4834" t="str">
        <f t="shared" si="452"/>
        <v/>
      </c>
    </row>
    <row r="4835" spans="7:15" x14ac:dyDescent="0.25">
      <c r="G4835" t="str">
        <f t="shared" si="450"/>
        <v/>
      </c>
      <c r="H4835" s="13" t="str">
        <f t="shared" si="453"/>
        <v/>
      </c>
      <c r="I4835" t="str">
        <f>IFERROR(INDEX(Analysis!$D$116:$N$137, MATCH(B4835, Analysis!$C$116:$C$137, 0), MATCH(C4835, Analysis!$D$115:$N$115, 0)), "")</f>
        <v/>
      </c>
      <c r="J4835" t="str">
        <f t="shared" si="454"/>
        <v/>
      </c>
      <c r="K4835" s="28" t="str">
        <f t="shared" si="451"/>
        <v/>
      </c>
      <c r="L4835" s="46" t="str">
        <f t="shared" si="455"/>
        <v/>
      </c>
      <c r="M4835" t="str" cm="1">
        <f t="array" ref="M4835">IF(L4835="","",_xlfn.IFS(
  AND(L4835&gt;=TIME(9,0,0), L4835&lt;TIME(16,0,0)),"Morning",
  AND(L4835&gt;=TIME(16,0,0), L4835&lt;TIME(23,59,0)),"Evening",
  L4835&gt;=TIME(23,59,0),"Night",
  L4835&lt;TIME(9,0,0),"Night"
))</f>
        <v/>
      </c>
      <c r="O4835" t="str">
        <f t="shared" si="452"/>
        <v/>
      </c>
    </row>
    <row r="4836" spans="7:15" x14ac:dyDescent="0.25">
      <c r="G4836" t="str">
        <f t="shared" si="450"/>
        <v/>
      </c>
      <c r="H4836" s="13" t="str">
        <f t="shared" si="453"/>
        <v/>
      </c>
      <c r="I4836" t="str">
        <f>IFERROR(INDEX(Analysis!$D$116:$N$137, MATCH(B4836, Analysis!$C$116:$C$137, 0), MATCH(C4836, Analysis!$D$115:$N$115, 0)), "")</f>
        <v/>
      </c>
      <c r="J4836" t="str">
        <f t="shared" si="454"/>
        <v/>
      </c>
      <c r="K4836" s="28" t="str">
        <f t="shared" si="451"/>
        <v/>
      </c>
      <c r="L4836" s="46" t="str">
        <f t="shared" si="455"/>
        <v/>
      </c>
      <c r="M4836" t="str" cm="1">
        <f t="array" ref="M4836">IF(L4836="","",_xlfn.IFS(
  AND(L4836&gt;=TIME(9,0,0), L4836&lt;TIME(16,0,0)),"Morning",
  AND(L4836&gt;=TIME(16,0,0), L4836&lt;TIME(23,59,0)),"Evening",
  L4836&gt;=TIME(23,59,0),"Night",
  L4836&lt;TIME(9,0,0),"Night"
))</f>
        <v/>
      </c>
      <c r="O4836" t="str">
        <f t="shared" si="452"/>
        <v/>
      </c>
    </row>
    <row r="4837" spans="7:15" x14ac:dyDescent="0.25">
      <c r="G4837" t="str">
        <f t="shared" si="450"/>
        <v/>
      </c>
      <c r="H4837" s="13" t="str">
        <f t="shared" si="453"/>
        <v/>
      </c>
      <c r="I4837" t="str">
        <f>IFERROR(INDEX(Analysis!$D$116:$N$137, MATCH(B4837, Analysis!$C$116:$C$137, 0), MATCH(C4837, Analysis!$D$115:$N$115, 0)), "")</f>
        <v/>
      </c>
      <c r="J4837" t="str">
        <f t="shared" si="454"/>
        <v/>
      </c>
      <c r="K4837" s="28" t="str">
        <f t="shared" si="451"/>
        <v/>
      </c>
      <c r="L4837" s="46" t="str">
        <f t="shared" si="455"/>
        <v/>
      </c>
      <c r="M4837" t="str" cm="1">
        <f t="array" ref="M4837">IF(L4837="","",_xlfn.IFS(
  AND(L4837&gt;=TIME(9,0,0), L4837&lt;TIME(16,0,0)),"Morning",
  AND(L4837&gt;=TIME(16,0,0), L4837&lt;TIME(23,59,0)),"Evening",
  L4837&gt;=TIME(23,59,0),"Night",
  L4837&lt;TIME(9,0,0),"Night"
))</f>
        <v/>
      </c>
      <c r="O4837" t="str">
        <f t="shared" si="452"/>
        <v/>
      </c>
    </row>
    <row r="4838" spans="7:15" x14ac:dyDescent="0.25">
      <c r="G4838" t="str">
        <f t="shared" si="450"/>
        <v/>
      </c>
      <c r="H4838" s="13" t="str">
        <f t="shared" si="453"/>
        <v/>
      </c>
      <c r="I4838" t="str">
        <f>IFERROR(INDEX(Analysis!$D$116:$N$137, MATCH(B4838, Analysis!$C$116:$C$137, 0), MATCH(C4838, Analysis!$D$115:$N$115, 0)), "")</f>
        <v/>
      </c>
      <c r="J4838" t="str">
        <f t="shared" si="454"/>
        <v/>
      </c>
      <c r="K4838" s="28" t="str">
        <f t="shared" si="451"/>
        <v/>
      </c>
      <c r="L4838" s="46" t="str">
        <f t="shared" si="455"/>
        <v/>
      </c>
      <c r="M4838" t="str" cm="1">
        <f t="array" ref="M4838">IF(L4838="","",_xlfn.IFS(
  AND(L4838&gt;=TIME(9,0,0), L4838&lt;TIME(16,0,0)),"Morning",
  AND(L4838&gt;=TIME(16,0,0), L4838&lt;TIME(23,59,0)),"Evening",
  L4838&gt;=TIME(23,59,0),"Night",
  L4838&lt;TIME(9,0,0),"Night"
))</f>
        <v/>
      </c>
      <c r="O4838" t="str">
        <f t="shared" si="452"/>
        <v/>
      </c>
    </row>
    <row r="4839" spans="7:15" x14ac:dyDescent="0.25">
      <c r="G4839" t="str">
        <f t="shared" si="450"/>
        <v/>
      </c>
      <c r="H4839" s="13" t="str">
        <f t="shared" si="453"/>
        <v/>
      </c>
      <c r="I4839" t="str">
        <f>IFERROR(INDEX(Analysis!$D$116:$N$137, MATCH(B4839, Analysis!$C$116:$C$137, 0), MATCH(C4839, Analysis!$D$115:$N$115, 0)), "")</f>
        <v/>
      </c>
      <c r="J4839" t="str">
        <f t="shared" si="454"/>
        <v/>
      </c>
      <c r="K4839" s="28" t="str">
        <f t="shared" si="451"/>
        <v/>
      </c>
      <c r="L4839" s="46" t="str">
        <f t="shared" si="455"/>
        <v/>
      </c>
      <c r="M4839" t="str" cm="1">
        <f t="array" ref="M4839">IF(L4839="","",_xlfn.IFS(
  AND(L4839&gt;=TIME(9,0,0), L4839&lt;TIME(16,0,0)),"Morning",
  AND(L4839&gt;=TIME(16,0,0), L4839&lt;TIME(23,59,0)),"Evening",
  L4839&gt;=TIME(23,59,0),"Night",
  L4839&lt;TIME(9,0,0),"Night"
))</f>
        <v/>
      </c>
      <c r="O4839" t="str">
        <f t="shared" si="452"/>
        <v/>
      </c>
    </row>
    <row r="4840" spans="7:15" x14ac:dyDescent="0.25">
      <c r="G4840" t="str">
        <f t="shared" si="450"/>
        <v/>
      </c>
      <c r="H4840" s="13" t="str">
        <f t="shared" si="453"/>
        <v/>
      </c>
      <c r="I4840" t="str">
        <f>IFERROR(INDEX(Analysis!$D$116:$N$137, MATCH(B4840, Analysis!$C$116:$C$137, 0), MATCH(C4840, Analysis!$D$115:$N$115, 0)), "")</f>
        <v/>
      </c>
      <c r="J4840" t="str">
        <f t="shared" si="454"/>
        <v/>
      </c>
      <c r="K4840" s="28" t="str">
        <f t="shared" si="451"/>
        <v/>
      </c>
      <c r="L4840" s="46" t="str">
        <f t="shared" si="455"/>
        <v/>
      </c>
      <c r="M4840" t="str" cm="1">
        <f t="array" ref="M4840">IF(L4840="","",_xlfn.IFS(
  AND(L4840&gt;=TIME(9,0,0), L4840&lt;TIME(16,0,0)),"Morning",
  AND(L4840&gt;=TIME(16,0,0), L4840&lt;TIME(23,59,0)),"Evening",
  L4840&gt;=TIME(23,59,0),"Night",
  L4840&lt;TIME(9,0,0),"Night"
))</f>
        <v/>
      </c>
      <c r="O4840" t="str">
        <f t="shared" si="452"/>
        <v/>
      </c>
    </row>
    <row r="4841" spans="7:15" x14ac:dyDescent="0.25">
      <c r="G4841" t="str">
        <f t="shared" si="450"/>
        <v/>
      </c>
      <c r="H4841" s="13" t="str">
        <f t="shared" si="453"/>
        <v/>
      </c>
      <c r="I4841" t="str">
        <f>IFERROR(INDEX(Analysis!$D$116:$N$137, MATCH(B4841, Analysis!$C$116:$C$137, 0), MATCH(C4841, Analysis!$D$115:$N$115, 0)), "")</f>
        <v/>
      </c>
      <c r="J4841" t="str">
        <f t="shared" si="454"/>
        <v/>
      </c>
      <c r="K4841" s="28" t="str">
        <f t="shared" si="451"/>
        <v/>
      </c>
      <c r="L4841" s="46" t="str">
        <f t="shared" si="455"/>
        <v/>
      </c>
      <c r="M4841" t="str" cm="1">
        <f t="array" ref="M4841">IF(L4841="","",_xlfn.IFS(
  AND(L4841&gt;=TIME(9,0,0), L4841&lt;TIME(16,0,0)),"Morning",
  AND(L4841&gt;=TIME(16,0,0), L4841&lt;TIME(23,59,0)),"Evening",
  L4841&gt;=TIME(23,59,0),"Night",
  L4841&lt;TIME(9,0,0),"Night"
))</f>
        <v/>
      </c>
      <c r="O4841" t="str">
        <f t="shared" si="452"/>
        <v/>
      </c>
    </row>
    <row r="4842" spans="7:15" x14ac:dyDescent="0.25">
      <c r="G4842" t="str">
        <f t="shared" si="450"/>
        <v/>
      </c>
      <c r="H4842" s="13" t="str">
        <f t="shared" si="453"/>
        <v/>
      </c>
      <c r="I4842" t="str">
        <f>IFERROR(INDEX(Analysis!$D$116:$N$137, MATCH(B4842, Analysis!$C$116:$C$137, 0), MATCH(C4842, Analysis!$D$115:$N$115, 0)), "")</f>
        <v/>
      </c>
      <c r="J4842" t="str">
        <f t="shared" si="454"/>
        <v/>
      </c>
      <c r="K4842" s="28" t="str">
        <f t="shared" si="451"/>
        <v/>
      </c>
      <c r="L4842" s="46" t="str">
        <f t="shared" si="455"/>
        <v/>
      </c>
      <c r="M4842" t="str" cm="1">
        <f t="array" ref="M4842">IF(L4842="","",_xlfn.IFS(
  AND(L4842&gt;=TIME(9,0,0), L4842&lt;TIME(16,0,0)),"Morning",
  AND(L4842&gt;=TIME(16,0,0), L4842&lt;TIME(23,59,0)),"Evening",
  L4842&gt;=TIME(23,59,0),"Night",
  L4842&lt;TIME(9,0,0),"Night"
))</f>
        <v/>
      </c>
      <c r="O4842" t="str">
        <f t="shared" si="452"/>
        <v/>
      </c>
    </row>
    <row r="4843" spans="7:15" x14ac:dyDescent="0.25">
      <c r="G4843" t="str">
        <f t="shared" si="450"/>
        <v/>
      </c>
      <c r="H4843" s="13" t="str">
        <f t="shared" si="453"/>
        <v/>
      </c>
      <c r="I4843" t="str">
        <f>IFERROR(INDEX(Analysis!$D$116:$N$137, MATCH(B4843, Analysis!$C$116:$C$137, 0), MATCH(C4843, Analysis!$D$115:$N$115, 0)), "")</f>
        <v/>
      </c>
      <c r="J4843" t="str">
        <f t="shared" si="454"/>
        <v/>
      </c>
      <c r="K4843" s="28" t="str">
        <f t="shared" si="451"/>
        <v/>
      </c>
      <c r="L4843" s="46" t="str">
        <f t="shared" si="455"/>
        <v/>
      </c>
      <c r="M4843" t="str" cm="1">
        <f t="array" ref="M4843">IF(L4843="","",_xlfn.IFS(
  AND(L4843&gt;=TIME(9,0,0), L4843&lt;TIME(16,0,0)),"Morning",
  AND(L4843&gt;=TIME(16,0,0), L4843&lt;TIME(23,59,0)),"Evening",
  L4843&gt;=TIME(23,59,0),"Night",
  L4843&lt;TIME(9,0,0),"Night"
))</f>
        <v/>
      </c>
      <c r="O4843" t="str">
        <f t="shared" si="452"/>
        <v/>
      </c>
    </row>
    <row r="4844" spans="7:15" x14ac:dyDescent="0.25">
      <c r="G4844" t="str">
        <f t="shared" si="450"/>
        <v/>
      </c>
      <c r="H4844" s="13" t="str">
        <f t="shared" si="453"/>
        <v/>
      </c>
      <c r="I4844" t="str">
        <f>IFERROR(INDEX(Analysis!$D$116:$N$137, MATCH(B4844, Analysis!$C$116:$C$137, 0), MATCH(C4844, Analysis!$D$115:$N$115, 0)), "")</f>
        <v/>
      </c>
      <c r="J4844" t="str">
        <f t="shared" si="454"/>
        <v/>
      </c>
      <c r="K4844" s="28" t="str">
        <f t="shared" si="451"/>
        <v/>
      </c>
      <c r="L4844" s="46" t="str">
        <f t="shared" si="455"/>
        <v/>
      </c>
      <c r="M4844" t="str" cm="1">
        <f t="array" ref="M4844">IF(L4844="","",_xlfn.IFS(
  AND(L4844&gt;=TIME(9,0,0), L4844&lt;TIME(16,0,0)),"Morning",
  AND(L4844&gt;=TIME(16,0,0), L4844&lt;TIME(23,59,0)),"Evening",
  L4844&gt;=TIME(23,59,0),"Night",
  L4844&lt;TIME(9,0,0),"Night"
))</f>
        <v/>
      </c>
      <c r="O4844" t="str">
        <f t="shared" si="452"/>
        <v/>
      </c>
    </row>
    <row r="4845" spans="7:15" x14ac:dyDescent="0.25">
      <c r="G4845" t="str">
        <f t="shared" si="450"/>
        <v/>
      </c>
      <c r="H4845" s="13" t="str">
        <f t="shared" si="453"/>
        <v/>
      </c>
      <c r="I4845" t="str">
        <f>IFERROR(INDEX(Analysis!$D$116:$N$137, MATCH(B4845, Analysis!$C$116:$C$137, 0), MATCH(C4845, Analysis!$D$115:$N$115, 0)), "")</f>
        <v/>
      </c>
      <c r="J4845" t="str">
        <f t="shared" si="454"/>
        <v/>
      </c>
      <c r="K4845" s="28" t="str">
        <f t="shared" si="451"/>
        <v/>
      </c>
      <c r="L4845" s="46" t="str">
        <f t="shared" si="455"/>
        <v/>
      </c>
      <c r="M4845" t="str" cm="1">
        <f t="array" ref="M4845">IF(L4845="","",_xlfn.IFS(
  AND(L4845&gt;=TIME(9,0,0), L4845&lt;TIME(16,0,0)),"Morning",
  AND(L4845&gt;=TIME(16,0,0), L4845&lt;TIME(23,59,0)),"Evening",
  L4845&gt;=TIME(23,59,0),"Night",
  L4845&lt;TIME(9,0,0),"Night"
))</f>
        <v/>
      </c>
      <c r="O4845" t="str">
        <f t="shared" si="452"/>
        <v/>
      </c>
    </row>
    <row r="4846" spans="7:15" x14ac:dyDescent="0.25">
      <c r="G4846" t="str">
        <f t="shared" si="450"/>
        <v/>
      </c>
      <c r="H4846" s="13" t="str">
        <f t="shared" si="453"/>
        <v/>
      </c>
      <c r="I4846" t="str">
        <f>IFERROR(INDEX(Analysis!$D$116:$N$137, MATCH(B4846, Analysis!$C$116:$C$137, 0), MATCH(C4846, Analysis!$D$115:$N$115, 0)), "")</f>
        <v/>
      </c>
      <c r="J4846" t="str">
        <f t="shared" si="454"/>
        <v/>
      </c>
      <c r="K4846" s="28" t="str">
        <f t="shared" si="451"/>
        <v/>
      </c>
      <c r="L4846" s="46" t="str">
        <f t="shared" si="455"/>
        <v/>
      </c>
      <c r="M4846" t="str" cm="1">
        <f t="array" ref="M4846">IF(L4846="","",_xlfn.IFS(
  AND(L4846&gt;=TIME(9,0,0), L4846&lt;TIME(16,0,0)),"Morning",
  AND(L4846&gt;=TIME(16,0,0), L4846&lt;TIME(23,59,0)),"Evening",
  L4846&gt;=TIME(23,59,0),"Night",
  L4846&lt;TIME(9,0,0),"Night"
))</f>
        <v/>
      </c>
      <c r="O4846" t="str">
        <f t="shared" si="452"/>
        <v/>
      </c>
    </row>
    <row r="4847" spans="7:15" x14ac:dyDescent="0.25">
      <c r="G4847" t="str">
        <f t="shared" si="450"/>
        <v/>
      </c>
      <c r="H4847" s="13" t="str">
        <f t="shared" si="453"/>
        <v/>
      </c>
      <c r="I4847" t="str">
        <f>IFERROR(INDEX(Analysis!$D$116:$N$137, MATCH(B4847, Analysis!$C$116:$C$137, 0), MATCH(C4847, Analysis!$D$115:$N$115, 0)), "")</f>
        <v/>
      </c>
      <c r="J4847" t="str">
        <f t="shared" si="454"/>
        <v/>
      </c>
      <c r="K4847" s="28" t="str">
        <f t="shared" si="451"/>
        <v/>
      </c>
      <c r="L4847" s="46" t="str">
        <f t="shared" si="455"/>
        <v/>
      </c>
      <c r="M4847" t="str" cm="1">
        <f t="array" ref="M4847">IF(L4847="","",_xlfn.IFS(
  AND(L4847&gt;=TIME(9,0,0), L4847&lt;TIME(16,0,0)),"Morning",
  AND(L4847&gt;=TIME(16,0,0), L4847&lt;TIME(23,59,0)),"Evening",
  L4847&gt;=TIME(23,59,0),"Night",
  L4847&lt;TIME(9,0,0),"Night"
))</f>
        <v/>
      </c>
      <c r="O4847" t="str">
        <f t="shared" si="452"/>
        <v/>
      </c>
    </row>
    <row r="4848" spans="7:15" x14ac:dyDescent="0.25">
      <c r="G4848" t="str">
        <f t="shared" si="450"/>
        <v/>
      </c>
      <c r="H4848" s="13" t="str">
        <f t="shared" si="453"/>
        <v/>
      </c>
      <c r="I4848" t="str">
        <f>IFERROR(INDEX(Analysis!$D$116:$N$137, MATCH(B4848, Analysis!$C$116:$C$137, 0), MATCH(C4848, Analysis!$D$115:$N$115, 0)), "")</f>
        <v/>
      </c>
      <c r="J4848" t="str">
        <f t="shared" si="454"/>
        <v/>
      </c>
      <c r="K4848" s="28" t="str">
        <f t="shared" si="451"/>
        <v/>
      </c>
      <c r="L4848" s="46" t="str">
        <f t="shared" si="455"/>
        <v/>
      </c>
      <c r="M4848" t="str" cm="1">
        <f t="array" ref="M4848">IF(L4848="","",_xlfn.IFS(
  AND(L4848&gt;=TIME(9,0,0), L4848&lt;TIME(16,0,0)),"Morning",
  AND(L4848&gt;=TIME(16,0,0), L4848&lt;TIME(23,59,0)),"Evening",
  L4848&gt;=TIME(23,59,0),"Night",
  L4848&lt;TIME(9,0,0),"Night"
))</f>
        <v/>
      </c>
      <c r="O4848" t="str">
        <f t="shared" si="452"/>
        <v/>
      </c>
    </row>
    <row r="4849" spans="7:15" x14ac:dyDescent="0.25">
      <c r="G4849" t="str">
        <f t="shared" si="450"/>
        <v/>
      </c>
      <c r="H4849" s="13" t="str">
        <f t="shared" si="453"/>
        <v/>
      </c>
      <c r="I4849" t="str">
        <f>IFERROR(INDEX(Analysis!$D$116:$N$137, MATCH(B4849, Analysis!$C$116:$C$137, 0), MATCH(C4849, Analysis!$D$115:$N$115, 0)), "")</f>
        <v/>
      </c>
      <c r="J4849" t="str">
        <f t="shared" si="454"/>
        <v/>
      </c>
      <c r="K4849" s="28" t="str">
        <f t="shared" si="451"/>
        <v/>
      </c>
      <c r="L4849" s="46" t="str">
        <f t="shared" si="455"/>
        <v/>
      </c>
      <c r="M4849" t="str" cm="1">
        <f t="array" ref="M4849">IF(L4849="","",_xlfn.IFS(
  AND(L4849&gt;=TIME(9,0,0), L4849&lt;TIME(16,0,0)),"Morning",
  AND(L4849&gt;=TIME(16,0,0), L4849&lt;TIME(23,59,0)),"Evening",
  L4849&gt;=TIME(23,59,0),"Night",
  L4849&lt;TIME(9,0,0),"Night"
))</f>
        <v/>
      </c>
      <c r="O4849" t="str">
        <f t="shared" si="452"/>
        <v/>
      </c>
    </row>
    <row r="4850" spans="7:15" x14ac:dyDescent="0.25">
      <c r="G4850" t="str">
        <f t="shared" si="450"/>
        <v/>
      </c>
      <c r="H4850" s="13" t="str">
        <f t="shared" si="453"/>
        <v/>
      </c>
      <c r="I4850" t="str">
        <f>IFERROR(INDEX(Analysis!$D$116:$N$137, MATCH(B4850, Analysis!$C$116:$C$137, 0), MATCH(C4850, Analysis!$D$115:$N$115, 0)), "")</f>
        <v/>
      </c>
      <c r="J4850" t="str">
        <f t="shared" si="454"/>
        <v/>
      </c>
      <c r="K4850" s="28" t="str">
        <f t="shared" si="451"/>
        <v/>
      </c>
      <c r="L4850" s="46" t="str">
        <f t="shared" si="455"/>
        <v/>
      </c>
      <c r="M4850" t="str" cm="1">
        <f t="array" ref="M4850">IF(L4850="","",_xlfn.IFS(
  AND(L4850&gt;=TIME(9,0,0), L4850&lt;TIME(16,0,0)),"Morning",
  AND(L4850&gt;=TIME(16,0,0), L4850&lt;TIME(23,59,0)),"Evening",
  L4850&gt;=TIME(23,59,0),"Night",
  L4850&lt;TIME(9,0,0),"Night"
))</f>
        <v/>
      </c>
      <c r="O4850" t="str">
        <f t="shared" si="452"/>
        <v/>
      </c>
    </row>
    <row r="4851" spans="7:15" x14ac:dyDescent="0.25">
      <c r="G4851" t="str">
        <f t="shared" si="450"/>
        <v/>
      </c>
      <c r="H4851" s="13" t="str">
        <f t="shared" si="453"/>
        <v/>
      </c>
      <c r="I4851" t="str">
        <f>IFERROR(INDEX(Analysis!$D$116:$N$137, MATCH(B4851, Analysis!$C$116:$C$137, 0), MATCH(C4851, Analysis!$D$115:$N$115, 0)), "")</f>
        <v/>
      </c>
      <c r="J4851" t="str">
        <f t="shared" si="454"/>
        <v/>
      </c>
      <c r="K4851" s="28" t="str">
        <f t="shared" si="451"/>
        <v/>
      </c>
      <c r="L4851" s="46" t="str">
        <f t="shared" si="455"/>
        <v/>
      </c>
      <c r="M4851" t="str" cm="1">
        <f t="array" ref="M4851">IF(L4851="","",_xlfn.IFS(
  AND(L4851&gt;=TIME(9,0,0), L4851&lt;TIME(16,0,0)),"Morning",
  AND(L4851&gt;=TIME(16,0,0), L4851&lt;TIME(23,59,0)),"Evening",
  L4851&gt;=TIME(23,59,0),"Night",
  L4851&lt;TIME(9,0,0),"Night"
))</f>
        <v/>
      </c>
      <c r="O4851" t="str">
        <f t="shared" si="452"/>
        <v/>
      </c>
    </row>
    <row r="4852" spans="7:15" x14ac:dyDescent="0.25">
      <c r="G4852" t="str">
        <f t="shared" si="450"/>
        <v/>
      </c>
      <c r="H4852" s="13" t="str">
        <f t="shared" si="453"/>
        <v/>
      </c>
      <c r="I4852" t="str">
        <f>IFERROR(INDEX(Analysis!$D$116:$N$137, MATCH(B4852, Analysis!$C$116:$C$137, 0), MATCH(C4852, Analysis!$D$115:$N$115, 0)), "")</f>
        <v/>
      </c>
      <c r="J4852" t="str">
        <f t="shared" si="454"/>
        <v/>
      </c>
      <c r="K4852" s="28" t="str">
        <f t="shared" si="451"/>
        <v/>
      </c>
      <c r="L4852" s="46" t="str">
        <f t="shared" si="455"/>
        <v/>
      </c>
      <c r="M4852" t="str" cm="1">
        <f t="array" ref="M4852">IF(L4852="","",_xlfn.IFS(
  AND(L4852&gt;=TIME(9,0,0), L4852&lt;TIME(16,0,0)),"Morning",
  AND(L4852&gt;=TIME(16,0,0), L4852&lt;TIME(23,59,0)),"Evening",
  L4852&gt;=TIME(23,59,0),"Night",
  L4852&lt;TIME(9,0,0),"Night"
))</f>
        <v/>
      </c>
      <c r="O4852" t="str">
        <f t="shared" si="452"/>
        <v/>
      </c>
    </row>
    <row r="4853" spans="7:15" x14ac:dyDescent="0.25">
      <c r="G4853" t="str">
        <f t="shared" si="450"/>
        <v/>
      </c>
      <c r="H4853" s="13" t="str">
        <f t="shared" si="453"/>
        <v/>
      </c>
      <c r="I4853" t="str">
        <f>IFERROR(INDEX(Analysis!$D$116:$N$137, MATCH(B4853, Analysis!$C$116:$C$137, 0), MATCH(C4853, Analysis!$D$115:$N$115, 0)), "")</f>
        <v/>
      </c>
      <c r="J4853" t="str">
        <f t="shared" si="454"/>
        <v/>
      </c>
      <c r="K4853" s="28" t="str">
        <f t="shared" si="451"/>
        <v/>
      </c>
      <c r="L4853" s="46" t="str">
        <f t="shared" si="455"/>
        <v/>
      </c>
      <c r="M4853" t="str" cm="1">
        <f t="array" ref="M4853">IF(L4853="","",_xlfn.IFS(
  AND(L4853&gt;=TIME(9,0,0), L4853&lt;TIME(16,0,0)),"Morning",
  AND(L4853&gt;=TIME(16,0,0), L4853&lt;TIME(23,59,0)),"Evening",
  L4853&gt;=TIME(23,59,0),"Night",
  L4853&lt;TIME(9,0,0),"Night"
))</f>
        <v/>
      </c>
      <c r="O4853" t="str">
        <f t="shared" si="452"/>
        <v/>
      </c>
    </row>
    <row r="4854" spans="7:15" x14ac:dyDescent="0.25">
      <c r="G4854" t="str">
        <f t="shared" si="450"/>
        <v/>
      </c>
      <c r="H4854" s="13" t="str">
        <f t="shared" si="453"/>
        <v/>
      </c>
      <c r="I4854" t="str">
        <f>IFERROR(INDEX(Analysis!$D$116:$N$137, MATCH(B4854, Analysis!$C$116:$C$137, 0), MATCH(C4854, Analysis!$D$115:$N$115, 0)), "")</f>
        <v/>
      </c>
      <c r="J4854" t="str">
        <f t="shared" si="454"/>
        <v/>
      </c>
      <c r="K4854" s="28" t="str">
        <f t="shared" si="451"/>
        <v/>
      </c>
      <c r="L4854" s="46" t="str">
        <f t="shared" si="455"/>
        <v/>
      </c>
      <c r="M4854" t="str" cm="1">
        <f t="array" ref="M4854">IF(L4854="","",_xlfn.IFS(
  AND(L4854&gt;=TIME(9,0,0), L4854&lt;TIME(16,0,0)),"Morning",
  AND(L4854&gt;=TIME(16,0,0), L4854&lt;TIME(23,59,0)),"Evening",
  L4854&gt;=TIME(23,59,0),"Night",
  L4854&lt;TIME(9,0,0),"Night"
))</f>
        <v/>
      </c>
      <c r="O4854" t="str">
        <f t="shared" si="452"/>
        <v/>
      </c>
    </row>
    <row r="4855" spans="7:15" x14ac:dyDescent="0.25">
      <c r="G4855" t="str">
        <f t="shared" si="450"/>
        <v/>
      </c>
      <c r="H4855" s="13" t="str">
        <f t="shared" si="453"/>
        <v/>
      </c>
      <c r="I4855" t="str">
        <f>IFERROR(INDEX(Analysis!$D$116:$N$137, MATCH(B4855, Analysis!$C$116:$C$137, 0), MATCH(C4855, Analysis!$D$115:$N$115, 0)), "")</f>
        <v/>
      </c>
      <c r="J4855" t="str">
        <f t="shared" si="454"/>
        <v/>
      </c>
      <c r="K4855" s="28" t="str">
        <f t="shared" si="451"/>
        <v/>
      </c>
      <c r="L4855" s="46" t="str">
        <f t="shared" si="455"/>
        <v/>
      </c>
      <c r="M4855" t="str" cm="1">
        <f t="array" ref="M4855">IF(L4855="","",_xlfn.IFS(
  AND(L4855&gt;=TIME(9,0,0), L4855&lt;TIME(16,0,0)),"Morning",
  AND(L4855&gt;=TIME(16,0,0), L4855&lt;TIME(23,59,0)),"Evening",
  L4855&gt;=TIME(23,59,0),"Night",
  L4855&lt;TIME(9,0,0),"Night"
))</f>
        <v/>
      </c>
      <c r="O4855" t="str">
        <f t="shared" si="452"/>
        <v/>
      </c>
    </row>
    <row r="4856" spans="7:15" x14ac:dyDescent="0.25">
      <c r="G4856" t="str">
        <f t="shared" si="450"/>
        <v/>
      </c>
      <c r="H4856" s="13" t="str">
        <f t="shared" si="453"/>
        <v/>
      </c>
      <c r="I4856" t="str">
        <f>IFERROR(INDEX(Analysis!$D$116:$N$137, MATCH(B4856, Analysis!$C$116:$C$137, 0), MATCH(C4856, Analysis!$D$115:$N$115, 0)), "")</f>
        <v/>
      </c>
      <c r="J4856" t="str">
        <f t="shared" si="454"/>
        <v/>
      </c>
      <c r="K4856" s="28" t="str">
        <f t="shared" si="451"/>
        <v/>
      </c>
      <c r="L4856" s="46" t="str">
        <f t="shared" si="455"/>
        <v/>
      </c>
      <c r="M4856" t="str" cm="1">
        <f t="array" ref="M4856">IF(L4856="","",_xlfn.IFS(
  AND(L4856&gt;=TIME(9,0,0), L4856&lt;TIME(16,0,0)),"Morning",
  AND(L4856&gt;=TIME(16,0,0), L4856&lt;TIME(23,59,0)),"Evening",
  L4856&gt;=TIME(23,59,0),"Night",
  L4856&lt;TIME(9,0,0),"Night"
))</f>
        <v/>
      </c>
      <c r="O4856" t="str">
        <f t="shared" si="452"/>
        <v/>
      </c>
    </row>
    <row r="4857" spans="7:15" x14ac:dyDescent="0.25">
      <c r="G4857" t="str">
        <f t="shared" si="450"/>
        <v/>
      </c>
      <c r="H4857" s="13" t="str">
        <f t="shared" si="453"/>
        <v/>
      </c>
      <c r="I4857" t="str">
        <f>IFERROR(INDEX(Analysis!$D$116:$N$137, MATCH(B4857, Analysis!$C$116:$C$137, 0), MATCH(C4857, Analysis!$D$115:$N$115, 0)), "")</f>
        <v/>
      </c>
      <c r="J4857" t="str">
        <f t="shared" si="454"/>
        <v/>
      </c>
      <c r="K4857" s="28" t="str">
        <f t="shared" si="451"/>
        <v/>
      </c>
      <c r="L4857" s="46" t="str">
        <f t="shared" si="455"/>
        <v/>
      </c>
      <c r="M4857" t="str" cm="1">
        <f t="array" ref="M4857">IF(L4857="","",_xlfn.IFS(
  AND(L4857&gt;=TIME(9,0,0), L4857&lt;TIME(16,0,0)),"Morning",
  AND(L4857&gt;=TIME(16,0,0), L4857&lt;TIME(23,59,0)),"Evening",
  L4857&gt;=TIME(23,59,0),"Night",
  L4857&lt;TIME(9,0,0),"Night"
))</f>
        <v/>
      </c>
      <c r="O4857" t="str">
        <f t="shared" si="452"/>
        <v/>
      </c>
    </row>
    <row r="4858" spans="7:15" x14ac:dyDescent="0.25">
      <c r="G4858" t="str">
        <f t="shared" si="450"/>
        <v/>
      </c>
      <c r="H4858" s="13" t="str">
        <f t="shared" si="453"/>
        <v/>
      </c>
      <c r="I4858" t="str">
        <f>IFERROR(INDEX(Analysis!$D$116:$N$137, MATCH(B4858, Analysis!$C$116:$C$137, 0), MATCH(C4858, Analysis!$D$115:$N$115, 0)), "")</f>
        <v/>
      </c>
      <c r="J4858" t="str">
        <f t="shared" si="454"/>
        <v/>
      </c>
      <c r="K4858" s="28" t="str">
        <f t="shared" si="451"/>
        <v/>
      </c>
      <c r="L4858" s="46" t="str">
        <f t="shared" si="455"/>
        <v/>
      </c>
      <c r="M4858" t="str" cm="1">
        <f t="array" ref="M4858">IF(L4858="","",_xlfn.IFS(
  AND(L4858&gt;=TIME(9,0,0), L4858&lt;TIME(16,0,0)),"Morning",
  AND(L4858&gt;=TIME(16,0,0), L4858&lt;TIME(23,59,0)),"Evening",
  L4858&gt;=TIME(23,59,0),"Night",
  L4858&lt;TIME(9,0,0),"Night"
))</f>
        <v/>
      </c>
      <c r="O4858" t="str">
        <f t="shared" si="452"/>
        <v/>
      </c>
    </row>
    <row r="4859" spans="7:15" x14ac:dyDescent="0.25">
      <c r="G4859" t="str">
        <f t="shared" si="450"/>
        <v/>
      </c>
      <c r="H4859" s="13" t="str">
        <f t="shared" si="453"/>
        <v/>
      </c>
      <c r="I4859" t="str">
        <f>IFERROR(INDEX(Analysis!$D$116:$N$137, MATCH(B4859, Analysis!$C$116:$C$137, 0), MATCH(C4859, Analysis!$D$115:$N$115, 0)), "")</f>
        <v/>
      </c>
      <c r="J4859" t="str">
        <f t="shared" si="454"/>
        <v/>
      </c>
      <c r="K4859" s="28" t="str">
        <f t="shared" si="451"/>
        <v/>
      </c>
      <c r="L4859" s="46" t="str">
        <f t="shared" si="455"/>
        <v/>
      </c>
      <c r="M4859" t="str" cm="1">
        <f t="array" ref="M4859">IF(L4859="","",_xlfn.IFS(
  AND(L4859&gt;=TIME(9,0,0), L4859&lt;TIME(16,0,0)),"Morning",
  AND(L4859&gt;=TIME(16,0,0), L4859&lt;TIME(23,59,0)),"Evening",
  L4859&gt;=TIME(23,59,0),"Night",
  L4859&lt;TIME(9,0,0),"Night"
))</f>
        <v/>
      </c>
      <c r="O4859" t="str">
        <f t="shared" si="452"/>
        <v/>
      </c>
    </row>
    <row r="4860" spans="7:15" x14ac:dyDescent="0.25">
      <c r="G4860" t="str">
        <f t="shared" si="450"/>
        <v/>
      </c>
      <c r="H4860" s="13" t="str">
        <f t="shared" si="453"/>
        <v/>
      </c>
      <c r="I4860" t="str">
        <f>IFERROR(INDEX(Analysis!$D$116:$N$137, MATCH(B4860, Analysis!$C$116:$C$137, 0), MATCH(C4860, Analysis!$D$115:$N$115, 0)), "")</f>
        <v/>
      </c>
      <c r="J4860" t="str">
        <f t="shared" si="454"/>
        <v/>
      </c>
      <c r="K4860" s="28" t="str">
        <f t="shared" si="451"/>
        <v/>
      </c>
      <c r="L4860" s="46" t="str">
        <f t="shared" si="455"/>
        <v/>
      </c>
      <c r="M4860" t="str" cm="1">
        <f t="array" ref="M4860">IF(L4860="","",_xlfn.IFS(
  AND(L4860&gt;=TIME(9,0,0), L4860&lt;TIME(16,0,0)),"Morning",
  AND(L4860&gt;=TIME(16,0,0), L4860&lt;TIME(23,59,0)),"Evening",
  L4860&gt;=TIME(23,59,0),"Night",
  L4860&lt;TIME(9,0,0),"Night"
))</f>
        <v/>
      </c>
      <c r="O4860" t="str">
        <f t="shared" si="452"/>
        <v/>
      </c>
    </row>
    <row r="4861" spans="7:15" x14ac:dyDescent="0.25">
      <c r="G4861" t="str">
        <f t="shared" si="450"/>
        <v/>
      </c>
      <c r="H4861" s="13" t="str">
        <f t="shared" si="453"/>
        <v/>
      </c>
      <c r="I4861" t="str">
        <f>IFERROR(INDEX(Analysis!$D$116:$N$137, MATCH(B4861, Analysis!$C$116:$C$137, 0), MATCH(C4861, Analysis!$D$115:$N$115, 0)), "")</f>
        <v/>
      </c>
      <c r="J4861" t="str">
        <f t="shared" si="454"/>
        <v/>
      </c>
      <c r="K4861" s="28" t="str">
        <f t="shared" si="451"/>
        <v/>
      </c>
      <c r="L4861" s="46" t="str">
        <f t="shared" si="455"/>
        <v/>
      </c>
      <c r="M4861" t="str" cm="1">
        <f t="array" ref="M4861">IF(L4861="","",_xlfn.IFS(
  AND(L4861&gt;=TIME(9,0,0), L4861&lt;TIME(16,0,0)),"Morning",
  AND(L4861&gt;=TIME(16,0,0), L4861&lt;TIME(23,59,0)),"Evening",
  L4861&gt;=TIME(23,59,0),"Night",
  L4861&lt;TIME(9,0,0),"Night"
))</f>
        <v/>
      </c>
      <c r="O4861" t="str">
        <f t="shared" si="452"/>
        <v/>
      </c>
    </row>
    <row r="4862" spans="7:15" x14ac:dyDescent="0.25">
      <c r="G4862" t="str">
        <f t="shared" si="450"/>
        <v/>
      </c>
      <c r="H4862" s="13" t="str">
        <f t="shared" si="453"/>
        <v/>
      </c>
      <c r="I4862" t="str">
        <f>IFERROR(INDEX(Analysis!$D$116:$N$137, MATCH(B4862, Analysis!$C$116:$C$137, 0), MATCH(C4862, Analysis!$D$115:$N$115, 0)), "")</f>
        <v/>
      </c>
      <c r="J4862" t="str">
        <f t="shared" si="454"/>
        <v/>
      </c>
      <c r="K4862" s="28" t="str">
        <f t="shared" si="451"/>
        <v/>
      </c>
      <c r="L4862" s="46" t="str">
        <f t="shared" si="455"/>
        <v/>
      </c>
      <c r="M4862" t="str" cm="1">
        <f t="array" ref="M4862">IF(L4862="","",_xlfn.IFS(
  AND(L4862&gt;=TIME(9,0,0), L4862&lt;TIME(16,0,0)),"Morning",
  AND(L4862&gt;=TIME(16,0,0), L4862&lt;TIME(23,59,0)),"Evening",
  L4862&gt;=TIME(23,59,0),"Night",
  L4862&lt;TIME(9,0,0),"Night"
))</f>
        <v/>
      </c>
      <c r="O4862" t="str">
        <f t="shared" si="452"/>
        <v/>
      </c>
    </row>
    <row r="4863" spans="7:15" x14ac:dyDescent="0.25">
      <c r="G4863" t="str">
        <f t="shared" si="450"/>
        <v/>
      </c>
      <c r="H4863" s="13" t="str">
        <f t="shared" si="453"/>
        <v/>
      </c>
      <c r="I4863" t="str">
        <f>IFERROR(INDEX(Analysis!$D$116:$N$137, MATCH(B4863, Analysis!$C$116:$C$137, 0), MATCH(C4863, Analysis!$D$115:$N$115, 0)), "")</f>
        <v/>
      </c>
      <c r="J4863" t="str">
        <f t="shared" si="454"/>
        <v/>
      </c>
      <c r="K4863" s="28" t="str">
        <f t="shared" si="451"/>
        <v/>
      </c>
      <c r="L4863" s="46" t="str">
        <f t="shared" si="455"/>
        <v/>
      </c>
      <c r="M4863" t="str" cm="1">
        <f t="array" ref="M4863">IF(L4863="","",_xlfn.IFS(
  AND(L4863&gt;=TIME(9,0,0), L4863&lt;TIME(16,0,0)),"Morning",
  AND(L4863&gt;=TIME(16,0,0), L4863&lt;TIME(23,59,0)),"Evening",
  L4863&gt;=TIME(23,59,0),"Night",
  L4863&lt;TIME(9,0,0),"Night"
))</f>
        <v/>
      </c>
      <c r="O4863" t="str">
        <f t="shared" si="452"/>
        <v/>
      </c>
    </row>
    <row r="4864" spans="7:15" x14ac:dyDescent="0.25">
      <c r="G4864" t="str">
        <f t="shared" si="450"/>
        <v/>
      </c>
      <c r="H4864" s="13" t="str">
        <f t="shared" si="453"/>
        <v/>
      </c>
      <c r="I4864" t="str">
        <f>IFERROR(INDEX(Analysis!$D$116:$N$137, MATCH(B4864, Analysis!$C$116:$C$137, 0), MATCH(C4864, Analysis!$D$115:$N$115, 0)), "")</f>
        <v/>
      </c>
      <c r="J4864" t="str">
        <f t="shared" si="454"/>
        <v/>
      </c>
      <c r="K4864" s="28" t="str">
        <f t="shared" si="451"/>
        <v/>
      </c>
      <c r="L4864" s="46" t="str">
        <f t="shared" si="455"/>
        <v/>
      </c>
      <c r="M4864" t="str" cm="1">
        <f t="array" ref="M4864">IF(L4864="","",_xlfn.IFS(
  AND(L4864&gt;=TIME(9,0,0), L4864&lt;TIME(16,0,0)),"Morning",
  AND(L4864&gt;=TIME(16,0,0), L4864&lt;TIME(23,59,0)),"Evening",
  L4864&gt;=TIME(23,59,0),"Night",
  L4864&lt;TIME(9,0,0),"Night"
))</f>
        <v/>
      </c>
      <c r="O4864" t="str">
        <f t="shared" si="452"/>
        <v/>
      </c>
    </row>
    <row r="4865" spans="7:15" x14ac:dyDescent="0.25">
      <c r="G4865" t="str">
        <f t="shared" si="450"/>
        <v/>
      </c>
      <c r="H4865" s="13" t="str">
        <f t="shared" si="453"/>
        <v/>
      </c>
      <c r="I4865" t="str">
        <f>IFERROR(INDEX(Analysis!$D$116:$N$137, MATCH(B4865, Analysis!$C$116:$C$137, 0), MATCH(C4865, Analysis!$D$115:$N$115, 0)), "")</f>
        <v/>
      </c>
      <c r="J4865" t="str">
        <f t="shared" si="454"/>
        <v/>
      </c>
      <c r="K4865" s="28" t="str">
        <f t="shared" si="451"/>
        <v/>
      </c>
      <c r="L4865" s="46" t="str">
        <f t="shared" si="455"/>
        <v/>
      </c>
      <c r="M4865" t="str" cm="1">
        <f t="array" ref="M4865">IF(L4865="","",_xlfn.IFS(
  AND(L4865&gt;=TIME(9,0,0), L4865&lt;TIME(16,0,0)),"Morning",
  AND(L4865&gt;=TIME(16,0,0), L4865&lt;TIME(23,59,0)),"Evening",
  L4865&gt;=TIME(23,59,0),"Night",
  L4865&lt;TIME(9,0,0),"Night"
))</f>
        <v/>
      </c>
      <c r="O4865" t="str">
        <f t="shared" si="452"/>
        <v/>
      </c>
    </row>
    <row r="4866" spans="7:15" x14ac:dyDescent="0.25">
      <c r="G4866" t="str">
        <f t="shared" ref="G4866:G4929" si="456">IF(ISBLANK(A4866), "", IF(ISBLANK(F4866), 0, F4866))</f>
        <v/>
      </c>
      <c r="H4866" s="13" t="str">
        <f t="shared" si="453"/>
        <v/>
      </c>
      <c r="I4866" t="str">
        <f>IFERROR(INDEX(Analysis!$D$116:$N$137, MATCH(B4866, Analysis!$C$116:$C$137, 0), MATCH(C4866, Analysis!$D$115:$N$115, 0)), "")</f>
        <v/>
      </c>
      <c r="J4866" t="str">
        <f t="shared" si="454"/>
        <v/>
      </c>
      <c r="K4866" s="28" t="str">
        <f t="shared" ref="K4866:K4929" si="457">IF(ISBLANK(A4866),"",DATE(YEAR(A4866),MONTH(A4866),DAY(A4866)))</f>
        <v/>
      </c>
      <c r="L4866" s="46" t="str">
        <f t="shared" si="455"/>
        <v/>
      </c>
      <c r="M4866" t="str" cm="1">
        <f t="array" ref="M4866">IF(L4866="","",_xlfn.IFS(
  AND(L4866&gt;=TIME(9,0,0), L4866&lt;TIME(16,0,0)),"Morning",
  AND(L4866&gt;=TIME(16,0,0), L4866&lt;TIME(23,59,0)),"Evening",
  L4866&gt;=TIME(23,59,0),"Night",
  L4866&lt;TIME(9,0,0),"Night"
))</f>
        <v/>
      </c>
      <c r="O4866" t="str">
        <f t="shared" ref="O4866:O4929" si="458">IF(N4866="ON", _xlfn.IMAGE(E4866, 1), "")</f>
        <v/>
      </c>
    </row>
    <row r="4867" spans="7:15" x14ac:dyDescent="0.25">
      <c r="G4867" t="str">
        <f t="shared" si="456"/>
        <v/>
      </c>
      <c r="H4867" s="13" t="str">
        <f t="shared" ref="H4867:H4930" si="459">IF(ISBLANK(E4867),"",HYPERLINK(E4867,"Click here"))</f>
        <v/>
      </c>
      <c r="I4867" t="str">
        <f>IFERROR(INDEX(Analysis!$D$116:$N$137, MATCH(B4867, Analysis!$C$116:$C$137, 0), MATCH(C4867, Analysis!$D$115:$N$115, 0)), "")</f>
        <v/>
      </c>
      <c r="J4867" t="str">
        <f t="shared" ref="J4867:J4930" si="460">IF(ISBLANK(A4867),"",WEEKNUM(A4867))</f>
        <v/>
      </c>
      <c r="K4867" s="28" t="str">
        <f t="shared" si="457"/>
        <v/>
      </c>
      <c r="L4867" s="46" t="str">
        <f t="shared" ref="L4867:L4930" si="461">IF(A4867="", "", A4867 - INT(A4867))</f>
        <v/>
      </c>
      <c r="M4867" t="str" cm="1">
        <f t="array" ref="M4867">IF(L4867="","",_xlfn.IFS(
  AND(L4867&gt;=TIME(9,0,0), L4867&lt;TIME(16,0,0)),"Morning",
  AND(L4867&gt;=TIME(16,0,0), L4867&lt;TIME(23,59,0)),"Evening",
  L4867&gt;=TIME(23,59,0),"Night",
  L4867&lt;TIME(9,0,0),"Night"
))</f>
        <v/>
      </c>
      <c r="O4867" t="str">
        <f t="shared" si="458"/>
        <v/>
      </c>
    </row>
    <row r="4868" spans="7:15" x14ac:dyDescent="0.25">
      <c r="G4868" t="str">
        <f t="shared" si="456"/>
        <v/>
      </c>
      <c r="H4868" s="13" t="str">
        <f t="shared" si="459"/>
        <v/>
      </c>
      <c r="I4868" t="str">
        <f>IFERROR(INDEX(Analysis!$D$116:$N$137, MATCH(B4868, Analysis!$C$116:$C$137, 0), MATCH(C4868, Analysis!$D$115:$N$115, 0)), "")</f>
        <v/>
      </c>
      <c r="J4868" t="str">
        <f t="shared" si="460"/>
        <v/>
      </c>
      <c r="K4868" s="28" t="str">
        <f t="shared" si="457"/>
        <v/>
      </c>
      <c r="L4868" s="46" t="str">
        <f t="shared" si="461"/>
        <v/>
      </c>
      <c r="M4868" t="str" cm="1">
        <f t="array" ref="M4868">IF(L4868="","",_xlfn.IFS(
  AND(L4868&gt;=TIME(9,0,0), L4868&lt;TIME(16,0,0)),"Morning",
  AND(L4868&gt;=TIME(16,0,0), L4868&lt;TIME(23,59,0)),"Evening",
  L4868&gt;=TIME(23,59,0),"Night",
  L4868&lt;TIME(9,0,0),"Night"
))</f>
        <v/>
      </c>
      <c r="O4868" t="str">
        <f t="shared" si="458"/>
        <v/>
      </c>
    </row>
    <row r="4869" spans="7:15" x14ac:dyDescent="0.25">
      <c r="G4869" t="str">
        <f t="shared" si="456"/>
        <v/>
      </c>
      <c r="H4869" s="13" t="str">
        <f t="shared" si="459"/>
        <v/>
      </c>
      <c r="I4869" t="str">
        <f>IFERROR(INDEX(Analysis!$D$116:$N$137, MATCH(B4869, Analysis!$C$116:$C$137, 0), MATCH(C4869, Analysis!$D$115:$N$115, 0)), "")</f>
        <v/>
      </c>
      <c r="J4869" t="str">
        <f t="shared" si="460"/>
        <v/>
      </c>
      <c r="K4869" s="28" t="str">
        <f t="shared" si="457"/>
        <v/>
      </c>
      <c r="L4869" s="46" t="str">
        <f t="shared" si="461"/>
        <v/>
      </c>
      <c r="M4869" t="str" cm="1">
        <f t="array" ref="M4869">IF(L4869="","",_xlfn.IFS(
  AND(L4869&gt;=TIME(9,0,0), L4869&lt;TIME(16,0,0)),"Morning",
  AND(L4869&gt;=TIME(16,0,0), L4869&lt;TIME(23,59,0)),"Evening",
  L4869&gt;=TIME(23,59,0),"Night",
  L4869&lt;TIME(9,0,0),"Night"
))</f>
        <v/>
      </c>
      <c r="O4869" t="str">
        <f t="shared" si="458"/>
        <v/>
      </c>
    </row>
    <row r="4870" spans="7:15" x14ac:dyDescent="0.25">
      <c r="G4870" t="str">
        <f t="shared" si="456"/>
        <v/>
      </c>
      <c r="H4870" s="13" t="str">
        <f t="shared" si="459"/>
        <v/>
      </c>
      <c r="I4870" t="str">
        <f>IFERROR(INDEX(Analysis!$D$116:$N$137, MATCH(B4870, Analysis!$C$116:$C$137, 0), MATCH(C4870, Analysis!$D$115:$N$115, 0)), "")</f>
        <v/>
      </c>
      <c r="J4870" t="str">
        <f t="shared" si="460"/>
        <v/>
      </c>
      <c r="K4870" s="28" t="str">
        <f t="shared" si="457"/>
        <v/>
      </c>
      <c r="L4870" s="46" t="str">
        <f t="shared" si="461"/>
        <v/>
      </c>
      <c r="M4870" t="str" cm="1">
        <f t="array" ref="M4870">IF(L4870="","",_xlfn.IFS(
  AND(L4870&gt;=TIME(9,0,0), L4870&lt;TIME(16,0,0)),"Morning",
  AND(L4870&gt;=TIME(16,0,0), L4870&lt;TIME(23,59,0)),"Evening",
  L4870&gt;=TIME(23,59,0),"Night",
  L4870&lt;TIME(9,0,0),"Night"
))</f>
        <v/>
      </c>
      <c r="O4870" t="str">
        <f t="shared" si="458"/>
        <v/>
      </c>
    </row>
    <row r="4871" spans="7:15" x14ac:dyDescent="0.25">
      <c r="G4871" t="str">
        <f t="shared" si="456"/>
        <v/>
      </c>
      <c r="H4871" s="13" t="str">
        <f t="shared" si="459"/>
        <v/>
      </c>
      <c r="I4871" t="str">
        <f>IFERROR(INDEX(Analysis!$D$116:$N$137, MATCH(B4871, Analysis!$C$116:$C$137, 0), MATCH(C4871, Analysis!$D$115:$N$115, 0)), "")</f>
        <v/>
      </c>
      <c r="J4871" t="str">
        <f t="shared" si="460"/>
        <v/>
      </c>
      <c r="K4871" s="28" t="str">
        <f t="shared" si="457"/>
        <v/>
      </c>
      <c r="L4871" s="46" t="str">
        <f t="shared" si="461"/>
        <v/>
      </c>
      <c r="M4871" t="str" cm="1">
        <f t="array" ref="M4871">IF(L4871="","",_xlfn.IFS(
  AND(L4871&gt;=TIME(9,0,0), L4871&lt;TIME(16,0,0)),"Morning",
  AND(L4871&gt;=TIME(16,0,0), L4871&lt;TIME(23,59,0)),"Evening",
  L4871&gt;=TIME(23,59,0),"Night",
  L4871&lt;TIME(9,0,0),"Night"
))</f>
        <v/>
      </c>
      <c r="O4871" t="str">
        <f t="shared" si="458"/>
        <v/>
      </c>
    </row>
    <row r="4872" spans="7:15" x14ac:dyDescent="0.25">
      <c r="G4872" t="str">
        <f t="shared" si="456"/>
        <v/>
      </c>
      <c r="H4872" s="13" t="str">
        <f t="shared" si="459"/>
        <v/>
      </c>
      <c r="I4872" t="str">
        <f>IFERROR(INDEX(Analysis!$D$116:$N$137, MATCH(B4872, Analysis!$C$116:$C$137, 0), MATCH(C4872, Analysis!$D$115:$N$115, 0)), "")</f>
        <v/>
      </c>
      <c r="J4872" t="str">
        <f t="shared" si="460"/>
        <v/>
      </c>
      <c r="K4872" s="28" t="str">
        <f t="shared" si="457"/>
        <v/>
      </c>
      <c r="L4872" s="46" t="str">
        <f t="shared" si="461"/>
        <v/>
      </c>
      <c r="M4872" t="str" cm="1">
        <f t="array" ref="M4872">IF(L4872="","",_xlfn.IFS(
  AND(L4872&gt;=TIME(9,0,0), L4872&lt;TIME(16,0,0)),"Morning",
  AND(L4872&gt;=TIME(16,0,0), L4872&lt;TIME(23,59,0)),"Evening",
  L4872&gt;=TIME(23,59,0),"Night",
  L4872&lt;TIME(9,0,0),"Night"
))</f>
        <v/>
      </c>
      <c r="O4872" t="str">
        <f t="shared" si="458"/>
        <v/>
      </c>
    </row>
    <row r="4873" spans="7:15" x14ac:dyDescent="0.25">
      <c r="G4873" t="str">
        <f t="shared" si="456"/>
        <v/>
      </c>
      <c r="H4873" s="13" t="str">
        <f t="shared" si="459"/>
        <v/>
      </c>
      <c r="I4873" t="str">
        <f>IFERROR(INDEX(Analysis!$D$116:$N$137, MATCH(B4873, Analysis!$C$116:$C$137, 0), MATCH(C4873, Analysis!$D$115:$N$115, 0)), "")</f>
        <v/>
      </c>
      <c r="J4873" t="str">
        <f t="shared" si="460"/>
        <v/>
      </c>
      <c r="K4873" s="28" t="str">
        <f t="shared" si="457"/>
        <v/>
      </c>
      <c r="L4873" s="46" t="str">
        <f t="shared" si="461"/>
        <v/>
      </c>
      <c r="M4873" t="str" cm="1">
        <f t="array" ref="M4873">IF(L4873="","",_xlfn.IFS(
  AND(L4873&gt;=TIME(9,0,0), L4873&lt;TIME(16,0,0)),"Morning",
  AND(L4873&gt;=TIME(16,0,0), L4873&lt;TIME(23,59,0)),"Evening",
  L4873&gt;=TIME(23,59,0),"Night",
  L4873&lt;TIME(9,0,0),"Night"
))</f>
        <v/>
      </c>
      <c r="O4873" t="str">
        <f t="shared" si="458"/>
        <v/>
      </c>
    </row>
    <row r="4874" spans="7:15" x14ac:dyDescent="0.25">
      <c r="G4874" t="str">
        <f t="shared" si="456"/>
        <v/>
      </c>
      <c r="H4874" s="13" t="str">
        <f t="shared" si="459"/>
        <v/>
      </c>
      <c r="I4874" t="str">
        <f>IFERROR(INDEX(Analysis!$D$116:$N$137, MATCH(B4874, Analysis!$C$116:$C$137, 0), MATCH(C4874, Analysis!$D$115:$N$115, 0)), "")</f>
        <v/>
      </c>
      <c r="J4874" t="str">
        <f t="shared" si="460"/>
        <v/>
      </c>
      <c r="K4874" s="28" t="str">
        <f t="shared" si="457"/>
        <v/>
      </c>
      <c r="L4874" s="46" t="str">
        <f t="shared" si="461"/>
        <v/>
      </c>
      <c r="M4874" t="str" cm="1">
        <f t="array" ref="M4874">IF(L4874="","",_xlfn.IFS(
  AND(L4874&gt;=TIME(9,0,0), L4874&lt;TIME(16,0,0)),"Morning",
  AND(L4874&gt;=TIME(16,0,0), L4874&lt;TIME(23,59,0)),"Evening",
  L4874&gt;=TIME(23,59,0),"Night",
  L4874&lt;TIME(9,0,0),"Night"
))</f>
        <v/>
      </c>
      <c r="O4874" t="str">
        <f t="shared" si="458"/>
        <v/>
      </c>
    </row>
    <row r="4875" spans="7:15" x14ac:dyDescent="0.25">
      <c r="G4875" t="str">
        <f t="shared" si="456"/>
        <v/>
      </c>
      <c r="H4875" s="13" t="str">
        <f t="shared" si="459"/>
        <v/>
      </c>
      <c r="I4875" t="str">
        <f>IFERROR(INDEX(Analysis!$D$116:$N$137, MATCH(B4875, Analysis!$C$116:$C$137, 0), MATCH(C4875, Analysis!$D$115:$N$115, 0)), "")</f>
        <v/>
      </c>
      <c r="J4875" t="str">
        <f t="shared" si="460"/>
        <v/>
      </c>
      <c r="K4875" s="28" t="str">
        <f t="shared" si="457"/>
        <v/>
      </c>
      <c r="L4875" s="46" t="str">
        <f t="shared" si="461"/>
        <v/>
      </c>
      <c r="M4875" t="str" cm="1">
        <f t="array" ref="M4875">IF(L4875="","",_xlfn.IFS(
  AND(L4875&gt;=TIME(9,0,0), L4875&lt;TIME(16,0,0)),"Morning",
  AND(L4875&gt;=TIME(16,0,0), L4875&lt;TIME(23,59,0)),"Evening",
  L4875&gt;=TIME(23,59,0),"Night",
  L4875&lt;TIME(9,0,0),"Night"
))</f>
        <v/>
      </c>
      <c r="O4875" t="str">
        <f t="shared" si="458"/>
        <v/>
      </c>
    </row>
    <row r="4876" spans="7:15" x14ac:dyDescent="0.25">
      <c r="G4876" t="str">
        <f t="shared" si="456"/>
        <v/>
      </c>
      <c r="H4876" s="13" t="str">
        <f t="shared" si="459"/>
        <v/>
      </c>
      <c r="I4876" t="str">
        <f>IFERROR(INDEX(Analysis!$D$116:$N$137, MATCH(B4876, Analysis!$C$116:$C$137, 0), MATCH(C4876, Analysis!$D$115:$N$115, 0)), "")</f>
        <v/>
      </c>
      <c r="J4876" t="str">
        <f t="shared" si="460"/>
        <v/>
      </c>
      <c r="K4876" s="28" t="str">
        <f t="shared" si="457"/>
        <v/>
      </c>
      <c r="L4876" s="46" t="str">
        <f t="shared" si="461"/>
        <v/>
      </c>
      <c r="M4876" t="str" cm="1">
        <f t="array" ref="M4876">IF(L4876="","",_xlfn.IFS(
  AND(L4876&gt;=TIME(9,0,0), L4876&lt;TIME(16,0,0)),"Morning",
  AND(L4876&gt;=TIME(16,0,0), L4876&lt;TIME(23,59,0)),"Evening",
  L4876&gt;=TIME(23,59,0),"Night",
  L4876&lt;TIME(9,0,0),"Night"
))</f>
        <v/>
      </c>
      <c r="O4876" t="str">
        <f t="shared" si="458"/>
        <v/>
      </c>
    </row>
    <row r="4877" spans="7:15" x14ac:dyDescent="0.25">
      <c r="G4877" t="str">
        <f t="shared" si="456"/>
        <v/>
      </c>
      <c r="H4877" s="13" t="str">
        <f t="shared" si="459"/>
        <v/>
      </c>
      <c r="I4877" t="str">
        <f>IFERROR(INDEX(Analysis!$D$116:$N$137, MATCH(B4877, Analysis!$C$116:$C$137, 0), MATCH(C4877, Analysis!$D$115:$N$115, 0)), "")</f>
        <v/>
      </c>
      <c r="J4877" t="str">
        <f t="shared" si="460"/>
        <v/>
      </c>
      <c r="K4877" s="28" t="str">
        <f t="shared" si="457"/>
        <v/>
      </c>
      <c r="L4877" s="46" t="str">
        <f t="shared" si="461"/>
        <v/>
      </c>
      <c r="M4877" t="str" cm="1">
        <f t="array" ref="M4877">IF(L4877="","",_xlfn.IFS(
  AND(L4877&gt;=TIME(9,0,0), L4877&lt;TIME(16,0,0)),"Morning",
  AND(L4877&gt;=TIME(16,0,0), L4877&lt;TIME(23,59,0)),"Evening",
  L4877&gt;=TIME(23,59,0),"Night",
  L4877&lt;TIME(9,0,0),"Night"
))</f>
        <v/>
      </c>
      <c r="O4877" t="str">
        <f t="shared" si="458"/>
        <v/>
      </c>
    </row>
    <row r="4878" spans="7:15" x14ac:dyDescent="0.25">
      <c r="G4878" t="str">
        <f t="shared" si="456"/>
        <v/>
      </c>
      <c r="H4878" s="13" t="str">
        <f t="shared" si="459"/>
        <v/>
      </c>
      <c r="I4878" t="str">
        <f>IFERROR(INDEX(Analysis!$D$116:$N$137, MATCH(B4878, Analysis!$C$116:$C$137, 0), MATCH(C4878, Analysis!$D$115:$N$115, 0)), "")</f>
        <v/>
      </c>
      <c r="J4878" t="str">
        <f t="shared" si="460"/>
        <v/>
      </c>
      <c r="K4878" s="28" t="str">
        <f t="shared" si="457"/>
        <v/>
      </c>
      <c r="L4878" s="46" t="str">
        <f t="shared" si="461"/>
        <v/>
      </c>
      <c r="M4878" t="str" cm="1">
        <f t="array" ref="M4878">IF(L4878="","",_xlfn.IFS(
  AND(L4878&gt;=TIME(9,0,0), L4878&lt;TIME(16,0,0)),"Morning",
  AND(L4878&gt;=TIME(16,0,0), L4878&lt;TIME(23,59,0)),"Evening",
  L4878&gt;=TIME(23,59,0),"Night",
  L4878&lt;TIME(9,0,0),"Night"
))</f>
        <v/>
      </c>
      <c r="O4878" t="str">
        <f t="shared" si="458"/>
        <v/>
      </c>
    </row>
    <row r="4879" spans="7:15" x14ac:dyDescent="0.25">
      <c r="G4879" t="str">
        <f t="shared" si="456"/>
        <v/>
      </c>
      <c r="H4879" s="13" t="str">
        <f t="shared" si="459"/>
        <v/>
      </c>
      <c r="I4879" t="str">
        <f>IFERROR(INDEX(Analysis!$D$116:$N$137, MATCH(B4879, Analysis!$C$116:$C$137, 0), MATCH(C4879, Analysis!$D$115:$N$115, 0)), "")</f>
        <v/>
      </c>
      <c r="J4879" t="str">
        <f t="shared" si="460"/>
        <v/>
      </c>
      <c r="K4879" s="28" t="str">
        <f t="shared" si="457"/>
        <v/>
      </c>
      <c r="L4879" s="46" t="str">
        <f t="shared" si="461"/>
        <v/>
      </c>
      <c r="M4879" t="str" cm="1">
        <f t="array" ref="M4879">IF(L4879="","",_xlfn.IFS(
  AND(L4879&gt;=TIME(9,0,0), L4879&lt;TIME(16,0,0)),"Morning",
  AND(L4879&gt;=TIME(16,0,0), L4879&lt;TIME(23,59,0)),"Evening",
  L4879&gt;=TIME(23,59,0),"Night",
  L4879&lt;TIME(9,0,0),"Night"
))</f>
        <v/>
      </c>
      <c r="O4879" t="str">
        <f t="shared" si="458"/>
        <v/>
      </c>
    </row>
    <row r="4880" spans="7:15" x14ac:dyDescent="0.25">
      <c r="G4880" t="str">
        <f t="shared" si="456"/>
        <v/>
      </c>
      <c r="H4880" s="13" t="str">
        <f t="shared" si="459"/>
        <v/>
      </c>
      <c r="I4880" t="str">
        <f>IFERROR(INDEX(Analysis!$D$116:$N$137, MATCH(B4880, Analysis!$C$116:$C$137, 0), MATCH(C4880, Analysis!$D$115:$N$115, 0)), "")</f>
        <v/>
      </c>
      <c r="J4880" t="str">
        <f t="shared" si="460"/>
        <v/>
      </c>
      <c r="K4880" s="28" t="str">
        <f t="shared" si="457"/>
        <v/>
      </c>
      <c r="L4880" s="46" t="str">
        <f t="shared" si="461"/>
        <v/>
      </c>
      <c r="M4880" t="str" cm="1">
        <f t="array" ref="M4880">IF(L4880="","",_xlfn.IFS(
  AND(L4880&gt;=TIME(9,0,0), L4880&lt;TIME(16,0,0)),"Morning",
  AND(L4880&gt;=TIME(16,0,0), L4880&lt;TIME(23,59,0)),"Evening",
  L4880&gt;=TIME(23,59,0),"Night",
  L4880&lt;TIME(9,0,0),"Night"
))</f>
        <v/>
      </c>
      <c r="O4880" t="str">
        <f t="shared" si="458"/>
        <v/>
      </c>
    </row>
    <row r="4881" spans="7:15" x14ac:dyDescent="0.25">
      <c r="G4881" t="str">
        <f t="shared" si="456"/>
        <v/>
      </c>
      <c r="H4881" s="13" t="str">
        <f t="shared" si="459"/>
        <v/>
      </c>
      <c r="I4881" t="str">
        <f>IFERROR(INDEX(Analysis!$D$116:$N$137, MATCH(B4881, Analysis!$C$116:$C$137, 0), MATCH(C4881, Analysis!$D$115:$N$115, 0)), "")</f>
        <v/>
      </c>
      <c r="J4881" t="str">
        <f t="shared" si="460"/>
        <v/>
      </c>
      <c r="K4881" s="28" t="str">
        <f t="shared" si="457"/>
        <v/>
      </c>
      <c r="L4881" s="46" t="str">
        <f t="shared" si="461"/>
        <v/>
      </c>
      <c r="M4881" t="str" cm="1">
        <f t="array" ref="M4881">IF(L4881="","",_xlfn.IFS(
  AND(L4881&gt;=TIME(9,0,0), L4881&lt;TIME(16,0,0)),"Morning",
  AND(L4881&gt;=TIME(16,0,0), L4881&lt;TIME(23,59,0)),"Evening",
  L4881&gt;=TIME(23,59,0),"Night",
  L4881&lt;TIME(9,0,0),"Night"
))</f>
        <v/>
      </c>
      <c r="O4881" t="str">
        <f t="shared" si="458"/>
        <v/>
      </c>
    </row>
    <row r="4882" spans="7:15" x14ac:dyDescent="0.25">
      <c r="G4882" t="str">
        <f t="shared" si="456"/>
        <v/>
      </c>
      <c r="H4882" s="13" t="str">
        <f t="shared" si="459"/>
        <v/>
      </c>
      <c r="I4882" t="str">
        <f>IFERROR(INDEX(Analysis!$D$116:$N$137, MATCH(B4882, Analysis!$C$116:$C$137, 0), MATCH(C4882, Analysis!$D$115:$N$115, 0)), "")</f>
        <v/>
      </c>
      <c r="J4882" t="str">
        <f t="shared" si="460"/>
        <v/>
      </c>
      <c r="K4882" s="28" t="str">
        <f t="shared" si="457"/>
        <v/>
      </c>
      <c r="L4882" s="46" t="str">
        <f t="shared" si="461"/>
        <v/>
      </c>
      <c r="M4882" t="str" cm="1">
        <f t="array" ref="M4882">IF(L4882="","",_xlfn.IFS(
  AND(L4882&gt;=TIME(9,0,0), L4882&lt;TIME(16,0,0)),"Morning",
  AND(L4882&gt;=TIME(16,0,0), L4882&lt;TIME(23,59,0)),"Evening",
  L4882&gt;=TIME(23,59,0),"Night",
  L4882&lt;TIME(9,0,0),"Night"
))</f>
        <v/>
      </c>
      <c r="O4882" t="str">
        <f t="shared" si="458"/>
        <v/>
      </c>
    </row>
    <row r="4883" spans="7:15" x14ac:dyDescent="0.25">
      <c r="G4883" t="str">
        <f t="shared" si="456"/>
        <v/>
      </c>
      <c r="H4883" s="13" t="str">
        <f t="shared" si="459"/>
        <v/>
      </c>
      <c r="I4883" t="str">
        <f>IFERROR(INDEX(Analysis!$D$116:$N$137, MATCH(B4883, Analysis!$C$116:$C$137, 0), MATCH(C4883, Analysis!$D$115:$N$115, 0)), "")</f>
        <v/>
      </c>
      <c r="J4883" t="str">
        <f t="shared" si="460"/>
        <v/>
      </c>
      <c r="K4883" s="28" t="str">
        <f t="shared" si="457"/>
        <v/>
      </c>
      <c r="L4883" s="46" t="str">
        <f t="shared" si="461"/>
        <v/>
      </c>
      <c r="M4883" t="str" cm="1">
        <f t="array" ref="M4883">IF(L4883="","",_xlfn.IFS(
  AND(L4883&gt;=TIME(9,0,0), L4883&lt;TIME(16,0,0)),"Morning",
  AND(L4883&gt;=TIME(16,0,0), L4883&lt;TIME(23,59,0)),"Evening",
  L4883&gt;=TIME(23,59,0),"Night",
  L4883&lt;TIME(9,0,0),"Night"
))</f>
        <v/>
      </c>
      <c r="O4883" t="str">
        <f t="shared" si="458"/>
        <v/>
      </c>
    </row>
    <row r="4884" spans="7:15" x14ac:dyDescent="0.25">
      <c r="G4884" t="str">
        <f t="shared" si="456"/>
        <v/>
      </c>
      <c r="H4884" s="13" t="str">
        <f t="shared" si="459"/>
        <v/>
      </c>
      <c r="I4884" t="str">
        <f>IFERROR(INDEX(Analysis!$D$116:$N$137, MATCH(B4884, Analysis!$C$116:$C$137, 0), MATCH(C4884, Analysis!$D$115:$N$115, 0)), "")</f>
        <v/>
      </c>
      <c r="J4884" t="str">
        <f t="shared" si="460"/>
        <v/>
      </c>
      <c r="K4884" s="28" t="str">
        <f t="shared" si="457"/>
        <v/>
      </c>
      <c r="L4884" s="46" t="str">
        <f t="shared" si="461"/>
        <v/>
      </c>
      <c r="M4884" t="str" cm="1">
        <f t="array" ref="M4884">IF(L4884="","",_xlfn.IFS(
  AND(L4884&gt;=TIME(9,0,0), L4884&lt;TIME(16,0,0)),"Morning",
  AND(L4884&gt;=TIME(16,0,0), L4884&lt;TIME(23,59,0)),"Evening",
  L4884&gt;=TIME(23,59,0),"Night",
  L4884&lt;TIME(9,0,0),"Night"
))</f>
        <v/>
      </c>
      <c r="O4884" t="str">
        <f t="shared" si="458"/>
        <v/>
      </c>
    </row>
    <row r="4885" spans="7:15" x14ac:dyDescent="0.25">
      <c r="G4885" t="str">
        <f t="shared" si="456"/>
        <v/>
      </c>
      <c r="H4885" s="13" t="str">
        <f t="shared" si="459"/>
        <v/>
      </c>
      <c r="I4885" t="str">
        <f>IFERROR(INDEX(Analysis!$D$116:$N$137, MATCH(B4885, Analysis!$C$116:$C$137, 0), MATCH(C4885, Analysis!$D$115:$N$115, 0)), "")</f>
        <v/>
      </c>
      <c r="J4885" t="str">
        <f t="shared" si="460"/>
        <v/>
      </c>
      <c r="K4885" s="28" t="str">
        <f t="shared" si="457"/>
        <v/>
      </c>
      <c r="L4885" s="46" t="str">
        <f t="shared" si="461"/>
        <v/>
      </c>
      <c r="M4885" t="str" cm="1">
        <f t="array" ref="M4885">IF(L4885="","",_xlfn.IFS(
  AND(L4885&gt;=TIME(9,0,0), L4885&lt;TIME(16,0,0)),"Morning",
  AND(L4885&gt;=TIME(16,0,0), L4885&lt;TIME(23,59,0)),"Evening",
  L4885&gt;=TIME(23,59,0),"Night",
  L4885&lt;TIME(9,0,0),"Night"
))</f>
        <v/>
      </c>
      <c r="O4885" t="str">
        <f t="shared" si="458"/>
        <v/>
      </c>
    </row>
    <row r="4886" spans="7:15" x14ac:dyDescent="0.25">
      <c r="G4886" t="str">
        <f t="shared" si="456"/>
        <v/>
      </c>
      <c r="H4886" s="13" t="str">
        <f t="shared" si="459"/>
        <v/>
      </c>
      <c r="I4886" t="str">
        <f>IFERROR(INDEX(Analysis!$D$116:$N$137, MATCH(B4886, Analysis!$C$116:$C$137, 0), MATCH(C4886, Analysis!$D$115:$N$115, 0)), "")</f>
        <v/>
      </c>
      <c r="J4886" t="str">
        <f t="shared" si="460"/>
        <v/>
      </c>
      <c r="K4886" s="28" t="str">
        <f t="shared" si="457"/>
        <v/>
      </c>
      <c r="L4886" s="46" t="str">
        <f t="shared" si="461"/>
        <v/>
      </c>
      <c r="M4886" t="str" cm="1">
        <f t="array" ref="M4886">IF(L4886="","",_xlfn.IFS(
  AND(L4886&gt;=TIME(9,0,0), L4886&lt;TIME(16,0,0)),"Morning",
  AND(L4886&gt;=TIME(16,0,0), L4886&lt;TIME(23,59,0)),"Evening",
  L4886&gt;=TIME(23,59,0),"Night",
  L4886&lt;TIME(9,0,0),"Night"
))</f>
        <v/>
      </c>
      <c r="O4886" t="str">
        <f t="shared" si="458"/>
        <v/>
      </c>
    </row>
    <row r="4887" spans="7:15" x14ac:dyDescent="0.25">
      <c r="G4887" t="str">
        <f t="shared" si="456"/>
        <v/>
      </c>
      <c r="H4887" s="13" t="str">
        <f t="shared" si="459"/>
        <v/>
      </c>
      <c r="I4887" t="str">
        <f>IFERROR(INDEX(Analysis!$D$116:$N$137, MATCH(B4887, Analysis!$C$116:$C$137, 0), MATCH(C4887, Analysis!$D$115:$N$115, 0)), "")</f>
        <v/>
      </c>
      <c r="J4887" t="str">
        <f t="shared" si="460"/>
        <v/>
      </c>
      <c r="K4887" s="28" t="str">
        <f t="shared" si="457"/>
        <v/>
      </c>
      <c r="L4887" s="46" t="str">
        <f t="shared" si="461"/>
        <v/>
      </c>
      <c r="M4887" t="str" cm="1">
        <f t="array" ref="M4887">IF(L4887="","",_xlfn.IFS(
  AND(L4887&gt;=TIME(9,0,0), L4887&lt;TIME(16,0,0)),"Morning",
  AND(L4887&gt;=TIME(16,0,0), L4887&lt;TIME(23,59,0)),"Evening",
  L4887&gt;=TIME(23,59,0),"Night",
  L4887&lt;TIME(9,0,0),"Night"
))</f>
        <v/>
      </c>
      <c r="O4887" t="str">
        <f t="shared" si="458"/>
        <v/>
      </c>
    </row>
    <row r="4888" spans="7:15" x14ac:dyDescent="0.25">
      <c r="G4888" t="str">
        <f t="shared" si="456"/>
        <v/>
      </c>
      <c r="H4888" s="13" t="str">
        <f t="shared" si="459"/>
        <v/>
      </c>
      <c r="I4888" t="str">
        <f>IFERROR(INDEX(Analysis!$D$116:$N$137, MATCH(B4888, Analysis!$C$116:$C$137, 0), MATCH(C4888, Analysis!$D$115:$N$115, 0)), "")</f>
        <v/>
      </c>
      <c r="J4888" t="str">
        <f t="shared" si="460"/>
        <v/>
      </c>
      <c r="K4888" s="28" t="str">
        <f t="shared" si="457"/>
        <v/>
      </c>
      <c r="L4888" s="46" t="str">
        <f t="shared" si="461"/>
        <v/>
      </c>
      <c r="M4888" t="str" cm="1">
        <f t="array" ref="M4888">IF(L4888="","",_xlfn.IFS(
  AND(L4888&gt;=TIME(9,0,0), L4888&lt;TIME(16,0,0)),"Morning",
  AND(L4888&gt;=TIME(16,0,0), L4888&lt;TIME(23,59,0)),"Evening",
  L4888&gt;=TIME(23,59,0),"Night",
  L4888&lt;TIME(9,0,0),"Night"
))</f>
        <v/>
      </c>
      <c r="O4888" t="str">
        <f t="shared" si="458"/>
        <v/>
      </c>
    </row>
    <row r="4889" spans="7:15" x14ac:dyDescent="0.25">
      <c r="G4889" t="str">
        <f t="shared" si="456"/>
        <v/>
      </c>
      <c r="H4889" s="13" t="str">
        <f t="shared" si="459"/>
        <v/>
      </c>
      <c r="I4889" t="str">
        <f>IFERROR(INDEX(Analysis!$D$116:$N$137, MATCH(B4889, Analysis!$C$116:$C$137, 0), MATCH(C4889, Analysis!$D$115:$N$115, 0)), "")</f>
        <v/>
      </c>
      <c r="J4889" t="str">
        <f t="shared" si="460"/>
        <v/>
      </c>
      <c r="K4889" s="28" t="str">
        <f t="shared" si="457"/>
        <v/>
      </c>
      <c r="L4889" s="46" t="str">
        <f t="shared" si="461"/>
        <v/>
      </c>
      <c r="M4889" t="str" cm="1">
        <f t="array" ref="M4889">IF(L4889="","",_xlfn.IFS(
  AND(L4889&gt;=TIME(9,0,0), L4889&lt;TIME(16,0,0)),"Morning",
  AND(L4889&gt;=TIME(16,0,0), L4889&lt;TIME(23,59,0)),"Evening",
  L4889&gt;=TIME(23,59,0),"Night",
  L4889&lt;TIME(9,0,0),"Night"
))</f>
        <v/>
      </c>
      <c r="O4889" t="str">
        <f t="shared" si="458"/>
        <v/>
      </c>
    </row>
    <row r="4890" spans="7:15" x14ac:dyDescent="0.25">
      <c r="G4890" t="str">
        <f t="shared" si="456"/>
        <v/>
      </c>
      <c r="H4890" s="13" t="str">
        <f t="shared" si="459"/>
        <v/>
      </c>
      <c r="I4890" t="str">
        <f>IFERROR(INDEX(Analysis!$D$116:$N$137, MATCH(B4890, Analysis!$C$116:$C$137, 0), MATCH(C4890, Analysis!$D$115:$N$115, 0)), "")</f>
        <v/>
      </c>
      <c r="J4890" t="str">
        <f t="shared" si="460"/>
        <v/>
      </c>
      <c r="K4890" s="28" t="str">
        <f t="shared" si="457"/>
        <v/>
      </c>
      <c r="L4890" s="46" t="str">
        <f t="shared" si="461"/>
        <v/>
      </c>
      <c r="M4890" t="str" cm="1">
        <f t="array" ref="M4890">IF(L4890="","",_xlfn.IFS(
  AND(L4890&gt;=TIME(9,0,0), L4890&lt;TIME(16,0,0)),"Morning",
  AND(L4890&gt;=TIME(16,0,0), L4890&lt;TIME(23,59,0)),"Evening",
  L4890&gt;=TIME(23,59,0),"Night",
  L4890&lt;TIME(9,0,0),"Night"
))</f>
        <v/>
      </c>
      <c r="O4890" t="str">
        <f t="shared" si="458"/>
        <v/>
      </c>
    </row>
    <row r="4891" spans="7:15" x14ac:dyDescent="0.25">
      <c r="G4891" t="str">
        <f t="shared" si="456"/>
        <v/>
      </c>
      <c r="H4891" s="13" t="str">
        <f t="shared" si="459"/>
        <v/>
      </c>
      <c r="I4891" t="str">
        <f>IFERROR(INDEX(Analysis!$D$116:$N$137, MATCH(B4891, Analysis!$C$116:$C$137, 0), MATCH(C4891, Analysis!$D$115:$N$115, 0)), "")</f>
        <v/>
      </c>
      <c r="J4891" t="str">
        <f t="shared" si="460"/>
        <v/>
      </c>
      <c r="K4891" s="28" t="str">
        <f t="shared" si="457"/>
        <v/>
      </c>
      <c r="L4891" s="46" t="str">
        <f t="shared" si="461"/>
        <v/>
      </c>
      <c r="M4891" t="str" cm="1">
        <f t="array" ref="M4891">IF(L4891="","",_xlfn.IFS(
  AND(L4891&gt;=TIME(9,0,0), L4891&lt;TIME(16,0,0)),"Morning",
  AND(L4891&gt;=TIME(16,0,0), L4891&lt;TIME(23,59,0)),"Evening",
  L4891&gt;=TIME(23,59,0),"Night",
  L4891&lt;TIME(9,0,0),"Night"
))</f>
        <v/>
      </c>
      <c r="O4891" t="str">
        <f t="shared" si="458"/>
        <v/>
      </c>
    </row>
    <row r="4892" spans="7:15" x14ac:dyDescent="0.25">
      <c r="G4892" t="str">
        <f t="shared" si="456"/>
        <v/>
      </c>
      <c r="H4892" s="13" t="str">
        <f t="shared" si="459"/>
        <v/>
      </c>
      <c r="I4892" t="str">
        <f>IFERROR(INDEX(Analysis!$D$116:$N$137, MATCH(B4892, Analysis!$C$116:$C$137, 0), MATCH(C4892, Analysis!$D$115:$N$115, 0)), "")</f>
        <v/>
      </c>
      <c r="J4892" t="str">
        <f t="shared" si="460"/>
        <v/>
      </c>
      <c r="K4892" s="28" t="str">
        <f t="shared" si="457"/>
        <v/>
      </c>
      <c r="L4892" s="46" t="str">
        <f t="shared" si="461"/>
        <v/>
      </c>
      <c r="M4892" t="str" cm="1">
        <f t="array" ref="M4892">IF(L4892="","",_xlfn.IFS(
  AND(L4892&gt;=TIME(9,0,0), L4892&lt;TIME(16,0,0)),"Morning",
  AND(L4892&gt;=TIME(16,0,0), L4892&lt;TIME(23,59,0)),"Evening",
  L4892&gt;=TIME(23,59,0),"Night",
  L4892&lt;TIME(9,0,0),"Night"
))</f>
        <v/>
      </c>
      <c r="O4892" t="str">
        <f t="shared" si="458"/>
        <v/>
      </c>
    </row>
    <row r="4893" spans="7:15" x14ac:dyDescent="0.25">
      <c r="G4893" t="str">
        <f t="shared" si="456"/>
        <v/>
      </c>
      <c r="H4893" s="13" t="str">
        <f t="shared" si="459"/>
        <v/>
      </c>
      <c r="I4893" t="str">
        <f>IFERROR(INDEX(Analysis!$D$116:$N$137, MATCH(B4893, Analysis!$C$116:$C$137, 0), MATCH(C4893, Analysis!$D$115:$N$115, 0)), "")</f>
        <v/>
      </c>
      <c r="J4893" t="str">
        <f t="shared" si="460"/>
        <v/>
      </c>
      <c r="K4893" s="28" t="str">
        <f t="shared" si="457"/>
        <v/>
      </c>
      <c r="L4893" s="46" t="str">
        <f t="shared" si="461"/>
        <v/>
      </c>
      <c r="M4893" t="str" cm="1">
        <f t="array" ref="M4893">IF(L4893="","",_xlfn.IFS(
  AND(L4893&gt;=TIME(9,0,0), L4893&lt;TIME(16,0,0)),"Morning",
  AND(L4893&gt;=TIME(16,0,0), L4893&lt;TIME(23,59,0)),"Evening",
  L4893&gt;=TIME(23,59,0),"Night",
  L4893&lt;TIME(9,0,0),"Night"
))</f>
        <v/>
      </c>
      <c r="O4893" t="str">
        <f t="shared" si="458"/>
        <v/>
      </c>
    </row>
    <row r="4894" spans="7:15" x14ac:dyDescent="0.25">
      <c r="G4894" t="str">
        <f t="shared" si="456"/>
        <v/>
      </c>
      <c r="H4894" s="13" t="str">
        <f t="shared" si="459"/>
        <v/>
      </c>
      <c r="I4894" t="str">
        <f>IFERROR(INDEX(Analysis!$D$116:$N$137, MATCH(B4894, Analysis!$C$116:$C$137, 0), MATCH(C4894, Analysis!$D$115:$N$115, 0)), "")</f>
        <v/>
      </c>
      <c r="J4894" t="str">
        <f t="shared" si="460"/>
        <v/>
      </c>
      <c r="K4894" s="28" t="str">
        <f t="shared" si="457"/>
        <v/>
      </c>
      <c r="L4894" s="46" t="str">
        <f t="shared" si="461"/>
        <v/>
      </c>
      <c r="M4894" t="str" cm="1">
        <f t="array" ref="M4894">IF(L4894="","",_xlfn.IFS(
  AND(L4894&gt;=TIME(9,0,0), L4894&lt;TIME(16,0,0)),"Morning",
  AND(L4894&gt;=TIME(16,0,0), L4894&lt;TIME(23,59,0)),"Evening",
  L4894&gt;=TIME(23,59,0),"Night",
  L4894&lt;TIME(9,0,0),"Night"
))</f>
        <v/>
      </c>
      <c r="O4894" t="str">
        <f t="shared" si="458"/>
        <v/>
      </c>
    </row>
    <row r="4895" spans="7:15" x14ac:dyDescent="0.25">
      <c r="G4895" t="str">
        <f t="shared" si="456"/>
        <v/>
      </c>
      <c r="H4895" s="13" t="str">
        <f t="shared" si="459"/>
        <v/>
      </c>
      <c r="I4895" t="str">
        <f>IFERROR(INDEX(Analysis!$D$116:$N$137, MATCH(B4895, Analysis!$C$116:$C$137, 0), MATCH(C4895, Analysis!$D$115:$N$115, 0)), "")</f>
        <v/>
      </c>
      <c r="J4895" t="str">
        <f t="shared" si="460"/>
        <v/>
      </c>
      <c r="K4895" s="28" t="str">
        <f t="shared" si="457"/>
        <v/>
      </c>
      <c r="L4895" s="46" t="str">
        <f t="shared" si="461"/>
        <v/>
      </c>
      <c r="M4895" t="str" cm="1">
        <f t="array" ref="M4895">IF(L4895="","",_xlfn.IFS(
  AND(L4895&gt;=TIME(9,0,0), L4895&lt;TIME(16,0,0)),"Morning",
  AND(L4895&gt;=TIME(16,0,0), L4895&lt;TIME(23,59,0)),"Evening",
  L4895&gt;=TIME(23,59,0),"Night",
  L4895&lt;TIME(9,0,0),"Night"
))</f>
        <v/>
      </c>
      <c r="O4895" t="str">
        <f t="shared" si="458"/>
        <v/>
      </c>
    </row>
    <row r="4896" spans="7:15" x14ac:dyDescent="0.25">
      <c r="G4896" t="str">
        <f t="shared" si="456"/>
        <v/>
      </c>
      <c r="H4896" s="13" t="str">
        <f t="shared" si="459"/>
        <v/>
      </c>
      <c r="I4896" t="str">
        <f>IFERROR(INDEX(Analysis!$D$116:$N$137, MATCH(B4896, Analysis!$C$116:$C$137, 0), MATCH(C4896, Analysis!$D$115:$N$115, 0)), "")</f>
        <v/>
      </c>
      <c r="J4896" t="str">
        <f t="shared" si="460"/>
        <v/>
      </c>
      <c r="K4896" s="28" t="str">
        <f t="shared" si="457"/>
        <v/>
      </c>
      <c r="L4896" s="46" t="str">
        <f t="shared" si="461"/>
        <v/>
      </c>
      <c r="M4896" t="str" cm="1">
        <f t="array" ref="M4896">IF(L4896="","",_xlfn.IFS(
  AND(L4896&gt;=TIME(9,0,0), L4896&lt;TIME(16,0,0)),"Morning",
  AND(L4896&gt;=TIME(16,0,0), L4896&lt;TIME(23,59,0)),"Evening",
  L4896&gt;=TIME(23,59,0),"Night",
  L4896&lt;TIME(9,0,0),"Night"
))</f>
        <v/>
      </c>
      <c r="O4896" t="str">
        <f t="shared" si="458"/>
        <v/>
      </c>
    </row>
    <row r="4897" spans="7:15" x14ac:dyDescent="0.25">
      <c r="G4897" t="str">
        <f t="shared" si="456"/>
        <v/>
      </c>
      <c r="H4897" s="13" t="str">
        <f t="shared" si="459"/>
        <v/>
      </c>
      <c r="I4897" t="str">
        <f>IFERROR(INDEX(Analysis!$D$116:$N$137, MATCH(B4897, Analysis!$C$116:$C$137, 0), MATCH(C4897, Analysis!$D$115:$N$115, 0)), "")</f>
        <v/>
      </c>
      <c r="J4897" t="str">
        <f t="shared" si="460"/>
        <v/>
      </c>
      <c r="K4897" s="28" t="str">
        <f t="shared" si="457"/>
        <v/>
      </c>
      <c r="L4897" s="46" t="str">
        <f t="shared" si="461"/>
        <v/>
      </c>
      <c r="M4897" t="str" cm="1">
        <f t="array" ref="M4897">IF(L4897="","",_xlfn.IFS(
  AND(L4897&gt;=TIME(9,0,0), L4897&lt;TIME(16,0,0)),"Morning",
  AND(L4897&gt;=TIME(16,0,0), L4897&lt;TIME(23,59,0)),"Evening",
  L4897&gt;=TIME(23,59,0),"Night",
  L4897&lt;TIME(9,0,0),"Night"
))</f>
        <v/>
      </c>
      <c r="O4897" t="str">
        <f t="shared" si="458"/>
        <v/>
      </c>
    </row>
    <row r="4898" spans="7:15" x14ac:dyDescent="0.25">
      <c r="G4898" t="str">
        <f t="shared" si="456"/>
        <v/>
      </c>
      <c r="H4898" s="13" t="str">
        <f t="shared" si="459"/>
        <v/>
      </c>
      <c r="I4898" t="str">
        <f>IFERROR(INDEX(Analysis!$D$116:$N$137, MATCH(B4898, Analysis!$C$116:$C$137, 0), MATCH(C4898, Analysis!$D$115:$N$115, 0)), "")</f>
        <v/>
      </c>
      <c r="J4898" t="str">
        <f t="shared" si="460"/>
        <v/>
      </c>
      <c r="K4898" s="28" t="str">
        <f t="shared" si="457"/>
        <v/>
      </c>
      <c r="L4898" s="46" t="str">
        <f t="shared" si="461"/>
        <v/>
      </c>
      <c r="M4898" t="str" cm="1">
        <f t="array" ref="M4898">IF(L4898="","",_xlfn.IFS(
  AND(L4898&gt;=TIME(9,0,0), L4898&lt;TIME(16,0,0)),"Morning",
  AND(L4898&gt;=TIME(16,0,0), L4898&lt;TIME(23,59,0)),"Evening",
  L4898&gt;=TIME(23,59,0),"Night",
  L4898&lt;TIME(9,0,0),"Night"
))</f>
        <v/>
      </c>
      <c r="O4898" t="str">
        <f t="shared" si="458"/>
        <v/>
      </c>
    </row>
    <row r="4899" spans="7:15" x14ac:dyDescent="0.25">
      <c r="G4899" t="str">
        <f t="shared" si="456"/>
        <v/>
      </c>
      <c r="H4899" s="13" t="str">
        <f t="shared" si="459"/>
        <v/>
      </c>
      <c r="I4899" t="str">
        <f>IFERROR(INDEX(Analysis!$D$116:$N$137, MATCH(B4899, Analysis!$C$116:$C$137, 0), MATCH(C4899, Analysis!$D$115:$N$115, 0)), "")</f>
        <v/>
      </c>
      <c r="J4899" t="str">
        <f t="shared" si="460"/>
        <v/>
      </c>
      <c r="K4899" s="28" t="str">
        <f t="shared" si="457"/>
        <v/>
      </c>
      <c r="L4899" s="46" t="str">
        <f t="shared" si="461"/>
        <v/>
      </c>
      <c r="M4899" t="str" cm="1">
        <f t="array" ref="M4899">IF(L4899="","",_xlfn.IFS(
  AND(L4899&gt;=TIME(9,0,0), L4899&lt;TIME(16,0,0)),"Morning",
  AND(L4899&gt;=TIME(16,0,0), L4899&lt;TIME(23,59,0)),"Evening",
  L4899&gt;=TIME(23,59,0),"Night",
  L4899&lt;TIME(9,0,0),"Night"
))</f>
        <v/>
      </c>
      <c r="O4899" t="str">
        <f t="shared" si="458"/>
        <v/>
      </c>
    </row>
    <row r="4900" spans="7:15" x14ac:dyDescent="0.25">
      <c r="G4900" t="str">
        <f t="shared" si="456"/>
        <v/>
      </c>
      <c r="H4900" s="13" t="str">
        <f t="shared" si="459"/>
        <v/>
      </c>
      <c r="I4900" t="str">
        <f>IFERROR(INDEX(Analysis!$D$116:$N$137, MATCH(B4900, Analysis!$C$116:$C$137, 0), MATCH(C4900, Analysis!$D$115:$N$115, 0)), "")</f>
        <v/>
      </c>
      <c r="J4900" t="str">
        <f t="shared" si="460"/>
        <v/>
      </c>
      <c r="K4900" s="28" t="str">
        <f t="shared" si="457"/>
        <v/>
      </c>
      <c r="L4900" s="46" t="str">
        <f t="shared" si="461"/>
        <v/>
      </c>
      <c r="M4900" t="str" cm="1">
        <f t="array" ref="M4900">IF(L4900="","",_xlfn.IFS(
  AND(L4900&gt;=TIME(9,0,0), L4900&lt;TIME(16,0,0)),"Morning",
  AND(L4900&gt;=TIME(16,0,0), L4900&lt;TIME(23,59,0)),"Evening",
  L4900&gt;=TIME(23,59,0),"Night",
  L4900&lt;TIME(9,0,0),"Night"
))</f>
        <v/>
      </c>
      <c r="O4900" t="str">
        <f t="shared" si="458"/>
        <v/>
      </c>
    </row>
    <row r="4901" spans="7:15" x14ac:dyDescent="0.25">
      <c r="G4901" t="str">
        <f t="shared" si="456"/>
        <v/>
      </c>
      <c r="H4901" s="13" t="str">
        <f t="shared" si="459"/>
        <v/>
      </c>
      <c r="I4901" t="str">
        <f>IFERROR(INDEX(Analysis!$D$116:$N$137, MATCH(B4901, Analysis!$C$116:$C$137, 0), MATCH(C4901, Analysis!$D$115:$N$115, 0)), "")</f>
        <v/>
      </c>
      <c r="J4901" t="str">
        <f t="shared" si="460"/>
        <v/>
      </c>
      <c r="K4901" s="28" t="str">
        <f t="shared" si="457"/>
        <v/>
      </c>
      <c r="L4901" s="46" t="str">
        <f t="shared" si="461"/>
        <v/>
      </c>
      <c r="M4901" t="str" cm="1">
        <f t="array" ref="M4901">IF(L4901="","",_xlfn.IFS(
  AND(L4901&gt;=TIME(9,0,0), L4901&lt;TIME(16,0,0)),"Morning",
  AND(L4901&gt;=TIME(16,0,0), L4901&lt;TIME(23,59,0)),"Evening",
  L4901&gt;=TIME(23,59,0),"Night",
  L4901&lt;TIME(9,0,0),"Night"
))</f>
        <v/>
      </c>
      <c r="O4901" t="str">
        <f t="shared" si="458"/>
        <v/>
      </c>
    </row>
    <row r="4902" spans="7:15" x14ac:dyDescent="0.25">
      <c r="G4902" t="str">
        <f t="shared" si="456"/>
        <v/>
      </c>
      <c r="H4902" s="13" t="str">
        <f t="shared" si="459"/>
        <v/>
      </c>
      <c r="I4902" t="str">
        <f>IFERROR(INDEX(Analysis!$D$116:$N$137, MATCH(B4902, Analysis!$C$116:$C$137, 0), MATCH(C4902, Analysis!$D$115:$N$115, 0)), "")</f>
        <v/>
      </c>
      <c r="J4902" t="str">
        <f t="shared" si="460"/>
        <v/>
      </c>
      <c r="K4902" s="28" t="str">
        <f t="shared" si="457"/>
        <v/>
      </c>
      <c r="L4902" s="46" t="str">
        <f t="shared" si="461"/>
        <v/>
      </c>
      <c r="M4902" t="str" cm="1">
        <f t="array" ref="M4902">IF(L4902="","",_xlfn.IFS(
  AND(L4902&gt;=TIME(9,0,0), L4902&lt;TIME(16,0,0)),"Morning",
  AND(L4902&gt;=TIME(16,0,0), L4902&lt;TIME(23,59,0)),"Evening",
  L4902&gt;=TIME(23,59,0),"Night",
  L4902&lt;TIME(9,0,0),"Night"
))</f>
        <v/>
      </c>
      <c r="O4902" t="str">
        <f t="shared" si="458"/>
        <v/>
      </c>
    </row>
    <row r="4903" spans="7:15" x14ac:dyDescent="0.25">
      <c r="G4903" t="str">
        <f t="shared" si="456"/>
        <v/>
      </c>
      <c r="H4903" s="13" t="str">
        <f t="shared" si="459"/>
        <v/>
      </c>
      <c r="I4903" t="str">
        <f>IFERROR(INDEX(Analysis!$D$116:$N$137, MATCH(B4903, Analysis!$C$116:$C$137, 0), MATCH(C4903, Analysis!$D$115:$N$115, 0)), "")</f>
        <v/>
      </c>
      <c r="J4903" t="str">
        <f t="shared" si="460"/>
        <v/>
      </c>
      <c r="K4903" s="28" t="str">
        <f t="shared" si="457"/>
        <v/>
      </c>
      <c r="L4903" s="46" t="str">
        <f t="shared" si="461"/>
        <v/>
      </c>
      <c r="M4903" t="str" cm="1">
        <f t="array" ref="M4903">IF(L4903="","",_xlfn.IFS(
  AND(L4903&gt;=TIME(9,0,0), L4903&lt;TIME(16,0,0)),"Morning",
  AND(L4903&gt;=TIME(16,0,0), L4903&lt;TIME(23,59,0)),"Evening",
  L4903&gt;=TIME(23,59,0),"Night",
  L4903&lt;TIME(9,0,0),"Night"
))</f>
        <v/>
      </c>
      <c r="O4903" t="str">
        <f t="shared" si="458"/>
        <v/>
      </c>
    </row>
    <row r="4904" spans="7:15" x14ac:dyDescent="0.25">
      <c r="G4904" t="str">
        <f t="shared" si="456"/>
        <v/>
      </c>
      <c r="H4904" s="13" t="str">
        <f t="shared" si="459"/>
        <v/>
      </c>
      <c r="I4904" t="str">
        <f>IFERROR(INDEX(Analysis!$D$116:$N$137, MATCH(B4904, Analysis!$C$116:$C$137, 0), MATCH(C4904, Analysis!$D$115:$N$115, 0)), "")</f>
        <v/>
      </c>
      <c r="J4904" t="str">
        <f t="shared" si="460"/>
        <v/>
      </c>
      <c r="K4904" s="28" t="str">
        <f t="shared" si="457"/>
        <v/>
      </c>
      <c r="L4904" s="46" t="str">
        <f t="shared" si="461"/>
        <v/>
      </c>
      <c r="M4904" t="str" cm="1">
        <f t="array" ref="M4904">IF(L4904="","",_xlfn.IFS(
  AND(L4904&gt;=TIME(9,0,0), L4904&lt;TIME(16,0,0)),"Morning",
  AND(L4904&gt;=TIME(16,0,0), L4904&lt;TIME(23,59,0)),"Evening",
  L4904&gt;=TIME(23,59,0),"Night",
  L4904&lt;TIME(9,0,0),"Night"
))</f>
        <v/>
      </c>
      <c r="O4904" t="str">
        <f t="shared" si="458"/>
        <v/>
      </c>
    </row>
    <row r="4905" spans="7:15" x14ac:dyDescent="0.25">
      <c r="G4905" t="str">
        <f t="shared" si="456"/>
        <v/>
      </c>
      <c r="H4905" s="13" t="str">
        <f t="shared" si="459"/>
        <v/>
      </c>
      <c r="I4905" t="str">
        <f>IFERROR(INDEX(Analysis!$D$116:$N$137, MATCH(B4905, Analysis!$C$116:$C$137, 0), MATCH(C4905, Analysis!$D$115:$N$115, 0)), "")</f>
        <v/>
      </c>
      <c r="J4905" t="str">
        <f t="shared" si="460"/>
        <v/>
      </c>
      <c r="K4905" s="28" t="str">
        <f t="shared" si="457"/>
        <v/>
      </c>
      <c r="L4905" s="46" t="str">
        <f t="shared" si="461"/>
        <v/>
      </c>
      <c r="M4905" t="str" cm="1">
        <f t="array" ref="M4905">IF(L4905="","",_xlfn.IFS(
  AND(L4905&gt;=TIME(9,0,0), L4905&lt;TIME(16,0,0)),"Morning",
  AND(L4905&gt;=TIME(16,0,0), L4905&lt;TIME(23,59,0)),"Evening",
  L4905&gt;=TIME(23,59,0),"Night",
  L4905&lt;TIME(9,0,0),"Night"
))</f>
        <v/>
      </c>
      <c r="O4905" t="str">
        <f t="shared" si="458"/>
        <v/>
      </c>
    </row>
    <row r="4906" spans="7:15" x14ac:dyDescent="0.25">
      <c r="G4906" t="str">
        <f t="shared" si="456"/>
        <v/>
      </c>
      <c r="H4906" s="13" t="str">
        <f t="shared" si="459"/>
        <v/>
      </c>
      <c r="I4906" t="str">
        <f>IFERROR(INDEX(Analysis!$D$116:$N$137, MATCH(B4906, Analysis!$C$116:$C$137, 0), MATCH(C4906, Analysis!$D$115:$N$115, 0)), "")</f>
        <v/>
      </c>
      <c r="J4906" t="str">
        <f t="shared" si="460"/>
        <v/>
      </c>
      <c r="K4906" s="28" t="str">
        <f t="shared" si="457"/>
        <v/>
      </c>
      <c r="L4906" s="46" t="str">
        <f t="shared" si="461"/>
        <v/>
      </c>
      <c r="M4906" t="str" cm="1">
        <f t="array" ref="M4906">IF(L4906="","",_xlfn.IFS(
  AND(L4906&gt;=TIME(9,0,0), L4906&lt;TIME(16,0,0)),"Morning",
  AND(L4906&gt;=TIME(16,0,0), L4906&lt;TIME(23,59,0)),"Evening",
  L4906&gt;=TIME(23,59,0),"Night",
  L4906&lt;TIME(9,0,0),"Night"
))</f>
        <v/>
      </c>
      <c r="O4906" t="str">
        <f t="shared" si="458"/>
        <v/>
      </c>
    </row>
    <row r="4907" spans="7:15" x14ac:dyDescent="0.25">
      <c r="G4907" t="str">
        <f t="shared" si="456"/>
        <v/>
      </c>
      <c r="H4907" s="13" t="str">
        <f t="shared" si="459"/>
        <v/>
      </c>
      <c r="I4907" t="str">
        <f>IFERROR(INDEX(Analysis!$D$116:$N$137, MATCH(B4907, Analysis!$C$116:$C$137, 0), MATCH(C4907, Analysis!$D$115:$N$115, 0)), "")</f>
        <v/>
      </c>
      <c r="J4907" t="str">
        <f t="shared" si="460"/>
        <v/>
      </c>
      <c r="K4907" s="28" t="str">
        <f t="shared" si="457"/>
        <v/>
      </c>
      <c r="L4907" s="46" t="str">
        <f t="shared" si="461"/>
        <v/>
      </c>
      <c r="M4907" t="str" cm="1">
        <f t="array" ref="M4907">IF(L4907="","",_xlfn.IFS(
  AND(L4907&gt;=TIME(9,0,0), L4907&lt;TIME(16,0,0)),"Morning",
  AND(L4907&gt;=TIME(16,0,0), L4907&lt;TIME(23,59,0)),"Evening",
  L4907&gt;=TIME(23,59,0),"Night",
  L4907&lt;TIME(9,0,0),"Night"
))</f>
        <v/>
      </c>
      <c r="O4907" t="str">
        <f t="shared" si="458"/>
        <v/>
      </c>
    </row>
    <row r="4908" spans="7:15" x14ac:dyDescent="0.25">
      <c r="G4908" t="str">
        <f t="shared" si="456"/>
        <v/>
      </c>
      <c r="H4908" s="13" t="str">
        <f t="shared" si="459"/>
        <v/>
      </c>
      <c r="I4908" t="str">
        <f>IFERROR(INDEX(Analysis!$D$116:$N$137, MATCH(B4908, Analysis!$C$116:$C$137, 0), MATCH(C4908, Analysis!$D$115:$N$115, 0)), "")</f>
        <v/>
      </c>
      <c r="J4908" t="str">
        <f t="shared" si="460"/>
        <v/>
      </c>
      <c r="K4908" s="28" t="str">
        <f t="shared" si="457"/>
        <v/>
      </c>
      <c r="L4908" s="46" t="str">
        <f t="shared" si="461"/>
        <v/>
      </c>
      <c r="M4908" t="str" cm="1">
        <f t="array" ref="M4908">IF(L4908="","",_xlfn.IFS(
  AND(L4908&gt;=TIME(9,0,0), L4908&lt;TIME(16,0,0)),"Morning",
  AND(L4908&gt;=TIME(16,0,0), L4908&lt;TIME(23,59,0)),"Evening",
  L4908&gt;=TIME(23,59,0),"Night",
  L4908&lt;TIME(9,0,0),"Night"
))</f>
        <v/>
      </c>
      <c r="O4908" t="str">
        <f t="shared" si="458"/>
        <v/>
      </c>
    </row>
    <row r="4909" spans="7:15" x14ac:dyDescent="0.25">
      <c r="G4909" t="str">
        <f t="shared" si="456"/>
        <v/>
      </c>
      <c r="H4909" s="13" t="str">
        <f t="shared" si="459"/>
        <v/>
      </c>
      <c r="I4909" t="str">
        <f>IFERROR(INDEX(Analysis!$D$116:$N$137, MATCH(B4909, Analysis!$C$116:$C$137, 0), MATCH(C4909, Analysis!$D$115:$N$115, 0)), "")</f>
        <v/>
      </c>
      <c r="J4909" t="str">
        <f t="shared" si="460"/>
        <v/>
      </c>
      <c r="K4909" s="28" t="str">
        <f t="shared" si="457"/>
        <v/>
      </c>
      <c r="L4909" s="46" t="str">
        <f t="shared" si="461"/>
        <v/>
      </c>
      <c r="M4909" t="str" cm="1">
        <f t="array" ref="M4909">IF(L4909="","",_xlfn.IFS(
  AND(L4909&gt;=TIME(9,0,0), L4909&lt;TIME(16,0,0)),"Morning",
  AND(L4909&gt;=TIME(16,0,0), L4909&lt;TIME(23,59,0)),"Evening",
  L4909&gt;=TIME(23,59,0),"Night",
  L4909&lt;TIME(9,0,0),"Night"
))</f>
        <v/>
      </c>
      <c r="O4909" t="str">
        <f t="shared" si="458"/>
        <v/>
      </c>
    </row>
    <row r="4910" spans="7:15" x14ac:dyDescent="0.25">
      <c r="G4910" t="str">
        <f t="shared" si="456"/>
        <v/>
      </c>
      <c r="H4910" s="13" t="str">
        <f t="shared" si="459"/>
        <v/>
      </c>
      <c r="I4910" t="str">
        <f>IFERROR(INDEX(Analysis!$D$116:$N$137, MATCH(B4910, Analysis!$C$116:$C$137, 0), MATCH(C4910, Analysis!$D$115:$N$115, 0)), "")</f>
        <v/>
      </c>
      <c r="J4910" t="str">
        <f t="shared" si="460"/>
        <v/>
      </c>
      <c r="K4910" s="28" t="str">
        <f t="shared" si="457"/>
        <v/>
      </c>
      <c r="L4910" s="46" t="str">
        <f t="shared" si="461"/>
        <v/>
      </c>
      <c r="M4910" t="str" cm="1">
        <f t="array" ref="M4910">IF(L4910="","",_xlfn.IFS(
  AND(L4910&gt;=TIME(9,0,0), L4910&lt;TIME(16,0,0)),"Morning",
  AND(L4910&gt;=TIME(16,0,0), L4910&lt;TIME(23,59,0)),"Evening",
  L4910&gt;=TIME(23,59,0),"Night",
  L4910&lt;TIME(9,0,0),"Night"
))</f>
        <v/>
      </c>
      <c r="O4910" t="str">
        <f t="shared" si="458"/>
        <v/>
      </c>
    </row>
    <row r="4911" spans="7:15" x14ac:dyDescent="0.25">
      <c r="G4911" t="str">
        <f t="shared" si="456"/>
        <v/>
      </c>
      <c r="H4911" s="13" t="str">
        <f t="shared" si="459"/>
        <v/>
      </c>
      <c r="I4911" t="str">
        <f>IFERROR(INDEX(Analysis!$D$116:$N$137, MATCH(B4911, Analysis!$C$116:$C$137, 0), MATCH(C4911, Analysis!$D$115:$N$115, 0)), "")</f>
        <v/>
      </c>
      <c r="J4911" t="str">
        <f t="shared" si="460"/>
        <v/>
      </c>
      <c r="K4911" s="28" t="str">
        <f t="shared" si="457"/>
        <v/>
      </c>
      <c r="L4911" s="46" t="str">
        <f t="shared" si="461"/>
        <v/>
      </c>
      <c r="M4911" t="str" cm="1">
        <f t="array" ref="M4911">IF(L4911="","",_xlfn.IFS(
  AND(L4911&gt;=TIME(9,0,0), L4911&lt;TIME(16,0,0)),"Morning",
  AND(L4911&gt;=TIME(16,0,0), L4911&lt;TIME(23,59,0)),"Evening",
  L4911&gt;=TIME(23,59,0),"Night",
  L4911&lt;TIME(9,0,0),"Night"
))</f>
        <v/>
      </c>
      <c r="O4911" t="str">
        <f t="shared" si="458"/>
        <v/>
      </c>
    </row>
    <row r="4912" spans="7:15" x14ac:dyDescent="0.25">
      <c r="G4912" t="str">
        <f t="shared" si="456"/>
        <v/>
      </c>
      <c r="H4912" s="13" t="str">
        <f t="shared" si="459"/>
        <v/>
      </c>
      <c r="I4912" t="str">
        <f>IFERROR(INDEX(Analysis!$D$116:$N$137, MATCH(B4912, Analysis!$C$116:$C$137, 0), MATCH(C4912, Analysis!$D$115:$N$115, 0)), "")</f>
        <v/>
      </c>
      <c r="J4912" t="str">
        <f t="shared" si="460"/>
        <v/>
      </c>
      <c r="K4912" s="28" t="str">
        <f t="shared" si="457"/>
        <v/>
      </c>
      <c r="L4912" s="46" t="str">
        <f t="shared" si="461"/>
        <v/>
      </c>
      <c r="M4912" t="str" cm="1">
        <f t="array" ref="M4912">IF(L4912="","",_xlfn.IFS(
  AND(L4912&gt;=TIME(9,0,0), L4912&lt;TIME(16,0,0)),"Morning",
  AND(L4912&gt;=TIME(16,0,0), L4912&lt;TIME(23,59,0)),"Evening",
  L4912&gt;=TIME(23,59,0),"Night",
  L4912&lt;TIME(9,0,0),"Night"
))</f>
        <v/>
      </c>
      <c r="O4912" t="str">
        <f t="shared" si="458"/>
        <v/>
      </c>
    </row>
    <row r="4913" spans="7:15" x14ac:dyDescent="0.25">
      <c r="G4913" t="str">
        <f t="shared" si="456"/>
        <v/>
      </c>
      <c r="H4913" s="13" t="str">
        <f t="shared" si="459"/>
        <v/>
      </c>
      <c r="I4913" t="str">
        <f>IFERROR(INDEX(Analysis!$D$116:$N$137, MATCH(B4913, Analysis!$C$116:$C$137, 0), MATCH(C4913, Analysis!$D$115:$N$115, 0)), "")</f>
        <v/>
      </c>
      <c r="J4913" t="str">
        <f t="shared" si="460"/>
        <v/>
      </c>
      <c r="K4913" s="28" t="str">
        <f t="shared" si="457"/>
        <v/>
      </c>
      <c r="L4913" s="46" t="str">
        <f t="shared" si="461"/>
        <v/>
      </c>
      <c r="M4913" t="str" cm="1">
        <f t="array" ref="M4913">IF(L4913="","",_xlfn.IFS(
  AND(L4913&gt;=TIME(9,0,0), L4913&lt;TIME(16,0,0)),"Morning",
  AND(L4913&gt;=TIME(16,0,0), L4913&lt;TIME(23,59,0)),"Evening",
  L4913&gt;=TIME(23,59,0),"Night",
  L4913&lt;TIME(9,0,0),"Night"
))</f>
        <v/>
      </c>
      <c r="O4913" t="str">
        <f t="shared" si="458"/>
        <v/>
      </c>
    </row>
    <row r="4914" spans="7:15" x14ac:dyDescent="0.25">
      <c r="G4914" t="str">
        <f t="shared" si="456"/>
        <v/>
      </c>
      <c r="H4914" s="13" t="str">
        <f t="shared" si="459"/>
        <v/>
      </c>
      <c r="I4914" t="str">
        <f>IFERROR(INDEX(Analysis!$D$116:$N$137, MATCH(B4914, Analysis!$C$116:$C$137, 0), MATCH(C4914, Analysis!$D$115:$N$115, 0)), "")</f>
        <v/>
      </c>
      <c r="J4914" t="str">
        <f t="shared" si="460"/>
        <v/>
      </c>
      <c r="K4914" s="28" t="str">
        <f t="shared" si="457"/>
        <v/>
      </c>
      <c r="L4914" s="46" t="str">
        <f t="shared" si="461"/>
        <v/>
      </c>
      <c r="M4914" t="str" cm="1">
        <f t="array" ref="M4914">IF(L4914="","",_xlfn.IFS(
  AND(L4914&gt;=TIME(9,0,0), L4914&lt;TIME(16,0,0)),"Morning",
  AND(L4914&gt;=TIME(16,0,0), L4914&lt;TIME(23,59,0)),"Evening",
  L4914&gt;=TIME(23,59,0),"Night",
  L4914&lt;TIME(9,0,0),"Night"
))</f>
        <v/>
      </c>
      <c r="O4914" t="str">
        <f t="shared" si="458"/>
        <v/>
      </c>
    </row>
    <row r="4915" spans="7:15" x14ac:dyDescent="0.25">
      <c r="G4915" t="str">
        <f t="shared" si="456"/>
        <v/>
      </c>
      <c r="H4915" s="13" t="str">
        <f t="shared" si="459"/>
        <v/>
      </c>
      <c r="I4915" t="str">
        <f>IFERROR(INDEX(Analysis!$D$116:$N$137, MATCH(B4915, Analysis!$C$116:$C$137, 0), MATCH(C4915, Analysis!$D$115:$N$115, 0)), "")</f>
        <v/>
      </c>
      <c r="J4915" t="str">
        <f t="shared" si="460"/>
        <v/>
      </c>
      <c r="K4915" s="28" t="str">
        <f t="shared" si="457"/>
        <v/>
      </c>
      <c r="L4915" s="46" t="str">
        <f t="shared" si="461"/>
        <v/>
      </c>
      <c r="M4915" t="str" cm="1">
        <f t="array" ref="M4915">IF(L4915="","",_xlfn.IFS(
  AND(L4915&gt;=TIME(9,0,0), L4915&lt;TIME(16,0,0)),"Morning",
  AND(L4915&gt;=TIME(16,0,0), L4915&lt;TIME(23,59,0)),"Evening",
  L4915&gt;=TIME(23,59,0),"Night",
  L4915&lt;TIME(9,0,0),"Night"
))</f>
        <v/>
      </c>
      <c r="O4915" t="str">
        <f t="shared" si="458"/>
        <v/>
      </c>
    </row>
    <row r="4916" spans="7:15" x14ac:dyDescent="0.25">
      <c r="G4916" t="str">
        <f t="shared" si="456"/>
        <v/>
      </c>
      <c r="H4916" s="13" t="str">
        <f t="shared" si="459"/>
        <v/>
      </c>
      <c r="I4916" t="str">
        <f>IFERROR(INDEX(Analysis!$D$116:$N$137, MATCH(B4916, Analysis!$C$116:$C$137, 0), MATCH(C4916, Analysis!$D$115:$N$115, 0)), "")</f>
        <v/>
      </c>
      <c r="J4916" t="str">
        <f t="shared" si="460"/>
        <v/>
      </c>
      <c r="K4916" s="28" t="str">
        <f t="shared" si="457"/>
        <v/>
      </c>
      <c r="L4916" s="46" t="str">
        <f t="shared" si="461"/>
        <v/>
      </c>
      <c r="M4916" t="str" cm="1">
        <f t="array" ref="M4916">IF(L4916="","",_xlfn.IFS(
  AND(L4916&gt;=TIME(9,0,0), L4916&lt;TIME(16,0,0)),"Morning",
  AND(L4916&gt;=TIME(16,0,0), L4916&lt;TIME(23,59,0)),"Evening",
  L4916&gt;=TIME(23,59,0),"Night",
  L4916&lt;TIME(9,0,0),"Night"
))</f>
        <v/>
      </c>
      <c r="O4916" t="str">
        <f t="shared" si="458"/>
        <v/>
      </c>
    </row>
    <row r="4917" spans="7:15" x14ac:dyDescent="0.25">
      <c r="G4917" t="str">
        <f t="shared" si="456"/>
        <v/>
      </c>
      <c r="H4917" s="13" t="str">
        <f t="shared" si="459"/>
        <v/>
      </c>
      <c r="I4917" t="str">
        <f>IFERROR(INDEX(Analysis!$D$116:$N$137, MATCH(B4917, Analysis!$C$116:$C$137, 0), MATCH(C4917, Analysis!$D$115:$N$115, 0)), "")</f>
        <v/>
      </c>
      <c r="J4917" t="str">
        <f t="shared" si="460"/>
        <v/>
      </c>
      <c r="K4917" s="28" t="str">
        <f t="shared" si="457"/>
        <v/>
      </c>
      <c r="L4917" s="46" t="str">
        <f t="shared" si="461"/>
        <v/>
      </c>
      <c r="M4917" t="str" cm="1">
        <f t="array" ref="M4917">IF(L4917="","",_xlfn.IFS(
  AND(L4917&gt;=TIME(9,0,0), L4917&lt;TIME(16,0,0)),"Morning",
  AND(L4917&gt;=TIME(16,0,0), L4917&lt;TIME(23,59,0)),"Evening",
  L4917&gt;=TIME(23,59,0),"Night",
  L4917&lt;TIME(9,0,0),"Night"
))</f>
        <v/>
      </c>
      <c r="O4917" t="str">
        <f t="shared" si="458"/>
        <v/>
      </c>
    </row>
    <row r="4918" spans="7:15" x14ac:dyDescent="0.25">
      <c r="G4918" t="str">
        <f t="shared" si="456"/>
        <v/>
      </c>
      <c r="H4918" s="13" t="str">
        <f t="shared" si="459"/>
        <v/>
      </c>
      <c r="I4918" t="str">
        <f>IFERROR(INDEX(Analysis!$D$116:$N$137, MATCH(B4918, Analysis!$C$116:$C$137, 0), MATCH(C4918, Analysis!$D$115:$N$115, 0)), "")</f>
        <v/>
      </c>
      <c r="J4918" t="str">
        <f t="shared" si="460"/>
        <v/>
      </c>
      <c r="K4918" s="28" t="str">
        <f t="shared" si="457"/>
        <v/>
      </c>
      <c r="L4918" s="46" t="str">
        <f t="shared" si="461"/>
        <v/>
      </c>
      <c r="M4918" t="str" cm="1">
        <f t="array" ref="M4918">IF(L4918="","",_xlfn.IFS(
  AND(L4918&gt;=TIME(9,0,0), L4918&lt;TIME(16,0,0)),"Morning",
  AND(L4918&gt;=TIME(16,0,0), L4918&lt;TIME(23,59,0)),"Evening",
  L4918&gt;=TIME(23,59,0),"Night",
  L4918&lt;TIME(9,0,0),"Night"
))</f>
        <v/>
      </c>
      <c r="O4918" t="str">
        <f t="shared" si="458"/>
        <v/>
      </c>
    </row>
    <row r="4919" spans="7:15" x14ac:dyDescent="0.25">
      <c r="G4919" t="str">
        <f t="shared" si="456"/>
        <v/>
      </c>
      <c r="H4919" s="13" t="str">
        <f t="shared" si="459"/>
        <v/>
      </c>
      <c r="I4919" t="str">
        <f>IFERROR(INDEX(Analysis!$D$116:$N$137, MATCH(B4919, Analysis!$C$116:$C$137, 0), MATCH(C4919, Analysis!$D$115:$N$115, 0)), "")</f>
        <v/>
      </c>
      <c r="J4919" t="str">
        <f t="shared" si="460"/>
        <v/>
      </c>
      <c r="K4919" s="28" t="str">
        <f t="shared" si="457"/>
        <v/>
      </c>
      <c r="L4919" s="46" t="str">
        <f t="shared" si="461"/>
        <v/>
      </c>
      <c r="M4919" t="str" cm="1">
        <f t="array" ref="M4919">IF(L4919="","",_xlfn.IFS(
  AND(L4919&gt;=TIME(9,0,0), L4919&lt;TIME(16,0,0)),"Morning",
  AND(L4919&gt;=TIME(16,0,0), L4919&lt;TIME(23,59,0)),"Evening",
  L4919&gt;=TIME(23,59,0),"Night",
  L4919&lt;TIME(9,0,0),"Night"
))</f>
        <v/>
      </c>
      <c r="O4919" t="str">
        <f t="shared" si="458"/>
        <v/>
      </c>
    </row>
    <row r="4920" spans="7:15" x14ac:dyDescent="0.25">
      <c r="G4920" t="str">
        <f t="shared" si="456"/>
        <v/>
      </c>
      <c r="H4920" s="13" t="str">
        <f t="shared" si="459"/>
        <v/>
      </c>
      <c r="I4920" t="str">
        <f>IFERROR(INDEX(Analysis!$D$116:$N$137, MATCH(B4920, Analysis!$C$116:$C$137, 0), MATCH(C4920, Analysis!$D$115:$N$115, 0)), "")</f>
        <v/>
      </c>
      <c r="J4920" t="str">
        <f t="shared" si="460"/>
        <v/>
      </c>
      <c r="K4920" s="28" t="str">
        <f t="shared" si="457"/>
        <v/>
      </c>
      <c r="L4920" s="46" t="str">
        <f t="shared" si="461"/>
        <v/>
      </c>
      <c r="M4920" t="str" cm="1">
        <f t="array" ref="M4920">IF(L4920="","",_xlfn.IFS(
  AND(L4920&gt;=TIME(9,0,0), L4920&lt;TIME(16,0,0)),"Morning",
  AND(L4920&gt;=TIME(16,0,0), L4920&lt;TIME(23,59,0)),"Evening",
  L4920&gt;=TIME(23,59,0),"Night",
  L4920&lt;TIME(9,0,0),"Night"
))</f>
        <v/>
      </c>
      <c r="O4920" t="str">
        <f t="shared" si="458"/>
        <v/>
      </c>
    </row>
    <row r="4921" spans="7:15" x14ac:dyDescent="0.25">
      <c r="G4921" t="str">
        <f t="shared" si="456"/>
        <v/>
      </c>
      <c r="H4921" s="13" t="str">
        <f t="shared" si="459"/>
        <v/>
      </c>
      <c r="I4921" t="str">
        <f>IFERROR(INDEX(Analysis!$D$116:$N$137, MATCH(B4921, Analysis!$C$116:$C$137, 0), MATCH(C4921, Analysis!$D$115:$N$115, 0)), "")</f>
        <v/>
      </c>
      <c r="J4921" t="str">
        <f t="shared" si="460"/>
        <v/>
      </c>
      <c r="K4921" s="28" t="str">
        <f t="shared" si="457"/>
        <v/>
      </c>
      <c r="L4921" s="46" t="str">
        <f t="shared" si="461"/>
        <v/>
      </c>
      <c r="M4921" t="str" cm="1">
        <f t="array" ref="M4921">IF(L4921="","",_xlfn.IFS(
  AND(L4921&gt;=TIME(9,0,0), L4921&lt;TIME(16,0,0)),"Morning",
  AND(L4921&gt;=TIME(16,0,0), L4921&lt;TIME(23,59,0)),"Evening",
  L4921&gt;=TIME(23,59,0),"Night",
  L4921&lt;TIME(9,0,0),"Night"
))</f>
        <v/>
      </c>
      <c r="O4921" t="str">
        <f t="shared" si="458"/>
        <v/>
      </c>
    </row>
    <row r="4922" spans="7:15" x14ac:dyDescent="0.25">
      <c r="G4922" t="str">
        <f t="shared" si="456"/>
        <v/>
      </c>
      <c r="H4922" s="13" t="str">
        <f t="shared" si="459"/>
        <v/>
      </c>
      <c r="I4922" t="str">
        <f>IFERROR(INDEX(Analysis!$D$116:$N$137, MATCH(B4922, Analysis!$C$116:$C$137, 0), MATCH(C4922, Analysis!$D$115:$N$115, 0)), "")</f>
        <v/>
      </c>
      <c r="J4922" t="str">
        <f t="shared" si="460"/>
        <v/>
      </c>
      <c r="K4922" s="28" t="str">
        <f t="shared" si="457"/>
        <v/>
      </c>
      <c r="L4922" s="46" t="str">
        <f t="shared" si="461"/>
        <v/>
      </c>
      <c r="M4922" t="str" cm="1">
        <f t="array" ref="M4922">IF(L4922="","",_xlfn.IFS(
  AND(L4922&gt;=TIME(9,0,0), L4922&lt;TIME(16,0,0)),"Morning",
  AND(L4922&gt;=TIME(16,0,0), L4922&lt;TIME(23,59,0)),"Evening",
  L4922&gt;=TIME(23,59,0),"Night",
  L4922&lt;TIME(9,0,0),"Night"
))</f>
        <v/>
      </c>
      <c r="O4922" t="str">
        <f t="shared" si="458"/>
        <v/>
      </c>
    </row>
    <row r="4923" spans="7:15" x14ac:dyDescent="0.25">
      <c r="G4923" t="str">
        <f t="shared" si="456"/>
        <v/>
      </c>
      <c r="H4923" s="13" t="str">
        <f t="shared" si="459"/>
        <v/>
      </c>
      <c r="I4923" t="str">
        <f>IFERROR(INDEX(Analysis!$D$116:$N$137, MATCH(B4923, Analysis!$C$116:$C$137, 0), MATCH(C4923, Analysis!$D$115:$N$115, 0)), "")</f>
        <v/>
      </c>
      <c r="J4923" t="str">
        <f t="shared" si="460"/>
        <v/>
      </c>
      <c r="K4923" s="28" t="str">
        <f t="shared" si="457"/>
        <v/>
      </c>
      <c r="L4923" s="46" t="str">
        <f t="shared" si="461"/>
        <v/>
      </c>
      <c r="M4923" t="str" cm="1">
        <f t="array" ref="M4923">IF(L4923="","",_xlfn.IFS(
  AND(L4923&gt;=TIME(9,0,0), L4923&lt;TIME(16,0,0)),"Morning",
  AND(L4923&gt;=TIME(16,0,0), L4923&lt;TIME(23,59,0)),"Evening",
  L4923&gt;=TIME(23,59,0),"Night",
  L4923&lt;TIME(9,0,0),"Night"
))</f>
        <v/>
      </c>
      <c r="O4923" t="str">
        <f t="shared" si="458"/>
        <v/>
      </c>
    </row>
    <row r="4924" spans="7:15" x14ac:dyDescent="0.25">
      <c r="G4924" t="str">
        <f t="shared" si="456"/>
        <v/>
      </c>
      <c r="H4924" s="13" t="str">
        <f t="shared" si="459"/>
        <v/>
      </c>
      <c r="I4924" t="str">
        <f>IFERROR(INDEX(Analysis!$D$116:$N$137, MATCH(B4924, Analysis!$C$116:$C$137, 0), MATCH(C4924, Analysis!$D$115:$N$115, 0)), "")</f>
        <v/>
      </c>
      <c r="J4924" t="str">
        <f t="shared" si="460"/>
        <v/>
      </c>
      <c r="K4924" s="28" t="str">
        <f t="shared" si="457"/>
        <v/>
      </c>
      <c r="L4924" s="46" t="str">
        <f t="shared" si="461"/>
        <v/>
      </c>
      <c r="M4924" t="str" cm="1">
        <f t="array" ref="M4924">IF(L4924="","",_xlfn.IFS(
  AND(L4924&gt;=TIME(9,0,0), L4924&lt;TIME(16,0,0)),"Morning",
  AND(L4924&gt;=TIME(16,0,0), L4924&lt;TIME(23,59,0)),"Evening",
  L4924&gt;=TIME(23,59,0),"Night",
  L4924&lt;TIME(9,0,0),"Night"
))</f>
        <v/>
      </c>
      <c r="O4924" t="str">
        <f t="shared" si="458"/>
        <v/>
      </c>
    </row>
    <row r="4925" spans="7:15" x14ac:dyDescent="0.25">
      <c r="G4925" t="str">
        <f t="shared" si="456"/>
        <v/>
      </c>
      <c r="H4925" s="13" t="str">
        <f t="shared" si="459"/>
        <v/>
      </c>
      <c r="I4925" t="str">
        <f>IFERROR(INDEX(Analysis!$D$116:$N$137, MATCH(B4925, Analysis!$C$116:$C$137, 0), MATCH(C4925, Analysis!$D$115:$N$115, 0)), "")</f>
        <v/>
      </c>
      <c r="J4925" t="str">
        <f t="shared" si="460"/>
        <v/>
      </c>
      <c r="K4925" s="28" t="str">
        <f t="shared" si="457"/>
        <v/>
      </c>
      <c r="L4925" s="46" t="str">
        <f t="shared" si="461"/>
        <v/>
      </c>
      <c r="M4925" t="str" cm="1">
        <f t="array" ref="M4925">IF(L4925="","",_xlfn.IFS(
  AND(L4925&gt;=TIME(9,0,0), L4925&lt;TIME(16,0,0)),"Morning",
  AND(L4925&gt;=TIME(16,0,0), L4925&lt;TIME(23,59,0)),"Evening",
  L4925&gt;=TIME(23,59,0),"Night",
  L4925&lt;TIME(9,0,0),"Night"
))</f>
        <v/>
      </c>
      <c r="O4925" t="str">
        <f t="shared" si="458"/>
        <v/>
      </c>
    </row>
    <row r="4926" spans="7:15" x14ac:dyDescent="0.25">
      <c r="G4926" t="str">
        <f t="shared" si="456"/>
        <v/>
      </c>
      <c r="H4926" s="13" t="str">
        <f t="shared" si="459"/>
        <v/>
      </c>
      <c r="I4926" t="str">
        <f>IFERROR(INDEX(Analysis!$D$116:$N$137, MATCH(B4926, Analysis!$C$116:$C$137, 0), MATCH(C4926, Analysis!$D$115:$N$115, 0)), "")</f>
        <v/>
      </c>
      <c r="J4926" t="str">
        <f t="shared" si="460"/>
        <v/>
      </c>
      <c r="K4926" s="28" t="str">
        <f t="shared" si="457"/>
        <v/>
      </c>
      <c r="L4926" s="46" t="str">
        <f t="shared" si="461"/>
        <v/>
      </c>
      <c r="M4926" t="str" cm="1">
        <f t="array" ref="M4926">IF(L4926="","",_xlfn.IFS(
  AND(L4926&gt;=TIME(9,0,0), L4926&lt;TIME(16,0,0)),"Morning",
  AND(L4926&gt;=TIME(16,0,0), L4926&lt;TIME(23,59,0)),"Evening",
  L4926&gt;=TIME(23,59,0),"Night",
  L4926&lt;TIME(9,0,0),"Night"
))</f>
        <v/>
      </c>
      <c r="O4926" t="str">
        <f t="shared" si="458"/>
        <v/>
      </c>
    </row>
    <row r="4927" spans="7:15" x14ac:dyDescent="0.25">
      <c r="G4927" t="str">
        <f t="shared" si="456"/>
        <v/>
      </c>
      <c r="H4927" s="13" t="str">
        <f t="shared" si="459"/>
        <v/>
      </c>
      <c r="I4927" t="str">
        <f>IFERROR(INDEX(Analysis!$D$116:$N$137, MATCH(B4927, Analysis!$C$116:$C$137, 0), MATCH(C4927, Analysis!$D$115:$N$115, 0)), "")</f>
        <v/>
      </c>
      <c r="J4927" t="str">
        <f t="shared" si="460"/>
        <v/>
      </c>
      <c r="K4927" s="28" t="str">
        <f t="shared" si="457"/>
        <v/>
      </c>
      <c r="L4927" s="46" t="str">
        <f t="shared" si="461"/>
        <v/>
      </c>
      <c r="M4927" t="str" cm="1">
        <f t="array" ref="M4927">IF(L4927="","",_xlfn.IFS(
  AND(L4927&gt;=TIME(9,0,0), L4927&lt;TIME(16,0,0)),"Morning",
  AND(L4927&gt;=TIME(16,0,0), L4927&lt;TIME(23,59,0)),"Evening",
  L4927&gt;=TIME(23,59,0),"Night",
  L4927&lt;TIME(9,0,0),"Night"
))</f>
        <v/>
      </c>
      <c r="O4927" t="str">
        <f t="shared" si="458"/>
        <v/>
      </c>
    </row>
    <row r="4928" spans="7:15" x14ac:dyDescent="0.25">
      <c r="G4928" t="str">
        <f t="shared" si="456"/>
        <v/>
      </c>
      <c r="H4928" s="13" t="str">
        <f t="shared" si="459"/>
        <v/>
      </c>
      <c r="I4928" t="str">
        <f>IFERROR(INDEX(Analysis!$D$116:$N$137, MATCH(B4928, Analysis!$C$116:$C$137, 0), MATCH(C4928, Analysis!$D$115:$N$115, 0)), "")</f>
        <v/>
      </c>
      <c r="J4928" t="str">
        <f t="shared" si="460"/>
        <v/>
      </c>
      <c r="K4928" s="28" t="str">
        <f t="shared" si="457"/>
        <v/>
      </c>
      <c r="L4928" s="46" t="str">
        <f t="shared" si="461"/>
        <v/>
      </c>
      <c r="M4928" t="str" cm="1">
        <f t="array" ref="M4928">IF(L4928="","",_xlfn.IFS(
  AND(L4928&gt;=TIME(9,0,0), L4928&lt;TIME(16,0,0)),"Morning",
  AND(L4928&gt;=TIME(16,0,0), L4928&lt;TIME(23,59,0)),"Evening",
  L4928&gt;=TIME(23,59,0),"Night",
  L4928&lt;TIME(9,0,0),"Night"
))</f>
        <v/>
      </c>
      <c r="O4928" t="str">
        <f t="shared" si="458"/>
        <v/>
      </c>
    </row>
    <row r="4929" spans="7:15" x14ac:dyDescent="0.25">
      <c r="G4929" t="str">
        <f t="shared" si="456"/>
        <v/>
      </c>
      <c r="H4929" s="13" t="str">
        <f t="shared" si="459"/>
        <v/>
      </c>
      <c r="I4929" t="str">
        <f>IFERROR(INDEX(Analysis!$D$116:$N$137, MATCH(B4929, Analysis!$C$116:$C$137, 0), MATCH(C4929, Analysis!$D$115:$N$115, 0)), "")</f>
        <v/>
      </c>
      <c r="J4929" t="str">
        <f t="shared" si="460"/>
        <v/>
      </c>
      <c r="K4929" s="28" t="str">
        <f t="shared" si="457"/>
        <v/>
      </c>
      <c r="L4929" s="46" t="str">
        <f t="shared" si="461"/>
        <v/>
      </c>
      <c r="M4929" t="str" cm="1">
        <f t="array" ref="M4929">IF(L4929="","",_xlfn.IFS(
  AND(L4929&gt;=TIME(9,0,0), L4929&lt;TIME(16,0,0)),"Morning",
  AND(L4929&gt;=TIME(16,0,0), L4929&lt;TIME(23,59,0)),"Evening",
  L4929&gt;=TIME(23,59,0),"Night",
  L4929&lt;TIME(9,0,0),"Night"
))</f>
        <v/>
      </c>
      <c r="O4929" t="str">
        <f t="shared" si="458"/>
        <v/>
      </c>
    </row>
    <row r="4930" spans="7:15" x14ac:dyDescent="0.25">
      <c r="G4930" t="str">
        <f t="shared" ref="G4930:G4993" si="462">IF(ISBLANK(A4930), "", IF(ISBLANK(F4930), 0, F4930))</f>
        <v/>
      </c>
      <c r="H4930" s="13" t="str">
        <f t="shared" si="459"/>
        <v/>
      </c>
      <c r="I4930" t="str">
        <f>IFERROR(INDEX(Analysis!$D$116:$N$137, MATCH(B4930, Analysis!$C$116:$C$137, 0), MATCH(C4930, Analysis!$D$115:$N$115, 0)), "")</f>
        <v/>
      </c>
      <c r="J4930" t="str">
        <f t="shared" si="460"/>
        <v/>
      </c>
      <c r="K4930" s="28" t="str">
        <f t="shared" ref="K4930:K4993" si="463">IF(ISBLANK(A4930),"",DATE(YEAR(A4930),MONTH(A4930),DAY(A4930)))</f>
        <v/>
      </c>
      <c r="L4930" s="46" t="str">
        <f t="shared" si="461"/>
        <v/>
      </c>
      <c r="M4930" t="str" cm="1">
        <f t="array" ref="M4930">IF(L4930="","",_xlfn.IFS(
  AND(L4930&gt;=TIME(9,0,0), L4930&lt;TIME(16,0,0)),"Morning",
  AND(L4930&gt;=TIME(16,0,0), L4930&lt;TIME(23,59,0)),"Evening",
  L4930&gt;=TIME(23,59,0),"Night",
  L4930&lt;TIME(9,0,0),"Night"
))</f>
        <v/>
      </c>
      <c r="O4930" t="str">
        <f t="shared" ref="O4930:O4993" si="464">IF(N4930="ON", _xlfn.IMAGE(E4930, 1), "")</f>
        <v/>
      </c>
    </row>
    <row r="4931" spans="7:15" x14ac:dyDescent="0.25">
      <c r="G4931" t="str">
        <f t="shared" si="462"/>
        <v/>
      </c>
      <c r="H4931" s="13" t="str">
        <f t="shared" ref="H4931:H4994" si="465">IF(ISBLANK(E4931),"",HYPERLINK(E4931,"Click here"))</f>
        <v/>
      </c>
      <c r="I4931" t="str">
        <f>IFERROR(INDEX(Analysis!$D$116:$N$137, MATCH(B4931, Analysis!$C$116:$C$137, 0), MATCH(C4931, Analysis!$D$115:$N$115, 0)), "")</f>
        <v/>
      </c>
      <c r="J4931" t="str">
        <f t="shared" ref="J4931:J4994" si="466">IF(ISBLANK(A4931),"",WEEKNUM(A4931))</f>
        <v/>
      </c>
      <c r="K4931" s="28" t="str">
        <f t="shared" si="463"/>
        <v/>
      </c>
      <c r="L4931" s="46" t="str">
        <f t="shared" ref="L4931:L4994" si="467">IF(A4931="", "", A4931 - INT(A4931))</f>
        <v/>
      </c>
      <c r="M4931" t="str" cm="1">
        <f t="array" ref="M4931">IF(L4931="","",_xlfn.IFS(
  AND(L4931&gt;=TIME(9,0,0), L4931&lt;TIME(16,0,0)),"Morning",
  AND(L4931&gt;=TIME(16,0,0), L4931&lt;TIME(23,59,0)),"Evening",
  L4931&gt;=TIME(23,59,0),"Night",
  L4931&lt;TIME(9,0,0),"Night"
))</f>
        <v/>
      </c>
      <c r="O4931" t="str">
        <f t="shared" si="464"/>
        <v/>
      </c>
    </row>
    <row r="4932" spans="7:15" x14ac:dyDescent="0.25">
      <c r="G4932" t="str">
        <f t="shared" si="462"/>
        <v/>
      </c>
      <c r="H4932" s="13" t="str">
        <f t="shared" si="465"/>
        <v/>
      </c>
      <c r="I4932" t="str">
        <f>IFERROR(INDEX(Analysis!$D$116:$N$137, MATCH(B4932, Analysis!$C$116:$C$137, 0), MATCH(C4932, Analysis!$D$115:$N$115, 0)), "")</f>
        <v/>
      </c>
      <c r="J4932" t="str">
        <f t="shared" si="466"/>
        <v/>
      </c>
      <c r="K4932" s="28" t="str">
        <f t="shared" si="463"/>
        <v/>
      </c>
      <c r="L4932" s="46" t="str">
        <f t="shared" si="467"/>
        <v/>
      </c>
      <c r="M4932" t="str" cm="1">
        <f t="array" ref="M4932">IF(L4932="","",_xlfn.IFS(
  AND(L4932&gt;=TIME(9,0,0), L4932&lt;TIME(16,0,0)),"Morning",
  AND(L4932&gt;=TIME(16,0,0), L4932&lt;TIME(23,59,0)),"Evening",
  L4932&gt;=TIME(23,59,0),"Night",
  L4932&lt;TIME(9,0,0),"Night"
))</f>
        <v/>
      </c>
      <c r="O4932" t="str">
        <f t="shared" si="464"/>
        <v/>
      </c>
    </row>
    <row r="4933" spans="7:15" x14ac:dyDescent="0.25">
      <c r="G4933" t="str">
        <f t="shared" si="462"/>
        <v/>
      </c>
      <c r="H4933" s="13" t="str">
        <f t="shared" si="465"/>
        <v/>
      </c>
      <c r="I4933" t="str">
        <f>IFERROR(INDEX(Analysis!$D$116:$N$137, MATCH(B4933, Analysis!$C$116:$C$137, 0), MATCH(C4933, Analysis!$D$115:$N$115, 0)), "")</f>
        <v/>
      </c>
      <c r="J4933" t="str">
        <f t="shared" si="466"/>
        <v/>
      </c>
      <c r="K4933" s="28" t="str">
        <f t="shared" si="463"/>
        <v/>
      </c>
      <c r="L4933" s="46" t="str">
        <f t="shared" si="467"/>
        <v/>
      </c>
      <c r="M4933" t="str" cm="1">
        <f t="array" ref="M4933">IF(L4933="","",_xlfn.IFS(
  AND(L4933&gt;=TIME(9,0,0), L4933&lt;TIME(16,0,0)),"Morning",
  AND(L4933&gt;=TIME(16,0,0), L4933&lt;TIME(23,59,0)),"Evening",
  L4933&gt;=TIME(23,59,0),"Night",
  L4933&lt;TIME(9,0,0),"Night"
))</f>
        <v/>
      </c>
      <c r="O4933" t="str">
        <f t="shared" si="464"/>
        <v/>
      </c>
    </row>
    <row r="4934" spans="7:15" x14ac:dyDescent="0.25">
      <c r="G4934" t="str">
        <f t="shared" si="462"/>
        <v/>
      </c>
      <c r="H4934" s="13" t="str">
        <f t="shared" si="465"/>
        <v/>
      </c>
      <c r="I4934" t="str">
        <f>IFERROR(INDEX(Analysis!$D$116:$N$137, MATCH(B4934, Analysis!$C$116:$C$137, 0), MATCH(C4934, Analysis!$D$115:$N$115, 0)), "")</f>
        <v/>
      </c>
      <c r="J4934" t="str">
        <f t="shared" si="466"/>
        <v/>
      </c>
      <c r="K4934" s="28" t="str">
        <f t="shared" si="463"/>
        <v/>
      </c>
      <c r="L4934" s="46" t="str">
        <f t="shared" si="467"/>
        <v/>
      </c>
      <c r="M4934" t="str" cm="1">
        <f t="array" ref="M4934">IF(L4934="","",_xlfn.IFS(
  AND(L4934&gt;=TIME(9,0,0), L4934&lt;TIME(16,0,0)),"Morning",
  AND(L4934&gt;=TIME(16,0,0), L4934&lt;TIME(23,59,0)),"Evening",
  L4934&gt;=TIME(23,59,0),"Night",
  L4934&lt;TIME(9,0,0),"Night"
))</f>
        <v/>
      </c>
      <c r="O4934" t="str">
        <f t="shared" si="464"/>
        <v/>
      </c>
    </row>
    <row r="4935" spans="7:15" x14ac:dyDescent="0.25">
      <c r="G4935" t="str">
        <f t="shared" si="462"/>
        <v/>
      </c>
      <c r="H4935" s="13" t="str">
        <f t="shared" si="465"/>
        <v/>
      </c>
      <c r="I4935" t="str">
        <f>IFERROR(INDEX(Analysis!$D$116:$N$137, MATCH(B4935, Analysis!$C$116:$C$137, 0), MATCH(C4935, Analysis!$D$115:$N$115, 0)), "")</f>
        <v/>
      </c>
      <c r="J4935" t="str">
        <f t="shared" si="466"/>
        <v/>
      </c>
      <c r="K4935" s="28" t="str">
        <f t="shared" si="463"/>
        <v/>
      </c>
      <c r="L4935" s="46" t="str">
        <f t="shared" si="467"/>
        <v/>
      </c>
      <c r="M4935" t="str" cm="1">
        <f t="array" ref="M4935">IF(L4935="","",_xlfn.IFS(
  AND(L4935&gt;=TIME(9,0,0), L4935&lt;TIME(16,0,0)),"Morning",
  AND(L4935&gt;=TIME(16,0,0), L4935&lt;TIME(23,59,0)),"Evening",
  L4935&gt;=TIME(23,59,0),"Night",
  L4935&lt;TIME(9,0,0),"Night"
))</f>
        <v/>
      </c>
      <c r="O4935" t="str">
        <f t="shared" si="464"/>
        <v/>
      </c>
    </row>
    <row r="4936" spans="7:15" x14ac:dyDescent="0.25">
      <c r="G4936" t="str">
        <f t="shared" si="462"/>
        <v/>
      </c>
      <c r="H4936" s="13" t="str">
        <f t="shared" si="465"/>
        <v/>
      </c>
      <c r="I4936" t="str">
        <f>IFERROR(INDEX(Analysis!$D$116:$N$137, MATCH(B4936, Analysis!$C$116:$C$137, 0), MATCH(C4936, Analysis!$D$115:$N$115, 0)), "")</f>
        <v/>
      </c>
      <c r="J4936" t="str">
        <f t="shared" si="466"/>
        <v/>
      </c>
      <c r="K4936" s="28" t="str">
        <f t="shared" si="463"/>
        <v/>
      </c>
      <c r="L4936" s="46" t="str">
        <f t="shared" si="467"/>
        <v/>
      </c>
      <c r="M4936" t="str" cm="1">
        <f t="array" ref="M4936">IF(L4936="","",_xlfn.IFS(
  AND(L4936&gt;=TIME(9,0,0), L4936&lt;TIME(16,0,0)),"Morning",
  AND(L4936&gt;=TIME(16,0,0), L4936&lt;TIME(23,59,0)),"Evening",
  L4936&gt;=TIME(23,59,0),"Night",
  L4936&lt;TIME(9,0,0),"Night"
))</f>
        <v/>
      </c>
      <c r="O4936" t="str">
        <f t="shared" si="464"/>
        <v/>
      </c>
    </row>
    <row r="4937" spans="7:15" x14ac:dyDescent="0.25">
      <c r="G4937" t="str">
        <f t="shared" si="462"/>
        <v/>
      </c>
      <c r="H4937" s="13" t="str">
        <f t="shared" si="465"/>
        <v/>
      </c>
      <c r="I4937" t="str">
        <f>IFERROR(INDEX(Analysis!$D$116:$N$137, MATCH(B4937, Analysis!$C$116:$C$137, 0), MATCH(C4937, Analysis!$D$115:$N$115, 0)), "")</f>
        <v/>
      </c>
      <c r="J4937" t="str">
        <f t="shared" si="466"/>
        <v/>
      </c>
      <c r="K4937" s="28" t="str">
        <f t="shared" si="463"/>
        <v/>
      </c>
      <c r="L4937" s="46" t="str">
        <f t="shared" si="467"/>
        <v/>
      </c>
      <c r="M4937" t="str" cm="1">
        <f t="array" ref="M4937">IF(L4937="","",_xlfn.IFS(
  AND(L4937&gt;=TIME(9,0,0), L4937&lt;TIME(16,0,0)),"Morning",
  AND(L4937&gt;=TIME(16,0,0), L4937&lt;TIME(23,59,0)),"Evening",
  L4937&gt;=TIME(23,59,0),"Night",
  L4937&lt;TIME(9,0,0),"Night"
))</f>
        <v/>
      </c>
      <c r="O4937" t="str">
        <f t="shared" si="464"/>
        <v/>
      </c>
    </row>
    <row r="4938" spans="7:15" x14ac:dyDescent="0.25">
      <c r="G4938" t="str">
        <f t="shared" si="462"/>
        <v/>
      </c>
      <c r="H4938" s="13" t="str">
        <f t="shared" si="465"/>
        <v/>
      </c>
      <c r="I4938" t="str">
        <f>IFERROR(INDEX(Analysis!$D$116:$N$137, MATCH(B4938, Analysis!$C$116:$C$137, 0), MATCH(C4938, Analysis!$D$115:$N$115, 0)), "")</f>
        <v/>
      </c>
      <c r="J4938" t="str">
        <f t="shared" si="466"/>
        <v/>
      </c>
      <c r="K4938" s="28" t="str">
        <f t="shared" si="463"/>
        <v/>
      </c>
      <c r="L4938" s="46" t="str">
        <f t="shared" si="467"/>
        <v/>
      </c>
      <c r="M4938" t="str" cm="1">
        <f t="array" ref="M4938">IF(L4938="","",_xlfn.IFS(
  AND(L4938&gt;=TIME(9,0,0), L4938&lt;TIME(16,0,0)),"Morning",
  AND(L4938&gt;=TIME(16,0,0), L4938&lt;TIME(23,59,0)),"Evening",
  L4938&gt;=TIME(23,59,0),"Night",
  L4938&lt;TIME(9,0,0),"Night"
))</f>
        <v/>
      </c>
      <c r="O4938" t="str">
        <f t="shared" si="464"/>
        <v/>
      </c>
    </row>
    <row r="4939" spans="7:15" x14ac:dyDescent="0.25">
      <c r="G4939" t="str">
        <f t="shared" si="462"/>
        <v/>
      </c>
      <c r="H4939" s="13" t="str">
        <f t="shared" si="465"/>
        <v/>
      </c>
      <c r="I4939" t="str">
        <f>IFERROR(INDEX(Analysis!$D$116:$N$137, MATCH(B4939, Analysis!$C$116:$C$137, 0), MATCH(C4939, Analysis!$D$115:$N$115, 0)), "")</f>
        <v/>
      </c>
      <c r="J4939" t="str">
        <f t="shared" si="466"/>
        <v/>
      </c>
      <c r="K4939" s="28" t="str">
        <f t="shared" si="463"/>
        <v/>
      </c>
      <c r="L4939" s="46" t="str">
        <f t="shared" si="467"/>
        <v/>
      </c>
      <c r="M4939" t="str" cm="1">
        <f t="array" ref="M4939">IF(L4939="","",_xlfn.IFS(
  AND(L4939&gt;=TIME(9,0,0), L4939&lt;TIME(16,0,0)),"Morning",
  AND(L4939&gt;=TIME(16,0,0), L4939&lt;TIME(23,59,0)),"Evening",
  L4939&gt;=TIME(23,59,0),"Night",
  L4939&lt;TIME(9,0,0),"Night"
))</f>
        <v/>
      </c>
      <c r="O4939" t="str">
        <f t="shared" si="464"/>
        <v/>
      </c>
    </row>
    <row r="4940" spans="7:15" x14ac:dyDescent="0.25">
      <c r="G4940" t="str">
        <f t="shared" si="462"/>
        <v/>
      </c>
      <c r="H4940" s="13" t="str">
        <f t="shared" si="465"/>
        <v/>
      </c>
      <c r="I4940" t="str">
        <f>IFERROR(INDEX(Analysis!$D$116:$N$137, MATCH(B4940, Analysis!$C$116:$C$137, 0), MATCH(C4940, Analysis!$D$115:$N$115, 0)), "")</f>
        <v/>
      </c>
      <c r="J4940" t="str">
        <f t="shared" si="466"/>
        <v/>
      </c>
      <c r="K4940" s="28" t="str">
        <f t="shared" si="463"/>
        <v/>
      </c>
      <c r="L4940" s="46" t="str">
        <f t="shared" si="467"/>
        <v/>
      </c>
      <c r="M4940" t="str" cm="1">
        <f t="array" ref="M4940">IF(L4940="","",_xlfn.IFS(
  AND(L4940&gt;=TIME(9,0,0), L4940&lt;TIME(16,0,0)),"Morning",
  AND(L4940&gt;=TIME(16,0,0), L4940&lt;TIME(23,59,0)),"Evening",
  L4940&gt;=TIME(23,59,0),"Night",
  L4940&lt;TIME(9,0,0),"Night"
))</f>
        <v/>
      </c>
      <c r="O4940" t="str">
        <f t="shared" si="464"/>
        <v/>
      </c>
    </row>
    <row r="4941" spans="7:15" x14ac:dyDescent="0.25">
      <c r="G4941" t="str">
        <f t="shared" si="462"/>
        <v/>
      </c>
      <c r="H4941" s="13" t="str">
        <f t="shared" si="465"/>
        <v/>
      </c>
      <c r="I4941" t="str">
        <f>IFERROR(INDEX(Analysis!$D$116:$N$137, MATCH(B4941, Analysis!$C$116:$C$137, 0), MATCH(C4941, Analysis!$D$115:$N$115, 0)), "")</f>
        <v/>
      </c>
      <c r="J4941" t="str">
        <f t="shared" si="466"/>
        <v/>
      </c>
      <c r="K4941" s="28" t="str">
        <f t="shared" si="463"/>
        <v/>
      </c>
      <c r="L4941" s="46" t="str">
        <f t="shared" si="467"/>
        <v/>
      </c>
      <c r="M4941" t="str" cm="1">
        <f t="array" ref="M4941">IF(L4941="","",_xlfn.IFS(
  AND(L4941&gt;=TIME(9,0,0), L4941&lt;TIME(16,0,0)),"Morning",
  AND(L4941&gt;=TIME(16,0,0), L4941&lt;TIME(23,59,0)),"Evening",
  L4941&gt;=TIME(23,59,0),"Night",
  L4941&lt;TIME(9,0,0),"Night"
))</f>
        <v/>
      </c>
      <c r="O4941" t="str">
        <f t="shared" si="464"/>
        <v/>
      </c>
    </row>
    <row r="4942" spans="7:15" x14ac:dyDescent="0.25">
      <c r="G4942" t="str">
        <f t="shared" si="462"/>
        <v/>
      </c>
      <c r="H4942" s="13" t="str">
        <f t="shared" si="465"/>
        <v/>
      </c>
      <c r="I4942" t="str">
        <f>IFERROR(INDEX(Analysis!$D$116:$N$137, MATCH(B4942, Analysis!$C$116:$C$137, 0), MATCH(C4942, Analysis!$D$115:$N$115, 0)), "")</f>
        <v/>
      </c>
      <c r="J4942" t="str">
        <f t="shared" si="466"/>
        <v/>
      </c>
      <c r="K4942" s="28" t="str">
        <f t="shared" si="463"/>
        <v/>
      </c>
      <c r="L4942" s="46" t="str">
        <f t="shared" si="467"/>
        <v/>
      </c>
      <c r="M4942" t="str" cm="1">
        <f t="array" ref="M4942">IF(L4942="","",_xlfn.IFS(
  AND(L4942&gt;=TIME(9,0,0), L4942&lt;TIME(16,0,0)),"Morning",
  AND(L4942&gt;=TIME(16,0,0), L4942&lt;TIME(23,59,0)),"Evening",
  L4942&gt;=TIME(23,59,0),"Night",
  L4942&lt;TIME(9,0,0),"Night"
))</f>
        <v/>
      </c>
      <c r="O4942" t="str">
        <f t="shared" si="464"/>
        <v/>
      </c>
    </row>
    <row r="4943" spans="7:15" x14ac:dyDescent="0.25">
      <c r="G4943" t="str">
        <f t="shared" si="462"/>
        <v/>
      </c>
      <c r="H4943" s="13" t="str">
        <f t="shared" si="465"/>
        <v/>
      </c>
      <c r="I4943" t="str">
        <f>IFERROR(INDEX(Analysis!$D$116:$N$137, MATCH(B4943, Analysis!$C$116:$C$137, 0), MATCH(C4943, Analysis!$D$115:$N$115, 0)), "")</f>
        <v/>
      </c>
      <c r="J4943" t="str">
        <f t="shared" si="466"/>
        <v/>
      </c>
      <c r="K4943" s="28" t="str">
        <f t="shared" si="463"/>
        <v/>
      </c>
      <c r="L4943" s="46" t="str">
        <f t="shared" si="467"/>
        <v/>
      </c>
      <c r="M4943" t="str" cm="1">
        <f t="array" ref="M4943">IF(L4943="","",_xlfn.IFS(
  AND(L4943&gt;=TIME(9,0,0), L4943&lt;TIME(16,0,0)),"Morning",
  AND(L4943&gt;=TIME(16,0,0), L4943&lt;TIME(23,59,0)),"Evening",
  L4943&gt;=TIME(23,59,0),"Night",
  L4943&lt;TIME(9,0,0),"Night"
))</f>
        <v/>
      </c>
      <c r="O4943" t="str">
        <f t="shared" si="464"/>
        <v/>
      </c>
    </row>
    <row r="4944" spans="7:15" x14ac:dyDescent="0.25">
      <c r="G4944" t="str">
        <f t="shared" si="462"/>
        <v/>
      </c>
      <c r="H4944" s="13" t="str">
        <f t="shared" si="465"/>
        <v/>
      </c>
      <c r="I4944" t="str">
        <f>IFERROR(INDEX(Analysis!$D$116:$N$137, MATCH(B4944, Analysis!$C$116:$C$137, 0), MATCH(C4944, Analysis!$D$115:$N$115, 0)), "")</f>
        <v/>
      </c>
      <c r="J4944" t="str">
        <f t="shared" si="466"/>
        <v/>
      </c>
      <c r="K4944" s="28" t="str">
        <f t="shared" si="463"/>
        <v/>
      </c>
      <c r="L4944" s="46" t="str">
        <f t="shared" si="467"/>
        <v/>
      </c>
      <c r="M4944" t="str" cm="1">
        <f t="array" ref="M4944">IF(L4944="","",_xlfn.IFS(
  AND(L4944&gt;=TIME(9,0,0), L4944&lt;TIME(16,0,0)),"Morning",
  AND(L4944&gt;=TIME(16,0,0), L4944&lt;TIME(23,59,0)),"Evening",
  L4944&gt;=TIME(23,59,0),"Night",
  L4944&lt;TIME(9,0,0),"Night"
))</f>
        <v/>
      </c>
      <c r="O4944" t="str">
        <f t="shared" si="464"/>
        <v/>
      </c>
    </row>
    <row r="4945" spans="7:15" x14ac:dyDescent="0.25">
      <c r="G4945" t="str">
        <f t="shared" si="462"/>
        <v/>
      </c>
      <c r="H4945" s="13" t="str">
        <f t="shared" si="465"/>
        <v/>
      </c>
      <c r="I4945" t="str">
        <f>IFERROR(INDEX(Analysis!$D$116:$N$137, MATCH(B4945, Analysis!$C$116:$C$137, 0), MATCH(C4945, Analysis!$D$115:$N$115, 0)), "")</f>
        <v/>
      </c>
      <c r="J4945" t="str">
        <f t="shared" si="466"/>
        <v/>
      </c>
      <c r="K4945" s="28" t="str">
        <f t="shared" si="463"/>
        <v/>
      </c>
      <c r="L4945" s="46" t="str">
        <f t="shared" si="467"/>
        <v/>
      </c>
      <c r="M4945" t="str" cm="1">
        <f t="array" ref="M4945">IF(L4945="","",_xlfn.IFS(
  AND(L4945&gt;=TIME(9,0,0), L4945&lt;TIME(16,0,0)),"Morning",
  AND(L4945&gt;=TIME(16,0,0), L4945&lt;TIME(23,59,0)),"Evening",
  L4945&gt;=TIME(23,59,0),"Night",
  L4945&lt;TIME(9,0,0),"Night"
))</f>
        <v/>
      </c>
      <c r="O4945" t="str">
        <f t="shared" si="464"/>
        <v/>
      </c>
    </row>
    <row r="4946" spans="7:15" x14ac:dyDescent="0.25">
      <c r="G4946" t="str">
        <f t="shared" si="462"/>
        <v/>
      </c>
      <c r="H4946" s="13" t="str">
        <f t="shared" si="465"/>
        <v/>
      </c>
      <c r="I4946" t="str">
        <f>IFERROR(INDEX(Analysis!$D$116:$N$137, MATCH(B4946, Analysis!$C$116:$C$137, 0), MATCH(C4946, Analysis!$D$115:$N$115, 0)), "")</f>
        <v/>
      </c>
      <c r="J4946" t="str">
        <f t="shared" si="466"/>
        <v/>
      </c>
      <c r="K4946" s="28" t="str">
        <f t="shared" si="463"/>
        <v/>
      </c>
      <c r="L4946" s="46" t="str">
        <f t="shared" si="467"/>
        <v/>
      </c>
      <c r="M4946" t="str" cm="1">
        <f t="array" ref="M4946">IF(L4946="","",_xlfn.IFS(
  AND(L4946&gt;=TIME(9,0,0), L4946&lt;TIME(16,0,0)),"Morning",
  AND(L4946&gt;=TIME(16,0,0), L4946&lt;TIME(23,59,0)),"Evening",
  L4946&gt;=TIME(23,59,0),"Night",
  L4946&lt;TIME(9,0,0),"Night"
))</f>
        <v/>
      </c>
      <c r="O4946" t="str">
        <f t="shared" si="464"/>
        <v/>
      </c>
    </row>
    <row r="4947" spans="7:15" x14ac:dyDescent="0.25">
      <c r="G4947" t="str">
        <f t="shared" si="462"/>
        <v/>
      </c>
      <c r="H4947" s="13" t="str">
        <f t="shared" si="465"/>
        <v/>
      </c>
      <c r="I4947" t="str">
        <f>IFERROR(INDEX(Analysis!$D$116:$N$137, MATCH(B4947, Analysis!$C$116:$C$137, 0), MATCH(C4947, Analysis!$D$115:$N$115, 0)), "")</f>
        <v/>
      </c>
      <c r="J4947" t="str">
        <f t="shared" si="466"/>
        <v/>
      </c>
      <c r="K4947" s="28" t="str">
        <f t="shared" si="463"/>
        <v/>
      </c>
      <c r="L4947" s="46" t="str">
        <f t="shared" si="467"/>
        <v/>
      </c>
      <c r="M4947" t="str" cm="1">
        <f t="array" ref="M4947">IF(L4947="","",_xlfn.IFS(
  AND(L4947&gt;=TIME(9,0,0), L4947&lt;TIME(16,0,0)),"Morning",
  AND(L4947&gt;=TIME(16,0,0), L4947&lt;TIME(23,59,0)),"Evening",
  L4947&gt;=TIME(23,59,0),"Night",
  L4947&lt;TIME(9,0,0),"Night"
))</f>
        <v/>
      </c>
      <c r="O4947" t="str">
        <f t="shared" si="464"/>
        <v/>
      </c>
    </row>
    <row r="4948" spans="7:15" x14ac:dyDescent="0.25">
      <c r="G4948" t="str">
        <f t="shared" si="462"/>
        <v/>
      </c>
      <c r="H4948" s="13" t="str">
        <f t="shared" si="465"/>
        <v/>
      </c>
      <c r="I4948" t="str">
        <f>IFERROR(INDEX(Analysis!$D$116:$N$137, MATCH(B4948, Analysis!$C$116:$C$137, 0), MATCH(C4948, Analysis!$D$115:$N$115, 0)), "")</f>
        <v/>
      </c>
      <c r="J4948" t="str">
        <f t="shared" si="466"/>
        <v/>
      </c>
      <c r="K4948" s="28" t="str">
        <f t="shared" si="463"/>
        <v/>
      </c>
      <c r="L4948" s="46" t="str">
        <f t="shared" si="467"/>
        <v/>
      </c>
      <c r="M4948" t="str" cm="1">
        <f t="array" ref="M4948">IF(L4948="","",_xlfn.IFS(
  AND(L4948&gt;=TIME(9,0,0), L4948&lt;TIME(16,0,0)),"Morning",
  AND(L4948&gt;=TIME(16,0,0), L4948&lt;TIME(23,59,0)),"Evening",
  L4948&gt;=TIME(23,59,0),"Night",
  L4948&lt;TIME(9,0,0),"Night"
))</f>
        <v/>
      </c>
      <c r="O4948" t="str">
        <f t="shared" si="464"/>
        <v/>
      </c>
    </row>
    <row r="4949" spans="7:15" x14ac:dyDescent="0.25">
      <c r="G4949" t="str">
        <f t="shared" si="462"/>
        <v/>
      </c>
      <c r="H4949" s="13" t="str">
        <f t="shared" si="465"/>
        <v/>
      </c>
      <c r="I4949" t="str">
        <f>IFERROR(INDEX(Analysis!$D$116:$N$137, MATCH(B4949, Analysis!$C$116:$C$137, 0), MATCH(C4949, Analysis!$D$115:$N$115, 0)), "")</f>
        <v/>
      </c>
      <c r="J4949" t="str">
        <f t="shared" si="466"/>
        <v/>
      </c>
      <c r="K4949" s="28" t="str">
        <f t="shared" si="463"/>
        <v/>
      </c>
      <c r="L4949" s="46" t="str">
        <f t="shared" si="467"/>
        <v/>
      </c>
      <c r="M4949" t="str" cm="1">
        <f t="array" ref="M4949">IF(L4949="","",_xlfn.IFS(
  AND(L4949&gt;=TIME(9,0,0), L4949&lt;TIME(16,0,0)),"Morning",
  AND(L4949&gt;=TIME(16,0,0), L4949&lt;TIME(23,59,0)),"Evening",
  L4949&gt;=TIME(23,59,0),"Night",
  L4949&lt;TIME(9,0,0),"Night"
))</f>
        <v/>
      </c>
      <c r="O4949" t="str">
        <f t="shared" si="464"/>
        <v/>
      </c>
    </row>
    <row r="4950" spans="7:15" x14ac:dyDescent="0.25">
      <c r="G4950" t="str">
        <f t="shared" si="462"/>
        <v/>
      </c>
      <c r="H4950" s="13" t="str">
        <f t="shared" si="465"/>
        <v/>
      </c>
      <c r="I4950" t="str">
        <f>IFERROR(INDEX(Analysis!$D$116:$N$137, MATCH(B4950, Analysis!$C$116:$C$137, 0), MATCH(C4950, Analysis!$D$115:$N$115, 0)), "")</f>
        <v/>
      </c>
      <c r="J4950" t="str">
        <f t="shared" si="466"/>
        <v/>
      </c>
      <c r="K4950" s="28" t="str">
        <f t="shared" si="463"/>
        <v/>
      </c>
      <c r="L4950" s="46" t="str">
        <f t="shared" si="467"/>
        <v/>
      </c>
      <c r="M4950" t="str" cm="1">
        <f t="array" ref="M4950">IF(L4950="","",_xlfn.IFS(
  AND(L4950&gt;=TIME(9,0,0), L4950&lt;TIME(16,0,0)),"Morning",
  AND(L4950&gt;=TIME(16,0,0), L4950&lt;TIME(23,59,0)),"Evening",
  L4950&gt;=TIME(23,59,0),"Night",
  L4950&lt;TIME(9,0,0),"Night"
))</f>
        <v/>
      </c>
      <c r="O4950" t="str">
        <f t="shared" si="464"/>
        <v/>
      </c>
    </row>
    <row r="4951" spans="7:15" x14ac:dyDescent="0.25">
      <c r="G4951" t="str">
        <f t="shared" si="462"/>
        <v/>
      </c>
      <c r="H4951" s="13" t="str">
        <f t="shared" si="465"/>
        <v/>
      </c>
      <c r="I4951" t="str">
        <f>IFERROR(INDEX(Analysis!$D$116:$N$137, MATCH(B4951, Analysis!$C$116:$C$137, 0), MATCH(C4951, Analysis!$D$115:$N$115, 0)), "")</f>
        <v/>
      </c>
      <c r="J4951" t="str">
        <f t="shared" si="466"/>
        <v/>
      </c>
      <c r="K4951" s="28" t="str">
        <f t="shared" si="463"/>
        <v/>
      </c>
      <c r="L4951" s="46" t="str">
        <f t="shared" si="467"/>
        <v/>
      </c>
      <c r="M4951" t="str" cm="1">
        <f t="array" ref="M4951">IF(L4951="","",_xlfn.IFS(
  AND(L4951&gt;=TIME(9,0,0), L4951&lt;TIME(16,0,0)),"Morning",
  AND(L4951&gt;=TIME(16,0,0), L4951&lt;TIME(23,59,0)),"Evening",
  L4951&gt;=TIME(23,59,0),"Night",
  L4951&lt;TIME(9,0,0),"Night"
))</f>
        <v/>
      </c>
      <c r="O4951" t="str">
        <f t="shared" si="464"/>
        <v/>
      </c>
    </row>
    <row r="4952" spans="7:15" x14ac:dyDescent="0.25">
      <c r="G4952" t="str">
        <f t="shared" si="462"/>
        <v/>
      </c>
      <c r="H4952" s="13" t="str">
        <f t="shared" si="465"/>
        <v/>
      </c>
      <c r="I4952" t="str">
        <f>IFERROR(INDEX(Analysis!$D$116:$N$137, MATCH(B4952, Analysis!$C$116:$C$137, 0), MATCH(C4952, Analysis!$D$115:$N$115, 0)), "")</f>
        <v/>
      </c>
      <c r="J4952" t="str">
        <f t="shared" si="466"/>
        <v/>
      </c>
      <c r="K4952" s="28" t="str">
        <f t="shared" si="463"/>
        <v/>
      </c>
      <c r="L4952" s="46" t="str">
        <f t="shared" si="467"/>
        <v/>
      </c>
      <c r="M4952" t="str" cm="1">
        <f t="array" ref="M4952">IF(L4952="","",_xlfn.IFS(
  AND(L4952&gt;=TIME(9,0,0), L4952&lt;TIME(16,0,0)),"Morning",
  AND(L4952&gt;=TIME(16,0,0), L4952&lt;TIME(23,59,0)),"Evening",
  L4952&gt;=TIME(23,59,0),"Night",
  L4952&lt;TIME(9,0,0),"Night"
))</f>
        <v/>
      </c>
      <c r="O4952" t="str">
        <f t="shared" si="464"/>
        <v/>
      </c>
    </row>
    <row r="4953" spans="7:15" x14ac:dyDescent="0.25">
      <c r="G4953" t="str">
        <f t="shared" si="462"/>
        <v/>
      </c>
      <c r="H4953" s="13" t="str">
        <f t="shared" si="465"/>
        <v/>
      </c>
      <c r="I4953" t="str">
        <f>IFERROR(INDEX(Analysis!$D$116:$N$137, MATCH(B4953, Analysis!$C$116:$C$137, 0), MATCH(C4953, Analysis!$D$115:$N$115, 0)), "")</f>
        <v/>
      </c>
      <c r="J4953" t="str">
        <f t="shared" si="466"/>
        <v/>
      </c>
      <c r="K4953" s="28" t="str">
        <f t="shared" si="463"/>
        <v/>
      </c>
      <c r="L4953" s="46" t="str">
        <f t="shared" si="467"/>
        <v/>
      </c>
      <c r="M4953" t="str" cm="1">
        <f t="array" ref="M4953">IF(L4953="","",_xlfn.IFS(
  AND(L4953&gt;=TIME(9,0,0), L4953&lt;TIME(16,0,0)),"Morning",
  AND(L4953&gt;=TIME(16,0,0), L4953&lt;TIME(23,59,0)),"Evening",
  L4953&gt;=TIME(23,59,0),"Night",
  L4953&lt;TIME(9,0,0),"Night"
))</f>
        <v/>
      </c>
      <c r="O4953" t="str">
        <f t="shared" si="464"/>
        <v/>
      </c>
    </row>
    <row r="4954" spans="7:15" x14ac:dyDescent="0.25">
      <c r="G4954" t="str">
        <f t="shared" si="462"/>
        <v/>
      </c>
      <c r="H4954" s="13" t="str">
        <f t="shared" si="465"/>
        <v/>
      </c>
      <c r="I4954" t="str">
        <f>IFERROR(INDEX(Analysis!$D$116:$N$137, MATCH(B4954, Analysis!$C$116:$C$137, 0), MATCH(C4954, Analysis!$D$115:$N$115, 0)), "")</f>
        <v/>
      </c>
      <c r="J4954" t="str">
        <f t="shared" si="466"/>
        <v/>
      </c>
      <c r="K4954" s="28" t="str">
        <f t="shared" si="463"/>
        <v/>
      </c>
      <c r="L4954" s="46" t="str">
        <f t="shared" si="467"/>
        <v/>
      </c>
      <c r="M4954" t="str" cm="1">
        <f t="array" ref="M4954">IF(L4954="","",_xlfn.IFS(
  AND(L4954&gt;=TIME(9,0,0), L4954&lt;TIME(16,0,0)),"Morning",
  AND(L4954&gt;=TIME(16,0,0), L4954&lt;TIME(23,59,0)),"Evening",
  L4954&gt;=TIME(23,59,0),"Night",
  L4954&lt;TIME(9,0,0),"Night"
))</f>
        <v/>
      </c>
      <c r="O4954" t="str">
        <f t="shared" si="464"/>
        <v/>
      </c>
    </row>
    <row r="4955" spans="7:15" x14ac:dyDescent="0.25">
      <c r="G4955" t="str">
        <f t="shared" si="462"/>
        <v/>
      </c>
      <c r="H4955" s="13" t="str">
        <f t="shared" si="465"/>
        <v/>
      </c>
      <c r="I4955" t="str">
        <f>IFERROR(INDEX(Analysis!$D$116:$N$137, MATCH(B4955, Analysis!$C$116:$C$137, 0), MATCH(C4955, Analysis!$D$115:$N$115, 0)), "")</f>
        <v/>
      </c>
      <c r="J4955" t="str">
        <f t="shared" si="466"/>
        <v/>
      </c>
      <c r="K4955" s="28" t="str">
        <f t="shared" si="463"/>
        <v/>
      </c>
      <c r="L4955" s="46" t="str">
        <f t="shared" si="467"/>
        <v/>
      </c>
      <c r="M4955" t="str" cm="1">
        <f t="array" ref="M4955">IF(L4955="","",_xlfn.IFS(
  AND(L4955&gt;=TIME(9,0,0), L4955&lt;TIME(16,0,0)),"Morning",
  AND(L4955&gt;=TIME(16,0,0), L4955&lt;TIME(23,59,0)),"Evening",
  L4955&gt;=TIME(23,59,0),"Night",
  L4955&lt;TIME(9,0,0),"Night"
))</f>
        <v/>
      </c>
      <c r="O4955" t="str">
        <f t="shared" si="464"/>
        <v/>
      </c>
    </row>
    <row r="4956" spans="7:15" x14ac:dyDescent="0.25">
      <c r="G4956" t="str">
        <f t="shared" si="462"/>
        <v/>
      </c>
      <c r="H4956" s="13" t="str">
        <f t="shared" si="465"/>
        <v/>
      </c>
      <c r="I4956" t="str">
        <f>IFERROR(INDEX(Analysis!$D$116:$N$137, MATCH(B4956, Analysis!$C$116:$C$137, 0), MATCH(C4956, Analysis!$D$115:$N$115, 0)), "")</f>
        <v/>
      </c>
      <c r="J4956" t="str">
        <f t="shared" si="466"/>
        <v/>
      </c>
      <c r="K4956" s="28" t="str">
        <f t="shared" si="463"/>
        <v/>
      </c>
      <c r="L4956" s="46" t="str">
        <f t="shared" si="467"/>
        <v/>
      </c>
      <c r="M4956" t="str" cm="1">
        <f t="array" ref="M4956">IF(L4956="","",_xlfn.IFS(
  AND(L4956&gt;=TIME(9,0,0), L4956&lt;TIME(16,0,0)),"Morning",
  AND(L4956&gt;=TIME(16,0,0), L4956&lt;TIME(23,59,0)),"Evening",
  L4956&gt;=TIME(23,59,0),"Night",
  L4956&lt;TIME(9,0,0),"Night"
))</f>
        <v/>
      </c>
      <c r="O4956" t="str">
        <f t="shared" si="464"/>
        <v/>
      </c>
    </row>
    <row r="4957" spans="7:15" x14ac:dyDescent="0.25">
      <c r="G4957" t="str">
        <f t="shared" si="462"/>
        <v/>
      </c>
      <c r="H4957" s="13" t="str">
        <f t="shared" si="465"/>
        <v/>
      </c>
      <c r="I4957" t="str">
        <f>IFERROR(INDEX(Analysis!$D$116:$N$137, MATCH(B4957, Analysis!$C$116:$C$137, 0), MATCH(C4957, Analysis!$D$115:$N$115, 0)), "")</f>
        <v/>
      </c>
      <c r="J4957" t="str">
        <f t="shared" si="466"/>
        <v/>
      </c>
      <c r="K4957" s="28" t="str">
        <f t="shared" si="463"/>
        <v/>
      </c>
      <c r="L4957" s="46" t="str">
        <f t="shared" si="467"/>
        <v/>
      </c>
      <c r="M4957" t="str" cm="1">
        <f t="array" ref="M4957">IF(L4957="","",_xlfn.IFS(
  AND(L4957&gt;=TIME(9,0,0), L4957&lt;TIME(16,0,0)),"Morning",
  AND(L4957&gt;=TIME(16,0,0), L4957&lt;TIME(23,59,0)),"Evening",
  L4957&gt;=TIME(23,59,0),"Night",
  L4957&lt;TIME(9,0,0),"Night"
))</f>
        <v/>
      </c>
      <c r="O4957" t="str">
        <f t="shared" si="464"/>
        <v/>
      </c>
    </row>
    <row r="4958" spans="7:15" x14ac:dyDescent="0.25">
      <c r="G4958" t="str">
        <f t="shared" si="462"/>
        <v/>
      </c>
      <c r="H4958" s="13" t="str">
        <f t="shared" si="465"/>
        <v/>
      </c>
      <c r="I4958" t="str">
        <f>IFERROR(INDEX(Analysis!$D$116:$N$137, MATCH(B4958, Analysis!$C$116:$C$137, 0), MATCH(C4958, Analysis!$D$115:$N$115, 0)), "")</f>
        <v/>
      </c>
      <c r="J4958" t="str">
        <f t="shared" si="466"/>
        <v/>
      </c>
      <c r="K4958" s="28" t="str">
        <f t="shared" si="463"/>
        <v/>
      </c>
      <c r="L4958" s="46" t="str">
        <f t="shared" si="467"/>
        <v/>
      </c>
      <c r="M4958" t="str" cm="1">
        <f t="array" ref="M4958">IF(L4958="","",_xlfn.IFS(
  AND(L4958&gt;=TIME(9,0,0), L4958&lt;TIME(16,0,0)),"Morning",
  AND(L4958&gt;=TIME(16,0,0), L4958&lt;TIME(23,59,0)),"Evening",
  L4958&gt;=TIME(23,59,0),"Night",
  L4958&lt;TIME(9,0,0),"Night"
))</f>
        <v/>
      </c>
      <c r="O4958" t="str">
        <f t="shared" si="464"/>
        <v/>
      </c>
    </row>
    <row r="4959" spans="7:15" x14ac:dyDescent="0.25">
      <c r="G4959" t="str">
        <f t="shared" si="462"/>
        <v/>
      </c>
      <c r="H4959" s="13" t="str">
        <f t="shared" si="465"/>
        <v/>
      </c>
      <c r="I4959" t="str">
        <f>IFERROR(INDEX(Analysis!$D$116:$N$137, MATCH(B4959, Analysis!$C$116:$C$137, 0), MATCH(C4959, Analysis!$D$115:$N$115, 0)), "")</f>
        <v/>
      </c>
      <c r="J4959" t="str">
        <f t="shared" si="466"/>
        <v/>
      </c>
      <c r="K4959" s="28" t="str">
        <f t="shared" si="463"/>
        <v/>
      </c>
      <c r="L4959" s="46" t="str">
        <f t="shared" si="467"/>
        <v/>
      </c>
      <c r="M4959" t="str" cm="1">
        <f t="array" ref="M4959">IF(L4959="","",_xlfn.IFS(
  AND(L4959&gt;=TIME(9,0,0), L4959&lt;TIME(16,0,0)),"Morning",
  AND(L4959&gt;=TIME(16,0,0), L4959&lt;TIME(23,59,0)),"Evening",
  L4959&gt;=TIME(23,59,0),"Night",
  L4959&lt;TIME(9,0,0),"Night"
))</f>
        <v/>
      </c>
      <c r="O4959" t="str">
        <f t="shared" si="464"/>
        <v/>
      </c>
    </row>
    <row r="4960" spans="7:15" x14ac:dyDescent="0.25">
      <c r="G4960" t="str">
        <f t="shared" si="462"/>
        <v/>
      </c>
      <c r="H4960" s="13" t="str">
        <f t="shared" si="465"/>
        <v/>
      </c>
      <c r="I4960" t="str">
        <f>IFERROR(INDEX(Analysis!$D$116:$N$137, MATCH(B4960, Analysis!$C$116:$C$137, 0), MATCH(C4960, Analysis!$D$115:$N$115, 0)), "")</f>
        <v/>
      </c>
      <c r="J4960" t="str">
        <f t="shared" si="466"/>
        <v/>
      </c>
      <c r="K4960" s="28" t="str">
        <f t="shared" si="463"/>
        <v/>
      </c>
      <c r="L4960" s="46" t="str">
        <f t="shared" si="467"/>
        <v/>
      </c>
      <c r="M4960" t="str" cm="1">
        <f t="array" ref="M4960">IF(L4960="","",_xlfn.IFS(
  AND(L4960&gt;=TIME(9,0,0), L4960&lt;TIME(16,0,0)),"Morning",
  AND(L4960&gt;=TIME(16,0,0), L4960&lt;TIME(23,59,0)),"Evening",
  L4960&gt;=TIME(23,59,0),"Night",
  L4960&lt;TIME(9,0,0),"Night"
))</f>
        <v/>
      </c>
      <c r="O4960" t="str">
        <f t="shared" si="464"/>
        <v/>
      </c>
    </row>
    <row r="4961" spans="7:15" x14ac:dyDescent="0.25">
      <c r="G4961" t="str">
        <f t="shared" si="462"/>
        <v/>
      </c>
      <c r="H4961" s="13" t="str">
        <f t="shared" si="465"/>
        <v/>
      </c>
      <c r="I4961" t="str">
        <f>IFERROR(INDEX(Analysis!$D$116:$N$137, MATCH(B4961, Analysis!$C$116:$C$137, 0), MATCH(C4961, Analysis!$D$115:$N$115, 0)), "")</f>
        <v/>
      </c>
      <c r="J4961" t="str">
        <f t="shared" si="466"/>
        <v/>
      </c>
      <c r="K4961" s="28" t="str">
        <f t="shared" si="463"/>
        <v/>
      </c>
      <c r="L4961" s="46" t="str">
        <f t="shared" si="467"/>
        <v/>
      </c>
      <c r="M4961" t="str" cm="1">
        <f t="array" ref="M4961">IF(L4961="","",_xlfn.IFS(
  AND(L4961&gt;=TIME(9,0,0), L4961&lt;TIME(16,0,0)),"Morning",
  AND(L4961&gt;=TIME(16,0,0), L4961&lt;TIME(23,59,0)),"Evening",
  L4961&gt;=TIME(23,59,0),"Night",
  L4961&lt;TIME(9,0,0),"Night"
))</f>
        <v/>
      </c>
      <c r="O4961" t="str">
        <f t="shared" si="464"/>
        <v/>
      </c>
    </row>
    <row r="4962" spans="7:15" x14ac:dyDescent="0.25">
      <c r="G4962" t="str">
        <f t="shared" si="462"/>
        <v/>
      </c>
      <c r="H4962" s="13" t="str">
        <f t="shared" si="465"/>
        <v/>
      </c>
      <c r="I4962" t="str">
        <f>IFERROR(INDEX(Analysis!$D$116:$N$137, MATCH(B4962, Analysis!$C$116:$C$137, 0), MATCH(C4962, Analysis!$D$115:$N$115, 0)), "")</f>
        <v/>
      </c>
      <c r="J4962" t="str">
        <f t="shared" si="466"/>
        <v/>
      </c>
      <c r="K4962" s="28" t="str">
        <f t="shared" si="463"/>
        <v/>
      </c>
      <c r="L4962" s="46" t="str">
        <f t="shared" si="467"/>
        <v/>
      </c>
      <c r="M4962" t="str" cm="1">
        <f t="array" ref="M4962">IF(L4962="","",_xlfn.IFS(
  AND(L4962&gt;=TIME(9,0,0), L4962&lt;TIME(16,0,0)),"Morning",
  AND(L4962&gt;=TIME(16,0,0), L4962&lt;TIME(23,59,0)),"Evening",
  L4962&gt;=TIME(23,59,0),"Night",
  L4962&lt;TIME(9,0,0),"Night"
))</f>
        <v/>
      </c>
      <c r="O4962" t="str">
        <f t="shared" si="464"/>
        <v/>
      </c>
    </row>
    <row r="4963" spans="7:15" x14ac:dyDescent="0.25">
      <c r="G4963" t="str">
        <f t="shared" si="462"/>
        <v/>
      </c>
      <c r="H4963" s="13" t="str">
        <f t="shared" si="465"/>
        <v/>
      </c>
      <c r="I4963" t="str">
        <f>IFERROR(INDEX(Analysis!$D$116:$N$137, MATCH(B4963, Analysis!$C$116:$C$137, 0), MATCH(C4963, Analysis!$D$115:$N$115, 0)), "")</f>
        <v/>
      </c>
      <c r="J4963" t="str">
        <f t="shared" si="466"/>
        <v/>
      </c>
      <c r="K4963" s="28" t="str">
        <f t="shared" si="463"/>
        <v/>
      </c>
      <c r="L4963" s="46" t="str">
        <f t="shared" si="467"/>
        <v/>
      </c>
      <c r="M4963" t="str" cm="1">
        <f t="array" ref="M4963">IF(L4963="","",_xlfn.IFS(
  AND(L4963&gt;=TIME(9,0,0), L4963&lt;TIME(16,0,0)),"Morning",
  AND(L4963&gt;=TIME(16,0,0), L4963&lt;TIME(23,59,0)),"Evening",
  L4963&gt;=TIME(23,59,0),"Night",
  L4963&lt;TIME(9,0,0),"Night"
))</f>
        <v/>
      </c>
      <c r="O4963" t="str">
        <f t="shared" si="464"/>
        <v/>
      </c>
    </row>
    <row r="4964" spans="7:15" x14ac:dyDescent="0.25">
      <c r="G4964" t="str">
        <f t="shared" si="462"/>
        <v/>
      </c>
      <c r="H4964" s="13" t="str">
        <f t="shared" si="465"/>
        <v/>
      </c>
      <c r="I4964" t="str">
        <f>IFERROR(INDEX(Analysis!$D$116:$N$137, MATCH(B4964, Analysis!$C$116:$C$137, 0), MATCH(C4964, Analysis!$D$115:$N$115, 0)), "")</f>
        <v/>
      </c>
      <c r="J4964" t="str">
        <f t="shared" si="466"/>
        <v/>
      </c>
      <c r="K4964" s="28" t="str">
        <f t="shared" si="463"/>
        <v/>
      </c>
      <c r="L4964" s="46" t="str">
        <f t="shared" si="467"/>
        <v/>
      </c>
      <c r="M4964" t="str" cm="1">
        <f t="array" ref="M4964">IF(L4964="","",_xlfn.IFS(
  AND(L4964&gt;=TIME(9,0,0), L4964&lt;TIME(16,0,0)),"Morning",
  AND(L4964&gt;=TIME(16,0,0), L4964&lt;TIME(23,59,0)),"Evening",
  L4964&gt;=TIME(23,59,0),"Night",
  L4964&lt;TIME(9,0,0),"Night"
))</f>
        <v/>
      </c>
      <c r="O4964" t="str">
        <f t="shared" si="464"/>
        <v/>
      </c>
    </row>
    <row r="4965" spans="7:15" x14ac:dyDescent="0.25">
      <c r="G4965" t="str">
        <f t="shared" si="462"/>
        <v/>
      </c>
      <c r="H4965" s="13" t="str">
        <f t="shared" si="465"/>
        <v/>
      </c>
      <c r="I4965" t="str">
        <f>IFERROR(INDEX(Analysis!$D$116:$N$137, MATCH(B4965, Analysis!$C$116:$C$137, 0), MATCH(C4965, Analysis!$D$115:$N$115, 0)), "")</f>
        <v/>
      </c>
      <c r="J4965" t="str">
        <f t="shared" si="466"/>
        <v/>
      </c>
      <c r="K4965" s="28" t="str">
        <f t="shared" si="463"/>
        <v/>
      </c>
      <c r="L4965" s="46" t="str">
        <f t="shared" si="467"/>
        <v/>
      </c>
      <c r="M4965" t="str" cm="1">
        <f t="array" ref="M4965">IF(L4965="","",_xlfn.IFS(
  AND(L4965&gt;=TIME(9,0,0), L4965&lt;TIME(16,0,0)),"Morning",
  AND(L4965&gt;=TIME(16,0,0), L4965&lt;TIME(23,59,0)),"Evening",
  L4965&gt;=TIME(23,59,0),"Night",
  L4965&lt;TIME(9,0,0),"Night"
))</f>
        <v/>
      </c>
      <c r="O4965" t="str">
        <f t="shared" si="464"/>
        <v/>
      </c>
    </row>
    <row r="4966" spans="7:15" x14ac:dyDescent="0.25">
      <c r="G4966" t="str">
        <f t="shared" si="462"/>
        <v/>
      </c>
      <c r="H4966" s="13" t="str">
        <f t="shared" si="465"/>
        <v/>
      </c>
      <c r="I4966" t="str">
        <f>IFERROR(INDEX(Analysis!$D$116:$N$137, MATCH(B4966, Analysis!$C$116:$C$137, 0), MATCH(C4966, Analysis!$D$115:$N$115, 0)), "")</f>
        <v/>
      </c>
      <c r="J4966" t="str">
        <f t="shared" si="466"/>
        <v/>
      </c>
      <c r="K4966" s="28" t="str">
        <f t="shared" si="463"/>
        <v/>
      </c>
      <c r="L4966" s="46" t="str">
        <f t="shared" si="467"/>
        <v/>
      </c>
      <c r="M4966" t="str" cm="1">
        <f t="array" ref="M4966">IF(L4966="","",_xlfn.IFS(
  AND(L4966&gt;=TIME(9,0,0), L4966&lt;TIME(16,0,0)),"Morning",
  AND(L4966&gt;=TIME(16,0,0), L4966&lt;TIME(23,59,0)),"Evening",
  L4966&gt;=TIME(23,59,0),"Night",
  L4966&lt;TIME(9,0,0),"Night"
))</f>
        <v/>
      </c>
      <c r="O4966" t="str">
        <f t="shared" si="464"/>
        <v/>
      </c>
    </row>
    <row r="4967" spans="7:15" x14ac:dyDescent="0.25">
      <c r="G4967" t="str">
        <f t="shared" si="462"/>
        <v/>
      </c>
      <c r="H4967" s="13" t="str">
        <f t="shared" si="465"/>
        <v/>
      </c>
      <c r="I4967" t="str">
        <f>IFERROR(INDEX(Analysis!$D$116:$N$137, MATCH(B4967, Analysis!$C$116:$C$137, 0), MATCH(C4967, Analysis!$D$115:$N$115, 0)), "")</f>
        <v/>
      </c>
      <c r="J4967" t="str">
        <f t="shared" si="466"/>
        <v/>
      </c>
      <c r="K4967" s="28" t="str">
        <f t="shared" si="463"/>
        <v/>
      </c>
      <c r="L4967" s="46" t="str">
        <f t="shared" si="467"/>
        <v/>
      </c>
      <c r="M4967" t="str" cm="1">
        <f t="array" ref="M4967">IF(L4967="","",_xlfn.IFS(
  AND(L4967&gt;=TIME(9,0,0), L4967&lt;TIME(16,0,0)),"Morning",
  AND(L4967&gt;=TIME(16,0,0), L4967&lt;TIME(23,59,0)),"Evening",
  L4967&gt;=TIME(23,59,0),"Night",
  L4967&lt;TIME(9,0,0),"Night"
))</f>
        <v/>
      </c>
      <c r="O4967" t="str">
        <f t="shared" si="464"/>
        <v/>
      </c>
    </row>
    <row r="4968" spans="7:15" x14ac:dyDescent="0.25">
      <c r="G4968" t="str">
        <f t="shared" si="462"/>
        <v/>
      </c>
      <c r="H4968" s="13" t="str">
        <f t="shared" si="465"/>
        <v/>
      </c>
      <c r="I4968" t="str">
        <f>IFERROR(INDEX(Analysis!$D$116:$N$137, MATCH(B4968, Analysis!$C$116:$C$137, 0), MATCH(C4968, Analysis!$D$115:$N$115, 0)), "")</f>
        <v/>
      </c>
      <c r="J4968" t="str">
        <f t="shared" si="466"/>
        <v/>
      </c>
      <c r="K4968" s="28" t="str">
        <f t="shared" si="463"/>
        <v/>
      </c>
      <c r="L4968" s="46" t="str">
        <f t="shared" si="467"/>
        <v/>
      </c>
      <c r="M4968" t="str" cm="1">
        <f t="array" ref="M4968">IF(L4968="","",_xlfn.IFS(
  AND(L4968&gt;=TIME(9,0,0), L4968&lt;TIME(16,0,0)),"Morning",
  AND(L4968&gt;=TIME(16,0,0), L4968&lt;TIME(23,59,0)),"Evening",
  L4968&gt;=TIME(23,59,0),"Night",
  L4968&lt;TIME(9,0,0),"Night"
))</f>
        <v/>
      </c>
      <c r="O4968" t="str">
        <f t="shared" si="464"/>
        <v/>
      </c>
    </row>
    <row r="4969" spans="7:15" x14ac:dyDescent="0.25">
      <c r="G4969" t="str">
        <f t="shared" si="462"/>
        <v/>
      </c>
      <c r="H4969" s="13" t="str">
        <f t="shared" si="465"/>
        <v/>
      </c>
      <c r="I4969" t="str">
        <f>IFERROR(INDEX(Analysis!$D$116:$N$137, MATCH(B4969, Analysis!$C$116:$C$137, 0), MATCH(C4969, Analysis!$D$115:$N$115, 0)), "")</f>
        <v/>
      </c>
      <c r="J4969" t="str">
        <f t="shared" si="466"/>
        <v/>
      </c>
      <c r="K4969" s="28" t="str">
        <f t="shared" si="463"/>
        <v/>
      </c>
      <c r="L4969" s="46" t="str">
        <f t="shared" si="467"/>
        <v/>
      </c>
      <c r="M4969" t="str" cm="1">
        <f t="array" ref="M4969">IF(L4969="","",_xlfn.IFS(
  AND(L4969&gt;=TIME(9,0,0), L4969&lt;TIME(16,0,0)),"Morning",
  AND(L4969&gt;=TIME(16,0,0), L4969&lt;TIME(23,59,0)),"Evening",
  L4969&gt;=TIME(23,59,0),"Night",
  L4969&lt;TIME(9,0,0),"Night"
))</f>
        <v/>
      </c>
      <c r="O4969" t="str">
        <f t="shared" si="464"/>
        <v/>
      </c>
    </row>
    <row r="4970" spans="7:15" x14ac:dyDescent="0.25">
      <c r="G4970" t="str">
        <f t="shared" si="462"/>
        <v/>
      </c>
      <c r="H4970" s="13" t="str">
        <f t="shared" si="465"/>
        <v/>
      </c>
      <c r="I4970" t="str">
        <f>IFERROR(INDEX(Analysis!$D$116:$N$137, MATCH(B4970, Analysis!$C$116:$C$137, 0), MATCH(C4970, Analysis!$D$115:$N$115, 0)), "")</f>
        <v/>
      </c>
      <c r="J4970" t="str">
        <f t="shared" si="466"/>
        <v/>
      </c>
      <c r="K4970" s="28" t="str">
        <f t="shared" si="463"/>
        <v/>
      </c>
      <c r="L4970" s="46" t="str">
        <f t="shared" si="467"/>
        <v/>
      </c>
      <c r="M4970" t="str" cm="1">
        <f t="array" ref="M4970">IF(L4970="","",_xlfn.IFS(
  AND(L4970&gt;=TIME(9,0,0), L4970&lt;TIME(16,0,0)),"Morning",
  AND(L4970&gt;=TIME(16,0,0), L4970&lt;TIME(23,59,0)),"Evening",
  L4970&gt;=TIME(23,59,0),"Night",
  L4970&lt;TIME(9,0,0),"Night"
))</f>
        <v/>
      </c>
      <c r="O4970" t="str">
        <f t="shared" si="464"/>
        <v/>
      </c>
    </row>
    <row r="4971" spans="7:15" x14ac:dyDescent="0.25">
      <c r="G4971" t="str">
        <f t="shared" si="462"/>
        <v/>
      </c>
      <c r="H4971" s="13" t="str">
        <f t="shared" si="465"/>
        <v/>
      </c>
      <c r="I4971" t="str">
        <f>IFERROR(INDEX(Analysis!$D$116:$N$137, MATCH(B4971, Analysis!$C$116:$C$137, 0), MATCH(C4971, Analysis!$D$115:$N$115, 0)), "")</f>
        <v/>
      </c>
      <c r="J4971" t="str">
        <f t="shared" si="466"/>
        <v/>
      </c>
      <c r="K4971" s="28" t="str">
        <f t="shared" si="463"/>
        <v/>
      </c>
      <c r="L4971" s="46" t="str">
        <f t="shared" si="467"/>
        <v/>
      </c>
      <c r="M4971" t="str" cm="1">
        <f t="array" ref="M4971">IF(L4971="","",_xlfn.IFS(
  AND(L4971&gt;=TIME(9,0,0), L4971&lt;TIME(16,0,0)),"Morning",
  AND(L4971&gt;=TIME(16,0,0), L4971&lt;TIME(23,59,0)),"Evening",
  L4971&gt;=TIME(23,59,0),"Night",
  L4971&lt;TIME(9,0,0),"Night"
))</f>
        <v/>
      </c>
      <c r="O4971" t="str">
        <f t="shared" si="464"/>
        <v/>
      </c>
    </row>
    <row r="4972" spans="7:15" x14ac:dyDescent="0.25">
      <c r="G4972" t="str">
        <f t="shared" si="462"/>
        <v/>
      </c>
      <c r="H4972" s="13" t="str">
        <f t="shared" si="465"/>
        <v/>
      </c>
      <c r="I4972" t="str">
        <f>IFERROR(INDEX(Analysis!$D$116:$N$137, MATCH(B4972, Analysis!$C$116:$C$137, 0), MATCH(C4972, Analysis!$D$115:$N$115, 0)), "")</f>
        <v/>
      </c>
      <c r="J4972" t="str">
        <f t="shared" si="466"/>
        <v/>
      </c>
      <c r="K4972" s="28" t="str">
        <f t="shared" si="463"/>
        <v/>
      </c>
      <c r="L4972" s="46" t="str">
        <f t="shared" si="467"/>
        <v/>
      </c>
      <c r="M4972" t="str" cm="1">
        <f t="array" ref="M4972">IF(L4972="","",_xlfn.IFS(
  AND(L4972&gt;=TIME(9,0,0), L4972&lt;TIME(16,0,0)),"Morning",
  AND(L4972&gt;=TIME(16,0,0), L4972&lt;TIME(23,59,0)),"Evening",
  L4972&gt;=TIME(23,59,0),"Night",
  L4972&lt;TIME(9,0,0),"Night"
))</f>
        <v/>
      </c>
      <c r="O4972" t="str">
        <f t="shared" si="464"/>
        <v/>
      </c>
    </row>
    <row r="4973" spans="7:15" x14ac:dyDescent="0.25">
      <c r="G4973" t="str">
        <f t="shared" si="462"/>
        <v/>
      </c>
      <c r="H4973" s="13" t="str">
        <f t="shared" si="465"/>
        <v/>
      </c>
      <c r="I4973" t="str">
        <f>IFERROR(INDEX(Analysis!$D$116:$N$137, MATCH(B4973, Analysis!$C$116:$C$137, 0), MATCH(C4973, Analysis!$D$115:$N$115, 0)), "")</f>
        <v/>
      </c>
      <c r="J4973" t="str">
        <f t="shared" si="466"/>
        <v/>
      </c>
      <c r="K4973" s="28" t="str">
        <f t="shared" si="463"/>
        <v/>
      </c>
      <c r="L4973" s="46" t="str">
        <f t="shared" si="467"/>
        <v/>
      </c>
      <c r="M4973" t="str" cm="1">
        <f t="array" ref="M4973">IF(L4973="","",_xlfn.IFS(
  AND(L4973&gt;=TIME(9,0,0), L4973&lt;TIME(16,0,0)),"Morning",
  AND(L4973&gt;=TIME(16,0,0), L4973&lt;TIME(23,59,0)),"Evening",
  L4973&gt;=TIME(23,59,0),"Night",
  L4973&lt;TIME(9,0,0),"Night"
))</f>
        <v/>
      </c>
      <c r="O4973" t="str">
        <f t="shared" si="464"/>
        <v/>
      </c>
    </row>
    <row r="4974" spans="7:15" x14ac:dyDescent="0.25">
      <c r="G4974" t="str">
        <f t="shared" si="462"/>
        <v/>
      </c>
      <c r="H4974" s="13" t="str">
        <f t="shared" si="465"/>
        <v/>
      </c>
      <c r="I4974" t="str">
        <f>IFERROR(INDEX(Analysis!$D$116:$N$137, MATCH(B4974, Analysis!$C$116:$C$137, 0), MATCH(C4974, Analysis!$D$115:$N$115, 0)), "")</f>
        <v/>
      </c>
      <c r="J4974" t="str">
        <f t="shared" si="466"/>
        <v/>
      </c>
      <c r="K4974" s="28" t="str">
        <f t="shared" si="463"/>
        <v/>
      </c>
      <c r="L4974" s="46" t="str">
        <f t="shared" si="467"/>
        <v/>
      </c>
      <c r="M4974" t="str" cm="1">
        <f t="array" ref="M4974">IF(L4974="","",_xlfn.IFS(
  AND(L4974&gt;=TIME(9,0,0), L4974&lt;TIME(16,0,0)),"Morning",
  AND(L4974&gt;=TIME(16,0,0), L4974&lt;TIME(23,59,0)),"Evening",
  L4974&gt;=TIME(23,59,0),"Night",
  L4974&lt;TIME(9,0,0),"Night"
))</f>
        <v/>
      </c>
      <c r="O4974" t="str">
        <f t="shared" si="464"/>
        <v/>
      </c>
    </row>
    <row r="4975" spans="7:15" x14ac:dyDescent="0.25">
      <c r="G4975" t="str">
        <f t="shared" si="462"/>
        <v/>
      </c>
      <c r="H4975" s="13" t="str">
        <f t="shared" si="465"/>
        <v/>
      </c>
      <c r="I4975" t="str">
        <f>IFERROR(INDEX(Analysis!$D$116:$N$137, MATCH(B4975, Analysis!$C$116:$C$137, 0), MATCH(C4975, Analysis!$D$115:$N$115, 0)), "")</f>
        <v/>
      </c>
      <c r="J4975" t="str">
        <f t="shared" si="466"/>
        <v/>
      </c>
      <c r="K4975" s="28" t="str">
        <f t="shared" si="463"/>
        <v/>
      </c>
      <c r="L4975" s="46" t="str">
        <f t="shared" si="467"/>
        <v/>
      </c>
      <c r="M4975" t="str" cm="1">
        <f t="array" ref="M4975">IF(L4975="","",_xlfn.IFS(
  AND(L4975&gt;=TIME(9,0,0), L4975&lt;TIME(16,0,0)),"Morning",
  AND(L4975&gt;=TIME(16,0,0), L4975&lt;TIME(23,59,0)),"Evening",
  L4975&gt;=TIME(23,59,0),"Night",
  L4975&lt;TIME(9,0,0),"Night"
))</f>
        <v/>
      </c>
      <c r="O4975" t="str">
        <f t="shared" si="464"/>
        <v/>
      </c>
    </row>
    <row r="4976" spans="7:15" x14ac:dyDescent="0.25">
      <c r="G4976" t="str">
        <f t="shared" si="462"/>
        <v/>
      </c>
      <c r="H4976" s="13" t="str">
        <f t="shared" si="465"/>
        <v/>
      </c>
      <c r="I4976" t="str">
        <f>IFERROR(INDEX(Analysis!$D$116:$N$137, MATCH(B4976, Analysis!$C$116:$C$137, 0), MATCH(C4976, Analysis!$D$115:$N$115, 0)), "")</f>
        <v/>
      </c>
      <c r="J4976" t="str">
        <f t="shared" si="466"/>
        <v/>
      </c>
      <c r="K4976" s="28" t="str">
        <f t="shared" si="463"/>
        <v/>
      </c>
      <c r="L4976" s="46" t="str">
        <f t="shared" si="467"/>
        <v/>
      </c>
      <c r="M4976" t="str" cm="1">
        <f t="array" ref="M4976">IF(L4976="","",_xlfn.IFS(
  AND(L4976&gt;=TIME(9,0,0), L4976&lt;TIME(16,0,0)),"Morning",
  AND(L4976&gt;=TIME(16,0,0), L4976&lt;TIME(23,59,0)),"Evening",
  L4976&gt;=TIME(23,59,0),"Night",
  L4976&lt;TIME(9,0,0),"Night"
))</f>
        <v/>
      </c>
      <c r="O4976" t="str">
        <f t="shared" si="464"/>
        <v/>
      </c>
    </row>
    <row r="4977" spans="7:15" x14ac:dyDescent="0.25">
      <c r="G4977" t="str">
        <f t="shared" si="462"/>
        <v/>
      </c>
      <c r="H4977" s="13" t="str">
        <f t="shared" si="465"/>
        <v/>
      </c>
      <c r="I4977" t="str">
        <f>IFERROR(INDEX(Analysis!$D$116:$N$137, MATCH(B4977, Analysis!$C$116:$C$137, 0), MATCH(C4977, Analysis!$D$115:$N$115, 0)), "")</f>
        <v/>
      </c>
      <c r="J4977" t="str">
        <f t="shared" si="466"/>
        <v/>
      </c>
      <c r="K4977" s="28" t="str">
        <f t="shared" si="463"/>
        <v/>
      </c>
      <c r="L4977" s="46" t="str">
        <f t="shared" si="467"/>
        <v/>
      </c>
      <c r="M4977" t="str" cm="1">
        <f t="array" ref="M4977">IF(L4977="","",_xlfn.IFS(
  AND(L4977&gt;=TIME(9,0,0), L4977&lt;TIME(16,0,0)),"Morning",
  AND(L4977&gt;=TIME(16,0,0), L4977&lt;TIME(23,59,0)),"Evening",
  L4977&gt;=TIME(23,59,0),"Night",
  L4977&lt;TIME(9,0,0),"Night"
))</f>
        <v/>
      </c>
      <c r="O4977" t="str">
        <f t="shared" si="464"/>
        <v/>
      </c>
    </row>
    <row r="4978" spans="7:15" x14ac:dyDescent="0.25">
      <c r="G4978" t="str">
        <f t="shared" si="462"/>
        <v/>
      </c>
      <c r="H4978" s="13" t="str">
        <f t="shared" si="465"/>
        <v/>
      </c>
      <c r="I4978" t="str">
        <f>IFERROR(INDEX(Analysis!$D$116:$N$137, MATCH(B4978, Analysis!$C$116:$C$137, 0), MATCH(C4978, Analysis!$D$115:$N$115, 0)), "")</f>
        <v/>
      </c>
      <c r="J4978" t="str">
        <f t="shared" si="466"/>
        <v/>
      </c>
      <c r="K4978" s="28" t="str">
        <f t="shared" si="463"/>
        <v/>
      </c>
      <c r="L4978" s="46" t="str">
        <f t="shared" si="467"/>
        <v/>
      </c>
      <c r="M4978" t="str" cm="1">
        <f t="array" ref="M4978">IF(L4978="","",_xlfn.IFS(
  AND(L4978&gt;=TIME(9,0,0), L4978&lt;TIME(16,0,0)),"Morning",
  AND(L4978&gt;=TIME(16,0,0), L4978&lt;TIME(23,59,0)),"Evening",
  L4978&gt;=TIME(23,59,0),"Night",
  L4978&lt;TIME(9,0,0),"Night"
))</f>
        <v/>
      </c>
      <c r="O4978" t="str">
        <f t="shared" si="464"/>
        <v/>
      </c>
    </row>
    <row r="4979" spans="7:15" x14ac:dyDescent="0.25">
      <c r="G4979" t="str">
        <f t="shared" si="462"/>
        <v/>
      </c>
      <c r="H4979" s="13" t="str">
        <f t="shared" si="465"/>
        <v/>
      </c>
      <c r="I4979" t="str">
        <f>IFERROR(INDEX(Analysis!$D$116:$N$137, MATCH(B4979, Analysis!$C$116:$C$137, 0), MATCH(C4979, Analysis!$D$115:$N$115, 0)), "")</f>
        <v/>
      </c>
      <c r="J4979" t="str">
        <f t="shared" si="466"/>
        <v/>
      </c>
      <c r="K4979" s="28" t="str">
        <f t="shared" si="463"/>
        <v/>
      </c>
      <c r="L4979" s="46" t="str">
        <f t="shared" si="467"/>
        <v/>
      </c>
      <c r="M4979" t="str" cm="1">
        <f t="array" ref="M4979">IF(L4979="","",_xlfn.IFS(
  AND(L4979&gt;=TIME(9,0,0), L4979&lt;TIME(16,0,0)),"Morning",
  AND(L4979&gt;=TIME(16,0,0), L4979&lt;TIME(23,59,0)),"Evening",
  L4979&gt;=TIME(23,59,0),"Night",
  L4979&lt;TIME(9,0,0),"Night"
))</f>
        <v/>
      </c>
      <c r="O4979" t="str">
        <f t="shared" si="464"/>
        <v/>
      </c>
    </row>
    <row r="4980" spans="7:15" x14ac:dyDescent="0.25">
      <c r="G4980" t="str">
        <f t="shared" si="462"/>
        <v/>
      </c>
      <c r="H4980" s="13" t="str">
        <f t="shared" si="465"/>
        <v/>
      </c>
      <c r="I4980" t="str">
        <f>IFERROR(INDEX(Analysis!$D$116:$N$137, MATCH(B4980, Analysis!$C$116:$C$137, 0), MATCH(C4980, Analysis!$D$115:$N$115, 0)), "")</f>
        <v/>
      </c>
      <c r="J4980" t="str">
        <f t="shared" si="466"/>
        <v/>
      </c>
      <c r="K4980" s="28" t="str">
        <f t="shared" si="463"/>
        <v/>
      </c>
      <c r="L4980" s="46" t="str">
        <f t="shared" si="467"/>
        <v/>
      </c>
      <c r="M4980" t="str" cm="1">
        <f t="array" ref="M4980">IF(L4980="","",_xlfn.IFS(
  AND(L4980&gt;=TIME(9,0,0), L4980&lt;TIME(16,0,0)),"Morning",
  AND(L4980&gt;=TIME(16,0,0), L4980&lt;TIME(23,59,0)),"Evening",
  L4980&gt;=TIME(23,59,0),"Night",
  L4980&lt;TIME(9,0,0),"Night"
))</f>
        <v/>
      </c>
      <c r="O4980" t="str">
        <f t="shared" si="464"/>
        <v/>
      </c>
    </row>
    <row r="4981" spans="7:15" x14ac:dyDescent="0.25">
      <c r="G4981" t="str">
        <f t="shared" si="462"/>
        <v/>
      </c>
      <c r="H4981" s="13" t="str">
        <f t="shared" si="465"/>
        <v/>
      </c>
      <c r="I4981" t="str">
        <f>IFERROR(INDEX(Analysis!$D$116:$N$137, MATCH(B4981, Analysis!$C$116:$C$137, 0), MATCH(C4981, Analysis!$D$115:$N$115, 0)), "")</f>
        <v/>
      </c>
      <c r="J4981" t="str">
        <f t="shared" si="466"/>
        <v/>
      </c>
      <c r="K4981" s="28" t="str">
        <f t="shared" si="463"/>
        <v/>
      </c>
      <c r="L4981" s="46" t="str">
        <f t="shared" si="467"/>
        <v/>
      </c>
      <c r="M4981" t="str" cm="1">
        <f t="array" ref="M4981">IF(L4981="","",_xlfn.IFS(
  AND(L4981&gt;=TIME(9,0,0), L4981&lt;TIME(16,0,0)),"Morning",
  AND(L4981&gt;=TIME(16,0,0), L4981&lt;TIME(23,59,0)),"Evening",
  L4981&gt;=TIME(23,59,0),"Night",
  L4981&lt;TIME(9,0,0),"Night"
))</f>
        <v/>
      </c>
      <c r="O4981" t="str">
        <f t="shared" si="464"/>
        <v/>
      </c>
    </row>
    <row r="4982" spans="7:15" x14ac:dyDescent="0.25">
      <c r="G4982" t="str">
        <f t="shared" si="462"/>
        <v/>
      </c>
      <c r="H4982" s="13" t="str">
        <f t="shared" si="465"/>
        <v/>
      </c>
      <c r="I4982" t="str">
        <f>IFERROR(INDEX(Analysis!$D$116:$N$137, MATCH(B4982, Analysis!$C$116:$C$137, 0), MATCH(C4982, Analysis!$D$115:$N$115, 0)), "")</f>
        <v/>
      </c>
      <c r="J4982" t="str">
        <f t="shared" si="466"/>
        <v/>
      </c>
      <c r="K4982" s="28" t="str">
        <f t="shared" si="463"/>
        <v/>
      </c>
      <c r="L4982" s="46" t="str">
        <f t="shared" si="467"/>
        <v/>
      </c>
      <c r="M4982" t="str" cm="1">
        <f t="array" ref="M4982">IF(L4982="","",_xlfn.IFS(
  AND(L4982&gt;=TIME(9,0,0), L4982&lt;TIME(16,0,0)),"Morning",
  AND(L4982&gt;=TIME(16,0,0), L4982&lt;TIME(23,59,0)),"Evening",
  L4982&gt;=TIME(23,59,0),"Night",
  L4982&lt;TIME(9,0,0),"Night"
))</f>
        <v/>
      </c>
      <c r="O4982" t="str">
        <f t="shared" si="464"/>
        <v/>
      </c>
    </row>
    <row r="4983" spans="7:15" x14ac:dyDescent="0.25">
      <c r="G4983" t="str">
        <f t="shared" si="462"/>
        <v/>
      </c>
      <c r="H4983" s="13" t="str">
        <f t="shared" si="465"/>
        <v/>
      </c>
      <c r="I4983" t="str">
        <f>IFERROR(INDEX(Analysis!$D$116:$N$137, MATCH(B4983, Analysis!$C$116:$C$137, 0), MATCH(C4983, Analysis!$D$115:$N$115, 0)), "")</f>
        <v/>
      </c>
      <c r="J4983" t="str">
        <f t="shared" si="466"/>
        <v/>
      </c>
      <c r="K4983" s="28" t="str">
        <f t="shared" si="463"/>
        <v/>
      </c>
      <c r="L4983" s="46" t="str">
        <f t="shared" si="467"/>
        <v/>
      </c>
      <c r="M4983" t="str" cm="1">
        <f t="array" ref="M4983">IF(L4983="","",_xlfn.IFS(
  AND(L4983&gt;=TIME(9,0,0), L4983&lt;TIME(16,0,0)),"Morning",
  AND(L4983&gt;=TIME(16,0,0), L4983&lt;TIME(23,59,0)),"Evening",
  L4983&gt;=TIME(23,59,0),"Night",
  L4983&lt;TIME(9,0,0),"Night"
))</f>
        <v/>
      </c>
      <c r="O4983" t="str">
        <f t="shared" si="464"/>
        <v/>
      </c>
    </row>
    <row r="4984" spans="7:15" x14ac:dyDescent="0.25">
      <c r="G4984" t="str">
        <f t="shared" si="462"/>
        <v/>
      </c>
      <c r="H4984" s="13" t="str">
        <f t="shared" si="465"/>
        <v/>
      </c>
      <c r="I4984" t="str">
        <f>IFERROR(INDEX(Analysis!$D$116:$N$137, MATCH(B4984, Analysis!$C$116:$C$137, 0), MATCH(C4984, Analysis!$D$115:$N$115, 0)), "")</f>
        <v/>
      </c>
      <c r="J4984" t="str">
        <f t="shared" si="466"/>
        <v/>
      </c>
      <c r="K4984" s="28" t="str">
        <f t="shared" si="463"/>
        <v/>
      </c>
      <c r="L4984" s="46" t="str">
        <f t="shared" si="467"/>
        <v/>
      </c>
      <c r="M4984" t="str" cm="1">
        <f t="array" ref="M4984">IF(L4984="","",_xlfn.IFS(
  AND(L4984&gt;=TIME(9,0,0), L4984&lt;TIME(16,0,0)),"Morning",
  AND(L4984&gt;=TIME(16,0,0), L4984&lt;TIME(23,59,0)),"Evening",
  L4984&gt;=TIME(23,59,0),"Night",
  L4984&lt;TIME(9,0,0),"Night"
))</f>
        <v/>
      </c>
      <c r="O4984" t="str">
        <f t="shared" si="464"/>
        <v/>
      </c>
    </row>
    <row r="4985" spans="7:15" x14ac:dyDescent="0.25">
      <c r="G4985" t="str">
        <f t="shared" si="462"/>
        <v/>
      </c>
      <c r="H4985" s="13" t="str">
        <f t="shared" si="465"/>
        <v/>
      </c>
      <c r="I4985" t="str">
        <f>IFERROR(INDEX(Analysis!$D$116:$N$137, MATCH(B4985, Analysis!$C$116:$C$137, 0), MATCH(C4985, Analysis!$D$115:$N$115, 0)), "")</f>
        <v/>
      </c>
      <c r="J4985" t="str">
        <f t="shared" si="466"/>
        <v/>
      </c>
      <c r="K4985" s="28" t="str">
        <f t="shared" si="463"/>
        <v/>
      </c>
      <c r="L4985" s="46" t="str">
        <f t="shared" si="467"/>
        <v/>
      </c>
      <c r="M4985" t="str" cm="1">
        <f t="array" ref="M4985">IF(L4985="","",_xlfn.IFS(
  AND(L4985&gt;=TIME(9,0,0), L4985&lt;TIME(16,0,0)),"Morning",
  AND(L4985&gt;=TIME(16,0,0), L4985&lt;TIME(23,59,0)),"Evening",
  L4985&gt;=TIME(23,59,0),"Night",
  L4985&lt;TIME(9,0,0),"Night"
))</f>
        <v/>
      </c>
      <c r="O4985" t="str">
        <f t="shared" si="464"/>
        <v/>
      </c>
    </row>
    <row r="4986" spans="7:15" x14ac:dyDescent="0.25">
      <c r="G4986" t="str">
        <f t="shared" si="462"/>
        <v/>
      </c>
      <c r="H4986" s="13" t="str">
        <f t="shared" si="465"/>
        <v/>
      </c>
      <c r="I4986" t="str">
        <f>IFERROR(INDEX(Analysis!$D$116:$N$137, MATCH(B4986, Analysis!$C$116:$C$137, 0), MATCH(C4986, Analysis!$D$115:$N$115, 0)), "")</f>
        <v/>
      </c>
      <c r="J4986" t="str">
        <f t="shared" si="466"/>
        <v/>
      </c>
      <c r="K4986" s="28" t="str">
        <f t="shared" si="463"/>
        <v/>
      </c>
      <c r="L4986" s="46" t="str">
        <f t="shared" si="467"/>
        <v/>
      </c>
      <c r="M4986" t="str" cm="1">
        <f t="array" ref="M4986">IF(L4986="","",_xlfn.IFS(
  AND(L4986&gt;=TIME(9,0,0), L4986&lt;TIME(16,0,0)),"Morning",
  AND(L4986&gt;=TIME(16,0,0), L4986&lt;TIME(23,59,0)),"Evening",
  L4986&gt;=TIME(23,59,0),"Night",
  L4986&lt;TIME(9,0,0),"Night"
))</f>
        <v/>
      </c>
      <c r="O4986" t="str">
        <f t="shared" si="464"/>
        <v/>
      </c>
    </row>
    <row r="4987" spans="7:15" x14ac:dyDescent="0.25">
      <c r="G4987" t="str">
        <f t="shared" si="462"/>
        <v/>
      </c>
      <c r="H4987" s="13" t="str">
        <f t="shared" si="465"/>
        <v/>
      </c>
      <c r="I4987" t="str">
        <f>IFERROR(INDEX(Analysis!$D$116:$N$137, MATCH(B4987, Analysis!$C$116:$C$137, 0), MATCH(C4987, Analysis!$D$115:$N$115, 0)), "")</f>
        <v/>
      </c>
      <c r="J4987" t="str">
        <f t="shared" si="466"/>
        <v/>
      </c>
      <c r="K4987" s="28" t="str">
        <f t="shared" si="463"/>
        <v/>
      </c>
      <c r="L4987" s="46" t="str">
        <f t="shared" si="467"/>
        <v/>
      </c>
      <c r="M4987" t="str" cm="1">
        <f t="array" ref="M4987">IF(L4987="","",_xlfn.IFS(
  AND(L4987&gt;=TIME(9,0,0), L4987&lt;TIME(16,0,0)),"Morning",
  AND(L4987&gt;=TIME(16,0,0), L4987&lt;TIME(23,59,0)),"Evening",
  L4987&gt;=TIME(23,59,0),"Night",
  L4987&lt;TIME(9,0,0),"Night"
))</f>
        <v/>
      </c>
      <c r="O4987" t="str">
        <f t="shared" si="464"/>
        <v/>
      </c>
    </row>
    <row r="4988" spans="7:15" x14ac:dyDescent="0.25">
      <c r="G4988" t="str">
        <f t="shared" si="462"/>
        <v/>
      </c>
      <c r="H4988" s="13" t="str">
        <f t="shared" si="465"/>
        <v/>
      </c>
      <c r="I4988" t="str">
        <f>IFERROR(INDEX(Analysis!$D$116:$N$137, MATCH(B4988, Analysis!$C$116:$C$137, 0), MATCH(C4988, Analysis!$D$115:$N$115, 0)), "")</f>
        <v/>
      </c>
      <c r="J4988" t="str">
        <f t="shared" si="466"/>
        <v/>
      </c>
      <c r="K4988" s="28" t="str">
        <f t="shared" si="463"/>
        <v/>
      </c>
      <c r="L4988" s="46" t="str">
        <f t="shared" si="467"/>
        <v/>
      </c>
      <c r="M4988" t="str" cm="1">
        <f t="array" ref="M4988">IF(L4988="","",_xlfn.IFS(
  AND(L4988&gt;=TIME(9,0,0), L4988&lt;TIME(16,0,0)),"Morning",
  AND(L4988&gt;=TIME(16,0,0), L4988&lt;TIME(23,59,0)),"Evening",
  L4988&gt;=TIME(23,59,0),"Night",
  L4988&lt;TIME(9,0,0),"Night"
))</f>
        <v/>
      </c>
      <c r="O4988" t="str">
        <f t="shared" si="464"/>
        <v/>
      </c>
    </row>
    <row r="4989" spans="7:15" x14ac:dyDescent="0.25">
      <c r="G4989" t="str">
        <f t="shared" si="462"/>
        <v/>
      </c>
      <c r="H4989" s="13" t="str">
        <f t="shared" si="465"/>
        <v/>
      </c>
      <c r="I4989" t="str">
        <f>IFERROR(INDEX(Analysis!$D$116:$N$137, MATCH(B4989, Analysis!$C$116:$C$137, 0), MATCH(C4989, Analysis!$D$115:$N$115, 0)), "")</f>
        <v/>
      </c>
      <c r="J4989" t="str">
        <f t="shared" si="466"/>
        <v/>
      </c>
      <c r="K4989" s="28" t="str">
        <f t="shared" si="463"/>
        <v/>
      </c>
      <c r="L4989" s="46" t="str">
        <f t="shared" si="467"/>
        <v/>
      </c>
      <c r="M4989" t="str" cm="1">
        <f t="array" ref="M4989">IF(L4989="","",_xlfn.IFS(
  AND(L4989&gt;=TIME(9,0,0), L4989&lt;TIME(16,0,0)),"Morning",
  AND(L4989&gt;=TIME(16,0,0), L4989&lt;TIME(23,59,0)),"Evening",
  L4989&gt;=TIME(23,59,0),"Night",
  L4989&lt;TIME(9,0,0),"Night"
))</f>
        <v/>
      </c>
      <c r="O4989" t="str">
        <f t="shared" si="464"/>
        <v/>
      </c>
    </row>
    <row r="4990" spans="7:15" x14ac:dyDescent="0.25">
      <c r="G4990" t="str">
        <f t="shared" si="462"/>
        <v/>
      </c>
      <c r="H4990" s="13" t="str">
        <f t="shared" si="465"/>
        <v/>
      </c>
      <c r="I4990" t="str">
        <f>IFERROR(INDEX(Analysis!$D$116:$N$137, MATCH(B4990, Analysis!$C$116:$C$137, 0), MATCH(C4990, Analysis!$D$115:$N$115, 0)), "")</f>
        <v/>
      </c>
      <c r="J4990" t="str">
        <f t="shared" si="466"/>
        <v/>
      </c>
      <c r="K4990" s="28" t="str">
        <f t="shared" si="463"/>
        <v/>
      </c>
      <c r="L4990" s="46" t="str">
        <f t="shared" si="467"/>
        <v/>
      </c>
      <c r="M4990" t="str" cm="1">
        <f t="array" ref="M4990">IF(L4990="","",_xlfn.IFS(
  AND(L4990&gt;=TIME(9,0,0), L4990&lt;TIME(16,0,0)),"Morning",
  AND(L4990&gt;=TIME(16,0,0), L4990&lt;TIME(23,59,0)),"Evening",
  L4990&gt;=TIME(23,59,0),"Night",
  L4990&lt;TIME(9,0,0),"Night"
))</f>
        <v/>
      </c>
      <c r="O4990" t="str">
        <f t="shared" si="464"/>
        <v/>
      </c>
    </row>
    <row r="4991" spans="7:15" x14ac:dyDescent="0.25">
      <c r="G4991" t="str">
        <f t="shared" si="462"/>
        <v/>
      </c>
      <c r="H4991" s="13" t="str">
        <f t="shared" si="465"/>
        <v/>
      </c>
      <c r="I4991" t="str">
        <f>IFERROR(INDEX(Analysis!$D$116:$N$137, MATCH(B4991, Analysis!$C$116:$C$137, 0), MATCH(C4991, Analysis!$D$115:$N$115, 0)), "")</f>
        <v/>
      </c>
      <c r="J4991" t="str">
        <f t="shared" si="466"/>
        <v/>
      </c>
      <c r="K4991" s="28" t="str">
        <f t="shared" si="463"/>
        <v/>
      </c>
      <c r="L4991" s="46" t="str">
        <f t="shared" si="467"/>
        <v/>
      </c>
      <c r="M4991" t="str" cm="1">
        <f t="array" ref="M4991">IF(L4991="","",_xlfn.IFS(
  AND(L4991&gt;=TIME(9,0,0), L4991&lt;TIME(16,0,0)),"Morning",
  AND(L4991&gt;=TIME(16,0,0), L4991&lt;TIME(23,59,0)),"Evening",
  L4991&gt;=TIME(23,59,0),"Night",
  L4991&lt;TIME(9,0,0),"Night"
))</f>
        <v/>
      </c>
      <c r="O4991" t="str">
        <f t="shared" si="464"/>
        <v/>
      </c>
    </row>
    <row r="4992" spans="7:15" x14ac:dyDescent="0.25">
      <c r="G4992" t="str">
        <f t="shared" si="462"/>
        <v/>
      </c>
      <c r="H4992" s="13" t="str">
        <f t="shared" si="465"/>
        <v/>
      </c>
      <c r="I4992" t="str">
        <f>IFERROR(INDEX(Analysis!$D$116:$N$137, MATCH(B4992, Analysis!$C$116:$C$137, 0), MATCH(C4992, Analysis!$D$115:$N$115, 0)), "")</f>
        <v/>
      </c>
      <c r="J4992" t="str">
        <f t="shared" si="466"/>
        <v/>
      </c>
      <c r="K4992" s="28" t="str">
        <f t="shared" si="463"/>
        <v/>
      </c>
      <c r="L4992" s="46" t="str">
        <f t="shared" si="467"/>
        <v/>
      </c>
      <c r="M4992" t="str" cm="1">
        <f t="array" ref="M4992">IF(L4992="","",_xlfn.IFS(
  AND(L4992&gt;=TIME(9,0,0), L4992&lt;TIME(16,0,0)),"Morning",
  AND(L4992&gt;=TIME(16,0,0), L4992&lt;TIME(23,59,0)),"Evening",
  L4992&gt;=TIME(23,59,0),"Night",
  L4992&lt;TIME(9,0,0),"Night"
))</f>
        <v/>
      </c>
      <c r="O4992" t="str">
        <f t="shared" si="464"/>
        <v/>
      </c>
    </row>
    <row r="4993" spans="7:15" x14ac:dyDescent="0.25">
      <c r="G4993" t="str">
        <f t="shared" si="462"/>
        <v/>
      </c>
      <c r="H4993" s="13" t="str">
        <f t="shared" si="465"/>
        <v/>
      </c>
      <c r="I4993" t="str">
        <f>IFERROR(INDEX(Analysis!$D$116:$N$137, MATCH(B4993, Analysis!$C$116:$C$137, 0), MATCH(C4993, Analysis!$D$115:$N$115, 0)), "")</f>
        <v/>
      </c>
      <c r="J4993" t="str">
        <f t="shared" si="466"/>
        <v/>
      </c>
      <c r="K4993" s="28" t="str">
        <f t="shared" si="463"/>
        <v/>
      </c>
      <c r="L4993" s="46" t="str">
        <f t="shared" si="467"/>
        <v/>
      </c>
      <c r="M4993" t="str" cm="1">
        <f t="array" ref="M4993">IF(L4993="","",_xlfn.IFS(
  AND(L4993&gt;=TIME(9,0,0), L4993&lt;TIME(16,0,0)),"Morning",
  AND(L4993&gt;=TIME(16,0,0), L4993&lt;TIME(23,59,0)),"Evening",
  L4993&gt;=TIME(23,59,0),"Night",
  L4993&lt;TIME(9,0,0),"Night"
))</f>
        <v/>
      </c>
      <c r="O4993" t="str">
        <f t="shared" si="464"/>
        <v/>
      </c>
    </row>
    <row r="4994" spans="7:15" x14ac:dyDescent="0.25">
      <c r="G4994" t="str">
        <f t="shared" ref="G4994:G5002" si="468">IF(ISBLANK(A4994), "", IF(ISBLANK(F4994), 0, F4994))</f>
        <v/>
      </c>
      <c r="H4994" s="13" t="str">
        <f t="shared" si="465"/>
        <v/>
      </c>
      <c r="I4994" t="str">
        <f>IFERROR(INDEX(Analysis!$D$116:$N$137, MATCH(B4994, Analysis!$C$116:$C$137, 0), MATCH(C4994, Analysis!$D$115:$N$115, 0)), "")</f>
        <v/>
      </c>
      <c r="J4994" t="str">
        <f t="shared" si="466"/>
        <v/>
      </c>
      <c r="K4994" s="28" t="str">
        <f t="shared" ref="K4994:K5002" si="469">IF(ISBLANK(A4994),"",DATE(YEAR(A4994),MONTH(A4994),DAY(A4994)))</f>
        <v/>
      </c>
      <c r="L4994" s="46" t="str">
        <f t="shared" si="467"/>
        <v/>
      </c>
      <c r="M4994" t="str" cm="1">
        <f t="array" ref="M4994">IF(L4994="","",_xlfn.IFS(
  AND(L4994&gt;=TIME(9,0,0), L4994&lt;TIME(16,0,0)),"Morning",
  AND(L4994&gt;=TIME(16,0,0), L4994&lt;TIME(23,59,0)),"Evening",
  L4994&gt;=TIME(23,59,0),"Night",
  L4994&lt;TIME(9,0,0),"Night"
))</f>
        <v/>
      </c>
      <c r="O4994" t="str">
        <f t="shared" ref="O4994:O5002" si="470">IF(N4994="ON", _xlfn.IMAGE(E4994, 1), "")</f>
        <v/>
      </c>
    </row>
    <row r="4995" spans="7:15" x14ac:dyDescent="0.25">
      <c r="G4995" t="str">
        <f t="shared" si="468"/>
        <v/>
      </c>
      <c r="H4995" s="13" t="str">
        <f t="shared" ref="H4995:H5002" si="471">IF(ISBLANK(E4995),"",HYPERLINK(E4995,"Click here"))</f>
        <v/>
      </c>
      <c r="I4995" t="str">
        <f>IFERROR(INDEX(Analysis!$D$116:$N$137, MATCH(B4995, Analysis!$C$116:$C$137, 0), MATCH(C4995, Analysis!$D$115:$N$115, 0)), "")</f>
        <v/>
      </c>
      <c r="J4995" t="str">
        <f t="shared" ref="J4995:J5002" si="472">IF(ISBLANK(A4995),"",WEEKNUM(A4995))</f>
        <v/>
      </c>
      <c r="K4995" s="28" t="str">
        <f t="shared" si="469"/>
        <v/>
      </c>
      <c r="L4995" s="46" t="str">
        <f t="shared" ref="L4995:L5002" si="473">IF(A4995="", "", A4995 - INT(A4995))</f>
        <v/>
      </c>
      <c r="M4995" t="str" cm="1">
        <f t="array" ref="M4995">IF(L4995="","",_xlfn.IFS(
  AND(L4995&gt;=TIME(9,0,0), L4995&lt;TIME(16,0,0)),"Morning",
  AND(L4995&gt;=TIME(16,0,0), L4995&lt;TIME(23,59,0)),"Evening",
  L4995&gt;=TIME(23,59,0),"Night",
  L4995&lt;TIME(9,0,0),"Night"
))</f>
        <v/>
      </c>
      <c r="O4995" t="str">
        <f t="shared" si="470"/>
        <v/>
      </c>
    </row>
    <row r="4996" spans="7:15" x14ac:dyDescent="0.25">
      <c r="G4996" t="str">
        <f t="shared" si="468"/>
        <v/>
      </c>
      <c r="H4996" s="13" t="str">
        <f t="shared" si="471"/>
        <v/>
      </c>
      <c r="I4996" t="str">
        <f>IFERROR(INDEX(Analysis!$D$116:$N$137, MATCH(B4996, Analysis!$C$116:$C$137, 0), MATCH(C4996, Analysis!$D$115:$N$115, 0)), "")</f>
        <v/>
      </c>
      <c r="J4996" t="str">
        <f t="shared" si="472"/>
        <v/>
      </c>
      <c r="K4996" s="28" t="str">
        <f t="shared" si="469"/>
        <v/>
      </c>
      <c r="L4996" s="46" t="str">
        <f t="shared" si="473"/>
        <v/>
      </c>
      <c r="M4996" t="str" cm="1">
        <f t="array" ref="M4996">IF(L4996="","",_xlfn.IFS(
  AND(L4996&gt;=TIME(9,0,0), L4996&lt;TIME(16,0,0)),"Morning",
  AND(L4996&gt;=TIME(16,0,0), L4996&lt;TIME(23,59,0)),"Evening",
  L4996&gt;=TIME(23,59,0),"Night",
  L4996&lt;TIME(9,0,0),"Night"
))</f>
        <v/>
      </c>
      <c r="O4996" t="str">
        <f t="shared" si="470"/>
        <v/>
      </c>
    </row>
    <row r="4997" spans="7:15" x14ac:dyDescent="0.25">
      <c r="G4997" t="str">
        <f t="shared" si="468"/>
        <v/>
      </c>
      <c r="H4997" s="13" t="str">
        <f t="shared" si="471"/>
        <v/>
      </c>
      <c r="I4997" t="str">
        <f>IFERROR(INDEX(Analysis!$D$116:$N$137, MATCH(B4997, Analysis!$C$116:$C$137, 0), MATCH(C4997, Analysis!$D$115:$N$115, 0)), "")</f>
        <v/>
      </c>
      <c r="J4997" t="str">
        <f t="shared" si="472"/>
        <v/>
      </c>
      <c r="K4997" s="28" t="str">
        <f t="shared" si="469"/>
        <v/>
      </c>
      <c r="L4997" s="46" t="str">
        <f t="shared" si="473"/>
        <v/>
      </c>
      <c r="M4997" t="str" cm="1">
        <f t="array" ref="M4997">IF(L4997="","",_xlfn.IFS(
  AND(L4997&gt;=TIME(9,0,0), L4997&lt;TIME(16,0,0)),"Morning",
  AND(L4997&gt;=TIME(16,0,0), L4997&lt;TIME(23,59,0)),"Evening",
  L4997&gt;=TIME(23,59,0),"Night",
  L4997&lt;TIME(9,0,0),"Night"
))</f>
        <v/>
      </c>
      <c r="O4997" t="str">
        <f t="shared" si="470"/>
        <v/>
      </c>
    </row>
    <row r="4998" spans="7:15" x14ac:dyDescent="0.25">
      <c r="G4998" t="str">
        <f t="shared" si="468"/>
        <v/>
      </c>
      <c r="H4998" s="13" t="str">
        <f t="shared" si="471"/>
        <v/>
      </c>
      <c r="I4998" t="str">
        <f>IFERROR(INDEX(Analysis!$D$116:$N$137, MATCH(B4998, Analysis!$C$116:$C$137, 0), MATCH(C4998, Analysis!$D$115:$N$115, 0)), "")</f>
        <v/>
      </c>
      <c r="J4998" t="str">
        <f t="shared" si="472"/>
        <v/>
      </c>
      <c r="K4998" s="28" t="str">
        <f t="shared" si="469"/>
        <v/>
      </c>
      <c r="L4998" s="46" t="str">
        <f t="shared" si="473"/>
        <v/>
      </c>
      <c r="M4998" t="str" cm="1">
        <f t="array" ref="M4998">IF(L4998="","",_xlfn.IFS(
  AND(L4998&gt;=TIME(9,0,0), L4998&lt;TIME(16,0,0)),"Morning",
  AND(L4998&gt;=TIME(16,0,0), L4998&lt;TIME(23,59,0)),"Evening",
  L4998&gt;=TIME(23,59,0),"Night",
  L4998&lt;TIME(9,0,0),"Night"
))</f>
        <v/>
      </c>
      <c r="O4998" t="str">
        <f t="shared" si="470"/>
        <v/>
      </c>
    </row>
    <row r="4999" spans="7:15" x14ac:dyDescent="0.25">
      <c r="G4999" t="str">
        <f t="shared" si="468"/>
        <v/>
      </c>
      <c r="H4999" s="13" t="str">
        <f t="shared" si="471"/>
        <v/>
      </c>
      <c r="I4999" t="str">
        <f>IFERROR(INDEX(Analysis!$D$116:$N$137, MATCH(B4999, Analysis!$C$116:$C$137, 0), MATCH(C4999, Analysis!$D$115:$N$115, 0)), "")</f>
        <v/>
      </c>
      <c r="J4999" t="str">
        <f t="shared" si="472"/>
        <v/>
      </c>
      <c r="K4999" s="28" t="str">
        <f t="shared" si="469"/>
        <v/>
      </c>
      <c r="L4999" s="46" t="str">
        <f t="shared" si="473"/>
        <v/>
      </c>
      <c r="M4999" t="str" cm="1">
        <f t="array" ref="M4999">IF(L4999="","",_xlfn.IFS(
  AND(L4999&gt;=TIME(9,0,0), L4999&lt;TIME(16,0,0)),"Morning",
  AND(L4999&gt;=TIME(16,0,0), L4999&lt;TIME(23,59,0)),"Evening",
  L4999&gt;=TIME(23,59,0),"Night",
  L4999&lt;TIME(9,0,0),"Night"
))</f>
        <v/>
      </c>
      <c r="O4999" t="str">
        <f t="shared" si="470"/>
        <v/>
      </c>
    </row>
    <row r="5000" spans="7:15" x14ac:dyDescent="0.25">
      <c r="G5000" t="str">
        <f t="shared" si="468"/>
        <v/>
      </c>
      <c r="H5000" s="13" t="str">
        <f t="shared" si="471"/>
        <v/>
      </c>
      <c r="I5000" t="str">
        <f>IFERROR(INDEX(Analysis!$D$116:$N$137, MATCH(B5000, Analysis!$C$116:$C$137, 0), MATCH(C5000, Analysis!$D$115:$N$115, 0)), "")</f>
        <v/>
      </c>
      <c r="J5000" t="str">
        <f t="shared" si="472"/>
        <v/>
      </c>
      <c r="K5000" s="28" t="str">
        <f t="shared" si="469"/>
        <v/>
      </c>
      <c r="L5000" s="46" t="str">
        <f t="shared" si="473"/>
        <v/>
      </c>
      <c r="M5000" t="str" cm="1">
        <f t="array" ref="M5000">IF(L5000="","",_xlfn.IFS(
  AND(L5000&gt;=TIME(9,0,0), L5000&lt;TIME(16,0,0)),"Morning",
  AND(L5000&gt;=TIME(16,0,0), L5000&lt;TIME(23,59,0)),"Evening",
  L5000&gt;=TIME(23,59,0),"Night",
  L5000&lt;TIME(9,0,0),"Night"
))</f>
        <v/>
      </c>
      <c r="O5000" t="str">
        <f t="shared" si="470"/>
        <v/>
      </c>
    </row>
    <row r="5001" spans="7:15" x14ac:dyDescent="0.25">
      <c r="G5001" t="str">
        <f t="shared" si="468"/>
        <v/>
      </c>
      <c r="H5001" s="13" t="str">
        <f t="shared" si="471"/>
        <v/>
      </c>
      <c r="I5001" t="str">
        <f>IFERROR(INDEX(Analysis!$D$116:$N$137, MATCH(B5001, Analysis!$C$116:$C$137, 0), MATCH(C5001, Analysis!$D$115:$N$115, 0)), "")</f>
        <v/>
      </c>
      <c r="J5001" t="str">
        <f t="shared" si="472"/>
        <v/>
      </c>
      <c r="K5001" s="28" t="str">
        <f t="shared" si="469"/>
        <v/>
      </c>
      <c r="L5001" s="46" t="str">
        <f t="shared" si="473"/>
        <v/>
      </c>
      <c r="M5001" t="str" cm="1">
        <f t="array" ref="M5001">IF(L5001="","",_xlfn.IFS(
  AND(L5001&gt;=TIME(9,0,0), L5001&lt;TIME(16,0,0)),"Morning",
  AND(L5001&gt;=TIME(16,0,0), L5001&lt;TIME(23,59,0)),"Evening",
  L5001&gt;=TIME(23,59,0),"Night",
  L5001&lt;TIME(9,0,0),"Night"
))</f>
        <v/>
      </c>
      <c r="O5001" t="str">
        <f t="shared" si="470"/>
        <v/>
      </c>
    </row>
    <row r="5002" spans="7:15" x14ac:dyDescent="0.25">
      <c r="G5002" t="str">
        <f t="shared" si="468"/>
        <v/>
      </c>
      <c r="H5002" s="13" t="str">
        <f t="shared" si="471"/>
        <v/>
      </c>
      <c r="I5002" t="str">
        <f>IFERROR(INDEX(Analysis!$D$116:$N$137, MATCH(B5002, Analysis!$C$116:$C$137, 0), MATCH(C5002, Analysis!$D$115:$N$115, 0)), "")</f>
        <v/>
      </c>
      <c r="J5002" t="str">
        <f t="shared" si="472"/>
        <v/>
      </c>
      <c r="K5002" s="28" t="str">
        <f t="shared" si="469"/>
        <v/>
      </c>
      <c r="L5002" s="46" t="str">
        <f t="shared" si="473"/>
        <v/>
      </c>
      <c r="M5002" t="str" cm="1">
        <f t="array" ref="M5002">IF(L5002="","",_xlfn.IFS(
  AND(L5002&gt;=TIME(9,0,0), L5002&lt;TIME(16,0,0)),"Morning",
  AND(L5002&gt;=TIME(16,0,0), L5002&lt;TIME(23,59,0)),"Evening",
  L5002&gt;=TIME(23,59,0),"Night",
  L5002&lt;TIME(9,0,0),"Night"
))</f>
        <v/>
      </c>
      <c r="O5002" t="str">
        <f t="shared" si="470"/>
        <v/>
      </c>
    </row>
  </sheetData>
  <conditionalFormatting sqref="N2:N5002">
    <cfRule type="cellIs" dxfId="1" priority="1" operator="equal">
      <formula>"Off"</formula>
    </cfRule>
    <cfRule type="cellIs" dxfId="0" priority="2" operator="equal">
      <formula>"On"</formula>
    </cfRule>
  </conditionalFormatting>
  <dataValidations disablePrompts="1" count="1">
    <dataValidation type="list" allowBlank="1" showInputMessage="1" showErrorMessage="1" sqref="N2:N5002" xr:uid="{F27559F8-47BC-4070-8DF3-C0E34BEAE0AB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9E14-CF0A-42D6-8B4A-8CE2281F1C29}">
  <dimension ref="B1:AO144"/>
  <sheetViews>
    <sheetView zoomScale="90" zoomScaleNormal="89" workbookViewId="0">
      <selection activeCell="N115" sqref="N115"/>
    </sheetView>
  </sheetViews>
  <sheetFormatPr defaultRowHeight="15" x14ac:dyDescent="0.25"/>
  <cols>
    <col min="2" max="2" width="11.42578125" bestFit="1" customWidth="1"/>
    <col min="3" max="3" width="54.28515625" bestFit="1" customWidth="1"/>
    <col min="4" max="4" width="17" bestFit="1" customWidth="1"/>
    <col min="5" max="5" width="14.7109375" bestFit="1" customWidth="1"/>
    <col min="6" max="6" width="18.42578125" bestFit="1" customWidth="1"/>
    <col min="7" max="8" width="18.28515625" bestFit="1" customWidth="1"/>
    <col min="9" max="9" width="16.140625" customWidth="1"/>
    <col min="10" max="10" width="17.5703125" bestFit="1" customWidth="1"/>
    <col min="11" max="11" width="18.7109375" customWidth="1"/>
    <col min="12" max="12" width="22.140625" bestFit="1" customWidth="1"/>
    <col min="13" max="13" width="13.42578125" bestFit="1" customWidth="1"/>
    <col min="14" max="14" width="11.42578125" bestFit="1" customWidth="1"/>
    <col min="15" max="15" width="20.7109375" bestFit="1" customWidth="1"/>
    <col min="16" max="16" width="11.42578125" bestFit="1" customWidth="1"/>
    <col min="17" max="17" width="23.5703125" bestFit="1" customWidth="1"/>
    <col min="18" max="18" width="40.85546875" customWidth="1"/>
    <col min="19" max="19" width="11.42578125" bestFit="1" customWidth="1"/>
    <col min="20" max="20" width="83.28515625" customWidth="1"/>
    <col min="21" max="21" width="79.85546875" bestFit="1" customWidth="1"/>
    <col min="23" max="23" width="11.42578125" bestFit="1" customWidth="1"/>
    <col min="24" max="24" width="20.7109375" bestFit="1" customWidth="1"/>
    <col min="25" max="33" width="11.42578125" bestFit="1" customWidth="1"/>
    <col min="34" max="34" width="12.5703125" bestFit="1" customWidth="1"/>
    <col min="35" max="35" width="10.28515625" bestFit="1" customWidth="1"/>
  </cols>
  <sheetData>
    <row r="1" spans="3:41" x14ac:dyDescent="0.25">
      <c r="H1" s="13" t="s">
        <v>62</v>
      </c>
      <c r="I1" s="13">
        <f>COUNTA(C61:C81)</f>
        <v>9</v>
      </c>
      <c r="X1" s="37"/>
      <c r="Y1" s="37"/>
      <c r="Z1" s="37"/>
      <c r="AA1" s="37"/>
      <c r="AB1" s="37"/>
    </row>
    <row r="2" spans="3:41" x14ac:dyDescent="0.25">
      <c r="C2" s="1" t="s">
        <v>11</v>
      </c>
      <c r="D2" s="1" t="s">
        <v>12</v>
      </c>
      <c r="E2" s="1" t="s">
        <v>13</v>
      </c>
      <c r="F2" s="22"/>
      <c r="H2" t="str">
        <f>IF('Raw Data'!K2="", "", TEXT(MIN('Raw Data'!K2:K5000), "DD/MM/YYYY") &amp; " to " &amp; TEXT(MAX('Raw Data'!K2:K5000), "DD/MM/YYYY"))</f>
        <v>22/05/2025 to 24/05/2025</v>
      </c>
      <c r="O2" s="37"/>
      <c r="P2" s="37"/>
      <c r="Q2" s="37"/>
      <c r="R2" s="37"/>
      <c r="S2" s="37"/>
      <c r="U2" s="13"/>
      <c r="AO2" s="33" t="e" cm="1">
        <f t="array" aca="1" ref="AO2" ca="1">OFFSET($AF$2, 0, 0, COUNTA($AF$2:$AF$7), 1)</f>
        <v>#REF!</v>
      </c>
    </row>
    <row r="3" spans="3:41" x14ac:dyDescent="0.25">
      <c r="C3" s="3" t="str" cm="1">
        <f t="array" ref="C3:D8">_xlfn.LET(
  _xlpm.rawDataRange, 'Raw Data'!B2:B5000,
  _xlpm.nonEmptyCount, COUNTIF(_xlpm.rawDataRange, "&lt;&gt;"),
  IF(
    _xlpm.nonEmptyCount = 0,
    "",
    _xlfn.LET(
      _xlpm.rawData, _xlfn._xlws.FILTER(_xlpm.rawDataRange, _xlpm.rawDataRange&lt;&gt;""),
      _xlpm.uniqueVals, _xlfn.UNIQUE(_xlpm.rawData),
      _xlpm.counts, COUNTIF(_xlpm.rawDataRange, _xlpm.uniqueVals),
      _xlpm.sortedData, _xlfn.SORTBY(_xlfn.HSTACK(_xlpm.uniqueVals, _xlpm.counts), _xlpm.counts, -1),
      _xlpm.sortedData
    )
  )
)</f>
        <v>PPE</v>
      </c>
      <c r="D3" s="3">
        <v>33</v>
      </c>
      <c r="E3" s="3">
        <f>IF(COUNT($D$3:$D$25)=0, "", IF(OR(D3=LARGE($D$3:$D$25, 1), D3=LARGE($D$3:$D$25, 2)), D3, ""))</f>
        <v>33</v>
      </c>
    </row>
    <row r="4" spans="3:41" x14ac:dyDescent="0.25">
      <c r="C4" s="3" t="str">
        <v>Welding / Gas cutting</v>
      </c>
      <c r="D4" s="3">
        <v>13</v>
      </c>
      <c r="E4" s="3">
        <f t="shared" ref="E4:E31" si="0">IF(COUNT($D$3:$D$25)=0, "", IF(OR(D4=LARGE($D$3:$D$25, 1), D4=LARGE($D$3:$D$25, 2)), D4, ""))</f>
        <v>13</v>
      </c>
      <c r="H4" t="str" cm="1">
        <f t="array" ref="H4">IF(SUMPRODUCT(--(LEN(TRIM(C3:C13))&gt;0))=0,
   "No violation is present",
   IF(SUMPRODUCT(--(LEN(TRIM(C4:C13))&gt;0))=0,
      "Behavior is the major factor in nearly 90% of total violations is " &amp; C3,
      "Behavior is the major factor in nearly 90% of total violations: " &amp;
      _xlfn.TEXTJOIN(", ", TRUE, _xlfn._xlws.FILTER(C3:C13, ISNUMBER(MATCH(D3:D13, E3:E13, 0))))
   )
)</f>
        <v>Behavior is the major factor in nearly 90% of total violations: PPE, Welding / Gas cutting</v>
      </c>
    </row>
    <row r="5" spans="3:41" x14ac:dyDescent="0.25">
      <c r="C5" s="3" t="str">
        <v>Work At Height</v>
      </c>
      <c r="D5" s="3">
        <v>9</v>
      </c>
      <c r="E5" s="3"/>
    </row>
    <row r="6" spans="3:41" x14ac:dyDescent="0.25">
      <c r="C6" s="3" t="str">
        <v>Vehicle Reverse Flagman</v>
      </c>
      <c r="D6" s="3">
        <v>6</v>
      </c>
      <c r="E6" s="3" t="str">
        <f t="shared" si="0"/>
        <v/>
      </c>
      <c r="H6" t="s">
        <v>63</v>
      </c>
    </row>
    <row r="7" spans="3:41" x14ac:dyDescent="0.25">
      <c r="C7" s="3" t="str">
        <v>Unconscious/Resting</v>
      </c>
      <c r="D7" s="3">
        <v>2</v>
      </c>
      <c r="E7" s="3" t="str">
        <f t="shared" si="0"/>
        <v/>
      </c>
    </row>
    <row r="8" spans="3:41" x14ac:dyDescent="0.25">
      <c r="C8" s="3" t="str">
        <v>Unauthorized Access</v>
      </c>
      <c r="D8" s="3">
        <v>2</v>
      </c>
      <c r="E8" s="3" t="str">
        <f t="shared" si="0"/>
        <v/>
      </c>
    </row>
    <row r="9" spans="3:41" x14ac:dyDescent="0.25">
      <c r="C9" s="3"/>
      <c r="D9" s="3"/>
      <c r="E9" s="3" t="str">
        <f t="shared" si="0"/>
        <v/>
      </c>
    </row>
    <row r="10" spans="3:41" x14ac:dyDescent="0.25">
      <c r="C10" s="3"/>
      <c r="D10" s="3"/>
      <c r="E10" s="3" t="str">
        <f t="shared" si="0"/>
        <v/>
      </c>
    </row>
    <row r="11" spans="3:41" x14ac:dyDescent="0.25">
      <c r="C11" s="3"/>
      <c r="D11" s="3"/>
      <c r="E11" s="3" t="str">
        <f t="shared" si="0"/>
        <v/>
      </c>
    </row>
    <row r="12" spans="3:41" x14ac:dyDescent="0.25">
      <c r="C12" s="3"/>
      <c r="D12" s="3"/>
      <c r="E12" s="3" t="str">
        <f t="shared" si="0"/>
        <v/>
      </c>
    </row>
    <row r="13" spans="3:41" x14ac:dyDescent="0.25">
      <c r="C13" s="3"/>
      <c r="D13" s="3"/>
      <c r="E13" s="3" t="str">
        <f t="shared" si="0"/>
        <v/>
      </c>
    </row>
    <row r="14" spans="3:41" x14ac:dyDescent="0.25">
      <c r="C14" s="5"/>
      <c r="D14" s="5"/>
      <c r="E14" s="3" t="str">
        <f t="shared" si="0"/>
        <v/>
      </c>
      <c r="Q14" t="str">
        <f>IF(O14&lt;&gt;"", COUNTIFS('Raw Data'!D13:D5011, O14, 'Raw Data'!G13:G5011, 1), "")</f>
        <v/>
      </c>
      <c r="R14" t="str">
        <f>IF(O14&lt;&gt;"", COUNTIFS('Raw Data'!D13:D5011, O14, 'Raw Data'!G13:G5011, 0), "")</f>
        <v/>
      </c>
    </row>
    <row r="15" spans="3:41" x14ac:dyDescent="0.25">
      <c r="C15" s="5"/>
      <c r="D15" s="5"/>
      <c r="E15" s="3" t="str">
        <f t="shared" si="0"/>
        <v/>
      </c>
    </row>
    <row r="16" spans="3:41" x14ac:dyDescent="0.25">
      <c r="C16" s="5"/>
      <c r="D16" s="5"/>
      <c r="E16" s="3" t="str">
        <f t="shared" si="0"/>
        <v/>
      </c>
    </row>
    <row r="17" spans="3:5" x14ac:dyDescent="0.25">
      <c r="C17" s="5"/>
      <c r="D17" s="5"/>
      <c r="E17" s="3" t="str">
        <f t="shared" si="0"/>
        <v/>
      </c>
    </row>
    <row r="18" spans="3:5" x14ac:dyDescent="0.25">
      <c r="C18" s="3"/>
      <c r="D18" s="3"/>
      <c r="E18" s="3" t="str">
        <f t="shared" si="0"/>
        <v/>
      </c>
    </row>
    <row r="19" spans="3:5" x14ac:dyDescent="0.25">
      <c r="C19" s="3"/>
      <c r="D19" s="3"/>
      <c r="E19" s="3" t="str">
        <f t="shared" si="0"/>
        <v/>
      </c>
    </row>
    <row r="20" spans="3:5" x14ac:dyDescent="0.25">
      <c r="C20" s="3"/>
      <c r="D20" s="3"/>
      <c r="E20" s="3" t="str">
        <f t="shared" si="0"/>
        <v/>
      </c>
    </row>
    <row r="21" spans="3:5" x14ac:dyDescent="0.25">
      <c r="C21" s="3"/>
      <c r="D21" s="3"/>
      <c r="E21" s="3" t="str">
        <f t="shared" si="0"/>
        <v/>
      </c>
    </row>
    <row r="22" spans="3:5" x14ac:dyDescent="0.25">
      <c r="C22" s="3"/>
      <c r="D22" s="3"/>
      <c r="E22" s="3" t="str">
        <f t="shared" si="0"/>
        <v/>
      </c>
    </row>
    <row r="23" spans="3:5" x14ac:dyDescent="0.25">
      <c r="C23" s="3"/>
      <c r="D23" s="3"/>
      <c r="E23" s="3" t="str">
        <f t="shared" si="0"/>
        <v/>
      </c>
    </row>
    <row r="24" spans="3:5" x14ac:dyDescent="0.25">
      <c r="C24" s="3"/>
      <c r="D24" s="3"/>
      <c r="E24" s="3" t="str">
        <f t="shared" si="0"/>
        <v/>
      </c>
    </row>
    <row r="25" spans="3:5" x14ac:dyDescent="0.25">
      <c r="C25" s="3"/>
      <c r="D25" s="3"/>
      <c r="E25" s="3" t="str">
        <f t="shared" si="0"/>
        <v/>
      </c>
    </row>
    <row r="26" spans="3:5" x14ac:dyDescent="0.25">
      <c r="C26" s="3"/>
      <c r="D26" s="3"/>
      <c r="E26" s="3" t="str">
        <f t="shared" si="0"/>
        <v/>
      </c>
    </row>
    <row r="27" spans="3:5" x14ac:dyDescent="0.25">
      <c r="C27" s="3"/>
      <c r="D27" s="3"/>
      <c r="E27" s="3" t="str">
        <f t="shared" si="0"/>
        <v/>
      </c>
    </row>
    <row r="28" spans="3:5" x14ac:dyDescent="0.25">
      <c r="C28" s="3"/>
      <c r="D28" s="3"/>
      <c r="E28" s="3" t="str">
        <f t="shared" si="0"/>
        <v/>
      </c>
    </row>
    <row r="29" spans="3:5" x14ac:dyDescent="0.25">
      <c r="C29" s="3"/>
      <c r="D29" s="3"/>
      <c r="E29" s="3" t="str">
        <f t="shared" si="0"/>
        <v/>
      </c>
    </row>
    <row r="30" spans="3:5" x14ac:dyDescent="0.25">
      <c r="C30" s="3"/>
      <c r="D30" s="3"/>
      <c r="E30" s="3" t="str">
        <f t="shared" si="0"/>
        <v/>
      </c>
    </row>
    <row r="31" spans="3:5" x14ac:dyDescent="0.25">
      <c r="C31" s="3"/>
      <c r="D31" s="3"/>
      <c r="E31" s="3" t="str">
        <f t="shared" si="0"/>
        <v/>
      </c>
    </row>
    <row r="32" spans="3:5" x14ac:dyDescent="0.25">
      <c r="C32" s="3" t="s">
        <v>39</v>
      </c>
      <c r="D32" s="3">
        <f>SUM(D3:D31)</f>
        <v>65</v>
      </c>
      <c r="E32" s="3"/>
    </row>
    <row r="35" spans="3:18" x14ac:dyDescent="0.25">
      <c r="C35" s="13"/>
      <c r="D35" s="13"/>
    </row>
    <row r="36" spans="3:18" x14ac:dyDescent="0.25">
      <c r="C36" s="13"/>
      <c r="D36" s="13"/>
    </row>
    <row r="37" spans="3:18" x14ac:dyDescent="0.25">
      <c r="Q37" t="str">
        <f>IF(O37&lt;&gt;"", COUNTIFS('Raw Data'!D14:D5012, O37, 'Raw Data'!G14:G5012, 1), "")</f>
        <v/>
      </c>
      <c r="R37" t="str">
        <f>IF(O37&lt;&gt;"", COUNTIFS('Raw Data'!D14:D5012, O37, 'Raw Data'!G14:G5012, 0), "")</f>
        <v/>
      </c>
    </row>
    <row r="38" spans="3:18" x14ac:dyDescent="0.25">
      <c r="Q38" t="str">
        <f>IF(O38&lt;&gt;"", COUNTIFS('Raw Data'!D15:D5013, O38, 'Raw Data'!G15:G5013, 1), "")</f>
        <v/>
      </c>
      <c r="R38" t="str">
        <f>IF(O38&lt;&gt;"", COUNTIFS('Raw Data'!D15:D5013, O38, 'Raw Data'!G15:G5013, 0), "")</f>
        <v/>
      </c>
    </row>
    <row r="39" spans="3:18" x14ac:dyDescent="0.25">
      <c r="C39" s="30" t="s">
        <v>14</v>
      </c>
      <c r="D39" s="30" t="s">
        <v>15</v>
      </c>
      <c r="E39" s="31" t="s">
        <v>18</v>
      </c>
      <c r="F39" s="31" t="s">
        <v>19</v>
      </c>
      <c r="G39" s="31" t="s">
        <v>88</v>
      </c>
    </row>
    <row r="40" spans="3:18" x14ac:dyDescent="0.25">
      <c r="C40" s="3" cm="1">
        <f t="array" ref="C40:G40">_xlfn.LET(
  _xlpm.dataRange, 'Raw Data'!J2:J5000,
  _xlpm.nonBlankCount, SUMPRODUCT(--(TRIM(_xlpm.dataRange)&lt;&gt;"")),
  IF(_xlpm.nonBlankCount=0,
     "",
     _xlfn.LET(
       _xlpm.w, _xlfn._xlws.FILTER(_xlpm.dataRange, (_xlpm.dataRange&lt;&gt;"")*(_xlpm.dataRange&lt;&gt;0)),
       _xlpm.uW, _xlfn._xlws.SORT(_xlfn.UNIQUE(_xlpm.w)),
       _xlpm.cW, COUNTA(_xlpm.uW),
       _xlpm.wL, "Week-" &amp; TEXT(_xlfn.SEQUENCE(_xlpm.cW,,1,1), "00"),
       _xlpm.mC, COUNTIFS(_xlpm.dataRange, _xlpm.uW, 'Raw Data'!M2:M5000, "Morning"),
       _xlpm.eC, COUNTIFS(_xlpm.dataRange, _xlpm.uW, 'Raw Data'!M2:M5000, "Evening"),
       _xlpm.nC, COUNTIFS(_xlpm.dataRange, _xlpm.uW, 'Raw Data'!M2:M5000, "Night"),
       IF(_xlpm.cW=0,
          {"No Data","Week-00",0,0,0},
          CHOOSE({1,2,3,4,5}, _xlpm.uW, _xlpm.wL, _xlpm.mC, _xlpm.eC, _xlpm.nC)
       )
     )
  )
)</f>
        <v>21</v>
      </c>
      <c r="D40" s="3" t="str">
        <v>Week-01</v>
      </c>
      <c r="E40" s="3">
        <v>48</v>
      </c>
      <c r="F40" s="3">
        <v>17</v>
      </c>
      <c r="G40" s="3">
        <v>0</v>
      </c>
    </row>
    <row r="41" spans="3:18" x14ac:dyDescent="0.25">
      <c r="C41" s="3"/>
      <c r="D41" s="3"/>
      <c r="E41" s="3"/>
      <c r="F41" s="3"/>
      <c r="G41" s="3"/>
    </row>
    <row r="42" spans="3:18" x14ac:dyDescent="0.25">
      <c r="C42" s="3"/>
      <c r="D42" s="3"/>
      <c r="E42" s="3"/>
      <c r="F42" s="3"/>
      <c r="G42" s="3"/>
    </row>
    <row r="43" spans="3:18" x14ac:dyDescent="0.25">
      <c r="C43" s="3"/>
      <c r="D43" s="3"/>
      <c r="E43" s="3"/>
      <c r="F43" s="3"/>
      <c r="G43" s="3"/>
    </row>
    <row r="44" spans="3:18" x14ac:dyDescent="0.25">
      <c r="C44" s="3"/>
      <c r="D44" s="3"/>
      <c r="E44" s="3"/>
      <c r="F44" s="3"/>
      <c r="G44" s="3"/>
    </row>
    <row r="45" spans="3:18" x14ac:dyDescent="0.25">
      <c r="C45" s="3"/>
      <c r="D45" s="3"/>
      <c r="E45" s="3"/>
      <c r="F45" s="3"/>
      <c r="G45" s="3"/>
    </row>
    <row r="46" spans="3:18" x14ac:dyDescent="0.25">
      <c r="C46" s="29" t="s">
        <v>39</v>
      </c>
      <c r="D46" s="5"/>
      <c r="E46" s="5">
        <f>SUM(E40:E45)</f>
        <v>48</v>
      </c>
      <c r="F46" s="5">
        <f t="shared" ref="F46" si="1">SUM(F40:F45)</f>
        <v>17</v>
      </c>
      <c r="G46" s="5">
        <f>SUM(G40:G45)</f>
        <v>0</v>
      </c>
    </row>
    <row r="49" spans="3:11" x14ac:dyDescent="0.25">
      <c r="C49" s="30" t="s">
        <v>14</v>
      </c>
      <c r="D49" s="30" t="s">
        <v>15</v>
      </c>
      <c r="E49" s="30" t="s">
        <v>75</v>
      </c>
      <c r="F49" s="30" t="s">
        <v>90</v>
      </c>
      <c r="G49" s="30" t="s">
        <v>17</v>
      </c>
      <c r="H49" s="30" t="s">
        <v>16</v>
      </c>
    </row>
    <row r="50" spans="3:11" x14ac:dyDescent="0.25">
      <c r="C50" s="3" cm="1">
        <f t="array" ref="C50:H50">IF(COUNTA('Raw Data'!J2:J5000)=0, "", IFERROR(_xlfn.LET(
  _xlpm.w, _xlfn._xlws.SORT(_xlfn.UNIQUE(_xlfn._xlws.FILTER('Raw Data'!J2:J5000, ('Raw Data'!J2:J5000&lt;&gt;"") * ISNUMBER('Raw Data'!J2:J5000)))),
  _xlpm.wl, "Week-" &amp; TEXT(_xlfn.SEQUENCE(ROWS(_xlpm.w), 1, 1), "00"),
  _xlpm.mildCount, _xlfn.BYROW(_xlpm.w, _xlfn.LAMBDA(_xlpm.c, SUMPRODUCT(('Raw Data'!J2:J5000 = _xlpm.c) * ('Raw Data'!I2:I5000 = "Mild")))),
  _xlpm.severeCount, _xlfn.BYROW(_xlpm.w, _xlfn.LAMBDA(_xlpm.c, SUMPRODUCT(('Raw Data'!J2:J5000 = _xlpm.c) * ('Raw Data'!I2:I5000 = "Severe")))),
  _xlpm.u, _xlfn.BYROW(_xlpm.w, _xlfn.LAMBDA(_xlpm.x, _xlfn.LET(_xlpm.v, _xlfn._xlws.FILTER('Raw Data'!K2:K5000, 'Raw Data'!J2:J5000 = _xlpm.x), _xlpm.c, _xlfn._xlws.FILTER(_xlpm.v, LEN(_xlpm.v) &gt; 0), _xlpm.r, COUNTA(_xlfn.UNIQUE(_xlpm.c)), IF(_xlpm.r &gt; 7, 7, _xlpm.r)))),
  _xlpm.a, _xlfn.BYROW(_xlfn.HSTACK(_xlpm.mildCount, _xlpm.severeCount, _xlpm.u), _xlfn.LAMBDA(_xlpm.r, _xlfn.LET(_xlpm.g, INDEX(_xlpm.r, 1), _xlpm.o, INDEX(_xlpm.r, 2), _xlpm.u, INDEX(_xlpm.r, 3), IF(_xlpm.u = 0, 0, ROUND((_xlpm.g + _xlpm.o) / _xlpm.u, 0))))),
  _xlfn.HSTACK(_xlpm.w, _xlpm.wl, _xlpm.mildCount, _xlpm.severeCount, _xlpm.u, _xlpm.a)
), ""))</f>
        <v>21</v>
      </c>
      <c r="D50" s="3" t="str">
        <v>Week-01</v>
      </c>
      <c r="E50" s="3">
        <v>46</v>
      </c>
      <c r="F50" s="3">
        <v>19</v>
      </c>
      <c r="G50" s="3">
        <v>3</v>
      </c>
      <c r="H50" s="3">
        <v>22</v>
      </c>
    </row>
    <row r="51" spans="3:11" x14ac:dyDescent="0.25">
      <c r="C51" s="3"/>
      <c r="D51" s="3"/>
      <c r="E51" s="3"/>
      <c r="F51" s="3"/>
      <c r="G51" s="3"/>
      <c r="H51" s="3"/>
    </row>
    <row r="52" spans="3:11" x14ac:dyDescent="0.25">
      <c r="C52" s="3"/>
      <c r="D52" s="3"/>
      <c r="E52" s="3"/>
      <c r="F52" s="3"/>
      <c r="G52" s="3"/>
      <c r="H52" s="3"/>
    </row>
    <row r="53" spans="3:11" x14ac:dyDescent="0.25">
      <c r="C53" s="3"/>
      <c r="D53" s="3"/>
      <c r="E53" s="3"/>
      <c r="F53" s="3"/>
      <c r="G53" s="3"/>
      <c r="H53" s="3"/>
    </row>
    <row r="54" spans="3:11" x14ac:dyDescent="0.25">
      <c r="C54" s="3"/>
      <c r="D54" s="3"/>
      <c r="E54" s="3"/>
      <c r="F54" s="3"/>
      <c r="G54" s="3"/>
      <c r="H54" s="3"/>
    </row>
    <row r="55" spans="3:11" x14ac:dyDescent="0.25">
      <c r="C55" s="3"/>
      <c r="D55" s="3"/>
      <c r="E55" s="3"/>
      <c r="F55" s="3"/>
      <c r="G55" s="3"/>
      <c r="H55" s="3"/>
    </row>
    <row r="56" spans="3:11" x14ac:dyDescent="0.25">
      <c r="C56" s="29" t="s">
        <v>39</v>
      </c>
      <c r="D56" s="3"/>
      <c r="E56" s="3">
        <f>SUM(E50:E55)</f>
        <v>46</v>
      </c>
      <c r="F56" s="3">
        <f>SUM(F50:F55)</f>
        <v>19</v>
      </c>
      <c r="G56" s="3">
        <f t="shared" ref="G56:H56" si="2">SUM(G50:G55)</f>
        <v>3</v>
      </c>
      <c r="H56" s="3">
        <f t="shared" si="2"/>
        <v>22</v>
      </c>
    </row>
    <row r="60" spans="3:11" x14ac:dyDescent="0.25">
      <c r="C60" s="34" t="s">
        <v>20</v>
      </c>
      <c r="D60" s="35" t="s">
        <v>21</v>
      </c>
      <c r="E60" s="35" t="s">
        <v>22</v>
      </c>
      <c r="F60" s="35" t="s">
        <v>23</v>
      </c>
      <c r="G60" s="35" t="s">
        <v>24</v>
      </c>
    </row>
    <row r="61" spans="3:11" x14ac:dyDescent="0.25">
      <c r="C61" s="3" t="str" cm="1">
        <f t="array" ref="C61:G69">IF(COUNTA('Raw Data'!D2:D5000)=0,
   "",
   CHOOSE(
     {1,2,3,4,5},
     _xlfn._xlws.SORT(_xlfn.UNIQUE(_xlfn._xlws.FILTER('Raw Data'!D2:D5000, 'Raw Data'!D2:D5000&lt;&gt;""))),
     COUNTIF('Raw Data'!D2:D5000, _xlfn._xlws.SORT(_xlfn.UNIQUE(_xlfn._xlws.FILTER('Raw Data'!D2:D5000, 'Raw Data'!D2:D5000&lt;&gt;"")))),
     COUNTIFS('Raw Data'!D2:D5000, _xlfn._xlws.SORT(_xlfn.UNIQUE(_xlfn._xlws.FILTER('Raw Data'!D2:D5000, 'Raw Data'!D2:D5000&lt;&gt;""))), 'Raw Data'!G2:G5000, 1),
     COUNTIFS('Raw Data'!D2:D5000, _xlfn._xlws.SORT(_xlfn.UNIQUE(_xlfn._xlws.FILTER('Raw Data'!D2:D5000, 'Raw Data'!D2:D5000&lt;&gt;""))), 'Raw Data'!G2:G5000, 0),
     COUNTIFS('Raw Data'!D2:D5000, _xlfn._xlws.SORT(_xlfn.UNIQUE(_xlfn._xlws.FILTER('Raw Data'!D2:D5000, 'Raw Data'!D2:D5000&lt;&gt;""))), 'Raw Data'!G2:G5000, 2)
   )
)</f>
        <v>AirSide</v>
      </c>
      <c r="D61" s="3">
        <v>2</v>
      </c>
      <c r="E61" s="3">
        <v>0</v>
      </c>
      <c r="F61" s="3">
        <v>2</v>
      </c>
      <c r="G61" s="3">
        <v>0</v>
      </c>
      <c r="I61" s="32"/>
      <c r="K61" s="36"/>
    </row>
    <row r="62" spans="3:11" x14ac:dyDescent="0.25">
      <c r="C62" s="3" t="str">
        <v>Arrival Zone 4</v>
      </c>
      <c r="D62" s="3">
        <v>5</v>
      </c>
      <c r="E62" s="3">
        <v>0</v>
      </c>
      <c r="F62" s="3">
        <v>5</v>
      </c>
      <c r="G62" s="3">
        <v>0</v>
      </c>
    </row>
    <row r="63" spans="3:11" x14ac:dyDescent="0.25">
      <c r="C63" s="3" t="str">
        <v>City Side HM</v>
      </c>
      <c r="D63" s="3">
        <v>9</v>
      </c>
      <c r="E63" s="3">
        <v>0</v>
      </c>
      <c r="F63" s="3">
        <v>9</v>
      </c>
      <c r="G63" s="3">
        <v>0</v>
      </c>
    </row>
    <row r="64" spans="3:11" x14ac:dyDescent="0.25">
      <c r="C64" s="3" t="str">
        <v>City Side Overbridge 1</v>
      </c>
      <c r="D64" s="3">
        <v>19</v>
      </c>
      <c r="E64" s="3">
        <v>0</v>
      </c>
      <c r="F64" s="3">
        <v>19</v>
      </c>
      <c r="G64" s="3">
        <v>0</v>
      </c>
    </row>
    <row r="65" spans="3:19" x14ac:dyDescent="0.25">
      <c r="C65" s="3" t="str">
        <v>City Side Overbridge 2</v>
      </c>
      <c r="D65" s="3">
        <v>6</v>
      </c>
      <c r="E65" s="3">
        <v>0</v>
      </c>
      <c r="F65" s="3">
        <v>6</v>
      </c>
      <c r="G65" s="3">
        <v>0</v>
      </c>
    </row>
    <row r="66" spans="3:19" x14ac:dyDescent="0.25">
      <c r="C66" s="3" t="str">
        <v>Departure, Zone 5</v>
      </c>
      <c r="D66" s="3">
        <v>3</v>
      </c>
      <c r="E66" s="3">
        <v>0</v>
      </c>
      <c r="F66" s="3">
        <v>3</v>
      </c>
      <c r="G66" s="3">
        <v>0</v>
      </c>
    </row>
    <row r="67" spans="3:19" x14ac:dyDescent="0.25">
      <c r="C67" s="3" t="str">
        <v>Front Office</v>
      </c>
      <c r="D67" s="3">
        <v>14</v>
      </c>
      <c r="E67" s="3">
        <v>0</v>
      </c>
      <c r="F67" s="3">
        <v>14</v>
      </c>
      <c r="G67" s="3">
        <v>0</v>
      </c>
    </row>
    <row r="68" spans="3:19" x14ac:dyDescent="0.25">
      <c r="C68" s="3" t="str">
        <v>International</v>
      </c>
      <c r="D68" s="3">
        <v>6</v>
      </c>
      <c r="E68" s="3">
        <v>0</v>
      </c>
      <c r="F68" s="3">
        <v>6</v>
      </c>
      <c r="G68" s="3">
        <v>0</v>
      </c>
    </row>
    <row r="69" spans="3:19" x14ac:dyDescent="0.25">
      <c r="C69" s="3" t="str">
        <v>Sky forest</v>
      </c>
      <c r="D69" s="3">
        <v>1</v>
      </c>
      <c r="E69" s="3">
        <v>0</v>
      </c>
      <c r="F69" s="3">
        <v>1</v>
      </c>
      <c r="G69" s="3">
        <v>0</v>
      </c>
    </row>
    <row r="70" spans="3:19" x14ac:dyDescent="0.25">
      <c r="C70" s="3"/>
      <c r="D70" s="3"/>
      <c r="E70" s="3"/>
      <c r="F70" s="3"/>
      <c r="G70" s="3"/>
    </row>
    <row r="71" spans="3:19" x14ac:dyDescent="0.25">
      <c r="C71" s="3"/>
      <c r="D71" s="3"/>
      <c r="E71" s="3"/>
      <c r="F71" s="3"/>
      <c r="G71" s="3"/>
    </row>
    <row r="72" spans="3:19" x14ac:dyDescent="0.25">
      <c r="C72" s="3"/>
      <c r="D72" s="3"/>
      <c r="E72" s="3"/>
      <c r="F72" s="3"/>
      <c r="G72" s="3"/>
    </row>
    <row r="73" spans="3:19" x14ac:dyDescent="0.25">
      <c r="C73" s="3"/>
      <c r="D73" s="3"/>
      <c r="E73" s="3"/>
      <c r="F73" s="3"/>
      <c r="G73" s="3"/>
    </row>
    <row r="74" spans="3:19" x14ac:dyDescent="0.25">
      <c r="C74" s="3"/>
      <c r="D74" s="3"/>
      <c r="E74" s="3"/>
      <c r="F74" s="3"/>
      <c r="G74" s="3"/>
    </row>
    <row r="75" spans="3:19" x14ac:dyDescent="0.25">
      <c r="C75" s="3"/>
      <c r="D75" s="3"/>
      <c r="E75" s="3"/>
      <c r="F75" s="3"/>
      <c r="G75" s="3"/>
    </row>
    <row r="76" spans="3:19" x14ac:dyDescent="0.25">
      <c r="C76" s="3"/>
      <c r="D76" s="3"/>
      <c r="E76" s="3"/>
      <c r="F76" s="3"/>
      <c r="G76" s="3"/>
    </row>
    <row r="77" spans="3:19" x14ac:dyDescent="0.25">
      <c r="C77" s="3"/>
      <c r="D77" s="3"/>
      <c r="E77" s="3"/>
      <c r="F77" s="3"/>
      <c r="G77" s="3"/>
      <c r="Q77" t="str">
        <f>IF(O77&lt;&gt;"", COUNTIFS('Raw Data'!D16:D5014, O77, 'Raw Data'!G16:G5014, 1), "")</f>
        <v/>
      </c>
      <c r="R77" t="str">
        <f>IF(O77&lt;&gt;"", COUNTIFS('Raw Data'!D16:D5014, O77, 'Raw Data'!G16:G5014, 0), "")</f>
        <v/>
      </c>
      <c r="S77" t="str">
        <f>IF(O77&lt;&gt;"", COUNTIFS('Raw Data'!D16:D5014, O77, 'Raw Data'!G16:G5014, 2), "")</f>
        <v/>
      </c>
    </row>
    <row r="78" spans="3:19" x14ac:dyDescent="0.25">
      <c r="C78" s="3"/>
      <c r="D78" s="3"/>
      <c r="E78" s="3"/>
      <c r="F78" s="3"/>
      <c r="G78" s="3"/>
    </row>
    <row r="79" spans="3:19" x14ac:dyDescent="0.25">
      <c r="C79" s="3"/>
      <c r="D79" s="3"/>
      <c r="E79" s="3"/>
      <c r="F79" s="3"/>
      <c r="G79" s="3"/>
    </row>
    <row r="80" spans="3:19" x14ac:dyDescent="0.25">
      <c r="C80" s="3"/>
      <c r="D80" s="3"/>
      <c r="E80" s="3"/>
      <c r="F80" s="3"/>
      <c r="G80" s="3"/>
    </row>
    <row r="81" spans="3:21" x14ac:dyDescent="0.25">
      <c r="C81" s="3"/>
      <c r="D81" s="3"/>
      <c r="E81" s="3"/>
      <c r="F81" s="3"/>
      <c r="G81" s="3"/>
    </row>
    <row r="84" spans="3:21" x14ac:dyDescent="0.25">
      <c r="S84" t="s">
        <v>48</v>
      </c>
    </row>
    <row r="86" spans="3:21" x14ac:dyDescent="0.25">
      <c r="C86" s="2" t="s">
        <v>25</v>
      </c>
      <c r="D86" s="2" t="s">
        <v>26</v>
      </c>
      <c r="E86" s="4" t="s">
        <v>27</v>
      </c>
      <c r="F86" s="4" t="s">
        <v>28</v>
      </c>
      <c r="G86" s="4" t="s">
        <v>29</v>
      </c>
      <c r="H86" s="4" t="s">
        <v>30</v>
      </c>
      <c r="I86" s="4" t="s">
        <v>31</v>
      </c>
      <c r="J86" s="4" t="s">
        <v>32</v>
      </c>
      <c r="K86" s="4" t="s">
        <v>33</v>
      </c>
      <c r="L86" s="4" t="s">
        <v>34</v>
      </c>
      <c r="M86" s="4" t="s">
        <v>35</v>
      </c>
      <c r="N86" s="4" t="s">
        <v>36</v>
      </c>
      <c r="Q86" s="5" t="s">
        <v>11</v>
      </c>
      <c r="R86" s="5" t="s">
        <v>37</v>
      </c>
      <c r="T86" s="16" t="s">
        <v>40</v>
      </c>
      <c r="U86" s="2" t="s">
        <v>40</v>
      </c>
    </row>
    <row r="87" spans="3:21" x14ac:dyDescent="0.25">
      <c r="C87" s="3" t="str" cm="1">
        <f t="array" ref="C87:C95">IF(COUNTA('Raw Data'!D2:D5000)=0, "", _xlfn.UNIQUE(_xlfn._xlws.FILTER('Raw Data'!D2:D5000, 'Raw Data'!D2:D5000&lt;&gt;"")))</f>
        <v>International</v>
      </c>
      <c r="D87" s="3" cm="1">
        <f t="array" ref="D87:D95">COUNTIFS('Raw Data'!$B$2:$B$5000, D$86, 'Raw Data'!$D$2:$D$5000, _xlfn._xlws.FILTER(C87:C106, C87:C106&lt;&gt;""))</f>
        <v>0</v>
      </c>
      <c r="E87" s="3" cm="1">
        <f t="array" ref="E87:E95">COUNTIFS('Raw Data'!$B$2:$B$5000, E$86, 'Raw Data'!$D$2:$D$5000, _xlfn._xlws.FILTER(C87:C106, C87:C106&lt;&gt;""))</f>
        <v>0</v>
      </c>
      <c r="F87" s="3" cm="1">
        <f t="array" ref="F87:F95">COUNTIFS('Raw Data'!$B$2:$B$5000, F$86, 'Raw Data'!$D$2:$D$5000, _xlfn._xlws.FILTER(C87:C106, C87:C106&lt;&gt;""))</f>
        <v>0</v>
      </c>
      <c r="G87" s="3" cm="1">
        <f t="array" ref="G87:G95">COUNTIFS('Raw Data'!$B$2:$B$5000, G$86, 'Raw Data'!$D$2:$D$5000, _xlfn._xlws.FILTER(C87:C106, C87:C106&lt;&gt;""))</f>
        <v>0</v>
      </c>
      <c r="H87" s="3" cm="1">
        <f t="array" ref="H87:H95">COUNTIFS('Raw Data'!$B$2:$B$5000, H$86, 'Raw Data'!$D$2:$D$5000, _xlfn._xlws.FILTER(C87:C106, C87:C106&lt;&gt;""))</f>
        <v>0</v>
      </c>
      <c r="I87" s="3" cm="1">
        <f t="array" ref="I87:I95">COUNTIFS('Raw Data'!$B$2:$B$5000, I$86, 'Raw Data'!$D$2:$D$5000, _xlfn._xlws.FILTER(C87:C106, C87:C106&lt;&gt;""))</f>
        <v>0</v>
      </c>
      <c r="J87" s="3" cm="1">
        <f t="array" ref="J87:J95">COUNTIFS('Raw Data'!$B$2:$B$5000, J$86, 'Raw Data'!$D$2:$D$5000, _xlfn._xlws.FILTER(C87:C106, C87:C106&lt;&gt;""))</f>
        <v>0</v>
      </c>
      <c r="K87" s="3" cm="1">
        <f t="array" ref="K87:K95">COUNTIFS('Raw Data'!$B$2:$B$5000, K$86, 'Raw Data'!$D$2:$D$5000, _xlfn._xlws.FILTER(C87:C106, C87:C106&lt;&gt;""))</f>
        <v>0</v>
      </c>
      <c r="L87" s="3" cm="1">
        <f t="array" ref="L87:L95">COUNTIFS('Raw Data'!$B$2:$B$5000, L$86, 'Raw Data'!$D$2:$D$5000, _xlfn._xlws.FILTER(C87:C106, C87:C106&lt;&gt;""))</f>
        <v>1</v>
      </c>
      <c r="M87" s="3" cm="1">
        <f t="array" ref="M87:M95">COUNTIFS('Raw Data'!$B$2:$B$5000, M$86, 'Raw Data'!$D$2:$D$5000, _xlfn._xlws.FILTER(C87:C106, C87:C106&lt;&gt;""))</f>
        <v>5</v>
      </c>
      <c r="N87" s="3" cm="1">
        <f t="array" ref="N87:N95">COUNTIFS('Raw Data'!$B$2:$B$5000, N$86, 'Raw Data'!$D$2:$D$5000, _xlfn._xlws.FILTER(C87:C106, C87:C106&lt;&gt;""))</f>
        <v>0</v>
      </c>
      <c r="Q87" s="3" t="s">
        <v>35</v>
      </c>
      <c r="R87" s="3" t="str">
        <f>IF(MAX(M87:M106)=0,"No violations present",_xlfn.TEXTJOIN(", ",TRUE,INDEX(C87:C106,MATCH(LARGE(M87:M106,1),M87:M106,0)),INDEX(C87:C106,MATCH(LARGE(M87:M106,2),M87:M106,0))))</f>
        <v>International, Front Office</v>
      </c>
      <c r="T87" s="16" t="str">
        <f>IF(R87="No violations present", "", Q87 &amp; " has the highest events at " &amp; R87)</f>
        <v>Work At Height has the highest events at International, Front Office</v>
      </c>
      <c r="U87" s="5" t="str" cm="1">
        <f t="array" ref="U87">IFERROR(INDEX($T$87:$T$96, SMALL(IF($T$87:$T$96&lt;&gt;"", ROW($T$87:$T$96)-ROW($T$87)+1), ROW(1:1))),"")</f>
        <v>Work At Height has the highest events at International, Front Office</v>
      </c>
    </row>
    <row r="88" spans="3:21" x14ac:dyDescent="0.25">
      <c r="C88" s="3" t="str">
        <v>City Side Overbridge 1</v>
      </c>
      <c r="D88" s="3">
        <v>8</v>
      </c>
      <c r="E88" s="3">
        <v>0</v>
      </c>
      <c r="F88" s="3">
        <v>10</v>
      </c>
      <c r="G88" s="3">
        <v>0</v>
      </c>
      <c r="H88" s="3">
        <v>1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Q88" s="3" t="s">
        <v>29</v>
      </c>
      <c r="R88" s="3" t="str">
        <f>IF(MAX(G87:G106)=0,"No violations present",_xlfn.TEXTJOIN(", ",TRUE,INDEX(C87:C106,MATCH(LARGE(G87:G106,1),G87:G106,0)),INDEX(C87:C106,MATCH(LARGE(G87:G106,2),G87:G106,0))))</f>
        <v>No violations present</v>
      </c>
      <c r="T88" s="16" t="str">
        <f t="shared" ref="T88:T96" si="3">IF(R88="No violations present", "", Q88 &amp; " has the highest events at " &amp; R88)</f>
        <v/>
      </c>
      <c r="U88" s="5" t="str" cm="1">
        <f t="array" ref="U88">IFERROR(INDEX($T$87:$T$96, SMALL(IF($T$87:$T$96&lt;&gt;"", ROW($T$87:$T$96)-ROW($T$87)+1), ROW(2:2))),"")</f>
        <v>Vehicle Reverse Flagman has the highest events at Departure, Zone 5, International</v>
      </c>
    </row>
    <row r="89" spans="3:21" x14ac:dyDescent="0.25">
      <c r="C89" s="3" t="str">
        <v>Front Office</v>
      </c>
      <c r="D89" s="3">
        <v>9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2</v>
      </c>
      <c r="L89" s="3">
        <v>1</v>
      </c>
      <c r="M89" s="3">
        <v>2</v>
      </c>
      <c r="N89" s="3">
        <v>0</v>
      </c>
      <c r="Q89" s="3" t="s">
        <v>34</v>
      </c>
      <c r="R89" s="3" t="str">
        <f>IF(MAX(L87:L106)=0,"No violations present",_xlfn.TEXTJOIN(", ",TRUE,INDEX(C87:C106,MATCH(LARGE(L87:L106,1),L87:L106,0)),INDEX(C87:C106,MATCH(LARGE(L87:L106,2),L87:L106,0))))</f>
        <v>Departure, Zone 5, International</v>
      </c>
      <c r="T89" s="16" t="str">
        <f t="shared" si="3"/>
        <v>Vehicle Reverse Flagman has the highest events at Departure, Zone 5, International</v>
      </c>
      <c r="U89" s="5" t="str" cm="1">
        <f t="array" ref="U89">IFERROR(INDEX($T$87:$T$96, SMALL(IF($T$87:$T$96&lt;&gt;"", ROW($T$87:$T$96)-ROW($T$87)+1), ROW(3:3))),"")</f>
        <v>Unauthorized Access has the highest events at Front Office, International</v>
      </c>
    </row>
    <row r="90" spans="3:21" x14ac:dyDescent="0.25">
      <c r="C90" s="3" t="str">
        <v>AirSide</v>
      </c>
      <c r="D90" s="3">
        <v>2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Q90" s="3" t="s">
        <v>31</v>
      </c>
      <c r="R90" s="3" t="str">
        <f>IF(MAX(I87:I106)=0,"No violations present",_xlfn.TEXTJOIN(", ",TRUE,INDEX(C87:C106,MATCH(LARGE(I87:I106,1),I87:I106,0)),INDEX(C87:C106,MATCH(LARGE(I87:I106,2),I87:I106,0))))</f>
        <v>No violations present</v>
      </c>
      <c r="T90" s="16" t="str">
        <f t="shared" si="3"/>
        <v/>
      </c>
      <c r="U90" s="5" t="str" cm="1">
        <f t="array" ref="U90">IFERROR(INDEX($T$87:$T$96, SMALL(IF($T$87:$T$96&lt;&gt;"", ROW($T$87:$T$96)-ROW($T$87)+1), ROW(4:4))),"")</f>
        <v>Unconscious/Resting has the highest events at City Side Overbridge 1, City Side Overbridge 1</v>
      </c>
    </row>
    <row r="91" spans="3:21" x14ac:dyDescent="0.25">
      <c r="C91" s="3" t="str">
        <v>Departure, Zone 5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3</v>
      </c>
      <c r="M91" s="3">
        <v>0</v>
      </c>
      <c r="N91" s="3">
        <v>0</v>
      </c>
      <c r="Q91" s="3" t="s">
        <v>33</v>
      </c>
      <c r="R91" s="3" t="str">
        <f>IF(MAX(K87:K106)=0,"No violations present",_xlfn.TEXTJOIN(", ",TRUE,INDEX(C87:C106,MATCH(LARGE(K87:K106,1),K87:K106,0)),INDEX(C87:C106,MATCH(LARGE(K87:K106,2),K87:K106,0))))</f>
        <v>Front Office, International</v>
      </c>
      <c r="T91" s="16" t="str">
        <f t="shared" si="3"/>
        <v>Unauthorized Access has the highest events at Front Office, International</v>
      </c>
      <c r="U91" s="5" t="str" cm="1">
        <f t="array" ref="U91">IFERROR(INDEX($T$87:$T$96, SMALL(IF($T$87:$T$96&lt;&gt;"", ROW($T$87:$T$96)-ROW($T$87)+1), ROW(5:5))),"")</f>
        <v>Welding / Gas cutting has the highest events at City Side Overbridge 1, City Side HM</v>
      </c>
    </row>
    <row r="92" spans="3:21" x14ac:dyDescent="0.25">
      <c r="C92" s="3" t="str">
        <v>City Side Overbridge 2</v>
      </c>
      <c r="D92" s="3">
        <v>5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Q92" s="3" t="s">
        <v>32</v>
      </c>
      <c r="R92" s="3" t="str">
        <f>IF(MAX(J87:J106)=0,"No violations present",_xlfn.TEXTJOIN(", ",TRUE,INDEX(C87:C106,MATCH(LARGE(J87:J106,1),J87:J106,0)),INDEX(C87:C106,MATCH(LARGE(J87:J106,2),J87:J106,0))))</f>
        <v>No violations present</v>
      </c>
      <c r="T92" s="16" t="str">
        <f t="shared" si="3"/>
        <v/>
      </c>
      <c r="U92" s="5" t="str" cm="1">
        <f t="array" ref="U92">IFERROR(INDEX($T$87:$T$96, SMALL(IF($T$87:$T$96&lt;&gt;"", ROW($T$87:$T$96)-ROW($T$87)+1), ROW(6:6))),"")</f>
        <v>ppe has the highest events at Front Office, City Side Overbridge 1</v>
      </c>
    </row>
    <row r="93" spans="3:21" x14ac:dyDescent="0.25">
      <c r="C93" s="3" t="str">
        <v>City Side HM</v>
      </c>
      <c r="D93" s="3">
        <v>7</v>
      </c>
      <c r="E93" s="3">
        <v>0</v>
      </c>
      <c r="F93" s="3">
        <v>2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Q93" s="3" t="s">
        <v>30</v>
      </c>
      <c r="R93" s="3" t="str">
        <f>IF(MAX(H87:H106)=0,"No violations present",_xlfn.TEXTJOIN(", ",TRUE,INDEX(C87:C106,MATCH(LARGE(H87:H106,1),H87:H106,0)),INDEX(C87:C106,MATCH(LARGE(H87:H106,2),H87:H106,0))))</f>
        <v>City Side Overbridge 1, City Side Overbridge 1</v>
      </c>
      <c r="T93" s="16" t="str">
        <f t="shared" si="3"/>
        <v>Unconscious/Resting has the highest events at City Side Overbridge 1, City Side Overbridge 1</v>
      </c>
      <c r="U93" s="5" t="str" cm="1">
        <f t="array" ref="U93">IFERROR(INDEX($T$87:$T$96, SMALL(IF($T$87:$T$96&lt;&gt;"", ROW($T$87:$T$96)-ROW($T$87)+1), ROW(7:7))),"")</f>
        <v/>
      </c>
    </row>
    <row r="94" spans="3:21" x14ac:dyDescent="0.25">
      <c r="C94" s="3" t="str">
        <v>Sky forest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</v>
      </c>
      <c r="M94" s="3">
        <v>0</v>
      </c>
      <c r="N94" s="3">
        <v>0</v>
      </c>
      <c r="Q94" s="3" t="s">
        <v>28</v>
      </c>
      <c r="R94" s="3" t="str">
        <f>IF(MAX(F87:F106)=0,"No violations present",_xlfn.TEXTJOIN(", ",TRUE,INDEX(C87:C106,MATCH(LARGE(F87:F106,1),F87:F106,0)),INDEX(C87:C106,MATCH(LARGE(F87:F106,2),F87:F106,0))))</f>
        <v>City Side Overbridge 1, City Side HM</v>
      </c>
      <c r="T94" s="16" t="str">
        <f t="shared" si="3"/>
        <v>Welding / Gas cutting has the highest events at City Side Overbridge 1, City Side HM</v>
      </c>
      <c r="U94" s="5" t="str" cm="1">
        <f t="array" ref="U94">IFERROR(INDEX($T$87:$T$96, SMALL(IF($T$87:$T$96&lt;&gt;"", ROW($T$87:$T$96)-ROW($T$87)+1), ROW(8:8))),"")</f>
        <v/>
      </c>
    </row>
    <row r="95" spans="3:21" x14ac:dyDescent="0.25">
      <c r="C95" s="3" t="str">
        <v>Arrival Zone 4</v>
      </c>
      <c r="D95" s="3">
        <v>2</v>
      </c>
      <c r="E95" s="3">
        <v>0</v>
      </c>
      <c r="F95" s="3">
        <v>1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2</v>
      </c>
      <c r="N95" s="3">
        <v>0</v>
      </c>
      <c r="Q95" s="3" t="s">
        <v>27</v>
      </c>
      <c r="R95" s="3" t="str">
        <f>IF(MAX(E87:E106)=0,"No violations present",_xlfn.TEXTJOIN(", ",TRUE,INDEX(C87:C106,MATCH(LARGE(E87:E106,1),E87:E106,0)),INDEX(C87:C106,MATCH(LARGE(E87:E106,2),E87:E106,0))))</f>
        <v>No violations present</v>
      </c>
      <c r="T95" s="16" t="str">
        <f t="shared" si="3"/>
        <v/>
      </c>
      <c r="U95" s="5" t="str" cm="1">
        <f t="array" ref="U95">IFERROR(INDEX($T$87:$T$96, SMALL(IF($T$87:$T$96&lt;&gt;"", ROW($T$87:$T$96)-ROW($T$87)+1), ROW(9:9))),"")</f>
        <v/>
      </c>
    </row>
    <row r="96" spans="3:21" x14ac:dyDescent="0.2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Q96" s="3" t="s">
        <v>38</v>
      </c>
      <c r="R96" s="3" t="str">
        <f>IF(MAX(D87:D106)=0,"No violations present",_xlfn.TEXTJOIN(", ",TRUE,INDEX(C87:C106,MATCH(LARGE(D87:D106,1),D87:D106,0)),INDEX(C87:C106,MATCH(LARGE(D87:D106,2),D87:D106,0))))</f>
        <v>Front Office, City Side Overbridge 1</v>
      </c>
      <c r="T96" s="16" t="str">
        <f t="shared" si="3"/>
        <v>ppe has the highest events at Front Office, City Side Overbridge 1</v>
      </c>
      <c r="U96" s="5" t="str" cm="1">
        <f t="array" ref="U96">IFERROR(INDEX($T$87:$T$96, SMALL(IF($T$87:$T$96&lt;&gt;"", ROW($T$87:$T$96)-ROW($T$87)+1), ROW(10:10))),"")</f>
        <v/>
      </c>
    </row>
    <row r="97" spans="3:14" x14ac:dyDescent="0.2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3:14" x14ac:dyDescent="0.2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3:14" x14ac:dyDescent="0.2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3:14" x14ac:dyDescent="0.2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3:14" x14ac:dyDescent="0.2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3:14" x14ac:dyDescent="0.2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3:14" x14ac:dyDescent="0.2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3:14" x14ac:dyDescent="0.2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3:14" x14ac:dyDescent="0.2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3:14" x14ac:dyDescent="0.2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13" spans="2:35" x14ac:dyDescent="0.25">
      <c r="C113" s="13"/>
      <c r="D113" s="13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</row>
    <row r="114" spans="2:35" x14ac:dyDescent="0.25">
      <c r="B114" s="28"/>
    </row>
    <row r="115" spans="2:35" x14ac:dyDescent="0.25">
      <c r="B115" s="28"/>
      <c r="C115" s="5"/>
      <c r="D115" s="5" t="s">
        <v>66</v>
      </c>
      <c r="E115" s="5" t="s">
        <v>67</v>
      </c>
      <c r="F115" s="5" t="s">
        <v>68</v>
      </c>
      <c r="G115" s="5" t="s">
        <v>69</v>
      </c>
      <c r="H115" s="5" t="s">
        <v>70</v>
      </c>
      <c r="I115" s="5" t="s">
        <v>71</v>
      </c>
      <c r="J115" s="5" t="s">
        <v>72</v>
      </c>
      <c r="K115" s="5" t="s">
        <v>94</v>
      </c>
      <c r="L115" s="5" t="s">
        <v>73</v>
      </c>
      <c r="M115" s="5" t="s">
        <v>74</v>
      </c>
      <c r="N115" s="5" t="s">
        <v>92</v>
      </c>
    </row>
    <row r="116" spans="2:35" x14ac:dyDescent="0.25">
      <c r="B116" s="28"/>
      <c r="C116" s="43" t="s">
        <v>26</v>
      </c>
      <c r="D116" s="3" t="s">
        <v>75</v>
      </c>
      <c r="E116" s="3" t="s">
        <v>75</v>
      </c>
      <c r="F116" s="3" t="s">
        <v>75</v>
      </c>
      <c r="G116" s="3" t="s">
        <v>75</v>
      </c>
      <c r="H116" s="3" t="s">
        <v>75</v>
      </c>
      <c r="I116" s="3" t="s">
        <v>75</v>
      </c>
      <c r="J116" s="3" t="s">
        <v>75</v>
      </c>
      <c r="K116" s="3" t="s">
        <v>75</v>
      </c>
      <c r="L116" s="3" t="s">
        <v>75</v>
      </c>
      <c r="M116" s="3" t="s">
        <v>75</v>
      </c>
      <c r="N116" s="3" t="s">
        <v>75</v>
      </c>
    </row>
    <row r="117" spans="2:35" x14ac:dyDescent="0.25">
      <c r="B117" s="28"/>
      <c r="C117" s="43" t="s">
        <v>76</v>
      </c>
      <c r="D117" s="3" t="s">
        <v>75</v>
      </c>
      <c r="E117" s="3" t="s">
        <v>75</v>
      </c>
      <c r="F117" s="3" t="s">
        <v>75</v>
      </c>
      <c r="G117" s="3" t="s">
        <v>75</v>
      </c>
      <c r="H117" s="3" t="s">
        <v>75</v>
      </c>
      <c r="I117" s="3" t="s">
        <v>75</v>
      </c>
      <c r="J117" s="3" t="s">
        <v>75</v>
      </c>
      <c r="K117" s="3" t="s">
        <v>75</v>
      </c>
      <c r="L117" s="3" t="s">
        <v>75</v>
      </c>
      <c r="M117" s="3" t="s">
        <v>75</v>
      </c>
      <c r="N117" s="3" t="s">
        <v>75</v>
      </c>
    </row>
    <row r="118" spans="2:35" x14ac:dyDescent="0.25">
      <c r="B118" s="28"/>
      <c r="C118" s="43" t="s">
        <v>77</v>
      </c>
      <c r="D118" s="3" t="s">
        <v>75</v>
      </c>
      <c r="E118" s="3" t="s">
        <v>75</v>
      </c>
      <c r="F118" s="3" t="s">
        <v>75</v>
      </c>
      <c r="G118" s="3" t="s">
        <v>75</v>
      </c>
      <c r="H118" s="3" t="s">
        <v>75</v>
      </c>
      <c r="I118" s="3" t="s">
        <v>75</v>
      </c>
      <c r="J118" s="3" t="s">
        <v>75</v>
      </c>
      <c r="K118" s="3" t="s">
        <v>75</v>
      </c>
      <c r="L118" s="3" t="s">
        <v>75</v>
      </c>
      <c r="M118" s="3" t="s">
        <v>75</v>
      </c>
      <c r="N118" s="3" t="s">
        <v>75</v>
      </c>
    </row>
    <row r="119" spans="2:35" x14ac:dyDescent="0.25">
      <c r="B119" s="28"/>
      <c r="C119" s="43" t="s">
        <v>27</v>
      </c>
      <c r="D119" s="3" t="s">
        <v>75</v>
      </c>
      <c r="E119" s="3" t="s">
        <v>75</v>
      </c>
      <c r="F119" s="3" t="s">
        <v>75</v>
      </c>
      <c r="G119" s="3" t="s">
        <v>75</v>
      </c>
      <c r="H119" s="3" t="s">
        <v>75</v>
      </c>
      <c r="I119" s="3" t="s">
        <v>75</v>
      </c>
      <c r="J119" s="3" t="s">
        <v>75</v>
      </c>
      <c r="K119" s="3" t="s">
        <v>75</v>
      </c>
      <c r="L119" s="3" t="s">
        <v>75</v>
      </c>
      <c r="M119" s="3" t="s">
        <v>75</v>
      </c>
      <c r="N119" s="3" t="s">
        <v>75</v>
      </c>
    </row>
    <row r="120" spans="2:35" x14ac:dyDescent="0.25">
      <c r="B120" s="28"/>
      <c r="C120" s="43" t="s">
        <v>28</v>
      </c>
      <c r="D120" s="3" t="s">
        <v>75</v>
      </c>
      <c r="E120" s="3" t="s">
        <v>75</v>
      </c>
      <c r="F120" s="3" t="s">
        <v>75</v>
      </c>
      <c r="G120" s="3" t="s">
        <v>75</v>
      </c>
      <c r="H120" s="3" t="s">
        <v>75</v>
      </c>
      <c r="I120" s="3" t="s">
        <v>75</v>
      </c>
      <c r="J120" s="3" t="s">
        <v>75</v>
      </c>
      <c r="K120" s="3" t="s">
        <v>75</v>
      </c>
      <c r="L120" s="3" t="s">
        <v>75</v>
      </c>
      <c r="M120" s="3" t="s">
        <v>75</v>
      </c>
      <c r="N120" s="3" t="s">
        <v>90</v>
      </c>
    </row>
    <row r="121" spans="2:35" x14ac:dyDescent="0.25">
      <c r="B121" s="28"/>
      <c r="C121" s="43" t="s">
        <v>78</v>
      </c>
      <c r="D121" s="3" t="s">
        <v>75</v>
      </c>
      <c r="E121" s="3" t="s">
        <v>75</v>
      </c>
      <c r="F121" s="3" t="s">
        <v>75</v>
      </c>
      <c r="G121" s="3" t="s">
        <v>75</v>
      </c>
      <c r="H121" s="3" t="s">
        <v>75</v>
      </c>
      <c r="I121" s="3" t="s">
        <v>75</v>
      </c>
      <c r="J121" s="3" t="s">
        <v>75</v>
      </c>
      <c r="K121" s="3" t="s">
        <v>75</v>
      </c>
      <c r="L121" s="3" t="s">
        <v>75</v>
      </c>
      <c r="M121" s="3" t="s">
        <v>75</v>
      </c>
      <c r="N121" s="3" t="s">
        <v>90</v>
      </c>
    </row>
    <row r="122" spans="2:35" x14ac:dyDescent="0.25">
      <c r="B122" s="28"/>
      <c r="C122" s="43" t="s">
        <v>80</v>
      </c>
      <c r="D122" s="3" t="s">
        <v>75</v>
      </c>
      <c r="E122" s="3" t="s">
        <v>75</v>
      </c>
      <c r="F122" s="3" t="s">
        <v>75</v>
      </c>
      <c r="G122" s="3" t="s">
        <v>75</v>
      </c>
      <c r="H122" s="3" t="s">
        <v>75</v>
      </c>
      <c r="I122" s="3" t="s">
        <v>75</v>
      </c>
      <c r="J122" s="3" t="s">
        <v>75</v>
      </c>
      <c r="K122" s="3" t="s">
        <v>75</v>
      </c>
      <c r="L122" s="3" t="s">
        <v>75</v>
      </c>
      <c r="M122" s="3" t="s">
        <v>75</v>
      </c>
      <c r="N122" s="3" t="s">
        <v>90</v>
      </c>
    </row>
    <row r="123" spans="2:35" x14ac:dyDescent="0.25">
      <c r="B123" s="28"/>
      <c r="C123" s="43" t="s">
        <v>34</v>
      </c>
      <c r="D123" s="3" t="s">
        <v>79</v>
      </c>
      <c r="E123" s="3" t="s">
        <v>90</v>
      </c>
      <c r="F123" s="3" t="s">
        <v>90</v>
      </c>
      <c r="G123" s="3" t="s">
        <v>90</v>
      </c>
      <c r="H123" s="3" t="s">
        <v>90</v>
      </c>
      <c r="I123" s="3" t="s">
        <v>90</v>
      </c>
      <c r="J123" s="3" t="s">
        <v>90</v>
      </c>
      <c r="K123" s="3" t="s">
        <v>90</v>
      </c>
      <c r="L123" s="3" t="s">
        <v>90</v>
      </c>
      <c r="M123" s="3" t="s">
        <v>90</v>
      </c>
      <c r="N123" s="3" t="s">
        <v>90</v>
      </c>
    </row>
    <row r="124" spans="2:35" x14ac:dyDescent="0.25">
      <c r="B124" s="28"/>
      <c r="C124" s="43" t="s">
        <v>33</v>
      </c>
      <c r="D124" s="3" t="s">
        <v>79</v>
      </c>
      <c r="E124" s="3" t="s">
        <v>90</v>
      </c>
      <c r="F124" s="3" t="s">
        <v>90</v>
      </c>
      <c r="G124" s="3" t="s">
        <v>90</v>
      </c>
      <c r="H124" s="3" t="s">
        <v>90</v>
      </c>
      <c r="I124" s="3" t="s">
        <v>90</v>
      </c>
      <c r="J124" s="3" t="s">
        <v>90</v>
      </c>
      <c r="K124" s="3" t="s">
        <v>90</v>
      </c>
      <c r="L124" s="3" t="s">
        <v>90</v>
      </c>
      <c r="M124" s="3" t="s">
        <v>90</v>
      </c>
      <c r="N124" s="3" t="s">
        <v>90</v>
      </c>
    </row>
    <row r="125" spans="2:35" x14ac:dyDescent="0.25">
      <c r="B125" s="28"/>
      <c r="C125" s="43" t="s">
        <v>29</v>
      </c>
      <c r="D125" s="3" t="s">
        <v>79</v>
      </c>
      <c r="E125" s="3" t="s">
        <v>90</v>
      </c>
      <c r="F125" s="3" t="s">
        <v>90</v>
      </c>
      <c r="G125" s="3" t="s">
        <v>90</v>
      </c>
      <c r="H125" s="3" t="s">
        <v>90</v>
      </c>
      <c r="I125" s="3" t="s">
        <v>90</v>
      </c>
      <c r="J125" s="3" t="s">
        <v>90</v>
      </c>
      <c r="K125" s="3" t="s">
        <v>90</v>
      </c>
      <c r="L125" s="3" t="s">
        <v>90</v>
      </c>
      <c r="M125" s="3" t="s">
        <v>90</v>
      </c>
      <c r="N125" s="3" t="s">
        <v>90</v>
      </c>
    </row>
    <row r="126" spans="2:35" x14ac:dyDescent="0.25">
      <c r="B126" s="28"/>
      <c r="C126" s="43" t="s">
        <v>32</v>
      </c>
      <c r="D126" s="3" t="s">
        <v>79</v>
      </c>
      <c r="E126" s="3" t="s">
        <v>90</v>
      </c>
      <c r="F126" s="3" t="s">
        <v>90</v>
      </c>
      <c r="G126" s="3" t="s">
        <v>90</v>
      </c>
      <c r="H126" s="3" t="s">
        <v>90</v>
      </c>
      <c r="I126" s="3" t="s">
        <v>90</v>
      </c>
      <c r="J126" s="3" t="s">
        <v>90</v>
      </c>
      <c r="K126" s="3" t="s">
        <v>90</v>
      </c>
      <c r="L126" s="3" t="s">
        <v>90</v>
      </c>
      <c r="M126" s="3" t="s">
        <v>90</v>
      </c>
      <c r="N126" s="3" t="s">
        <v>90</v>
      </c>
    </row>
    <row r="127" spans="2:35" x14ac:dyDescent="0.25">
      <c r="B127" s="28"/>
      <c r="C127" s="43" t="s">
        <v>30</v>
      </c>
      <c r="D127" s="3" t="s">
        <v>79</v>
      </c>
      <c r="E127" s="3" t="s">
        <v>90</v>
      </c>
      <c r="F127" s="3" t="s">
        <v>90</v>
      </c>
      <c r="G127" s="3" t="s">
        <v>90</v>
      </c>
      <c r="H127" s="3" t="s">
        <v>90</v>
      </c>
      <c r="I127" s="3" t="s">
        <v>90</v>
      </c>
      <c r="J127" s="3" t="s">
        <v>90</v>
      </c>
      <c r="K127" s="3" t="s">
        <v>90</v>
      </c>
      <c r="L127" s="3" t="s">
        <v>90</v>
      </c>
      <c r="M127" s="3" t="s">
        <v>90</v>
      </c>
      <c r="N127" s="3" t="s">
        <v>90</v>
      </c>
    </row>
    <row r="128" spans="2:35" x14ac:dyDescent="0.25">
      <c r="B128" s="28"/>
      <c r="C128" s="43" t="s">
        <v>35</v>
      </c>
      <c r="D128" s="3" t="s">
        <v>79</v>
      </c>
      <c r="E128" s="3" t="s">
        <v>90</v>
      </c>
      <c r="F128" s="3" t="s">
        <v>90</v>
      </c>
      <c r="G128" s="3" t="s">
        <v>90</v>
      </c>
      <c r="H128" s="3" t="s">
        <v>90</v>
      </c>
      <c r="I128" s="3" t="s">
        <v>90</v>
      </c>
      <c r="J128" s="3" t="s">
        <v>90</v>
      </c>
      <c r="K128" s="3" t="s">
        <v>90</v>
      </c>
      <c r="L128" s="3" t="s">
        <v>90</v>
      </c>
      <c r="M128" s="3" t="s">
        <v>90</v>
      </c>
      <c r="N128" s="3" t="s">
        <v>90</v>
      </c>
    </row>
    <row r="129" spans="2:18" x14ac:dyDescent="0.25">
      <c r="B129" s="28"/>
      <c r="C129" s="43" t="s">
        <v>81</v>
      </c>
      <c r="D129" s="3" t="s">
        <v>79</v>
      </c>
      <c r="E129" s="3" t="s">
        <v>90</v>
      </c>
      <c r="F129" s="3" t="s">
        <v>90</v>
      </c>
      <c r="G129" s="3" t="s">
        <v>90</v>
      </c>
      <c r="H129" s="3" t="s">
        <v>90</v>
      </c>
      <c r="I129" s="3" t="s">
        <v>90</v>
      </c>
      <c r="J129" s="3" t="s">
        <v>90</v>
      </c>
      <c r="K129" s="3" t="s">
        <v>90</v>
      </c>
      <c r="L129" s="3" t="s">
        <v>90</v>
      </c>
      <c r="M129" s="3" t="s">
        <v>90</v>
      </c>
      <c r="N129" s="3" t="s">
        <v>90</v>
      </c>
    </row>
    <row r="130" spans="2:18" x14ac:dyDescent="0.25">
      <c r="B130" s="28"/>
      <c r="C130" s="43" t="s">
        <v>31</v>
      </c>
      <c r="D130" s="3" t="s">
        <v>79</v>
      </c>
      <c r="E130" s="3" t="s">
        <v>90</v>
      </c>
      <c r="F130" s="3" t="s">
        <v>90</v>
      </c>
      <c r="G130" s="3" t="s">
        <v>90</v>
      </c>
      <c r="H130" s="3" t="s">
        <v>90</v>
      </c>
      <c r="I130" s="3" t="s">
        <v>90</v>
      </c>
      <c r="J130" s="3" t="s">
        <v>90</v>
      </c>
      <c r="K130" s="3" t="s">
        <v>90</v>
      </c>
      <c r="L130" s="3" t="s">
        <v>90</v>
      </c>
      <c r="M130" s="3" t="s">
        <v>90</v>
      </c>
      <c r="N130" s="3" t="s">
        <v>90</v>
      </c>
    </row>
    <row r="131" spans="2:18" x14ac:dyDescent="0.25">
      <c r="B131" s="28"/>
      <c r="C131" s="43" t="s">
        <v>82</v>
      </c>
      <c r="D131" s="3" t="s">
        <v>79</v>
      </c>
      <c r="E131" s="3" t="s">
        <v>90</v>
      </c>
      <c r="F131" s="3" t="s">
        <v>90</v>
      </c>
      <c r="G131" s="3" t="s">
        <v>90</v>
      </c>
      <c r="H131" s="3" t="s">
        <v>90</v>
      </c>
      <c r="I131" s="3" t="s">
        <v>90</v>
      </c>
      <c r="J131" s="3" t="s">
        <v>90</v>
      </c>
      <c r="K131" s="3" t="s">
        <v>90</v>
      </c>
      <c r="L131" s="3" t="s">
        <v>90</v>
      </c>
      <c r="M131" s="3" t="s">
        <v>90</v>
      </c>
      <c r="N131" s="3" t="s">
        <v>90</v>
      </c>
    </row>
    <row r="132" spans="2:18" x14ac:dyDescent="0.25">
      <c r="B132" s="28"/>
      <c r="C132" s="43" t="s">
        <v>83</v>
      </c>
      <c r="D132" s="3" t="s">
        <v>79</v>
      </c>
      <c r="E132" s="3" t="s">
        <v>90</v>
      </c>
      <c r="F132" s="3" t="s">
        <v>90</v>
      </c>
      <c r="G132" s="3" t="s">
        <v>90</v>
      </c>
      <c r="H132" s="3" t="s">
        <v>90</v>
      </c>
      <c r="I132" s="3" t="s">
        <v>90</v>
      </c>
      <c r="J132" s="3" t="s">
        <v>90</v>
      </c>
      <c r="K132" s="3" t="s">
        <v>90</v>
      </c>
      <c r="L132" s="3" t="s">
        <v>90</v>
      </c>
      <c r="M132" s="3" t="s">
        <v>90</v>
      </c>
      <c r="N132" s="3" t="s">
        <v>90</v>
      </c>
    </row>
    <row r="133" spans="2:18" x14ac:dyDescent="0.25">
      <c r="B133" s="28"/>
      <c r="C133" s="43" t="s">
        <v>84</v>
      </c>
      <c r="D133" s="3" t="s">
        <v>79</v>
      </c>
      <c r="E133" s="3" t="s">
        <v>90</v>
      </c>
      <c r="F133" s="3" t="s">
        <v>90</v>
      </c>
      <c r="G133" s="3" t="s">
        <v>90</v>
      </c>
      <c r="H133" s="3" t="s">
        <v>90</v>
      </c>
      <c r="I133" s="3" t="s">
        <v>90</v>
      </c>
      <c r="J133" s="3" t="s">
        <v>90</v>
      </c>
      <c r="K133" s="3" t="s">
        <v>90</v>
      </c>
      <c r="L133" s="3" t="s">
        <v>90</v>
      </c>
      <c r="M133" s="3" t="s">
        <v>90</v>
      </c>
      <c r="N133" s="3" t="s">
        <v>90</v>
      </c>
    </row>
    <row r="134" spans="2:18" x14ac:dyDescent="0.25">
      <c r="B134" s="28"/>
      <c r="C134" s="43" t="s">
        <v>85</v>
      </c>
      <c r="D134" s="3" t="s">
        <v>79</v>
      </c>
      <c r="E134" s="3" t="s">
        <v>90</v>
      </c>
      <c r="F134" s="3" t="s">
        <v>90</v>
      </c>
      <c r="G134" s="3" t="s">
        <v>90</v>
      </c>
      <c r="H134" s="3" t="s">
        <v>90</v>
      </c>
      <c r="I134" s="3" t="s">
        <v>90</v>
      </c>
      <c r="J134" s="3" t="s">
        <v>90</v>
      </c>
      <c r="K134" s="3" t="s">
        <v>90</v>
      </c>
      <c r="L134" s="3" t="s">
        <v>90</v>
      </c>
      <c r="M134" s="3" t="s">
        <v>90</v>
      </c>
      <c r="N134" s="3" t="s">
        <v>90</v>
      </c>
    </row>
    <row r="135" spans="2:18" x14ac:dyDescent="0.25">
      <c r="B135" s="28"/>
      <c r="C135" s="43" t="s">
        <v>86</v>
      </c>
      <c r="D135" s="3" t="s">
        <v>79</v>
      </c>
      <c r="E135" s="3" t="s">
        <v>90</v>
      </c>
      <c r="F135" s="3" t="s">
        <v>90</v>
      </c>
      <c r="G135" s="3" t="s">
        <v>90</v>
      </c>
      <c r="H135" s="3" t="s">
        <v>90</v>
      </c>
      <c r="I135" s="3" t="s">
        <v>90</v>
      </c>
      <c r="J135" s="3" t="s">
        <v>90</v>
      </c>
      <c r="K135" s="3" t="s">
        <v>90</v>
      </c>
      <c r="L135" s="3" t="s">
        <v>90</v>
      </c>
      <c r="M135" s="3" t="s">
        <v>90</v>
      </c>
      <c r="N135" s="3" t="s">
        <v>90</v>
      </c>
    </row>
    <row r="136" spans="2:18" x14ac:dyDescent="0.25">
      <c r="B136" s="28"/>
      <c r="C136" s="43" t="s">
        <v>87</v>
      </c>
      <c r="D136" s="3" t="s">
        <v>79</v>
      </c>
      <c r="E136" s="3" t="s">
        <v>90</v>
      </c>
      <c r="F136" s="3" t="s">
        <v>90</v>
      </c>
      <c r="G136" s="3" t="s">
        <v>90</v>
      </c>
      <c r="H136" s="3" t="s">
        <v>90</v>
      </c>
      <c r="I136" s="3" t="s">
        <v>90</v>
      </c>
      <c r="J136" s="3" t="s">
        <v>90</v>
      </c>
      <c r="K136" s="3" t="s">
        <v>90</v>
      </c>
      <c r="L136" s="3" t="s">
        <v>90</v>
      </c>
      <c r="M136" s="3" t="s">
        <v>90</v>
      </c>
      <c r="N136" s="3" t="s">
        <v>90</v>
      </c>
    </row>
    <row r="137" spans="2:18" x14ac:dyDescent="0.25">
      <c r="B137" s="28"/>
    </row>
    <row r="138" spans="2:18" x14ac:dyDescent="0.25">
      <c r="B138" s="28"/>
    </row>
    <row r="139" spans="2:18" x14ac:dyDescent="0.25">
      <c r="B139" s="28"/>
      <c r="M139" s="13"/>
    </row>
    <row r="140" spans="2:18" x14ac:dyDescent="0.25">
      <c r="B140" s="28"/>
      <c r="M140" s="32"/>
      <c r="N140" s="32"/>
      <c r="O140" s="32"/>
      <c r="P140" s="32"/>
      <c r="Q140" s="32"/>
      <c r="R140" s="32"/>
    </row>
    <row r="141" spans="2:18" x14ac:dyDescent="0.25">
      <c r="B141" s="28"/>
    </row>
    <row r="142" spans="2:18" x14ac:dyDescent="0.25">
      <c r="B142" s="28"/>
    </row>
    <row r="143" spans="2:18" x14ac:dyDescent="0.25">
      <c r="B143" s="28"/>
    </row>
    <row r="144" spans="2:18" x14ac:dyDescent="0.25">
      <c r="B14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5A12-A52F-4DC0-833D-DB681DA71B30}">
  <dimension ref="A1:AT154"/>
  <sheetViews>
    <sheetView workbookViewId="0">
      <selection activeCell="S12" sqref="S12"/>
    </sheetView>
  </sheetViews>
  <sheetFormatPr defaultRowHeight="15" x14ac:dyDescent="0.25"/>
  <cols>
    <col min="6" max="6" width="4.28515625" customWidth="1"/>
    <col min="7" max="7" width="6.28515625" customWidth="1"/>
    <col min="8" max="8" width="6.140625" customWidth="1"/>
    <col min="9" max="9" width="8.85546875" customWidth="1"/>
    <col min="12" max="12" width="23.5703125" customWidth="1"/>
    <col min="13" max="13" width="18" bestFit="1" customWidth="1"/>
  </cols>
  <sheetData>
    <row r="1" spans="1:45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5" ht="15.75" x14ac:dyDescent="0.25">
      <c r="A2" s="6"/>
      <c r="B2" s="10" t="s">
        <v>41</v>
      </c>
      <c r="C2" s="6"/>
      <c r="D2" s="6"/>
      <c r="E2" s="6"/>
      <c r="F2" s="6"/>
      <c r="G2" s="6"/>
      <c r="H2" s="6"/>
      <c r="I2" s="6"/>
      <c r="J2" s="11" t="s">
        <v>43</v>
      </c>
      <c r="K2" s="6"/>
      <c r="L2" s="15"/>
      <c r="M2" s="39">
        <f>Analysis!D32</f>
        <v>65</v>
      </c>
      <c r="N2" s="6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5" x14ac:dyDescent="0.25">
      <c r="A3" s="6"/>
      <c r="B3" s="9" t="s">
        <v>42</v>
      </c>
      <c r="C3" s="6"/>
      <c r="D3" s="6"/>
      <c r="E3" s="6"/>
      <c r="F3" s="6"/>
      <c r="G3" s="6"/>
      <c r="H3" s="6"/>
      <c r="I3" s="6"/>
      <c r="J3" s="9" t="s">
        <v>44</v>
      </c>
      <c r="K3" s="12" t="str">
        <f>Analysis!H2</f>
        <v>22/05/2025 to 24/05/2025</v>
      </c>
      <c r="L3" s="6"/>
      <c r="M3" s="6"/>
      <c r="N3" s="6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spans="1:4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</row>
    <row r="5" spans="1:4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25" t="s">
        <v>11</v>
      </c>
      <c r="M5" s="26" t="s">
        <v>12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</row>
    <row r="6" spans="1:45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41" t="str" cm="1">
        <f t="array" ref="L6:M11">_xlfn.LET(
  _xlpm.rawDataRange, 'Raw Data'!B2:B5000,
  _xlpm.nonEmptyCount, COUNTIF(_xlpm.rawDataRange, "&lt;&gt;"),
  IF(
    _xlpm.nonEmptyCount = 0,
    "",
    _xlfn.LET(
      _xlpm.rawData, _xlfn._xlws.FILTER(_xlpm.rawDataRange, _xlpm.rawDataRange&lt;&gt;""),
      _xlpm.uniqueVals, _xlfn.UNIQUE(_xlpm.rawData),
      _xlpm.counts, COUNTIF(_xlpm.rawDataRange, _xlpm.uniqueVals),
      _xlpm.sortedData, _xlfn.SORTBY(_xlfn.HSTACK(_xlpm.uniqueVals, _xlpm.counts), _xlpm.counts, -1),
      _xlpm.sortedData
    )
  )
)</f>
        <v>PPE</v>
      </c>
      <c r="M6" s="45">
        <v>33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x14ac:dyDescent="0.25">
      <c r="A7" s="8"/>
      <c r="B7" s="8"/>
      <c r="C7" s="8"/>
      <c r="D7" s="8"/>
      <c r="E7" s="8"/>
      <c r="F7" s="8"/>
      <c r="G7" s="8"/>
      <c r="H7" s="8"/>
      <c r="I7" s="8"/>
      <c r="J7" s="27"/>
      <c r="K7" s="8"/>
      <c r="L7" s="41" t="str">
        <v>Welding / Gas cutting</v>
      </c>
      <c r="M7" s="45">
        <v>13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</row>
    <row r="8" spans="1:4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40" t="str">
        <v>Work At Height</v>
      </c>
      <c r="M8" s="44">
        <v>9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</row>
    <row r="9" spans="1:4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41" t="str">
        <v>Vehicle Reverse Flagman</v>
      </c>
      <c r="M9" s="45">
        <v>6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41" t="str">
        <v>Unconscious/Resting</v>
      </c>
      <c r="M10" s="45">
        <v>2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41" t="str">
        <v>Unauthorized Access</v>
      </c>
      <c r="M11" s="45">
        <v>2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41"/>
      <c r="M12" s="4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</row>
    <row r="13" spans="1:4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41"/>
      <c r="M13" s="45"/>
      <c r="N13" s="8"/>
      <c r="O13" s="8"/>
      <c r="P13" s="8"/>
      <c r="Q13" s="8"/>
      <c r="R13" s="8"/>
      <c r="S13" s="23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</row>
    <row r="14" spans="1:4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41"/>
      <c r="M14" s="4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4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41"/>
      <c r="M15" s="4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</row>
    <row r="16" spans="1:45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41"/>
      <c r="M16" s="4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</row>
    <row r="17" spans="1:46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41"/>
      <c r="M17" s="45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</row>
    <row r="18" spans="1:46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41"/>
      <c r="M18" s="4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6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41"/>
      <c r="M19" s="45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</row>
    <row r="20" spans="1:46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40"/>
      <c r="M20" s="45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</row>
    <row r="21" spans="1:46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41"/>
      <c r="M21" s="45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6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41"/>
      <c r="M22" s="45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</row>
    <row r="23" spans="1:46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41"/>
      <c r="M23" s="45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</row>
    <row r="24" spans="1:46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41"/>
      <c r="M24" s="45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</row>
    <row r="25" spans="1:46" x14ac:dyDescent="0.25">
      <c r="A25" s="8"/>
      <c r="B25" s="17" t="str">
        <f>Analysis!H6</f>
        <v>Critical violations like Fall Protection &amp; Hit by Object/Vehicle needs training</v>
      </c>
      <c r="C25" s="8"/>
      <c r="D25" s="8"/>
      <c r="E25" s="8"/>
      <c r="F25" s="8"/>
      <c r="G25" s="8"/>
      <c r="H25" s="8"/>
      <c r="I25" s="8"/>
      <c r="J25" s="8"/>
      <c r="K25" s="8"/>
      <c r="L25" s="41"/>
      <c r="M25" s="45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</row>
    <row r="26" spans="1:46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41"/>
      <c r="M26" s="45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</row>
    <row r="27" spans="1:46" x14ac:dyDescent="0.25">
      <c r="A27" s="8"/>
      <c r="B27" s="17" t="str">
        <f>Analysis!H4</f>
        <v>Behavior is the major factor in nearly 90% of total violations: PPE, Welding / Gas cutting</v>
      </c>
      <c r="C27" s="8"/>
      <c r="D27" s="8"/>
      <c r="E27" s="8"/>
      <c r="F27" s="8"/>
      <c r="G27" s="8"/>
      <c r="H27" s="8"/>
      <c r="I27" s="8"/>
      <c r="J27" s="8"/>
      <c r="K27" s="8"/>
      <c r="L27" s="51" t="s">
        <v>39</v>
      </c>
      <c r="M27" s="45">
        <f>SUM(M6:M26)</f>
        <v>65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</row>
    <row r="28" spans="1:46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42"/>
      <c r="M28" s="2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</row>
    <row r="29" spans="1:46" ht="15.75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19" t="str">
        <f>IF('Raw Data'!C2="", "No locations", 'Raw Data'!C2)</f>
        <v>Guwahati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</row>
    <row r="30" spans="1:4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9"/>
      <c r="L30" s="6"/>
      <c r="M30" s="6"/>
      <c r="N30" s="14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 spans="1:46" ht="15.75" x14ac:dyDescent="0.25">
      <c r="A31" s="6"/>
      <c r="B31" s="9" t="s">
        <v>45</v>
      </c>
      <c r="C31" s="6"/>
      <c r="D31" s="6"/>
      <c r="E31" s="6"/>
      <c r="F31" s="6"/>
      <c r="G31" s="6"/>
      <c r="H31" s="6"/>
      <c r="I31" s="6"/>
      <c r="J31" s="6"/>
      <c r="K31" s="9" t="s">
        <v>47</v>
      </c>
      <c r="L31" s="6"/>
      <c r="M31" s="24">
        <f>Analysis!I1</f>
        <v>9</v>
      </c>
      <c r="N31" s="14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 spans="1:46" x14ac:dyDescent="0.25">
      <c r="A32" s="6"/>
      <c r="B32" s="9" t="s">
        <v>46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15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 spans="1:4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 spans="1:46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 spans="1:46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 spans="1:46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</row>
    <row r="37" spans="1:46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</row>
    <row r="38" spans="1:46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 spans="1:46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</row>
    <row r="40" spans="1:46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</row>
    <row r="41" spans="1:46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</row>
    <row r="42" spans="1:46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</row>
    <row r="43" spans="1:46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</row>
    <row r="44" spans="1:46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</row>
    <row r="45" spans="1:46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</row>
    <row r="46" spans="1:46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</row>
    <row r="47" spans="1:46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</row>
    <row r="48" spans="1:46" s="7" customForma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</row>
    <row r="49" spans="1:46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</row>
    <row r="50" spans="1:46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</row>
    <row r="51" spans="1:46" ht="18.75" x14ac:dyDescent="0.3">
      <c r="A51" s="8"/>
      <c r="B51" s="8"/>
      <c r="C51" s="8"/>
      <c r="D51" s="52" t="s">
        <v>55</v>
      </c>
      <c r="E51" s="53"/>
      <c r="F51" s="53"/>
      <c r="G51" s="53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</row>
    <row r="52" spans="1:46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</row>
    <row r="53" spans="1:46" x14ac:dyDescent="0.25">
      <c r="A53" s="20">
        <f>IF(B53="", "", 1)</f>
        <v>1</v>
      </c>
      <c r="B53" s="17" t="str">
        <f>Analysis!U87</f>
        <v>Work At Height has the highest events at International, Front Office</v>
      </c>
      <c r="C53" s="17"/>
      <c r="D53" s="17"/>
      <c r="E53" s="17"/>
      <c r="F53" s="17"/>
      <c r="G53" s="17"/>
      <c r="H53" s="17"/>
      <c r="I53" s="17"/>
      <c r="J53" s="17"/>
      <c r="K53" s="17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</row>
    <row r="54" spans="1:46" x14ac:dyDescent="0.25">
      <c r="A54" s="21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</row>
    <row r="55" spans="1:46" x14ac:dyDescent="0.25">
      <c r="A55" s="21">
        <f>IF(B55="", "", 2)</f>
        <v>2</v>
      </c>
      <c r="B55" s="17" t="str">
        <f>Analysis!U88</f>
        <v>Vehicle Reverse Flagman has the highest events at Departure, Zone 5, International</v>
      </c>
      <c r="C55" s="17"/>
      <c r="D55" s="17"/>
      <c r="E55" s="17"/>
      <c r="F55" s="17"/>
      <c r="G55" s="17"/>
      <c r="H55" s="17"/>
      <c r="I55" s="17"/>
      <c r="J55" s="17"/>
      <c r="K55" s="17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</row>
    <row r="56" spans="1:46" x14ac:dyDescent="0.25">
      <c r="A56" s="21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</row>
    <row r="57" spans="1:46" x14ac:dyDescent="0.25">
      <c r="A57" s="21">
        <f>IF(B57="", "", 3)</f>
        <v>3</v>
      </c>
      <c r="B57" s="17" t="str">
        <f>Analysis!U89</f>
        <v>Unauthorized Access has the highest events at Front Office, International</v>
      </c>
      <c r="C57" s="17"/>
      <c r="D57" s="17"/>
      <c r="E57" s="17"/>
      <c r="F57" s="17"/>
      <c r="G57" s="17"/>
      <c r="H57" s="17"/>
      <c r="I57" s="17"/>
      <c r="J57" s="17"/>
      <c r="K57" s="17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</row>
    <row r="58" spans="1:46" x14ac:dyDescent="0.25">
      <c r="A58" s="21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</row>
    <row r="59" spans="1:46" x14ac:dyDescent="0.25">
      <c r="A59" s="21">
        <f>IF(B59="", "", 4)</f>
        <v>4</v>
      </c>
      <c r="B59" s="17" t="str">
        <f>Analysis!U90</f>
        <v>Unconscious/Resting has the highest events at City Side Overbridge 1, City Side Overbridge 1</v>
      </c>
      <c r="C59" s="17"/>
      <c r="D59" s="17"/>
      <c r="E59" s="17"/>
      <c r="F59" s="17"/>
      <c r="G59" s="17"/>
      <c r="H59" s="17"/>
      <c r="I59" s="17"/>
      <c r="J59" s="17"/>
      <c r="K59" s="17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</row>
    <row r="60" spans="1:46" ht="15.75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19" t="str">
        <f>IF('Raw Data'!C2="", "No locations", 'Raw Data'!C2)</f>
        <v>Guwahati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</row>
    <row r="61" spans="1:4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46" ht="15.75" x14ac:dyDescent="0.25">
      <c r="A62" s="6"/>
      <c r="B62" s="18" t="s">
        <v>56</v>
      </c>
      <c r="C62" s="6"/>
      <c r="D62" s="6"/>
      <c r="E62" s="6"/>
      <c r="F62" s="6"/>
      <c r="G62" s="6"/>
      <c r="H62" s="6"/>
      <c r="I62" s="6"/>
      <c r="J62" s="9" t="s">
        <v>57</v>
      </c>
      <c r="K62" s="6"/>
      <c r="L62" s="6"/>
      <c r="M62" s="6"/>
      <c r="N62" s="6"/>
    </row>
    <row r="63" spans="1:46" x14ac:dyDescent="0.25">
      <c r="A63" s="6"/>
      <c r="B63" s="9" t="str">
        <f>"Weekly trends for the " &amp; TEXT('Raw Data'!A2, "mmmm")</f>
        <v>Weekly trends for the May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4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5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1:15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1:15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1:15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1:2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25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25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25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1:25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25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25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25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25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25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1:25" ht="15.75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19" t="str">
        <f>IF('Raw Data'!C2="", "No locations", 'Raw Data'!C2)</f>
        <v>Guwahati</v>
      </c>
      <c r="N91" s="8"/>
      <c r="O91" s="8"/>
    </row>
    <row r="92" spans="1:25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25" ht="15.75" x14ac:dyDescent="0.25">
      <c r="A93" s="6"/>
      <c r="B93" s="18" t="s">
        <v>58</v>
      </c>
      <c r="C93" s="6"/>
      <c r="D93" s="6"/>
      <c r="E93" s="6"/>
      <c r="F93" s="6"/>
      <c r="G93" s="6"/>
      <c r="H93" s="6"/>
      <c r="I93" s="6"/>
      <c r="J93" s="9" t="s">
        <v>57</v>
      </c>
      <c r="K93" s="6"/>
      <c r="L93" s="6"/>
      <c r="M93" s="6"/>
      <c r="N93" s="6"/>
    </row>
    <row r="94" spans="1:25" x14ac:dyDescent="0.25">
      <c r="A94" s="6"/>
      <c r="B94" s="9" t="str">
        <f>"Weekly trends for the " &amp; TEXT('Raw Data'!A2, "mmmm")</f>
        <v>Weekly trends for the May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25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25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17" t="s">
        <v>49</v>
      </c>
      <c r="L98" s="17" t="s">
        <v>50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17" t="s">
        <v>51</v>
      </c>
      <c r="L99" s="17" t="s">
        <v>52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17" t="s">
        <v>53</v>
      </c>
      <c r="L100" s="17" t="s">
        <v>54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5.75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9" t="str">
        <f>IF('Raw Data'!C2="", "No locations", 'Raw Data'!C2)</f>
        <v>Guwahati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25" ht="15.75" x14ac:dyDescent="0.25">
      <c r="A124" s="6"/>
      <c r="B124" s="18" t="s">
        <v>59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25" x14ac:dyDescent="0.25">
      <c r="A125" s="6"/>
      <c r="B125" s="9" t="s">
        <v>60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2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2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25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5.75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19" t="str">
        <f>IF('Raw Data'!C2="", "No locations", 'Raw Data'!C2)</f>
        <v>Guwahati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</sheetData>
  <mergeCells count="1">
    <mergeCell ref="D51:G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final report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bibek kumar panda</dc:creator>
  <cp:lastModifiedBy>bibek kumar panda</cp:lastModifiedBy>
  <dcterms:created xsi:type="dcterms:W3CDTF">2015-06-05T18:17:20Z</dcterms:created>
  <dcterms:modified xsi:type="dcterms:W3CDTF">2025-05-29T13:25:47Z</dcterms:modified>
</cp:coreProperties>
</file>